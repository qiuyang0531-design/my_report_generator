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17802\Desktop\2026组织碳收资\"/>
    </mc:Choice>
  </mc:AlternateContent>
  <xr:revisionPtr revIDLastSave="0" documentId="13_ncr:1_{A186689B-3603-4F93-9F61-8ED1AA4BE9EF}" xr6:coauthVersionLast="47" xr6:coauthVersionMax="47" xr10:uidLastSave="{00000000-0000-0000-0000-000000000000}"/>
  <bookViews>
    <workbookView xWindow="-120" yWindow="-120" windowWidth="29040" windowHeight="15720" tabRatio="789" firstSheet="1" activeTab="4" xr2:uid="{00000000-000D-0000-FFFF-FFFF00000000}"/>
  </bookViews>
  <sheets>
    <sheet name="温室气体盘查清册 (2)" sheetId="24" state="hidden" r:id="rId1"/>
    <sheet name="修改日志&amp;问题" sheetId="27" r:id="rId2"/>
    <sheet name="基本信息" sheetId="25" r:id="rId3"/>
    <sheet name="温室气体盘查清册" sheetId="8" r:id="rId4"/>
    <sheet name="表1温室气体盘查表" sheetId="2" r:id="rId5"/>
    <sheet name="表2.1不确定性评估——基于位置" sheetId="18" r:id="rId6"/>
    <sheet name="表2.1不确定性评估——基于市场" sheetId="21" r:id="rId7"/>
    <sheet name="附表1-GWP TABLE" sheetId="4" r:id="rId8"/>
    <sheet name="附表2-EF" sheetId="5" r:id="rId9"/>
    <sheet name="减排行动统计" sheetId="13" r:id="rId10"/>
    <sheet name="活动数据汇总表（GHG基于位置）" sheetId="15" r:id="rId11"/>
    <sheet name="活动数据汇总表（GHG基于市场）" sheetId="23" r:id="rId12"/>
    <sheet name="基准年温室气体清单 (GHG位置)" sheetId="22" r:id="rId13"/>
    <sheet name="基准年温室气体清单（GHG市场）" sheetId="14" r:id="rId14"/>
  </sheets>
  <definedNames>
    <definedName name="CONST_CNTR_TotProd">#REF!</definedName>
    <definedName name="CONST_ElecConsumption">#REF!</definedName>
    <definedName name="_xlnm.Print_Area" localSheetId="4">表1温室气体盘查表!$A$1:$AM$99</definedName>
    <definedName name="_xlnm.Print_Area" localSheetId="7">'附表1-GWP TABLE'!$A$1:$J$49</definedName>
    <definedName name="_xlnm.Print_Area" localSheetId="8">'附表2-EF'!$B$1:$Q$42</definedName>
    <definedName name="_xlnm.Print_Area" localSheetId="11">'活动数据汇总表（GHG基于市场）'!$A$1:$AK$82</definedName>
    <definedName name="_xlnm.Print_Area" localSheetId="10">'活动数据汇总表（GHG基于位置）'!$A$1:$AK$82</definedName>
  </definedNames>
  <calcPr calcId="181029"/>
</workbook>
</file>

<file path=xl/calcChain.xml><?xml version="1.0" encoding="utf-8"?>
<calcChain xmlns="http://schemas.openxmlformats.org/spreadsheetml/2006/main">
  <c r="F48" i="2" l="1"/>
  <c r="B48" i="23"/>
  <c r="C48" i="23"/>
  <c r="D48" i="23"/>
  <c r="E48" i="23"/>
  <c r="F48" i="23"/>
  <c r="G48" i="23"/>
  <c r="I48" i="23"/>
  <c r="AD48" i="23"/>
  <c r="AE48" i="23"/>
  <c r="AF48" i="23"/>
  <c r="AG48" i="23"/>
  <c r="AH48" i="23"/>
  <c r="AI48" i="23"/>
  <c r="AJ48" i="23"/>
  <c r="AK48" i="23"/>
  <c r="B49" i="23"/>
  <c r="C49" i="23"/>
  <c r="D49" i="23"/>
  <c r="E49" i="23"/>
  <c r="F49" i="23"/>
  <c r="G49" i="23"/>
  <c r="I49" i="23"/>
  <c r="AD49" i="23"/>
  <c r="AE49" i="23"/>
  <c r="AF49" i="23"/>
  <c r="AG49" i="23"/>
  <c r="AH49" i="23"/>
  <c r="AI49" i="23"/>
  <c r="AJ49" i="23"/>
  <c r="AK49" i="23"/>
  <c r="B48" i="15"/>
  <c r="C48" i="15"/>
  <c r="D48" i="15"/>
  <c r="E48" i="15"/>
  <c r="F48" i="15"/>
  <c r="G48" i="15"/>
  <c r="I48" i="15"/>
  <c r="AD48" i="15"/>
  <c r="AE48" i="15"/>
  <c r="AF48" i="15"/>
  <c r="AG48" i="15"/>
  <c r="AH48" i="15"/>
  <c r="AI48" i="15"/>
  <c r="AJ48" i="15"/>
  <c r="AK48" i="15"/>
  <c r="B49" i="15"/>
  <c r="C49" i="15"/>
  <c r="D49" i="15"/>
  <c r="E49" i="15"/>
  <c r="F49" i="15"/>
  <c r="G49" i="15"/>
  <c r="I49" i="15"/>
  <c r="AD49" i="15"/>
  <c r="AE49" i="15"/>
  <c r="AF49" i="15"/>
  <c r="AG49" i="15"/>
  <c r="AH49" i="15"/>
  <c r="AI49" i="15"/>
  <c r="AJ49" i="15"/>
  <c r="AK49" i="15"/>
  <c r="G46" i="18"/>
  <c r="H46" i="18"/>
  <c r="I46" i="18"/>
  <c r="J46" i="18"/>
  <c r="K46" i="18"/>
  <c r="G47" i="18"/>
  <c r="H47" i="18"/>
  <c r="I47" i="18"/>
  <c r="J47" i="18"/>
  <c r="K47" i="18"/>
  <c r="B46" i="18"/>
  <c r="C46" i="18"/>
  <c r="B47" i="18"/>
  <c r="C47" i="18"/>
  <c r="K46" i="21"/>
  <c r="K47" i="21"/>
  <c r="G46" i="21"/>
  <c r="H46" i="21"/>
  <c r="I46" i="21"/>
  <c r="J46" i="21"/>
  <c r="G47" i="21"/>
  <c r="H47" i="21"/>
  <c r="I47" i="21"/>
  <c r="J47" i="21"/>
  <c r="B46" i="21"/>
  <c r="C46" i="21"/>
  <c r="B47" i="21"/>
  <c r="C47" i="21"/>
  <c r="F66" i="8"/>
  <c r="G66" i="8"/>
  <c r="H66" i="8"/>
  <c r="I66" i="8"/>
  <c r="J66" i="8"/>
  <c r="K66" i="8"/>
  <c r="L66" i="8"/>
  <c r="M66" i="8"/>
  <c r="F67" i="8"/>
  <c r="G67" i="8"/>
  <c r="H67" i="8"/>
  <c r="I67" i="8"/>
  <c r="J67" i="8"/>
  <c r="K67" i="8"/>
  <c r="L67" i="8"/>
  <c r="M67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AF49" i="2"/>
  <c r="AG49" i="2"/>
  <c r="AH49" i="2"/>
  <c r="AI49" i="2"/>
  <c r="AJ49" i="2"/>
  <c r="AK49" i="2"/>
  <c r="AL49" i="2"/>
  <c r="AM49" i="2"/>
  <c r="AF50" i="2"/>
  <c r="AG50" i="2"/>
  <c r="AH50" i="2"/>
  <c r="AI50" i="2"/>
  <c r="AJ50" i="2"/>
  <c r="AK50" i="2"/>
  <c r="AL50" i="2"/>
  <c r="AM50" i="2"/>
  <c r="I49" i="2"/>
  <c r="I50" i="2"/>
  <c r="D66" i="5"/>
  <c r="D67" i="5"/>
  <c r="F50" i="2"/>
  <c r="F49" i="2"/>
  <c r="F17" i="2"/>
  <c r="F14" i="2"/>
  <c r="F92" i="2"/>
  <c r="F31" i="2"/>
  <c r="F75" i="2"/>
  <c r="F76" i="2"/>
  <c r="F74" i="2"/>
  <c r="F83" i="2"/>
  <c r="F6" i="2"/>
  <c r="F16" i="2"/>
  <c r="E30" i="23"/>
  <c r="F30" i="2"/>
  <c r="E30" i="15" s="1"/>
  <c r="I93" i="2"/>
  <c r="G96" i="5"/>
  <c r="F19" i="2"/>
  <c r="F18" i="2"/>
  <c r="F47" i="2"/>
  <c r="E46" i="23" s="1"/>
  <c r="F37" i="2"/>
  <c r="E36" i="23" s="1"/>
  <c r="F35" i="2"/>
  <c r="E34" i="23" s="1"/>
  <c r="F34" i="2"/>
  <c r="F33" i="2"/>
  <c r="E32" i="23" s="1"/>
  <c r="F46" i="2"/>
  <c r="F41" i="2"/>
  <c r="F45" i="2"/>
  <c r="E44" i="23" s="1"/>
  <c r="F44" i="2"/>
  <c r="E43" i="23" s="1"/>
  <c r="F26" i="2"/>
  <c r="F22" i="2"/>
  <c r="E22" i="23" s="1"/>
  <c r="F23" i="2"/>
  <c r="F39" i="2" s="1"/>
  <c r="F24" i="2"/>
  <c r="F40" i="2" s="1"/>
  <c r="F21" i="2"/>
  <c r="F25" i="2"/>
  <c r="H70" i="2"/>
  <c r="H71" i="2" s="1"/>
  <c r="H72" i="2" s="1"/>
  <c r="H69" i="2"/>
  <c r="H68" i="2"/>
  <c r="H67" i="2"/>
  <c r="H66" i="2"/>
  <c r="I54" i="14"/>
  <c r="H54" i="14"/>
  <c r="G54" i="14"/>
  <c r="F54" i="14"/>
  <c r="E54" i="14"/>
  <c r="D54" i="14"/>
  <c r="J51" i="14"/>
  <c r="J48" i="14"/>
  <c r="J45" i="14"/>
  <c r="J30" i="14"/>
  <c r="I54" i="22"/>
  <c r="H54" i="22"/>
  <c r="G54" i="22"/>
  <c r="F54" i="22"/>
  <c r="E54" i="22"/>
  <c r="D54" i="22"/>
  <c r="J51" i="22"/>
  <c r="J48" i="22"/>
  <c r="J45" i="22"/>
  <c r="J30" i="22"/>
  <c r="I97" i="23"/>
  <c r="G97" i="23"/>
  <c r="F97" i="23"/>
  <c r="D97" i="23"/>
  <c r="C97" i="23"/>
  <c r="B97" i="23"/>
  <c r="I96" i="23"/>
  <c r="G96" i="23"/>
  <c r="F96" i="23"/>
  <c r="D96" i="23"/>
  <c r="C96" i="23"/>
  <c r="B96" i="23"/>
  <c r="I95" i="23"/>
  <c r="G95" i="23"/>
  <c r="F95" i="23"/>
  <c r="D95" i="23"/>
  <c r="C95" i="23"/>
  <c r="B95" i="23"/>
  <c r="I94" i="23"/>
  <c r="G94" i="23"/>
  <c r="F94" i="23"/>
  <c r="D94" i="23"/>
  <c r="C94" i="23"/>
  <c r="B94" i="23"/>
  <c r="I93" i="23"/>
  <c r="G93" i="23"/>
  <c r="F93" i="23"/>
  <c r="D93" i="23"/>
  <c r="C93" i="23"/>
  <c r="B93" i="23"/>
  <c r="I92" i="23"/>
  <c r="G92" i="23"/>
  <c r="F92" i="23"/>
  <c r="D92" i="23"/>
  <c r="C92" i="23"/>
  <c r="B92" i="23"/>
  <c r="I91" i="23"/>
  <c r="G91" i="23"/>
  <c r="F91" i="23"/>
  <c r="D91" i="23"/>
  <c r="C91" i="23"/>
  <c r="B91" i="23"/>
  <c r="I90" i="23"/>
  <c r="G90" i="23"/>
  <c r="F90" i="23"/>
  <c r="D90" i="23"/>
  <c r="C90" i="23"/>
  <c r="B90" i="23"/>
  <c r="I89" i="23"/>
  <c r="G89" i="23"/>
  <c r="F89" i="23"/>
  <c r="D89" i="23"/>
  <c r="C89" i="23"/>
  <c r="B89" i="23"/>
  <c r="I88" i="23"/>
  <c r="G88" i="23"/>
  <c r="F88" i="23"/>
  <c r="D88" i="23"/>
  <c r="C88" i="23"/>
  <c r="B88" i="23"/>
  <c r="I87" i="23"/>
  <c r="G87" i="23"/>
  <c r="F87" i="23"/>
  <c r="D87" i="23"/>
  <c r="C87" i="23"/>
  <c r="B87" i="23"/>
  <c r="I86" i="23"/>
  <c r="G86" i="23"/>
  <c r="F86" i="23"/>
  <c r="D86" i="23"/>
  <c r="C86" i="23"/>
  <c r="B86" i="23"/>
  <c r="I85" i="23"/>
  <c r="G85" i="23"/>
  <c r="F85" i="23"/>
  <c r="D85" i="23"/>
  <c r="C85" i="23"/>
  <c r="B85" i="23"/>
  <c r="I84" i="23"/>
  <c r="G84" i="23"/>
  <c r="F84" i="23"/>
  <c r="D84" i="23"/>
  <c r="C84" i="23"/>
  <c r="B84" i="23"/>
  <c r="I83" i="23"/>
  <c r="G83" i="23"/>
  <c r="F83" i="23"/>
  <c r="D83" i="23"/>
  <c r="C83" i="23"/>
  <c r="B83" i="23"/>
  <c r="I82" i="23"/>
  <c r="G82" i="23"/>
  <c r="F82" i="23"/>
  <c r="D82" i="23"/>
  <c r="C82" i="23"/>
  <c r="B82" i="23"/>
  <c r="I81" i="23"/>
  <c r="G81" i="23"/>
  <c r="F81" i="23"/>
  <c r="D81" i="23"/>
  <c r="C81" i="23"/>
  <c r="B81" i="23"/>
  <c r="I80" i="23"/>
  <c r="G80" i="23"/>
  <c r="F80" i="23"/>
  <c r="D80" i="23"/>
  <c r="C80" i="23"/>
  <c r="B80" i="23"/>
  <c r="I79" i="23"/>
  <c r="G79" i="23"/>
  <c r="F79" i="23"/>
  <c r="D79" i="23"/>
  <c r="C79" i="23"/>
  <c r="B79" i="23"/>
  <c r="I78" i="23"/>
  <c r="G78" i="23"/>
  <c r="F78" i="23"/>
  <c r="D78" i="23"/>
  <c r="C78" i="23"/>
  <c r="B78" i="23"/>
  <c r="I77" i="23"/>
  <c r="G77" i="23"/>
  <c r="F77" i="23"/>
  <c r="D77" i="23"/>
  <c r="C77" i="23"/>
  <c r="B77" i="23"/>
  <c r="I76" i="23"/>
  <c r="G76" i="23"/>
  <c r="F76" i="23"/>
  <c r="D76" i="23"/>
  <c r="C76" i="23"/>
  <c r="B76" i="23"/>
  <c r="I75" i="23"/>
  <c r="G75" i="23"/>
  <c r="F75" i="23"/>
  <c r="D75" i="23"/>
  <c r="C75" i="23"/>
  <c r="B75" i="23"/>
  <c r="I74" i="23"/>
  <c r="G74" i="23"/>
  <c r="F74" i="23"/>
  <c r="D74" i="23"/>
  <c r="C74" i="23"/>
  <c r="B74" i="23"/>
  <c r="I73" i="23"/>
  <c r="G73" i="23"/>
  <c r="F73" i="23"/>
  <c r="D73" i="23"/>
  <c r="C73" i="23"/>
  <c r="B73" i="23"/>
  <c r="I72" i="23"/>
  <c r="G72" i="23"/>
  <c r="F72" i="23"/>
  <c r="D72" i="23"/>
  <c r="C72" i="23"/>
  <c r="B72" i="23"/>
  <c r="I71" i="23"/>
  <c r="G71" i="23"/>
  <c r="F71" i="23"/>
  <c r="D71" i="23"/>
  <c r="C71" i="23"/>
  <c r="B71" i="23"/>
  <c r="I70" i="23"/>
  <c r="G70" i="23"/>
  <c r="F70" i="23"/>
  <c r="D70" i="23"/>
  <c r="C70" i="23"/>
  <c r="B70" i="23"/>
  <c r="I69" i="23"/>
  <c r="G69" i="23"/>
  <c r="F69" i="23"/>
  <c r="D69" i="23"/>
  <c r="C69" i="23"/>
  <c r="B69" i="23"/>
  <c r="I68" i="23"/>
  <c r="G68" i="23"/>
  <c r="F68" i="23"/>
  <c r="D68" i="23"/>
  <c r="C68" i="23"/>
  <c r="B68" i="23"/>
  <c r="I67" i="23"/>
  <c r="G67" i="23"/>
  <c r="F67" i="23"/>
  <c r="D67" i="23"/>
  <c r="C67" i="23"/>
  <c r="B67" i="23"/>
  <c r="I66" i="23"/>
  <c r="G66" i="23"/>
  <c r="F66" i="23"/>
  <c r="D66" i="23"/>
  <c r="C66" i="23"/>
  <c r="B66" i="23"/>
  <c r="I65" i="23"/>
  <c r="G65" i="23"/>
  <c r="F65" i="23"/>
  <c r="D65" i="23"/>
  <c r="C65" i="23"/>
  <c r="B65" i="23"/>
  <c r="I64" i="23"/>
  <c r="G64" i="23"/>
  <c r="F64" i="23"/>
  <c r="D64" i="23"/>
  <c r="C64" i="23"/>
  <c r="B64" i="23"/>
  <c r="I63" i="23"/>
  <c r="G63" i="23"/>
  <c r="F63" i="23"/>
  <c r="D63" i="23"/>
  <c r="C63" i="23"/>
  <c r="B63" i="23"/>
  <c r="I62" i="23"/>
  <c r="G62" i="23"/>
  <c r="F62" i="23"/>
  <c r="D62" i="23"/>
  <c r="C62" i="23"/>
  <c r="B62" i="23"/>
  <c r="I61" i="23"/>
  <c r="G61" i="23"/>
  <c r="F61" i="23"/>
  <c r="D61" i="23"/>
  <c r="C61" i="23"/>
  <c r="B61" i="23"/>
  <c r="I60" i="23"/>
  <c r="G60" i="23"/>
  <c r="F60" i="23"/>
  <c r="D60" i="23"/>
  <c r="C60" i="23"/>
  <c r="B60" i="23"/>
  <c r="I59" i="23"/>
  <c r="G59" i="23"/>
  <c r="F59" i="23"/>
  <c r="D59" i="23"/>
  <c r="C59" i="23"/>
  <c r="B59" i="23"/>
  <c r="I58" i="23"/>
  <c r="G58" i="23"/>
  <c r="F58" i="23"/>
  <c r="D58" i="23"/>
  <c r="C58" i="23"/>
  <c r="B58" i="23"/>
  <c r="I57" i="23"/>
  <c r="G57" i="23"/>
  <c r="F57" i="23"/>
  <c r="D57" i="23"/>
  <c r="C57" i="23"/>
  <c r="B57" i="23"/>
  <c r="I56" i="23"/>
  <c r="G56" i="23"/>
  <c r="F56" i="23"/>
  <c r="D56" i="23"/>
  <c r="C56" i="23"/>
  <c r="B56" i="23"/>
  <c r="I55" i="23"/>
  <c r="G55" i="23"/>
  <c r="F55" i="23"/>
  <c r="D55" i="23"/>
  <c r="C55" i="23"/>
  <c r="B55" i="23"/>
  <c r="I54" i="23"/>
  <c r="G54" i="23"/>
  <c r="F54" i="23"/>
  <c r="D54" i="23"/>
  <c r="C54" i="23"/>
  <c r="B54" i="23"/>
  <c r="I53" i="23"/>
  <c r="G53" i="23"/>
  <c r="F53" i="23"/>
  <c r="D53" i="23"/>
  <c r="C53" i="23"/>
  <c r="B53" i="23"/>
  <c r="I52" i="23"/>
  <c r="G52" i="23"/>
  <c r="F52" i="23"/>
  <c r="D52" i="23"/>
  <c r="C52" i="23"/>
  <c r="B52" i="23"/>
  <c r="I51" i="23"/>
  <c r="G51" i="23"/>
  <c r="F51" i="23"/>
  <c r="E51" i="23"/>
  <c r="D51" i="23"/>
  <c r="C51" i="23"/>
  <c r="B51" i="23"/>
  <c r="I50" i="23"/>
  <c r="G50" i="23"/>
  <c r="F50" i="23"/>
  <c r="E50" i="23"/>
  <c r="D50" i="23"/>
  <c r="C50" i="23"/>
  <c r="B50" i="23"/>
  <c r="I47" i="23"/>
  <c r="G47" i="23"/>
  <c r="F47" i="23"/>
  <c r="D47" i="23"/>
  <c r="C47" i="23"/>
  <c r="B47" i="23"/>
  <c r="I46" i="23"/>
  <c r="G46" i="23"/>
  <c r="F46" i="23"/>
  <c r="D46" i="23"/>
  <c r="C46" i="23"/>
  <c r="B46" i="23"/>
  <c r="I45" i="23"/>
  <c r="G45" i="23"/>
  <c r="F45" i="23"/>
  <c r="D45" i="23"/>
  <c r="C45" i="23"/>
  <c r="B45" i="23"/>
  <c r="I44" i="23"/>
  <c r="G44" i="23"/>
  <c r="F44" i="23"/>
  <c r="D44" i="23"/>
  <c r="C44" i="23"/>
  <c r="B44" i="23"/>
  <c r="I43" i="23"/>
  <c r="G43" i="23"/>
  <c r="F43" i="23"/>
  <c r="D43" i="23"/>
  <c r="C43" i="23"/>
  <c r="B43" i="23"/>
  <c r="I42" i="23"/>
  <c r="G42" i="23"/>
  <c r="F42" i="23"/>
  <c r="D42" i="23"/>
  <c r="C42" i="23"/>
  <c r="B42" i="23"/>
  <c r="I41" i="23"/>
  <c r="G41" i="23"/>
  <c r="F41" i="23"/>
  <c r="D41" i="23"/>
  <c r="C41" i="23"/>
  <c r="B41" i="23"/>
  <c r="I40" i="23"/>
  <c r="G40" i="23"/>
  <c r="F40" i="23"/>
  <c r="D40" i="23"/>
  <c r="C40" i="23"/>
  <c r="B40" i="23"/>
  <c r="I39" i="23"/>
  <c r="G39" i="23"/>
  <c r="F39" i="23"/>
  <c r="D39" i="23"/>
  <c r="C39" i="23"/>
  <c r="B39" i="23"/>
  <c r="I38" i="23"/>
  <c r="G38" i="23"/>
  <c r="F38" i="23"/>
  <c r="D38" i="23"/>
  <c r="C38" i="23"/>
  <c r="B38" i="23"/>
  <c r="I37" i="23"/>
  <c r="G37" i="23"/>
  <c r="F37" i="23"/>
  <c r="D37" i="23"/>
  <c r="C37" i="23"/>
  <c r="B37" i="23"/>
  <c r="I36" i="23"/>
  <c r="G36" i="23"/>
  <c r="F36" i="23"/>
  <c r="D36" i="23"/>
  <c r="C36" i="23"/>
  <c r="B36" i="23"/>
  <c r="I35" i="23"/>
  <c r="G35" i="23"/>
  <c r="F35" i="23"/>
  <c r="D35" i="23"/>
  <c r="C35" i="23"/>
  <c r="B35" i="23"/>
  <c r="I34" i="23"/>
  <c r="G34" i="23"/>
  <c r="F34" i="23"/>
  <c r="D34" i="23"/>
  <c r="C34" i="23"/>
  <c r="B34" i="23"/>
  <c r="I33" i="23"/>
  <c r="G33" i="23"/>
  <c r="F33" i="23"/>
  <c r="D33" i="23"/>
  <c r="C33" i="23"/>
  <c r="B33" i="23"/>
  <c r="I32" i="23"/>
  <c r="G32" i="23"/>
  <c r="F32" i="23"/>
  <c r="D32" i="23"/>
  <c r="C32" i="23"/>
  <c r="B32" i="23"/>
  <c r="I31" i="23"/>
  <c r="G31" i="23"/>
  <c r="F31" i="23"/>
  <c r="D31" i="23"/>
  <c r="C31" i="23"/>
  <c r="B31" i="23"/>
  <c r="I30" i="23"/>
  <c r="G30" i="23"/>
  <c r="F30" i="23"/>
  <c r="D30" i="23"/>
  <c r="C30" i="23"/>
  <c r="B30" i="23"/>
  <c r="I29" i="23"/>
  <c r="G29" i="23"/>
  <c r="F29" i="23"/>
  <c r="D29" i="23"/>
  <c r="C29" i="23"/>
  <c r="B29" i="23"/>
  <c r="I28" i="23"/>
  <c r="G28" i="23"/>
  <c r="F28" i="23"/>
  <c r="D28" i="23"/>
  <c r="C28" i="23"/>
  <c r="B28" i="23"/>
  <c r="I27" i="23"/>
  <c r="G27" i="23"/>
  <c r="F27" i="23"/>
  <c r="D27" i="23"/>
  <c r="C27" i="23"/>
  <c r="B27" i="23"/>
  <c r="I26" i="23"/>
  <c r="G26" i="23"/>
  <c r="F26" i="23"/>
  <c r="D26" i="23"/>
  <c r="C26" i="23"/>
  <c r="B26" i="23"/>
  <c r="I25" i="23"/>
  <c r="G25" i="23"/>
  <c r="F25" i="23"/>
  <c r="D25" i="23"/>
  <c r="C25" i="23"/>
  <c r="B25" i="23"/>
  <c r="I24" i="23"/>
  <c r="G24" i="23"/>
  <c r="F24" i="23"/>
  <c r="D24" i="23"/>
  <c r="C24" i="23"/>
  <c r="B24" i="23"/>
  <c r="I23" i="23"/>
  <c r="G23" i="23"/>
  <c r="F23" i="23"/>
  <c r="D23" i="23"/>
  <c r="C23" i="23"/>
  <c r="B23" i="23"/>
  <c r="I22" i="23"/>
  <c r="G22" i="23"/>
  <c r="F22" i="23"/>
  <c r="D22" i="23"/>
  <c r="C22" i="23"/>
  <c r="B22" i="23"/>
  <c r="I21" i="23"/>
  <c r="G21" i="23"/>
  <c r="F21" i="23"/>
  <c r="D21" i="23"/>
  <c r="C21" i="23"/>
  <c r="B21" i="23"/>
  <c r="I20" i="23"/>
  <c r="G20" i="23"/>
  <c r="F20" i="23"/>
  <c r="D20" i="23"/>
  <c r="C20" i="23"/>
  <c r="B20" i="23"/>
  <c r="I19" i="23"/>
  <c r="G19" i="23"/>
  <c r="F19" i="23"/>
  <c r="D19" i="23"/>
  <c r="C19" i="23"/>
  <c r="B19" i="23"/>
  <c r="I18" i="23"/>
  <c r="G18" i="23"/>
  <c r="F18" i="23"/>
  <c r="D18" i="23"/>
  <c r="C18" i="23"/>
  <c r="B18" i="23"/>
  <c r="I17" i="23"/>
  <c r="G17" i="23"/>
  <c r="F17" i="23"/>
  <c r="D17" i="23"/>
  <c r="C17" i="23"/>
  <c r="B17" i="23"/>
  <c r="I16" i="23"/>
  <c r="G16" i="23"/>
  <c r="F16" i="23"/>
  <c r="D16" i="23"/>
  <c r="C16" i="23"/>
  <c r="B16" i="23"/>
  <c r="I15" i="23"/>
  <c r="G15" i="23"/>
  <c r="F15" i="23"/>
  <c r="D15" i="23"/>
  <c r="C15" i="23"/>
  <c r="B15" i="23"/>
  <c r="I14" i="23"/>
  <c r="F14" i="23"/>
  <c r="D14" i="23"/>
  <c r="C14" i="23"/>
  <c r="B14" i="23"/>
  <c r="I13" i="23"/>
  <c r="F13" i="23"/>
  <c r="D13" i="23"/>
  <c r="C13" i="23"/>
  <c r="B13" i="23"/>
  <c r="I12" i="23"/>
  <c r="F12" i="23"/>
  <c r="D12" i="23"/>
  <c r="C12" i="23"/>
  <c r="B12" i="23"/>
  <c r="I11" i="23"/>
  <c r="F11" i="23"/>
  <c r="D11" i="23"/>
  <c r="C11" i="23"/>
  <c r="B11" i="23"/>
  <c r="I10" i="23"/>
  <c r="F10" i="23"/>
  <c r="E10" i="23"/>
  <c r="D10" i="23"/>
  <c r="C10" i="23"/>
  <c r="B10" i="23"/>
  <c r="I9" i="23"/>
  <c r="F9" i="23"/>
  <c r="E9" i="23"/>
  <c r="D9" i="23"/>
  <c r="C9" i="23"/>
  <c r="B9" i="23"/>
  <c r="I8" i="23"/>
  <c r="F8" i="23"/>
  <c r="E8" i="23"/>
  <c r="D8" i="23"/>
  <c r="C8" i="23"/>
  <c r="B8" i="23"/>
  <c r="I7" i="23"/>
  <c r="F7" i="23"/>
  <c r="E7" i="23"/>
  <c r="D7" i="23"/>
  <c r="C7" i="23"/>
  <c r="B7" i="23"/>
  <c r="I6" i="23"/>
  <c r="F6" i="23"/>
  <c r="D6" i="23"/>
  <c r="C6" i="23"/>
  <c r="B6" i="23"/>
  <c r="I5" i="23"/>
  <c r="F5" i="23"/>
  <c r="D5" i="23"/>
  <c r="C5" i="23"/>
  <c r="B5" i="23"/>
  <c r="AJ3" i="23"/>
  <c r="AI3" i="23"/>
  <c r="AH3" i="23"/>
  <c r="AG3" i="23"/>
  <c r="AF3" i="23"/>
  <c r="AE3" i="23"/>
  <c r="AD3" i="23"/>
  <c r="I97" i="15"/>
  <c r="G97" i="15"/>
  <c r="F97" i="15"/>
  <c r="D97" i="15"/>
  <c r="C97" i="15"/>
  <c r="B97" i="15"/>
  <c r="I96" i="15"/>
  <c r="G96" i="15"/>
  <c r="F96" i="15"/>
  <c r="D96" i="15"/>
  <c r="C96" i="15"/>
  <c r="B96" i="15"/>
  <c r="I95" i="15"/>
  <c r="G95" i="15"/>
  <c r="F95" i="15"/>
  <c r="D95" i="15"/>
  <c r="C95" i="15"/>
  <c r="B95" i="15"/>
  <c r="I94" i="15"/>
  <c r="G94" i="15"/>
  <c r="F94" i="15"/>
  <c r="D94" i="15"/>
  <c r="C94" i="15"/>
  <c r="B94" i="15"/>
  <c r="I93" i="15"/>
  <c r="G93" i="15"/>
  <c r="F93" i="15"/>
  <c r="D93" i="15"/>
  <c r="C93" i="15"/>
  <c r="B93" i="15"/>
  <c r="I92" i="15"/>
  <c r="G92" i="15"/>
  <c r="F92" i="15"/>
  <c r="D92" i="15"/>
  <c r="C92" i="15"/>
  <c r="B92" i="15"/>
  <c r="I91" i="15"/>
  <c r="G91" i="15"/>
  <c r="F91" i="15"/>
  <c r="D91" i="15"/>
  <c r="C91" i="15"/>
  <c r="B91" i="15"/>
  <c r="I90" i="15"/>
  <c r="G90" i="15"/>
  <c r="F90" i="15"/>
  <c r="D90" i="15"/>
  <c r="C90" i="15"/>
  <c r="B90" i="15"/>
  <c r="I89" i="15"/>
  <c r="G89" i="15"/>
  <c r="F89" i="15"/>
  <c r="D89" i="15"/>
  <c r="C89" i="15"/>
  <c r="B89" i="15"/>
  <c r="I88" i="15"/>
  <c r="G88" i="15"/>
  <c r="F88" i="15"/>
  <c r="D88" i="15"/>
  <c r="C88" i="15"/>
  <c r="B88" i="15"/>
  <c r="I87" i="15"/>
  <c r="G87" i="15"/>
  <c r="F87" i="15"/>
  <c r="D87" i="15"/>
  <c r="C87" i="15"/>
  <c r="B87" i="15"/>
  <c r="I86" i="15"/>
  <c r="G86" i="15"/>
  <c r="F86" i="15"/>
  <c r="D86" i="15"/>
  <c r="C86" i="15"/>
  <c r="B86" i="15"/>
  <c r="I85" i="15"/>
  <c r="G85" i="15"/>
  <c r="F85" i="15"/>
  <c r="D85" i="15"/>
  <c r="C85" i="15"/>
  <c r="B85" i="15"/>
  <c r="I84" i="15"/>
  <c r="G84" i="15"/>
  <c r="F84" i="15"/>
  <c r="D84" i="15"/>
  <c r="C84" i="15"/>
  <c r="B84" i="15"/>
  <c r="I83" i="15"/>
  <c r="G83" i="15"/>
  <c r="F83" i="15"/>
  <c r="D83" i="15"/>
  <c r="C83" i="15"/>
  <c r="B83" i="15"/>
  <c r="I82" i="15"/>
  <c r="G82" i="15"/>
  <c r="F82" i="15"/>
  <c r="D82" i="15"/>
  <c r="C82" i="15"/>
  <c r="B82" i="15"/>
  <c r="I81" i="15"/>
  <c r="G81" i="15"/>
  <c r="F81" i="15"/>
  <c r="D81" i="15"/>
  <c r="C81" i="15"/>
  <c r="B81" i="15"/>
  <c r="I80" i="15"/>
  <c r="G80" i="15"/>
  <c r="F80" i="15"/>
  <c r="D80" i="15"/>
  <c r="C80" i="15"/>
  <c r="B80" i="15"/>
  <c r="I79" i="15"/>
  <c r="G79" i="15"/>
  <c r="F79" i="15"/>
  <c r="D79" i="15"/>
  <c r="C79" i="15"/>
  <c r="B79" i="15"/>
  <c r="I78" i="15"/>
  <c r="G78" i="15"/>
  <c r="F78" i="15"/>
  <c r="D78" i="15"/>
  <c r="C78" i="15"/>
  <c r="B78" i="15"/>
  <c r="I77" i="15"/>
  <c r="G77" i="15"/>
  <c r="F77" i="15"/>
  <c r="D77" i="15"/>
  <c r="C77" i="15"/>
  <c r="B77" i="15"/>
  <c r="I76" i="15"/>
  <c r="G76" i="15"/>
  <c r="F76" i="15"/>
  <c r="D76" i="15"/>
  <c r="C76" i="15"/>
  <c r="B76" i="15"/>
  <c r="I75" i="15"/>
  <c r="G75" i="15"/>
  <c r="F75" i="15"/>
  <c r="D75" i="15"/>
  <c r="C75" i="15"/>
  <c r="B75" i="15"/>
  <c r="I74" i="15"/>
  <c r="G74" i="15"/>
  <c r="F74" i="15"/>
  <c r="D74" i="15"/>
  <c r="C74" i="15"/>
  <c r="B74" i="15"/>
  <c r="I73" i="15"/>
  <c r="G73" i="15"/>
  <c r="F73" i="15"/>
  <c r="D73" i="15"/>
  <c r="C73" i="15"/>
  <c r="B73" i="15"/>
  <c r="I72" i="15"/>
  <c r="G72" i="15"/>
  <c r="F72" i="15"/>
  <c r="D72" i="15"/>
  <c r="C72" i="15"/>
  <c r="B72" i="15"/>
  <c r="I71" i="15"/>
  <c r="G71" i="15"/>
  <c r="F71" i="15"/>
  <c r="D71" i="15"/>
  <c r="C71" i="15"/>
  <c r="B71" i="15"/>
  <c r="I70" i="15"/>
  <c r="G70" i="15"/>
  <c r="F70" i="15"/>
  <c r="D70" i="15"/>
  <c r="C70" i="15"/>
  <c r="B70" i="15"/>
  <c r="I69" i="15"/>
  <c r="G69" i="15"/>
  <c r="F69" i="15"/>
  <c r="D69" i="15"/>
  <c r="C69" i="15"/>
  <c r="B69" i="15"/>
  <c r="I68" i="15"/>
  <c r="G68" i="15"/>
  <c r="F68" i="15"/>
  <c r="D68" i="15"/>
  <c r="C68" i="15"/>
  <c r="B68" i="15"/>
  <c r="I67" i="15"/>
  <c r="G67" i="15"/>
  <c r="F67" i="15"/>
  <c r="D67" i="15"/>
  <c r="C67" i="15"/>
  <c r="B67" i="15"/>
  <c r="I66" i="15"/>
  <c r="G66" i="15"/>
  <c r="F66" i="15"/>
  <c r="D66" i="15"/>
  <c r="C66" i="15"/>
  <c r="B66" i="15"/>
  <c r="I65" i="15"/>
  <c r="G65" i="15"/>
  <c r="F65" i="15"/>
  <c r="D65" i="15"/>
  <c r="C65" i="15"/>
  <c r="B65" i="15"/>
  <c r="I64" i="15"/>
  <c r="G64" i="15"/>
  <c r="F64" i="15"/>
  <c r="D64" i="15"/>
  <c r="C64" i="15"/>
  <c r="B64" i="15"/>
  <c r="I63" i="15"/>
  <c r="G63" i="15"/>
  <c r="F63" i="15"/>
  <c r="D63" i="15"/>
  <c r="C63" i="15"/>
  <c r="B63" i="15"/>
  <c r="I62" i="15"/>
  <c r="G62" i="15"/>
  <c r="F62" i="15"/>
  <c r="D62" i="15"/>
  <c r="C62" i="15"/>
  <c r="B62" i="15"/>
  <c r="I61" i="15"/>
  <c r="G61" i="15"/>
  <c r="F61" i="15"/>
  <c r="D61" i="15"/>
  <c r="C61" i="15"/>
  <c r="B61" i="15"/>
  <c r="I60" i="15"/>
  <c r="G60" i="15"/>
  <c r="F60" i="15"/>
  <c r="D60" i="15"/>
  <c r="C60" i="15"/>
  <c r="B60" i="15"/>
  <c r="I59" i="15"/>
  <c r="G59" i="15"/>
  <c r="F59" i="15"/>
  <c r="D59" i="15"/>
  <c r="C59" i="15"/>
  <c r="B59" i="15"/>
  <c r="I58" i="15"/>
  <c r="G58" i="15"/>
  <c r="F58" i="15"/>
  <c r="D58" i="15"/>
  <c r="C58" i="15"/>
  <c r="B58" i="15"/>
  <c r="I57" i="15"/>
  <c r="G57" i="15"/>
  <c r="F57" i="15"/>
  <c r="D57" i="15"/>
  <c r="C57" i="15"/>
  <c r="B57" i="15"/>
  <c r="I56" i="15"/>
  <c r="G56" i="15"/>
  <c r="F56" i="15"/>
  <c r="D56" i="15"/>
  <c r="C56" i="15"/>
  <c r="B56" i="15"/>
  <c r="I55" i="15"/>
  <c r="G55" i="15"/>
  <c r="F55" i="15"/>
  <c r="D55" i="15"/>
  <c r="C55" i="15"/>
  <c r="B55" i="15"/>
  <c r="I54" i="15"/>
  <c r="G54" i="15"/>
  <c r="F54" i="15"/>
  <c r="D54" i="15"/>
  <c r="C54" i="15"/>
  <c r="B54" i="15"/>
  <c r="I53" i="15"/>
  <c r="G53" i="15"/>
  <c r="F53" i="15"/>
  <c r="D53" i="15"/>
  <c r="C53" i="15"/>
  <c r="B53" i="15"/>
  <c r="I52" i="15"/>
  <c r="G52" i="15"/>
  <c r="F52" i="15"/>
  <c r="D52" i="15"/>
  <c r="C52" i="15"/>
  <c r="B52" i="15"/>
  <c r="I51" i="15"/>
  <c r="G51" i="15"/>
  <c r="F51" i="15"/>
  <c r="E51" i="15"/>
  <c r="D51" i="15"/>
  <c r="C51" i="15"/>
  <c r="B51" i="15"/>
  <c r="I50" i="15"/>
  <c r="G50" i="15"/>
  <c r="F50" i="15"/>
  <c r="E50" i="15"/>
  <c r="D50" i="15"/>
  <c r="C50" i="15"/>
  <c r="B50" i="15"/>
  <c r="I47" i="15"/>
  <c r="G47" i="15"/>
  <c r="F47" i="15"/>
  <c r="D47" i="15"/>
  <c r="C47" i="15"/>
  <c r="B47" i="15"/>
  <c r="I46" i="15"/>
  <c r="G46" i="15"/>
  <c r="F46" i="15"/>
  <c r="E46" i="15"/>
  <c r="D46" i="15"/>
  <c r="C46" i="15"/>
  <c r="B46" i="15"/>
  <c r="I45" i="15"/>
  <c r="G45" i="15"/>
  <c r="F45" i="15"/>
  <c r="D45" i="15"/>
  <c r="C45" i="15"/>
  <c r="B45" i="15"/>
  <c r="I44" i="15"/>
  <c r="G44" i="15"/>
  <c r="F44" i="15"/>
  <c r="E44" i="15"/>
  <c r="D44" i="15"/>
  <c r="C44" i="15"/>
  <c r="B44" i="15"/>
  <c r="I43" i="15"/>
  <c r="G43" i="15"/>
  <c r="F43" i="15"/>
  <c r="E43" i="15"/>
  <c r="D43" i="15"/>
  <c r="C43" i="15"/>
  <c r="B43" i="15"/>
  <c r="I42" i="15"/>
  <c r="G42" i="15"/>
  <c r="F42" i="15"/>
  <c r="D42" i="15"/>
  <c r="C42" i="15"/>
  <c r="B42" i="15"/>
  <c r="I41" i="15"/>
  <c r="G41" i="15"/>
  <c r="F41" i="15"/>
  <c r="D41" i="15"/>
  <c r="C41" i="15"/>
  <c r="B41" i="15"/>
  <c r="I40" i="15"/>
  <c r="G40" i="15"/>
  <c r="F40" i="15"/>
  <c r="D40" i="15"/>
  <c r="C40" i="15"/>
  <c r="B40" i="15"/>
  <c r="I39" i="15"/>
  <c r="G39" i="15"/>
  <c r="F39" i="15"/>
  <c r="D39" i="15"/>
  <c r="C39" i="15"/>
  <c r="B39" i="15"/>
  <c r="I38" i="15"/>
  <c r="G38" i="15"/>
  <c r="F38" i="15"/>
  <c r="D38" i="15"/>
  <c r="C38" i="15"/>
  <c r="B38" i="15"/>
  <c r="I37" i="15"/>
  <c r="G37" i="15"/>
  <c r="F37" i="15"/>
  <c r="D37" i="15"/>
  <c r="C37" i="15"/>
  <c r="B37" i="15"/>
  <c r="I36" i="15"/>
  <c r="G36" i="15"/>
  <c r="F36" i="15"/>
  <c r="E36" i="15"/>
  <c r="D36" i="15"/>
  <c r="C36" i="15"/>
  <c r="B36" i="15"/>
  <c r="I35" i="15"/>
  <c r="G35" i="15"/>
  <c r="F35" i="15"/>
  <c r="D35" i="15"/>
  <c r="C35" i="15"/>
  <c r="B35" i="15"/>
  <c r="I34" i="15"/>
  <c r="G34" i="15"/>
  <c r="F34" i="15"/>
  <c r="E34" i="15"/>
  <c r="D34" i="15"/>
  <c r="C34" i="15"/>
  <c r="B34" i="15"/>
  <c r="I33" i="15"/>
  <c r="G33" i="15"/>
  <c r="F33" i="15"/>
  <c r="D33" i="15"/>
  <c r="C33" i="15"/>
  <c r="B33" i="15"/>
  <c r="I32" i="15"/>
  <c r="G32" i="15"/>
  <c r="F32" i="15"/>
  <c r="E32" i="15"/>
  <c r="D32" i="15"/>
  <c r="C32" i="15"/>
  <c r="B32" i="15"/>
  <c r="I31" i="15"/>
  <c r="G31" i="15"/>
  <c r="F31" i="15"/>
  <c r="D31" i="15"/>
  <c r="C31" i="15"/>
  <c r="B31" i="15"/>
  <c r="I30" i="15"/>
  <c r="G30" i="15"/>
  <c r="F30" i="15"/>
  <c r="D30" i="15"/>
  <c r="C30" i="15"/>
  <c r="B30" i="15"/>
  <c r="I29" i="15"/>
  <c r="G29" i="15"/>
  <c r="F29" i="15"/>
  <c r="D29" i="15"/>
  <c r="C29" i="15"/>
  <c r="B29" i="15"/>
  <c r="I28" i="15"/>
  <c r="G28" i="15"/>
  <c r="F28" i="15"/>
  <c r="D28" i="15"/>
  <c r="C28" i="15"/>
  <c r="B28" i="15"/>
  <c r="I27" i="15"/>
  <c r="G27" i="15"/>
  <c r="F27" i="15"/>
  <c r="D27" i="15"/>
  <c r="C27" i="15"/>
  <c r="B27" i="15"/>
  <c r="I26" i="15"/>
  <c r="G26" i="15"/>
  <c r="F26" i="15"/>
  <c r="E26" i="15"/>
  <c r="D26" i="15"/>
  <c r="C26" i="15"/>
  <c r="B26" i="15"/>
  <c r="I25" i="15"/>
  <c r="G25" i="15"/>
  <c r="F25" i="15"/>
  <c r="E25" i="15"/>
  <c r="D25" i="15"/>
  <c r="C25" i="15"/>
  <c r="B25" i="15"/>
  <c r="I24" i="15"/>
  <c r="G24" i="15"/>
  <c r="F24" i="15"/>
  <c r="D24" i="15"/>
  <c r="C24" i="15"/>
  <c r="B24" i="15"/>
  <c r="I23" i="15"/>
  <c r="G23" i="15"/>
  <c r="F23" i="15"/>
  <c r="D23" i="15"/>
  <c r="C23" i="15"/>
  <c r="B23" i="15"/>
  <c r="I22" i="15"/>
  <c r="G22" i="15"/>
  <c r="F22" i="15"/>
  <c r="E22" i="15"/>
  <c r="D22" i="15"/>
  <c r="C22" i="15"/>
  <c r="B22" i="15"/>
  <c r="I21" i="15"/>
  <c r="G21" i="15"/>
  <c r="F21" i="15"/>
  <c r="E21" i="15"/>
  <c r="D21" i="15"/>
  <c r="C21" i="15"/>
  <c r="B21" i="15"/>
  <c r="I20" i="15"/>
  <c r="G20" i="15"/>
  <c r="F20" i="15"/>
  <c r="D20" i="15"/>
  <c r="C20" i="15"/>
  <c r="B20" i="15"/>
  <c r="I19" i="15"/>
  <c r="G19" i="15"/>
  <c r="F19" i="15"/>
  <c r="D19" i="15"/>
  <c r="C19" i="15"/>
  <c r="B19" i="15"/>
  <c r="I18" i="15"/>
  <c r="G18" i="15"/>
  <c r="F18" i="15"/>
  <c r="D18" i="15"/>
  <c r="C18" i="15"/>
  <c r="B18" i="15"/>
  <c r="I17" i="15"/>
  <c r="G17" i="15"/>
  <c r="F17" i="15"/>
  <c r="D17" i="15"/>
  <c r="C17" i="15"/>
  <c r="B17" i="15"/>
  <c r="I16" i="15"/>
  <c r="G16" i="15"/>
  <c r="F16" i="15"/>
  <c r="D16" i="15"/>
  <c r="C16" i="15"/>
  <c r="B16" i="15"/>
  <c r="I15" i="15"/>
  <c r="G15" i="15"/>
  <c r="F15" i="15"/>
  <c r="D15" i="15"/>
  <c r="C15" i="15"/>
  <c r="B15" i="15"/>
  <c r="I14" i="15"/>
  <c r="F14" i="15"/>
  <c r="D14" i="15"/>
  <c r="C14" i="15"/>
  <c r="B14" i="15"/>
  <c r="I13" i="15"/>
  <c r="F13" i="15"/>
  <c r="D13" i="15"/>
  <c r="C13" i="15"/>
  <c r="B13" i="15"/>
  <c r="I12" i="15"/>
  <c r="F12" i="15"/>
  <c r="D12" i="15"/>
  <c r="C12" i="15"/>
  <c r="B12" i="15"/>
  <c r="I11" i="15"/>
  <c r="F11" i="15"/>
  <c r="D11" i="15"/>
  <c r="C11" i="15"/>
  <c r="B11" i="15"/>
  <c r="I10" i="15"/>
  <c r="F10" i="15"/>
  <c r="E10" i="15"/>
  <c r="D10" i="15"/>
  <c r="C10" i="15"/>
  <c r="B10" i="15"/>
  <c r="I9" i="15"/>
  <c r="F9" i="15"/>
  <c r="E9" i="15"/>
  <c r="D9" i="15"/>
  <c r="C9" i="15"/>
  <c r="B9" i="15"/>
  <c r="I8" i="15"/>
  <c r="F8" i="15"/>
  <c r="E8" i="15"/>
  <c r="D8" i="15"/>
  <c r="C8" i="15"/>
  <c r="B8" i="15"/>
  <c r="I7" i="15"/>
  <c r="F7" i="15"/>
  <c r="E7" i="15"/>
  <c r="D7" i="15"/>
  <c r="C7" i="15"/>
  <c r="B7" i="15"/>
  <c r="I6" i="15"/>
  <c r="F6" i="15"/>
  <c r="D6" i="15"/>
  <c r="C6" i="15"/>
  <c r="B6" i="15"/>
  <c r="I5" i="15"/>
  <c r="F5" i="15"/>
  <c r="D5" i="15"/>
  <c r="C5" i="15"/>
  <c r="B5" i="15"/>
  <c r="AJ3" i="15"/>
  <c r="AI3" i="15"/>
  <c r="AH3" i="15"/>
  <c r="AG3" i="15"/>
  <c r="AF3" i="15"/>
  <c r="AE3" i="15"/>
  <c r="AD3" i="15"/>
  <c r="D140" i="5"/>
  <c r="K135" i="5"/>
  <c r="N135" i="5" s="1"/>
  <c r="J135" i="5"/>
  <c r="M135" i="5" s="1"/>
  <c r="I135" i="5"/>
  <c r="L135" i="5" s="1"/>
  <c r="G114" i="5"/>
  <c r="I83" i="2" s="1"/>
  <c r="D96" i="5"/>
  <c r="D95" i="5"/>
  <c r="D94" i="5"/>
  <c r="D93" i="5"/>
  <c r="D92" i="5"/>
  <c r="D91" i="5"/>
  <c r="D90" i="5"/>
  <c r="D89" i="5"/>
  <c r="D88" i="5"/>
  <c r="F84" i="5"/>
  <c r="D84" i="5"/>
  <c r="F83" i="5"/>
  <c r="D83" i="5"/>
  <c r="F82" i="5"/>
  <c r="F81" i="5"/>
  <c r="F80" i="5"/>
  <c r="F79" i="5"/>
  <c r="D79" i="5"/>
  <c r="F78" i="5"/>
  <c r="D78" i="5"/>
  <c r="F77" i="5"/>
  <c r="D77" i="5"/>
  <c r="F76" i="5"/>
  <c r="D76" i="5"/>
  <c r="D72" i="5"/>
  <c r="D71" i="5"/>
  <c r="D69" i="5"/>
  <c r="D68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J40" i="5"/>
  <c r="L17" i="2" s="1"/>
  <c r="J39" i="5"/>
  <c r="L16" i="2" s="1"/>
  <c r="L15" i="5"/>
  <c r="I13" i="2" s="1"/>
  <c r="K15" i="5"/>
  <c r="J15" i="5"/>
  <c r="M15" i="5" s="1"/>
  <c r="L13" i="2" s="1"/>
  <c r="L14" i="5"/>
  <c r="I12" i="2" s="1"/>
  <c r="K14" i="5"/>
  <c r="J14" i="5"/>
  <c r="M14" i="5" s="1"/>
  <c r="L12" i="2" s="1"/>
  <c r="K13" i="5"/>
  <c r="J13" i="5"/>
  <c r="M13" i="5" s="1"/>
  <c r="I13" i="5"/>
  <c r="L13" i="5" s="1"/>
  <c r="K12" i="5"/>
  <c r="J12" i="5"/>
  <c r="M12" i="5" s="1"/>
  <c r="I12" i="5"/>
  <c r="L12" i="5" s="1"/>
  <c r="K11" i="5"/>
  <c r="J11" i="5"/>
  <c r="M11" i="5" s="1"/>
  <c r="I11" i="5"/>
  <c r="L11" i="5" s="1"/>
  <c r="K10" i="5"/>
  <c r="J10" i="5"/>
  <c r="M10" i="5" s="1"/>
  <c r="L10" i="2" s="1"/>
  <c r="I10" i="5"/>
  <c r="L10" i="5" s="1"/>
  <c r="I10" i="2" s="1"/>
  <c r="K9" i="5"/>
  <c r="J9" i="5"/>
  <c r="M9" i="5" s="1"/>
  <c r="L9" i="2" s="1"/>
  <c r="I9" i="5"/>
  <c r="L9" i="5" s="1"/>
  <c r="I9" i="2" s="1"/>
  <c r="K8" i="5"/>
  <c r="J8" i="5"/>
  <c r="M8" i="5" s="1"/>
  <c r="L8" i="2" s="1"/>
  <c r="I8" i="5"/>
  <c r="L8" i="5" s="1"/>
  <c r="I8" i="2" s="1"/>
  <c r="K7" i="5"/>
  <c r="J7" i="5"/>
  <c r="M7" i="5" s="1"/>
  <c r="L7" i="2" s="1"/>
  <c r="I7" i="5"/>
  <c r="L7" i="5" s="1"/>
  <c r="I7" i="2" s="1"/>
  <c r="K6" i="5"/>
  <c r="J6" i="5"/>
  <c r="M6" i="5" s="1"/>
  <c r="L6" i="2" s="1"/>
  <c r="I6" i="5"/>
  <c r="L6" i="5" s="1"/>
  <c r="I6" i="2" s="1"/>
  <c r="K5" i="5"/>
  <c r="J5" i="5"/>
  <c r="M5" i="5" s="1"/>
  <c r="L5" i="2" s="1"/>
  <c r="I5" i="5"/>
  <c r="L5" i="5" s="1"/>
  <c r="I5" i="2" s="1"/>
  <c r="H48" i="4"/>
  <c r="H47" i="4"/>
  <c r="H46" i="4"/>
  <c r="H45" i="4"/>
  <c r="H44" i="4"/>
  <c r="H43" i="4"/>
  <c r="H42" i="4"/>
  <c r="H41" i="4"/>
  <c r="H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I95" i="21"/>
  <c r="H95" i="21"/>
  <c r="G95" i="21"/>
  <c r="C95" i="21"/>
  <c r="B95" i="21"/>
  <c r="I94" i="21"/>
  <c r="H94" i="21"/>
  <c r="G94" i="21"/>
  <c r="C94" i="21"/>
  <c r="B94" i="21"/>
  <c r="I93" i="21"/>
  <c r="H93" i="21"/>
  <c r="G93" i="21"/>
  <c r="C93" i="21"/>
  <c r="B93" i="21"/>
  <c r="I92" i="21"/>
  <c r="H92" i="21"/>
  <c r="G92" i="21"/>
  <c r="C92" i="21"/>
  <c r="B92" i="21"/>
  <c r="I91" i="21"/>
  <c r="H91" i="21"/>
  <c r="G91" i="21"/>
  <c r="C91" i="21"/>
  <c r="B91" i="21"/>
  <c r="I90" i="21"/>
  <c r="H90" i="21"/>
  <c r="G90" i="21"/>
  <c r="C90" i="21"/>
  <c r="B90" i="21"/>
  <c r="I89" i="21"/>
  <c r="H89" i="21"/>
  <c r="G89" i="21"/>
  <c r="C89" i="21"/>
  <c r="B89" i="21"/>
  <c r="I88" i="21"/>
  <c r="H88" i="21"/>
  <c r="G88" i="21"/>
  <c r="C88" i="21"/>
  <c r="B88" i="21"/>
  <c r="I87" i="21"/>
  <c r="H87" i="21"/>
  <c r="G87" i="21"/>
  <c r="C87" i="21"/>
  <c r="B87" i="21"/>
  <c r="I86" i="21"/>
  <c r="H86" i="21"/>
  <c r="G86" i="21"/>
  <c r="C86" i="21"/>
  <c r="B86" i="21"/>
  <c r="I85" i="21"/>
  <c r="H85" i="21"/>
  <c r="G85" i="21"/>
  <c r="C85" i="21"/>
  <c r="B85" i="21"/>
  <c r="I84" i="21"/>
  <c r="H84" i="21"/>
  <c r="G84" i="21"/>
  <c r="C84" i="21"/>
  <c r="B84" i="21"/>
  <c r="I83" i="21"/>
  <c r="H83" i="21"/>
  <c r="G83" i="21"/>
  <c r="J83" i="21" s="1"/>
  <c r="C83" i="21"/>
  <c r="B83" i="21"/>
  <c r="I82" i="21"/>
  <c r="H82" i="21"/>
  <c r="G82" i="21"/>
  <c r="C82" i="21"/>
  <c r="B82" i="21"/>
  <c r="I81" i="21"/>
  <c r="H81" i="21"/>
  <c r="G81" i="21"/>
  <c r="C81" i="21"/>
  <c r="B81" i="21"/>
  <c r="I80" i="21"/>
  <c r="H80" i="21"/>
  <c r="G80" i="21"/>
  <c r="C80" i="21"/>
  <c r="B80" i="21"/>
  <c r="I79" i="21"/>
  <c r="H79" i="21"/>
  <c r="G79" i="21"/>
  <c r="C79" i="21"/>
  <c r="B79" i="21"/>
  <c r="I78" i="21"/>
  <c r="H78" i="21"/>
  <c r="G78" i="21"/>
  <c r="C78" i="21"/>
  <c r="B78" i="21"/>
  <c r="I77" i="21"/>
  <c r="H77" i="21"/>
  <c r="G77" i="21"/>
  <c r="C77" i="21"/>
  <c r="B77" i="21"/>
  <c r="I76" i="21"/>
  <c r="H76" i="21"/>
  <c r="G76" i="21"/>
  <c r="J76" i="21" s="1"/>
  <c r="C76" i="21"/>
  <c r="B76" i="21"/>
  <c r="I75" i="21"/>
  <c r="H75" i="21"/>
  <c r="G75" i="21"/>
  <c r="C75" i="21"/>
  <c r="B75" i="21"/>
  <c r="I74" i="21"/>
  <c r="H74" i="21"/>
  <c r="G74" i="21"/>
  <c r="J74" i="21" s="1"/>
  <c r="C74" i="21"/>
  <c r="B74" i="21"/>
  <c r="I73" i="21"/>
  <c r="H73" i="21"/>
  <c r="G73" i="21"/>
  <c r="C73" i="21"/>
  <c r="B73" i="21"/>
  <c r="I72" i="21"/>
  <c r="H72" i="21"/>
  <c r="G72" i="21"/>
  <c r="C72" i="21"/>
  <c r="B72" i="21"/>
  <c r="I71" i="21"/>
  <c r="H71" i="21"/>
  <c r="G71" i="21"/>
  <c r="C71" i="21"/>
  <c r="B71" i="21"/>
  <c r="I70" i="21"/>
  <c r="H70" i="21"/>
  <c r="G70" i="21"/>
  <c r="C70" i="21"/>
  <c r="B70" i="21"/>
  <c r="I69" i="21"/>
  <c r="H69" i="21"/>
  <c r="G69" i="21"/>
  <c r="C69" i="21"/>
  <c r="B69" i="21"/>
  <c r="I68" i="21"/>
  <c r="H68" i="21"/>
  <c r="G68" i="21"/>
  <c r="C68" i="21"/>
  <c r="B68" i="21"/>
  <c r="I67" i="21"/>
  <c r="H67" i="21"/>
  <c r="G67" i="21"/>
  <c r="C67" i="21"/>
  <c r="B67" i="21"/>
  <c r="I66" i="21"/>
  <c r="H66" i="21"/>
  <c r="G66" i="21"/>
  <c r="C66" i="21"/>
  <c r="B66" i="21"/>
  <c r="I65" i="21"/>
  <c r="H65" i="21"/>
  <c r="G65" i="21"/>
  <c r="C65" i="21"/>
  <c r="B65" i="21"/>
  <c r="I64" i="21"/>
  <c r="H64" i="21"/>
  <c r="G64" i="21"/>
  <c r="C64" i="21"/>
  <c r="B64" i="21"/>
  <c r="I63" i="21"/>
  <c r="H63" i="21"/>
  <c r="G63" i="21"/>
  <c r="C63" i="21"/>
  <c r="B63" i="21"/>
  <c r="I62" i="21"/>
  <c r="H62" i="21"/>
  <c r="G62" i="21"/>
  <c r="C62" i="21"/>
  <c r="B62" i="21"/>
  <c r="I61" i="21"/>
  <c r="H61" i="21"/>
  <c r="G61" i="21"/>
  <c r="C61" i="21"/>
  <c r="B61" i="21"/>
  <c r="I60" i="21"/>
  <c r="H60" i="21"/>
  <c r="G60" i="21"/>
  <c r="C60" i="21"/>
  <c r="B60" i="21"/>
  <c r="I59" i="21"/>
  <c r="H59" i="21"/>
  <c r="G59" i="21"/>
  <c r="C59" i="21"/>
  <c r="B59" i="21"/>
  <c r="I58" i="21"/>
  <c r="H58" i="21"/>
  <c r="G58" i="21"/>
  <c r="J58" i="21" s="1"/>
  <c r="C58" i="21"/>
  <c r="B58" i="21"/>
  <c r="I57" i="21"/>
  <c r="H57" i="21"/>
  <c r="G57" i="21"/>
  <c r="C57" i="21"/>
  <c r="B57" i="21"/>
  <c r="I56" i="21"/>
  <c r="H56" i="21"/>
  <c r="G56" i="21"/>
  <c r="C56" i="21"/>
  <c r="B56" i="21"/>
  <c r="I55" i="21"/>
  <c r="H55" i="21"/>
  <c r="G55" i="21"/>
  <c r="C55" i="21"/>
  <c r="B55" i="21"/>
  <c r="I54" i="21"/>
  <c r="H54" i="21"/>
  <c r="G54" i="21"/>
  <c r="C54" i="21"/>
  <c r="B54" i="21"/>
  <c r="I53" i="21"/>
  <c r="H53" i="21"/>
  <c r="G53" i="21"/>
  <c r="C53" i="21"/>
  <c r="B53" i="21"/>
  <c r="I52" i="21"/>
  <c r="H52" i="21"/>
  <c r="G52" i="21"/>
  <c r="C52" i="21"/>
  <c r="B52" i="21"/>
  <c r="I51" i="21"/>
  <c r="H51" i="21"/>
  <c r="G51" i="21"/>
  <c r="C51" i="21"/>
  <c r="B51" i="21"/>
  <c r="I50" i="21"/>
  <c r="H50" i="21"/>
  <c r="G50" i="21"/>
  <c r="C50" i="21"/>
  <c r="B50" i="21"/>
  <c r="I49" i="21"/>
  <c r="H49" i="21"/>
  <c r="G49" i="21"/>
  <c r="C49" i="21"/>
  <c r="B49" i="21"/>
  <c r="I48" i="21"/>
  <c r="H48" i="21"/>
  <c r="G48" i="21"/>
  <c r="C48" i="21"/>
  <c r="B48" i="21"/>
  <c r="I45" i="21"/>
  <c r="H45" i="21"/>
  <c r="G45" i="21"/>
  <c r="C45" i="21"/>
  <c r="B45" i="21"/>
  <c r="I44" i="21"/>
  <c r="H44" i="21"/>
  <c r="G44" i="21"/>
  <c r="C44" i="21"/>
  <c r="B44" i="21"/>
  <c r="I43" i="21"/>
  <c r="H43" i="21"/>
  <c r="G43" i="21"/>
  <c r="C43" i="21"/>
  <c r="B43" i="21"/>
  <c r="I42" i="21"/>
  <c r="H42" i="21"/>
  <c r="G42" i="21"/>
  <c r="C42" i="21"/>
  <c r="B42" i="21"/>
  <c r="I41" i="21"/>
  <c r="H41" i="21"/>
  <c r="G41" i="21"/>
  <c r="C41" i="21"/>
  <c r="B41" i="21"/>
  <c r="I40" i="21"/>
  <c r="H40" i="21"/>
  <c r="G40" i="21"/>
  <c r="C40" i="21"/>
  <c r="B40" i="21"/>
  <c r="I39" i="21"/>
  <c r="H39" i="21"/>
  <c r="G39" i="21"/>
  <c r="C39" i="21"/>
  <c r="B39" i="21"/>
  <c r="I38" i="21"/>
  <c r="H38" i="21"/>
  <c r="G38" i="21"/>
  <c r="C38" i="21"/>
  <c r="B38" i="21"/>
  <c r="I37" i="21"/>
  <c r="H37" i="21"/>
  <c r="G37" i="21"/>
  <c r="C37" i="21"/>
  <c r="B37" i="21"/>
  <c r="I36" i="21"/>
  <c r="H36" i="21"/>
  <c r="G36" i="21"/>
  <c r="C36" i="21"/>
  <c r="B36" i="21"/>
  <c r="I35" i="21"/>
  <c r="H35" i="21"/>
  <c r="G35" i="21"/>
  <c r="C35" i="21"/>
  <c r="B35" i="21"/>
  <c r="I34" i="21"/>
  <c r="H34" i="21"/>
  <c r="G34" i="21"/>
  <c r="C34" i="21"/>
  <c r="B34" i="21"/>
  <c r="I33" i="21"/>
  <c r="H33" i="21"/>
  <c r="G33" i="21"/>
  <c r="C33" i="21"/>
  <c r="B33" i="21"/>
  <c r="I32" i="21"/>
  <c r="H32" i="21"/>
  <c r="G32" i="21"/>
  <c r="C32" i="21"/>
  <c r="B32" i="21"/>
  <c r="I31" i="21"/>
  <c r="H31" i="21"/>
  <c r="G31" i="21"/>
  <c r="C31" i="21"/>
  <c r="B31" i="21"/>
  <c r="I30" i="21"/>
  <c r="H30" i="21"/>
  <c r="G30" i="21"/>
  <c r="J30" i="21" s="1"/>
  <c r="C30" i="21"/>
  <c r="B30" i="21"/>
  <c r="I29" i="21"/>
  <c r="H29" i="21"/>
  <c r="G29" i="21"/>
  <c r="C29" i="21"/>
  <c r="B29" i="21"/>
  <c r="I28" i="21"/>
  <c r="H28" i="21"/>
  <c r="G28" i="21"/>
  <c r="C28" i="21"/>
  <c r="B28" i="21"/>
  <c r="I27" i="21"/>
  <c r="H27" i="21"/>
  <c r="G27" i="21"/>
  <c r="C27" i="21"/>
  <c r="B27" i="21"/>
  <c r="I26" i="21"/>
  <c r="H26" i="21"/>
  <c r="G26" i="21"/>
  <c r="C26" i="21"/>
  <c r="B26" i="21"/>
  <c r="I25" i="21"/>
  <c r="H25" i="21"/>
  <c r="G25" i="21"/>
  <c r="C25" i="21"/>
  <c r="B25" i="21"/>
  <c r="I24" i="21"/>
  <c r="H24" i="21"/>
  <c r="G24" i="21"/>
  <c r="C24" i="21"/>
  <c r="B24" i="21"/>
  <c r="I23" i="21"/>
  <c r="H23" i="21"/>
  <c r="G23" i="21"/>
  <c r="C23" i="21"/>
  <c r="B23" i="21"/>
  <c r="I22" i="21"/>
  <c r="H22" i="21"/>
  <c r="G22" i="21"/>
  <c r="C22" i="21"/>
  <c r="B22" i="21"/>
  <c r="I21" i="21"/>
  <c r="H21" i="21"/>
  <c r="G21" i="21"/>
  <c r="C21" i="21"/>
  <c r="B21" i="21"/>
  <c r="I20" i="21"/>
  <c r="H20" i="21"/>
  <c r="G20" i="21"/>
  <c r="C20" i="21"/>
  <c r="B20" i="21"/>
  <c r="I19" i="21"/>
  <c r="H19" i="21"/>
  <c r="G19" i="21"/>
  <c r="C19" i="21"/>
  <c r="B19" i="21"/>
  <c r="I18" i="21"/>
  <c r="H18" i="21"/>
  <c r="G18" i="21"/>
  <c r="C18" i="21"/>
  <c r="B18" i="21"/>
  <c r="I17" i="21"/>
  <c r="H17" i="21"/>
  <c r="G17" i="21"/>
  <c r="C17" i="21"/>
  <c r="B17" i="21"/>
  <c r="I16" i="21"/>
  <c r="H16" i="21"/>
  <c r="G16" i="21"/>
  <c r="C16" i="21"/>
  <c r="B16" i="21"/>
  <c r="I15" i="21"/>
  <c r="H15" i="21"/>
  <c r="G15" i="21"/>
  <c r="C15" i="21"/>
  <c r="B15" i="21"/>
  <c r="I14" i="21"/>
  <c r="H14" i="21"/>
  <c r="G14" i="21"/>
  <c r="C14" i="21"/>
  <c r="B14" i="21"/>
  <c r="I13" i="21"/>
  <c r="H13" i="21"/>
  <c r="G13" i="21"/>
  <c r="C13" i="21"/>
  <c r="B13" i="21"/>
  <c r="I12" i="21"/>
  <c r="H12" i="21"/>
  <c r="G12" i="21"/>
  <c r="C12" i="21"/>
  <c r="B12" i="21"/>
  <c r="I11" i="21"/>
  <c r="H11" i="21"/>
  <c r="G11" i="21"/>
  <c r="C11" i="21"/>
  <c r="B11" i="21"/>
  <c r="I10" i="21"/>
  <c r="H10" i="21"/>
  <c r="G10" i="21"/>
  <c r="C10" i="21"/>
  <c r="B10" i="21"/>
  <c r="I9" i="21"/>
  <c r="H9" i="21"/>
  <c r="G9" i="21"/>
  <c r="C9" i="21"/>
  <c r="B9" i="21"/>
  <c r="I8" i="21"/>
  <c r="H8" i="21"/>
  <c r="G8" i="21"/>
  <c r="C8" i="21"/>
  <c r="B8" i="21"/>
  <c r="I7" i="21"/>
  <c r="H7" i="21"/>
  <c r="G7" i="21"/>
  <c r="C7" i="21"/>
  <c r="B7" i="21"/>
  <c r="I6" i="21"/>
  <c r="H6" i="21"/>
  <c r="G6" i="21"/>
  <c r="C6" i="21"/>
  <c r="B6" i="21"/>
  <c r="I5" i="21"/>
  <c r="H5" i="21"/>
  <c r="G5" i="21"/>
  <c r="C5" i="21"/>
  <c r="B5" i="21"/>
  <c r="I4" i="21"/>
  <c r="H4" i="21"/>
  <c r="G4" i="21"/>
  <c r="C4" i="21"/>
  <c r="B4" i="21"/>
  <c r="I3" i="21"/>
  <c r="H3" i="21"/>
  <c r="G3" i="21"/>
  <c r="C3" i="21"/>
  <c r="B3" i="21"/>
  <c r="I95" i="18"/>
  <c r="H95" i="18"/>
  <c r="G95" i="18"/>
  <c r="C95" i="18"/>
  <c r="B95" i="18"/>
  <c r="I94" i="18"/>
  <c r="H94" i="18"/>
  <c r="G94" i="18"/>
  <c r="J94" i="18" s="1"/>
  <c r="C94" i="18"/>
  <c r="B94" i="18"/>
  <c r="I93" i="18"/>
  <c r="H93" i="18"/>
  <c r="G93" i="18"/>
  <c r="J93" i="18" s="1"/>
  <c r="C93" i="18"/>
  <c r="B93" i="18"/>
  <c r="I92" i="18"/>
  <c r="H92" i="18"/>
  <c r="G92" i="18"/>
  <c r="J92" i="18" s="1"/>
  <c r="C92" i="18"/>
  <c r="B92" i="18"/>
  <c r="I91" i="18"/>
  <c r="H91" i="18"/>
  <c r="G91" i="18"/>
  <c r="C91" i="18"/>
  <c r="B91" i="18"/>
  <c r="I90" i="18"/>
  <c r="H90" i="18"/>
  <c r="G90" i="18"/>
  <c r="J90" i="18" s="1"/>
  <c r="C90" i="18"/>
  <c r="B90" i="18"/>
  <c r="I89" i="18"/>
  <c r="H89" i="18"/>
  <c r="G89" i="18"/>
  <c r="J89" i="18" s="1"/>
  <c r="C89" i="18"/>
  <c r="B89" i="18"/>
  <c r="I88" i="18"/>
  <c r="H88" i="18"/>
  <c r="G88" i="18"/>
  <c r="C88" i="18"/>
  <c r="B88" i="18"/>
  <c r="I87" i="18"/>
  <c r="H87" i="18"/>
  <c r="G87" i="18"/>
  <c r="C87" i="18"/>
  <c r="B87" i="18"/>
  <c r="I86" i="18"/>
  <c r="H86" i="18"/>
  <c r="G86" i="18"/>
  <c r="C86" i="18"/>
  <c r="B86" i="18"/>
  <c r="I85" i="18"/>
  <c r="H85" i="18"/>
  <c r="G85" i="18"/>
  <c r="J85" i="18" s="1"/>
  <c r="C85" i="18"/>
  <c r="B85" i="18"/>
  <c r="I84" i="18"/>
  <c r="H84" i="18"/>
  <c r="G84" i="18"/>
  <c r="C84" i="18"/>
  <c r="B84" i="18"/>
  <c r="I83" i="18"/>
  <c r="H83" i="18"/>
  <c r="G83" i="18"/>
  <c r="C83" i="18"/>
  <c r="B83" i="18"/>
  <c r="I82" i="18"/>
  <c r="H82" i="18"/>
  <c r="G82" i="18"/>
  <c r="C82" i="18"/>
  <c r="B82" i="18"/>
  <c r="I81" i="18"/>
  <c r="H81" i="18"/>
  <c r="G81" i="18"/>
  <c r="C81" i="18"/>
  <c r="B81" i="18"/>
  <c r="I80" i="18"/>
  <c r="H80" i="18"/>
  <c r="G80" i="18"/>
  <c r="C80" i="18"/>
  <c r="B80" i="18"/>
  <c r="I79" i="18"/>
  <c r="H79" i="18"/>
  <c r="G79" i="18"/>
  <c r="C79" i="18"/>
  <c r="B79" i="18"/>
  <c r="I78" i="18"/>
  <c r="H78" i="18"/>
  <c r="G78" i="18"/>
  <c r="C78" i="18"/>
  <c r="B78" i="18"/>
  <c r="I77" i="18"/>
  <c r="H77" i="18"/>
  <c r="G77" i="18"/>
  <c r="C77" i="18"/>
  <c r="B77" i="18"/>
  <c r="I76" i="18"/>
  <c r="H76" i="18"/>
  <c r="G76" i="18"/>
  <c r="J76" i="18" s="1"/>
  <c r="C76" i="18"/>
  <c r="B76" i="18"/>
  <c r="I75" i="18"/>
  <c r="H75" i="18"/>
  <c r="G75" i="18"/>
  <c r="C75" i="18"/>
  <c r="B75" i="18"/>
  <c r="I74" i="18"/>
  <c r="H74" i="18"/>
  <c r="G74" i="18"/>
  <c r="C74" i="18"/>
  <c r="B74" i="18"/>
  <c r="I73" i="18"/>
  <c r="H73" i="18"/>
  <c r="G73" i="18"/>
  <c r="J73" i="18" s="1"/>
  <c r="C73" i="18"/>
  <c r="B73" i="18"/>
  <c r="I72" i="18"/>
  <c r="H72" i="18"/>
  <c r="G72" i="18"/>
  <c r="C72" i="18"/>
  <c r="B72" i="18"/>
  <c r="I71" i="18"/>
  <c r="H71" i="18"/>
  <c r="G71" i="18"/>
  <c r="C71" i="18"/>
  <c r="B71" i="18"/>
  <c r="I70" i="18"/>
  <c r="H70" i="18"/>
  <c r="G70" i="18"/>
  <c r="C70" i="18"/>
  <c r="B70" i="18"/>
  <c r="I69" i="18"/>
  <c r="H69" i="18"/>
  <c r="G69" i="18"/>
  <c r="C69" i="18"/>
  <c r="B69" i="18"/>
  <c r="I68" i="18"/>
  <c r="H68" i="18"/>
  <c r="G68" i="18"/>
  <c r="C68" i="18"/>
  <c r="B68" i="18"/>
  <c r="I67" i="18"/>
  <c r="H67" i="18"/>
  <c r="G67" i="18"/>
  <c r="C67" i="18"/>
  <c r="B67" i="18"/>
  <c r="I66" i="18"/>
  <c r="H66" i="18"/>
  <c r="G66" i="18"/>
  <c r="C66" i="18"/>
  <c r="B66" i="18"/>
  <c r="I65" i="18"/>
  <c r="H65" i="18"/>
  <c r="G65" i="18"/>
  <c r="C65" i="18"/>
  <c r="B65" i="18"/>
  <c r="I64" i="18"/>
  <c r="H64" i="18"/>
  <c r="G64" i="18"/>
  <c r="C64" i="18"/>
  <c r="B64" i="18"/>
  <c r="I63" i="18"/>
  <c r="H63" i="18"/>
  <c r="G63" i="18"/>
  <c r="C63" i="18"/>
  <c r="B63" i="18"/>
  <c r="I62" i="18"/>
  <c r="H62" i="18"/>
  <c r="G62" i="18"/>
  <c r="J62" i="18" s="1"/>
  <c r="C62" i="18"/>
  <c r="B62" i="18"/>
  <c r="I61" i="18"/>
  <c r="H61" i="18"/>
  <c r="G61" i="18"/>
  <c r="C61" i="18"/>
  <c r="B61" i="18"/>
  <c r="I60" i="18"/>
  <c r="H60" i="18"/>
  <c r="G60" i="18"/>
  <c r="C60" i="18"/>
  <c r="B60" i="18"/>
  <c r="I59" i="18"/>
  <c r="H59" i="18"/>
  <c r="G59" i="18"/>
  <c r="C59" i="18"/>
  <c r="B59" i="18"/>
  <c r="I58" i="18"/>
  <c r="H58" i="18"/>
  <c r="G58" i="18"/>
  <c r="C58" i="18"/>
  <c r="B58" i="18"/>
  <c r="I57" i="18"/>
  <c r="H57" i="18"/>
  <c r="G57" i="18"/>
  <c r="C57" i="18"/>
  <c r="B57" i="18"/>
  <c r="I56" i="18"/>
  <c r="H56" i="18"/>
  <c r="G56" i="18"/>
  <c r="C56" i="18"/>
  <c r="B56" i="18"/>
  <c r="I55" i="18"/>
  <c r="H55" i="18"/>
  <c r="G55" i="18"/>
  <c r="C55" i="18"/>
  <c r="B55" i="18"/>
  <c r="I54" i="18"/>
  <c r="H54" i="18"/>
  <c r="J54" i="18" s="1"/>
  <c r="G54" i="18"/>
  <c r="C54" i="18"/>
  <c r="B54" i="18"/>
  <c r="I53" i="18"/>
  <c r="H53" i="18"/>
  <c r="G53" i="18"/>
  <c r="C53" i="18"/>
  <c r="B53" i="18"/>
  <c r="I52" i="18"/>
  <c r="H52" i="18"/>
  <c r="G52" i="18"/>
  <c r="C52" i="18"/>
  <c r="B52" i="18"/>
  <c r="I51" i="18"/>
  <c r="H51" i="18"/>
  <c r="G51" i="18"/>
  <c r="C51" i="18"/>
  <c r="B51" i="18"/>
  <c r="I50" i="18"/>
  <c r="H50" i="18"/>
  <c r="G50" i="18"/>
  <c r="C50" i="18"/>
  <c r="B50" i="18"/>
  <c r="I49" i="18"/>
  <c r="H49" i="18"/>
  <c r="G49" i="18"/>
  <c r="C49" i="18"/>
  <c r="B49" i="18"/>
  <c r="I48" i="18"/>
  <c r="H48" i="18"/>
  <c r="G48" i="18"/>
  <c r="C48" i="18"/>
  <c r="B48" i="18"/>
  <c r="I45" i="18"/>
  <c r="H45" i="18"/>
  <c r="G45" i="18"/>
  <c r="C45" i="18"/>
  <c r="B45" i="18"/>
  <c r="I44" i="18"/>
  <c r="H44" i="18"/>
  <c r="G44" i="18"/>
  <c r="C44" i="18"/>
  <c r="B44" i="18"/>
  <c r="I43" i="18"/>
  <c r="H43" i="18"/>
  <c r="G43" i="18"/>
  <c r="C43" i="18"/>
  <c r="B43" i="18"/>
  <c r="I42" i="18"/>
  <c r="H42" i="18"/>
  <c r="G42" i="18"/>
  <c r="C42" i="18"/>
  <c r="B42" i="18"/>
  <c r="I41" i="18"/>
  <c r="H41" i="18"/>
  <c r="G41" i="18"/>
  <c r="C41" i="18"/>
  <c r="B41" i="18"/>
  <c r="I40" i="18"/>
  <c r="H40" i="18"/>
  <c r="G40" i="18"/>
  <c r="C40" i="18"/>
  <c r="B40" i="18"/>
  <c r="I39" i="18"/>
  <c r="H39" i="18"/>
  <c r="G39" i="18"/>
  <c r="C39" i="18"/>
  <c r="B39" i="18"/>
  <c r="I38" i="18"/>
  <c r="H38" i="18"/>
  <c r="G38" i="18"/>
  <c r="C38" i="18"/>
  <c r="B38" i="18"/>
  <c r="I37" i="18"/>
  <c r="H37" i="18"/>
  <c r="G37" i="18"/>
  <c r="C37" i="18"/>
  <c r="B37" i="18"/>
  <c r="I36" i="18"/>
  <c r="H36" i="18"/>
  <c r="G36" i="18"/>
  <c r="C36" i="18"/>
  <c r="B36" i="18"/>
  <c r="I35" i="18"/>
  <c r="H35" i="18"/>
  <c r="G35" i="18"/>
  <c r="C35" i="18"/>
  <c r="B35" i="18"/>
  <c r="I34" i="18"/>
  <c r="H34" i="18"/>
  <c r="G34" i="18"/>
  <c r="J34" i="18" s="1"/>
  <c r="C34" i="18"/>
  <c r="B34" i="18"/>
  <c r="I33" i="18"/>
  <c r="H33" i="18"/>
  <c r="G33" i="18"/>
  <c r="C33" i="18"/>
  <c r="B33" i="18"/>
  <c r="I32" i="18"/>
  <c r="H32" i="18"/>
  <c r="G32" i="18"/>
  <c r="C32" i="18"/>
  <c r="B32" i="18"/>
  <c r="I31" i="18"/>
  <c r="H31" i="18"/>
  <c r="G31" i="18"/>
  <c r="C31" i="18"/>
  <c r="B31" i="18"/>
  <c r="I30" i="18"/>
  <c r="H30" i="18"/>
  <c r="G30" i="18"/>
  <c r="C30" i="18"/>
  <c r="B30" i="18"/>
  <c r="I29" i="18"/>
  <c r="H29" i="18"/>
  <c r="G29" i="18"/>
  <c r="C29" i="18"/>
  <c r="B29" i="18"/>
  <c r="I28" i="18"/>
  <c r="H28" i="18"/>
  <c r="G28" i="18"/>
  <c r="C28" i="18"/>
  <c r="B28" i="18"/>
  <c r="I27" i="18"/>
  <c r="H27" i="18"/>
  <c r="G27" i="18"/>
  <c r="C27" i="18"/>
  <c r="B27" i="18"/>
  <c r="I26" i="18"/>
  <c r="H26" i="18"/>
  <c r="G26" i="18"/>
  <c r="C26" i="18"/>
  <c r="B26" i="18"/>
  <c r="I25" i="18"/>
  <c r="H25" i="18"/>
  <c r="G25" i="18"/>
  <c r="C25" i="18"/>
  <c r="B25" i="18"/>
  <c r="I24" i="18"/>
  <c r="H24" i="18"/>
  <c r="G24" i="18"/>
  <c r="C24" i="18"/>
  <c r="B24" i="18"/>
  <c r="I23" i="18"/>
  <c r="H23" i="18"/>
  <c r="G23" i="18"/>
  <c r="C23" i="18"/>
  <c r="B23" i="18"/>
  <c r="I22" i="18"/>
  <c r="H22" i="18"/>
  <c r="G22" i="18"/>
  <c r="C22" i="18"/>
  <c r="B22" i="18"/>
  <c r="I21" i="18"/>
  <c r="H21" i="18"/>
  <c r="G21" i="18"/>
  <c r="C21" i="18"/>
  <c r="B21" i="18"/>
  <c r="I20" i="18"/>
  <c r="H20" i="18"/>
  <c r="G20" i="18"/>
  <c r="C20" i="18"/>
  <c r="B20" i="18"/>
  <c r="I19" i="18"/>
  <c r="H19" i="18"/>
  <c r="G19" i="18"/>
  <c r="C19" i="18"/>
  <c r="B19" i="18"/>
  <c r="I18" i="18"/>
  <c r="H18" i="18"/>
  <c r="G18" i="18"/>
  <c r="C18" i="18"/>
  <c r="B18" i="18"/>
  <c r="I17" i="18"/>
  <c r="H17" i="18"/>
  <c r="G17" i="18"/>
  <c r="C17" i="18"/>
  <c r="B17" i="18"/>
  <c r="I16" i="18"/>
  <c r="H16" i="18"/>
  <c r="G16" i="18"/>
  <c r="C16" i="18"/>
  <c r="B16" i="18"/>
  <c r="I15" i="18"/>
  <c r="H15" i="18"/>
  <c r="G15" i="18"/>
  <c r="C15" i="18"/>
  <c r="B15" i="18"/>
  <c r="I14" i="18"/>
  <c r="H14" i="18"/>
  <c r="G14" i="18"/>
  <c r="C14" i="18"/>
  <c r="B14" i="18"/>
  <c r="I13" i="18"/>
  <c r="H13" i="18"/>
  <c r="G13" i="18"/>
  <c r="C13" i="18"/>
  <c r="B13" i="18"/>
  <c r="I12" i="18"/>
  <c r="H12" i="18"/>
  <c r="G12" i="18"/>
  <c r="C12" i="18"/>
  <c r="B12" i="18"/>
  <c r="I11" i="18"/>
  <c r="H11" i="18"/>
  <c r="G11" i="18"/>
  <c r="C11" i="18"/>
  <c r="B11" i="18"/>
  <c r="I10" i="18"/>
  <c r="H10" i="18"/>
  <c r="G10" i="18"/>
  <c r="C10" i="18"/>
  <c r="B10" i="18"/>
  <c r="I9" i="18"/>
  <c r="H9" i="18"/>
  <c r="G9" i="18"/>
  <c r="C9" i="18"/>
  <c r="B9" i="18"/>
  <c r="I8" i="18"/>
  <c r="H8" i="18"/>
  <c r="G8" i="18"/>
  <c r="C8" i="18"/>
  <c r="B8" i="18"/>
  <c r="I7" i="18"/>
  <c r="H7" i="18"/>
  <c r="G7" i="18"/>
  <c r="C7" i="18"/>
  <c r="B7" i="18"/>
  <c r="I6" i="18"/>
  <c r="H6" i="18"/>
  <c r="G6" i="18"/>
  <c r="C6" i="18"/>
  <c r="B6" i="18"/>
  <c r="I5" i="18"/>
  <c r="H5" i="18"/>
  <c r="G5" i="18"/>
  <c r="C5" i="18"/>
  <c r="B5" i="18"/>
  <c r="I4" i="18"/>
  <c r="H4" i="18"/>
  <c r="G4" i="18"/>
  <c r="C4" i="18"/>
  <c r="B4" i="18"/>
  <c r="I3" i="18"/>
  <c r="H3" i="18"/>
  <c r="G3" i="18"/>
  <c r="C3" i="18"/>
  <c r="B3" i="18"/>
  <c r="D135" i="8"/>
  <c r="C135" i="8"/>
  <c r="C134" i="8"/>
  <c r="D132" i="8"/>
  <c r="C132" i="8"/>
  <c r="C131" i="8"/>
  <c r="D129" i="8"/>
  <c r="C129" i="8"/>
  <c r="D128" i="8"/>
  <c r="C128" i="8"/>
  <c r="D127" i="8"/>
  <c r="C127" i="8"/>
  <c r="D126" i="8"/>
  <c r="C126" i="8"/>
  <c r="C125" i="8"/>
  <c r="D123" i="8"/>
  <c r="C123" i="8"/>
  <c r="D122" i="8"/>
  <c r="C122" i="8"/>
  <c r="D121" i="8"/>
  <c r="C121" i="8"/>
  <c r="D120" i="8"/>
  <c r="C120" i="8"/>
  <c r="C119" i="8"/>
  <c r="D117" i="8"/>
  <c r="C117" i="8"/>
  <c r="D116" i="8"/>
  <c r="C116" i="8"/>
  <c r="D115" i="8"/>
  <c r="C115" i="8"/>
  <c r="D114" i="8"/>
  <c r="C114" i="8"/>
  <c r="D113" i="8"/>
  <c r="C113" i="8"/>
  <c r="C112" i="8"/>
  <c r="D110" i="8"/>
  <c r="C110" i="8"/>
  <c r="D109" i="8"/>
  <c r="C109" i="8"/>
  <c r="D108" i="8"/>
  <c r="C108" i="8"/>
  <c r="C107" i="8"/>
  <c r="D105" i="8"/>
  <c r="C105" i="8"/>
  <c r="D104" i="8"/>
  <c r="C104" i="8"/>
  <c r="D103" i="8"/>
  <c r="C103" i="8"/>
  <c r="D102" i="8"/>
  <c r="C102" i="8"/>
  <c r="C101" i="8"/>
  <c r="D99" i="8"/>
  <c r="C99" i="8"/>
  <c r="D98" i="8"/>
  <c r="C98" i="8"/>
  <c r="D97" i="8"/>
  <c r="C97" i="8"/>
  <c r="C96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C85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C74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6" i="8"/>
  <c r="C46" i="8"/>
  <c r="D45" i="8"/>
  <c r="C45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0" i="8"/>
  <c r="C30" i="8"/>
  <c r="D29" i="8"/>
  <c r="C29" i="8"/>
  <c r="D28" i="8"/>
  <c r="C28" i="8"/>
  <c r="D27" i="8"/>
  <c r="C27" i="8"/>
  <c r="D25" i="8"/>
  <c r="C25" i="8"/>
  <c r="D24" i="8"/>
  <c r="C24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C22" i="25"/>
  <c r="D137" i="24"/>
  <c r="C137" i="24"/>
  <c r="C136" i="24"/>
  <c r="D134" i="24"/>
  <c r="C134" i="24"/>
  <c r="D133" i="24"/>
  <c r="C133" i="24"/>
  <c r="D132" i="24"/>
  <c r="C132" i="24"/>
  <c r="D131" i="24"/>
  <c r="C131" i="24"/>
  <c r="C130" i="24"/>
  <c r="D128" i="24"/>
  <c r="C128" i="24"/>
  <c r="D127" i="24"/>
  <c r="C127" i="24"/>
  <c r="D126" i="24"/>
  <c r="C126" i="24"/>
  <c r="D125" i="24"/>
  <c r="C125" i="24"/>
  <c r="C124" i="24"/>
  <c r="D122" i="24"/>
  <c r="C122" i="24"/>
  <c r="D121" i="24"/>
  <c r="C121" i="24"/>
  <c r="D120" i="24"/>
  <c r="C120" i="24"/>
  <c r="D119" i="24"/>
  <c r="C119" i="24"/>
  <c r="C118" i="24"/>
  <c r="D116" i="24"/>
  <c r="C116" i="24"/>
  <c r="D115" i="24"/>
  <c r="C115" i="24"/>
  <c r="D114" i="24"/>
  <c r="C114" i="24"/>
  <c r="C113" i="24"/>
  <c r="D111" i="24"/>
  <c r="C111" i="24"/>
  <c r="D110" i="24"/>
  <c r="C110" i="24"/>
  <c r="D109" i="24"/>
  <c r="C109" i="24"/>
  <c r="D108" i="24"/>
  <c r="C108" i="24"/>
  <c r="D107" i="24"/>
  <c r="C107" i="24"/>
  <c r="C106" i="24"/>
  <c r="D104" i="24"/>
  <c r="C104" i="24"/>
  <c r="D103" i="24"/>
  <c r="C103" i="24"/>
  <c r="D102" i="24"/>
  <c r="C102" i="24"/>
  <c r="C101" i="24"/>
  <c r="D99" i="24"/>
  <c r="C99" i="24"/>
  <c r="D98" i="24"/>
  <c r="C98" i="24"/>
  <c r="D97" i="24"/>
  <c r="C97" i="24"/>
  <c r="D96" i="24"/>
  <c r="C96" i="24"/>
  <c r="D95" i="24"/>
  <c r="C95" i="24"/>
  <c r="D94" i="24"/>
  <c r="C94" i="24"/>
  <c r="D93" i="24"/>
  <c r="C93" i="24"/>
  <c r="D92" i="24"/>
  <c r="C92" i="24"/>
  <c r="D91" i="24"/>
  <c r="C91" i="24"/>
  <c r="D90" i="24"/>
  <c r="C90" i="24"/>
  <c r="C89" i="24"/>
  <c r="D87" i="24"/>
  <c r="C87" i="24"/>
  <c r="D86" i="24"/>
  <c r="C86" i="24"/>
  <c r="D85" i="24"/>
  <c r="C85" i="24"/>
  <c r="D84" i="24"/>
  <c r="C84" i="24"/>
  <c r="D83" i="24"/>
  <c r="C83" i="24"/>
  <c r="M82" i="24"/>
  <c r="L82" i="24"/>
  <c r="K82" i="24"/>
  <c r="J82" i="24"/>
  <c r="I82" i="24"/>
  <c r="H82" i="24"/>
  <c r="G82" i="24"/>
  <c r="F82" i="24"/>
  <c r="D82" i="24"/>
  <c r="C82" i="24"/>
  <c r="D81" i="24"/>
  <c r="C81" i="24"/>
  <c r="D80" i="24"/>
  <c r="C80" i="24"/>
  <c r="M79" i="24"/>
  <c r="L79" i="24"/>
  <c r="K79" i="24"/>
  <c r="J79" i="24"/>
  <c r="I79" i="24"/>
  <c r="H79" i="24"/>
  <c r="G79" i="24"/>
  <c r="F79" i="24"/>
  <c r="D79" i="24"/>
  <c r="C79" i="24"/>
  <c r="D78" i="24"/>
  <c r="C78" i="24"/>
  <c r="D77" i="24"/>
  <c r="C77" i="24"/>
  <c r="C76" i="24"/>
  <c r="D74" i="24"/>
  <c r="C74" i="24"/>
  <c r="D73" i="24"/>
  <c r="C73" i="24"/>
  <c r="D72" i="24"/>
  <c r="C72" i="24"/>
  <c r="D71" i="24"/>
  <c r="C71" i="24"/>
  <c r="D70" i="24"/>
  <c r="C70" i="24"/>
  <c r="D69" i="24"/>
  <c r="C69" i="24"/>
  <c r="D68" i="24"/>
  <c r="C68" i="24"/>
  <c r="D67" i="24"/>
  <c r="C67" i="24"/>
  <c r="D66" i="24"/>
  <c r="C66" i="24"/>
  <c r="D65" i="24"/>
  <c r="C65" i="24"/>
  <c r="D64" i="24"/>
  <c r="C64" i="24"/>
  <c r="D63" i="24"/>
  <c r="C63" i="24"/>
  <c r="D62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M55" i="24"/>
  <c r="L55" i="24"/>
  <c r="K55" i="24"/>
  <c r="J55" i="24"/>
  <c r="I55" i="24"/>
  <c r="H55" i="24"/>
  <c r="G55" i="24"/>
  <c r="F55" i="24"/>
  <c r="D55" i="24"/>
  <c r="C55" i="24"/>
  <c r="D54" i="24"/>
  <c r="C54" i="24"/>
  <c r="M53" i="24"/>
  <c r="L53" i="24"/>
  <c r="K53" i="24"/>
  <c r="J53" i="24"/>
  <c r="I53" i="24"/>
  <c r="H53" i="24"/>
  <c r="G53" i="24"/>
  <c r="F53" i="24"/>
  <c r="D53" i="24"/>
  <c r="C53" i="24"/>
  <c r="D52" i="24"/>
  <c r="C52" i="24"/>
  <c r="D51" i="24"/>
  <c r="C51" i="24"/>
  <c r="D48" i="24"/>
  <c r="C48" i="24"/>
  <c r="D47" i="24"/>
  <c r="C47" i="24"/>
  <c r="D45" i="24"/>
  <c r="C45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D35" i="24"/>
  <c r="C35" i="24"/>
  <c r="M34" i="24"/>
  <c r="L34" i="24"/>
  <c r="K34" i="24"/>
  <c r="J34" i="24"/>
  <c r="I34" i="24"/>
  <c r="H34" i="24"/>
  <c r="G34" i="24"/>
  <c r="F34" i="24"/>
  <c r="D34" i="24"/>
  <c r="C34" i="24"/>
  <c r="M33" i="24"/>
  <c r="L33" i="24"/>
  <c r="K33" i="24"/>
  <c r="J33" i="24"/>
  <c r="I33" i="24"/>
  <c r="H33" i="24"/>
  <c r="G33" i="24"/>
  <c r="F33" i="24" s="1"/>
  <c r="M32" i="24"/>
  <c r="L32" i="24"/>
  <c r="K32" i="24"/>
  <c r="J32" i="24"/>
  <c r="I32" i="24"/>
  <c r="H32" i="24"/>
  <c r="G32" i="24"/>
  <c r="F32" i="24"/>
  <c r="D32" i="24"/>
  <c r="C32" i="24"/>
  <c r="D31" i="24"/>
  <c r="C31" i="24"/>
  <c r="D30" i="24"/>
  <c r="C30" i="24"/>
  <c r="D29" i="24"/>
  <c r="C29" i="24"/>
  <c r="D28" i="24"/>
  <c r="C28" i="24"/>
  <c r="D26" i="24"/>
  <c r="C26" i="24"/>
  <c r="D25" i="24"/>
  <c r="C25" i="24"/>
  <c r="D23" i="24"/>
  <c r="C23" i="24"/>
  <c r="D22" i="24"/>
  <c r="C22" i="24"/>
  <c r="D21" i="24"/>
  <c r="C21" i="24"/>
  <c r="D20" i="24"/>
  <c r="C20" i="24"/>
  <c r="D19" i="24"/>
  <c r="C19" i="24"/>
  <c r="D18" i="24"/>
  <c r="C18" i="24"/>
  <c r="D17" i="24"/>
  <c r="C17" i="24"/>
  <c r="D16" i="24"/>
  <c r="C16" i="24"/>
  <c r="B171" i="2"/>
  <c r="C171" i="2" s="1"/>
  <c r="B167" i="2"/>
  <c r="C167" i="2" s="1"/>
  <c r="B163" i="2"/>
  <c r="C163" i="2" s="1"/>
  <c r="H154" i="2"/>
  <c r="G154" i="2"/>
  <c r="F154" i="2"/>
  <c r="E154" i="2"/>
  <c r="D154" i="2"/>
  <c r="C154" i="2"/>
  <c r="B154" i="2"/>
  <c r="B143" i="2"/>
  <c r="C143" i="2" s="1"/>
  <c r="J98" i="2"/>
  <c r="I98" i="2"/>
  <c r="Q97" i="2"/>
  <c r="N97" i="2"/>
  <c r="F97" i="2"/>
  <c r="J96" i="2"/>
  <c r="I96" i="2"/>
  <c r="F96" i="2"/>
  <c r="J95" i="2"/>
  <c r="I95" i="2"/>
  <c r="F95" i="2"/>
  <c r="J94" i="2"/>
  <c r="I94" i="2"/>
  <c r="F94" i="2"/>
  <c r="J93" i="2"/>
  <c r="F93" i="2"/>
  <c r="J92" i="2"/>
  <c r="I92" i="2"/>
  <c r="J91" i="2"/>
  <c r="I91" i="2"/>
  <c r="AF91" i="2" s="1"/>
  <c r="F91" i="2"/>
  <c r="J90" i="2"/>
  <c r="I90" i="2"/>
  <c r="F90" i="2"/>
  <c r="J89" i="2"/>
  <c r="I89" i="2"/>
  <c r="AF89" i="2" s="1"/>
  <c r="F89" i="2"/>
  <c r="J88" i="2"/>
  <c r="I88" i="2"/>
  <c r="J87" i="2"/>
  <c r="I87" i="2"/>
  <c r="J86" i="2"/>
  <c r="I86" i="2"/>
  <c r="J85" i="2"/>
  <c r="I85" i="2"/>
  <c r="AF85" i="2" s="1"/>
  <c r="J84" i="2"/>
  <c r="I84" i="2"/>
  <c r="J82" i="2"/>
  <c r="I82" i="2"/>
  <c r="AF82" i="2" s="1"/>
  <c r="F82" i="2"/>
  <c r="J81" i="2"/>
  <c r="I81" i="2"/>
  <c r="F81" i="2"/>
  <c r="J80" i="2"/>
  <c r="I80" i="2"/>
  <c r="I79" i="2"/>
  <c r="AF79" i="2" s="1"/>
  <c r="F79" i="2"/>
  <c r="I78" i="2"/>
  <c r="AF78" i="2" s="1"/>
  <c r="F78" i="2"/>
  <c r="F80" i="2" s="1"/>
  <c r="I77" i="2"/>
  <c r="AF77" i="2" s="1"/>
  <c r="F77" i="2"/>
  <c r="J76" i="2"/>
  <c r="I76" i="2"/>
  <c r="AF76" i="2" s="1"/>
  <c r="J75" i="2"/>
  <c r="I75" i="2"/>
  <c r="AF75" i="2" s="1"/>
  <c r="J74" i="2"/>
  <c r="I74" i="2"/>
  <c r="AF74" i="2" s="1"/>
  <c r="F73" i="2"/>
  <c r="F71" i="2"/>
  <c r="AJ71" i="2" s="1"/>
  <c r="F70" i="2"/>
  <c r="AH70" i="2" s="1"/>
  <c r="F69" i="2"/>
  <c r="F66" i="2"/>
  <c r="F63" i="2"/>
  <c r="F62" i="2"/>
  <c r="F61" i="2"/>
  <c r="F60" i="2"/>
  <c r="F59" i="2"/>
  <c r="F58" i="2"/>
  <c r="F57" i="2"/>
  <c r="F56" i="2"/>
  <c r="F55" i="2"/>
  <c r="F54" i="2"/>
  <c r="F53" i="2"/>
  <c r="AL52" i="2"/>
  <c r="AK52" i="2"/>
  <c r="AJ52" i="2"/>
  <c r="AH51" i="15" s="1"/>
  <c r="AI52" i="2"/>
  <c r="AH52" i="2"/>
  <c r="AG52" i="2"/>
  <c r="AL51" i="2"/>
  <c r="AK51" i="2"/>
  <c r="AJ51" i="2"/>
  <c r="K70" i="24" s="1"/>
  <c r="AI51" i="2"/>
  <c r="J70" i="24" s="1"/>
  <c r="AH51" i="2"/>
  <c r="AF50" i="15" s="1"/>
  <c r="AG51" i="2"/>
  <c r="H68" i="8" s="1"/>
  <c r="AL47" i="2"/>
  <c r="AK47" i="2"/>
  <c r="AJ47" i="2"/>
  <c r="K68" i="24" s="1"/>
  <c r="AI47" i="2"/>
  <c r="AH47" i="2"/>
  <c r="AG47" i="2"/>
  <c r="AL46" i="2"/>
  <c r="M63" i="8" s="1"/>
  <c r="AK46" i="2"/>
  <c r="L67" i="24" s="1"/>
  <c r="AJ46" i="2"/>
  <c r="AI46" i="2"/>
  <c r="AH46" i="2"/>
  <c r="AG46" i="2"/>
  <c r="AL45" i="2"/>
  <c r="AK45" i="2"/>
  <c r="AJ45" i="2"/>
  <c r="AI45" i="2"/>
  <c r="AH45" i="2"/>
  <c r="AG45" i="2"/>
  <c r="AL44" i="2"/>
  <c r="AK44" i="2"/>
  <c r="L65" i="24" s="1"/>
  <c r="AJ44" i="2"/>
  <c r="AI44" i="2"/>
  <c r="J65" i="24" s="1"/>
  <c r="AH44" i="2"/>
  <c r="AG44" i="2"/>
  <c r="AL41" i="2"/>
  <c r="AK41" i="2"/>
  <c r="AJ41" i="2"/>
  <c r="AI41" i="2"/>
  <c r="J62" i="24" s="1"/>
  <c r="AH41" i="2"/>
  <c r="AG41" i="2"/>
  <c r="AL37" i="2"/>
  <c r="AK37" i="2"/>
  <c r="AJ37" i="2"/>
  <c r="AI37" i="2"/>
  <c r="AH37" i="2"/>
  <c r="AG37" i="2"/>
  <c r="AL35" i="2"/>
  <c r="AJ34" i="15" s="1"/>
  <c r="AK35" i="2"/>
  <c r="AJ35" i="2"/>
  <c r="AI35" i="2"/>
  <c r="AH35" i="2"/>
  <c r="AG35" i="2"/>
  <c r="AE34" i="23" s="1"/>
  <c r="AL34" i="2"/>
  <c r="AK34" i="2"/>
  <c r="AI33" i="15" s="1"/>
  <c r="AJ34" i="2"/>
  <c r="AI34" i="2"/>
  <c r="AH34" i="2"/>
  <c r="AG34" i="2"/>
  <c r="AL33" i="2"/>
  <c r="AK33" i="2"/>
  <c r="AJ33" i="2"/>
  <c r="AI33" i="2"/>
  <c r="AH33" i="2"/>
  <c r="AG33" i="2"/>
  <c r="F32" i="2"/>
  <c r="I31" i="2"/>
  <c r="AL30" i="2"/>
  <c r="AK30" i="2"/>
  <c r="AJ30" i="2"/>
  <c r="AI30" i="2"/>
  <c r="AH30" i="2"/>
  <c r="AG30" i="2"/>
  <c r="I30" i="2"/>
  <c r="AF30" i="2" s="1"/>
  <c r="I29" i="2"/>
  <c r="AF29" i="2" s="1"/>
  <c r="F29" i="2"/>
  <c r="I28" i="2"/>
  <c r="AF28" i="2" s="1"/>
  <c r="F28" i="2"/>
  <c r="I27" i="2"/>
  <c r="AF27" i="2" s="1"/>
  <c r="F27" i="2"/>
  <c r="AL26" i="2"/>
  <c r="AK26" i="2"/>
  <c r="AJ26" i="2"/>
  <c r="AI26" i="2"/>
  <c r="AH26" i="2"/>
  <c r="AG26" i="2"/>
  <c r="I26" i="2"/>
  <c r="AF26" i="2" s="1"/>
  <c r="G40" i="8" s="1"/>
  <c r="AL25" i="2"/>
  <c r="AJ25" i="23" s="1"/>
  <c r="AK25" i="2"/>
  <c r="AI25" i="23" s="1"/>
  <c r="AJ25" i="2"/>
  <c r="AI25" i="2"/>
  <c r="AH25" i="2"/>
  <c r="AG25" i="2"/>
  <c r="I25" i="2"/>
  <c r="AF25" i="2" s="1"/>
  <c r="AL24" i="2"/>
  <c r="AK24" i="2"/>
  <c r="AJ24" i="2"/>
  <c r="AI24" i="2"/>
  <c r="AG24" i="23" s="1"/>
  <c r="AH24" i="2"/>
  <c r="I38" i="8" s="1"/>
  <c r="AG24" i="2"/>
  <c r="AE24" i="15" s="1"/>
  <c r="I24" i="2"/>
  <c r="AF24" i="2" s="1"/>
  <c r="AM24" i="2" s="1"/>
  <c r="AL23" i="2"/>
  <c r="AK23" i="2"/>
  <c r="AJ23" i="2"/>
  <c r="AI23" i="2"/>
  <c r="AH23" i="2"/>
  <c r="AF23" i="23" s="1"/>
  <c r="AG23" i="2"/>
  <c r="AE23" i="23" s="1"/>
  <c r="I23" i="2"/>
  <c r="AF23" i="2" s="1"/>
  <c r="AD23" i="15" s="1"/>
  <c r="AL22" i="2"/>
  <c r="M36" i="8" s="1"/>
  <c r="AK22" i="2"/>
  <c r="L36" i="8" s="1"/>
  <c r="AJ22" i="2"/>
  <c r="AH22" i="15" s="1"/>
  <c r="AI22" i="2"/>
  <c r="AG22" i="15" s="1"/>
  <c r="AH22" i="2"/>
  <c r="AG22" i="2"/>
  <c r="I22" i="2"/>
  <c r="AF22" i="2" s="1"/>
  <c r="AL21" i="2"/>
  <c r="AK21" i="2"/>
  <c r="AJ21" i="2"/>
  <c r="AI21" i="2"/>
  <c r="AG21" i="15" s="1"/>
  <c r="AH21" i="2"/>
  <c r="AG21" i="2"/>
  <c r="I21" i="2"/>
  <c r="AF21" i="2" s="1"/>
  <c r="I20" i="2"/>
  <c r="F20" i="2"/>
  <c r="AL19" i="2"/>
  <c r="AJ19" i="23" s="1"/>
  <c r="AK19" i="2"/>
  <c r="AI19" i="23" s="1"/>
  <c r="AJ19" i="2"/>
  <c r="K33" i="8" s="1"/>
  <c r="AI19" i="2"/>
  <c r="AH19" i="2"/>
  <c r="I33" i="8" s="1"/>
  <c r="AG19" i="2"/>
  <c r="H33" i="8" s="1"/>
  <c r="I19" i="2"/>
  <c r="AF19" i="2" s="1"/>
  <c r="AL18" i="2"/>
  <c r="AK18" i="2"/>
  <c r="AI18" i="15" s="1"/>
  <c r="AJ18" i="2"/>
  <c r="AH18" i="15" s="1"/>
  <c r="AI18" i="2"/>
  <c r="AG18" i="15" s="1"/>
  <c r="AH18" i="2"/>
  <c r="AG18" i="2"/>
  <c r="H35" i="24" s="1"/>
  <c r="I18" i="2"/>
  <c r="AF18" i="2" s="1"/>
  <c r="AM18" i="2" s="1"/>
  <c r="N17" i="2"/>
  <c r="N16" i="2"/>
  <c r="I15" i="2"/>
  <c r="F15" i="2"/>
  <c r="T14" i="2"/>
  <c r="Q13" i="2"/>
  <c r="N13" i="2"/>
  <c r="F13" i="2"/>
  <c r="Q12" i="2"/>
  <c r="N12" i="2"/>
  <c r="F12" i="2"/>
  <c r="Q11" i="2"/>
  <c r="N11" i="2"/>
  <c r="F11" i="2"/>
  <c r="AL10" i="2"/>
  <c r="AJ10" i="15" s="1"/>
  <c r="AK10" i="2"/>
  <c r="AI10" i="23" s="1"/>
  <c r="AJ10" i="2"/>
  <c r="AH10" i="23" s="1"/>
  <c r="AI10" i="2"/>
  <c r="Q10" i="2"/>
  <c r="N10" i="2"/>
  <c r="K10" i="2"/>
  <c r="AL9" i="2"/>
  <c r="AJ9" i="15" s="1"/>
  <c r="AK9" i="2"/>
  <c r="AI9" i="15" s="1"/>
  <c r="AJ9" i="2"/>
  <c r="AH9" i="15" s="1"/>
  <c r="AI9" i="2"/>
  <c r="AG9" i="23" s="1"/>
  <c r="Q9" i="2"/>
  <c r="N9" i="2"/>
  <c r="K9" i="2"/>
  <c r="AL8" i="2"/>
  <c r="M19" i="8" s="1"/>
  <c r="AK8" i="2"/>
  <c r="AI8" i="23" s="1"/>
  <c r="AJ8" i="2"/>
  <c r="AH8" i="23" s="1"/>
  <c r="AI8" i="2"/>
  <c r="AG8" i="15" s="1"/>
  <c r="Q8" i="2"/>
  <c r="N8" i="2"/>
  <c r="K8" i="2"/>
  <c r="AL7" i="2"/>
  <c r="AJ7" i="15" s="1"/>
  <c r="AK7" i="2"/>
  <c r="AJ7" i="2"/>
  <c r="AH7" i="23" s="1"/>
  <c r="AI7" i="2"/>
  <c r="AG7" i="15" s="1"/>
  <c r="Q7" i="2"/>
  <c r="N7" i="2"/>
  <c r="K7" i="2"/>
  <c r="Q6" i="2"/>
  <c r="N6" i="2"/>
  <c r="Q5" i="2"/>
  <c r="N5" i="2"/>
  <c r="K5" i="2"/>
  <c r="F5" i="2"/>
  <c r="J71" i="18" l="1"/>
  <c r="J56" i="18"/>
  <c r="J63" i="18"/>
  <c r="J51" i="18"/>
  <c r="J74" i="18"/>
  <c r="J49" i="18"/>
  <c r="J24" i="18"/>
  <c r="J19" i="21"/>
  <c r="J64" i="21"/>
  <c r="J38" i="21"/>
  <c r="J59" i="21"/>
  <c r="J90" i="21"/>
  <c r="J95" i="21"/>
  <c r="J93" i="21"/>
  <c r="J33" i="21"/>
  <c r="J91" i="21"/>
  <c r="E33" i="15"/>
  <c r="E33" i="23"/>
  <c r="AF96" i="2"/>
  <c r="AF94" i="2"/>
  <c r="J66" i="21"/>
  <c r="J62" i="21"/>
  <c r="J88" i="21"/>
  <c r="J51" i="21"/>
  <c r="J68" i="21"/>
  <c r="J63" i="21"/>
  <c r="J64" i="18"/>
  <c r="J66" i="18"/>
  <c r="J40" i="18"/>
  <c r="J31" i="18"/>
  <c r="J16" i="18"/>
  <c r="AF31" i="2"/>
  <c r="AK31" i="2"/>
  <c r="AJ31" i="2"/>
  <c r="AI31" i="2"/>
  <c r="AG31" i="2"/>
  <c r="AL31" i="2"/>
  <c r="AH31" i="2"/>
  <c r="J94" i="21"/>
  <c r="J57" i="21"/>
  <c r="J56" i="21"/>
  <c r="J37" i="21"/>
  <c r="J35" i="21"/>
  <c r="J29" i="21"/>
  <c r="J9" i="21"/>
  <c r="J16" i="21"/>
  <c r="J55" i="21"/>
  <c r="J44" i="21"/>
  <c r="J34" i="21"/>
  <c r="J15" i="21"/>
  <c r="J10" i="21"/>
  <c r="J92" i="21"/>
  <c r="J87" i="21"/>
  <c r="J53" i="21"/>
  <c r="J49" i="21"/>
  <c r="J32" i="21"/>
  <c r="J86" i="21"/>
  <c r="J85" i="21"/>
  <c r="J75" i="21"/>
  <c r="J31" i="21"/>
  <c r="J26" i="21"/>
  <c r="J23" i="21"/>
  <c r="J12" i="21"/>
  <c r="J95" i="18"/>
  <c r="J84" i="18"/>
  <c r="J79" i="18"/>
  <c r="J65" i="18"/>
  <c r="J18" i="18"/>
  <c r="J13" i="18"/>
  <c r="J86" i="18"/>
  <c r="J81" i="18"/>
  <c r="J80" i="18"/>
  <c r="J77" i="18"/>
  <c r="J68" i="18"/>
  <c r="J55" i="18"/>
  <c r="J20" i="18"/>
  <c r="J88" i="18"/>
  <c r="J87" i="18"/>
  <c r="J82" i="18"/>
  <c r="J78" i="18"/>
  <c r="J44" i="18"/>
  <c r="J35" i="18"/>
  <c r="J30" i="18"/>
  <c r="J91" i="18"/>
  <c r="J83" i="18"/>
  <c r="J59" i="18"/>
  <c r="J53" i="18"/>
  <c r="J52" i="18"/>
  <c r="J50" i="18"/>
  <c r="J48" i="18"/>
  <c r="J43" i="18"/>
  <c r="J33" i="18"/>
  <c r="J28" i="18"/>
  <c r="J26" i="18"/>
  <c r="J21" i="18"/>
  <c r="J45" i="18"/>
  <c r="J38" i="18"/>
  <c r="J36" i="18"/>
  <c r="J29" i="18"/>
  <c r="J27" i="18"/>
  <c r="J25" i="18"/>
  <c r="J23" i="18"/>
  <c r="AF13" i="2"/>
  <c r="AF86" i="2"/>
  <c r="AF84" i="2"/>
  <c r="AF88" i="2"/>
  <c r="I66" i="2"/>
  <c r="I71" i="2"/>
  <c r="AF71" i="2" s="1"/>
  <c r="I65" i="2"/>
  <c r="I67" i="2"/>
  <c r="I72" i="2"/>
  <c r="I69" i="2"/>
  <c r="AF69" i="2" s="1"/>
  <c r="AD68" i="15" s="1"/>
  <c r="I70" i="2"/>
  <c r="AF70" i="2" s="1"/>
  <c r="G91" i="8" s="1"/>
  <c r="I73" i="2"/>
  <c r="I68" i="2"/>
  <c r="I61" i="2"/>
  <c r="AF61" i="2" s="1"/>
  <c r="I56" i="2"/>
  <c r="AF56" i="2" s="1"/>
  <c r="I58" i="2"/>
  <c r="AF58" i="2" s="1"/>
  <c r="I64" i="2"/>
  <c r="I63" i="2"/>
  <c r="AF63" i="2" s="1"/>
  <c r="I59" i="2"/>
  <c r="AF59" i="2" s="1"/>
  <c r="I62" i="2"/>
  <c r="AF62" i="2" s="1"/>
  <c r="I57" i="2"/>
  <c r="AF57" i="2" s="1"/>
  <c r="I60" i="2"/>
  <c r="AF60" i="2" s="1"/>
  <c r="I53" i="2"/>
  <c r="AF53" i="2" s="1"/>
  <c r="I45" i="2"/>
  <c r="AF45" i="2" s="1"/>
  <c r="I40" i="2"/>
  <c r="AF40" i="2" s="1"/>
  <c r="I35" i="2"/>
  <c r="AF35" i="2" s="1"/>
  <c r="I48" i="2"/>
  <c r="AF48" i="2" s="1"/>
  <c r="I54" i="2"/>
  <c r="AF54" i="2" s="1"/>
  <c r="I47" i="2"/>
  <c r="AF47" i="2" s="1"/>
  <c r="I42" i="2"/>
  <c r="I37" i="2"/>
  <c r="AF37" i="2" s="1"/>
  <c r="I43" i="2"/>
  <c r="I38" i="2"/>
  <c r="I51" i="2"/>
  <c r="AF51" i="2" s="1"/>
  <c r="I44" i="2"/>
  <c r="AF44" i="2" s="1"/>
  <c r="I39" i="2"/>
  <c r="AF39" i="2" s="1"/>
  <c r="I34" i="2"/>
  <c r="AF34" i="2" s="1"/>
  <c r="I33" i="2"/>
  <c r="AF33" i="2" s="1"/>
  <c r="I55" i="2"/>
  <c r="AF55" i="2" s="1"/>
  <c r="I52" i="2"/>
  <c r="AF52" i="2" s="1"/>
  <c r="I46" i="2"/>
  <c r="AF46" i="2" s="1"/>
  <c r="I41" i="2"/>
  <c r="AF41" i="2" s="1"/>
  <c r="I36" i="2"/>
  <c r="I32" i="2"/>
  <c r="AF32" i="2" s="1"/>
  <c r="J84" i="21"/>
  <c r="J82" i="21"/>
  <c r="J80" i="21"/>
  <c r="J72" i="21"/>
  <c r="J67" i="21"/>
  <c r="J54" i="21"/>
  <c r="J52" i="21"/>
  <c r="J50" i="21"/>
  <c r="J48" i="21"/>
  <c r="J25" i="21"/>
  <c r="J22" i="21"/>
  <c r="J20" i="21"/>
  <c r="J18" i="21"/>
  <c r="J17" i="21"/>
  <c r="J14" i="21"/>
  <c r="J13" i="21"/>
  <c r="J11" i="21"/>
  <c r="J7" i="21"/>
  <c r="J6" i="21"/>
  <c r="J70" i="21"/>
  <c r="J65" i="21"/>
  <c r="J45" i="21"/>
  <c r="J28" i="21"/>
  <c r="J27" i="21"/>
  <c r="J24" i="21"/>
  <c r="J21" i="21"/>
  <c r="J8" i="21"/>
  <c r="J5" i="21"/>
  <c r="J4" i="21"/>
  <c r="J3" i="21"/>
  <c r="J89" i="21"/>
  <c r="J81" i="21"/>
  <c r="J79" i="21"/>
  <c r="J78" i="21"/>
  <c r="J77" i="21"/>
  <c r="J73" i="21"/>
  <c r="J71" i="21"/>
  <c r="J69" i="21"/>
  <c r="J61" i="21"/>
  <c r="J60" i="21"/>
  <c r="J43" i="21"/>
  <c r="J42" i="21"/>
  <c r="J41" i="21"/>
  <c r="J40" i="21"/>
  <c r="J39" i="21"/>
  <c r="J36" i="21"/>
  <c r="J75" i="18"/>
  <c r="J69" i="18"/>
  <c r="J67" i="18"/>
  <c r="J58" i="18"/>
  <c r="J57" i="18"/>
  <c r="J39" i="18"/>
  <c r="J32" i="18"/>
  <c r="J22" i="18"/>
  <c r="J14" i="18"/>
  <c r="J19" i="18"/>
  <c r="J17" i="18"/>
  <c r="J7" i="18"/>
  <c r="J70" i="18"/>
  <c r="J61" i="18"/>
  <c r="J60" i="18"/>
  <c r="J41" i="18"/>
  <c r="J11" i="18"/>
  <c r="J10" i="18"/>
  <c r="J8" i="18"/>
  <c r="J4" i="18"/>
  <c r="J3" i="18"/>
  <c r="J72" i="18"/>
  <c r="J42" i="18"/>
  <c r="J37" i="18"/>
  <c r="J15" i="18"/>
  <c r="J12" i="18"/>
  <c r="J9" i="18"/>
  <c r="J6" i="18"/>
  <c r="J5" i="18"/>
  <c r="AF95" i="2"/>
  <c r="AF90" i="2"/>
  <c r="F38" i="2"/>
  <c r="E21" i="23"/>
  <c r="F42" i="2"/>
  <c r="E25" i="23"/>
  <c r="AF87" i="2"/>
  <c r="AF93" i="2"/>
  <c r="AF12" i="2"/>
  <c r="AG12" i="2"/>
  <c r="AG10" i="2"/>
  <c r="AG9" i="2"/>
  <c r="AG8" i="2"/>
  <c r="AF7" i="2"/>
  <c r="AF6" i="2"/>
  <c r="AF5" i="2"/>
  <c r="AF92" i="2"/>
  <c r="AF20" i="2"/>
  <c r="G37" i="24" s="1"/>
  <c r="AG13" i="2"/>
  <c r="AF8" i="2"/>
  <c r="AF10" i="2"/>
  <c r="AF9" i="2"/>
  <c r="AG7" i="2"/>
  <c r="AG6" i="2"/>
  <c r="AG5" i="2"/>
  <c r="AF81" i="2"/>
  <c r="AG17" i="2"/>
  <c r="AF15" i="2"/>
  <c r="E26" i="23"/>
  <c r="F43" i="2"/>
  <c r="AG39" i="2"/>
  <c r="AH39" i="2"/>
  <c r="AI39" i="2"/>
  <c r="AJ39" i="2"/>
  <c r="AK39" i="2"/>
  <c r="AL39" i="2"/>
  <c r="E38" i="23"/>
  <c r="E38" i="15"/>
  <c r="E39" i="23"/>
  <c r="E39" i="15"/>
  <c r="AG40" i="2"/>
  <c r="AH40" i="2"/>
  <c r="AI40" i="2"/>
  <c r="AJ40" i="2"/>
  <c r="AK40" i="2"/>
  <c r="L61" i="24" s="1"/>
  <c r="AL40" i="2"/>
  <c r="M61" i="24" s="1"/>
  <c r="E96" i="23"/>
  <c r="AL97" i="2"/>
  <c r="AJ97" i="2"/>
  <c r="AK97" i="2"/>
  <c r="E96" i="15"/>
  <c r="AI97" i="2"/>
  <c r="E95" i="23"/>
  <c r="AL96" i="2"/>
  <c r="AK96" i="2"/>
  <c r="AJ96" i="2"/>
  <c r="AI96" i="2"/>
  <c r="AH96" i="2"/>
  <c r="AG96" i="2"/>
  <c r="E95" i="15"/>
  <c r="E94" i="23"/>
  <c r="AI95" i="2"/>
  <c r="AG95" i="2"/>
  <c r="AH95" i="2"/>
  <c r="AL95" i="2"/>
  <c r="AK95" i="2"/>
  <c r="AJ95" i="2"/>
  <c r="E94" i="15"/>
  <c r="E93" i="23"/>
  <c r="AJ94" i="2"/>
  <c r="E93" i="15"/>
  <c r="AI94" i="2"/>
  <c r="AH94" i="2"/>
  <c r="AG94" i="2"/>
  <c r="AL94" i="2"/>
  <c r="AK94" i="2"/>
  <c r="AJ93" i="2"/>
  <c r="AI93" i="2"/>
  <c r="AH93" i="2"/>
  <c r="AG93" i="2"/>
  <c r="E92" i="15"/>
  <c r="E92" i="23"/>
  <c r="F98" i="2"/>
  <c r="AL93" i="2"/>
  <c r="AK93" i="2"/>
  <c r="AK92" i="2"/>
  <c r="AJ92" i="2"/>
  <c r="AH92" i="2"/>
  <c r="AG92" i="2"/>
  <c r="E91" i="15"/>
  <c r="E91" i="23"/>
  <c r="AI92" i="2"/>
  <c r="AL92" i="2"/>
  <c r="AG91" i="2"/>
  <c r="AK91" i="2"/>
  <c r="AJ91" i="2"/>
  <c r="AI91" i="2"/>
  <c r="AH91" i="2"/>
  <c r="E90" i="23"/>
  <c r="AL91" i="2"/>
  <c r="E90" i="15"/>
  <c r="AI90" i="2"/>
  <c r="AH90" i="2"/>
  <c r="AG90" i="2"/>
  <c r="E89" i="23"/>
  <c r="AK90" i="2"/>
  <c r="AJ90" i="2"/>
  <c r="AL90" i="2"/>
  <c r="E89" i="15"/>
  <c r="AG89" i="2"/>
  <c r="E88" i="23"/>
  <c r="AL89" i="2"/>
  <c r="AK89" i="2"/>
  <c r="AJ89" i="2"/>
  <c r="E88" i="15"/>
  <c r="AI89" i="2"/>
  <c r="AH89" i="2"/>
  <c r="AH88" i="2"/>
  <c r="E87" i="23"/>
  <c r="AL88" i="2"/>
  <c r="AK88" i="2"/>
  <c r="AJ88" i="2"/>
  <c r="AI88" i="2"/>
  <c r="AG88" i="2"/>
  <c r="E87" i="15"/>
  <c r="AK87" i="2"/>
  <c r="AL87" i="2"/>
  <c r="AJ87" i="2"/>
  <c r="AI87" i="2"/>
  <c r="AH87" i="2"/>
  <c r="AG87" i="2"/>
  <c r="E86" i="15"/>
  <c r="E86" i="23"/>
  <c r="E85" i="15"/>
  <c r="AK86" i="2"/>
  <c r="E85" i="23"/>
  <c r="AL86" i="2"/>
  <c r="AJ86" i="2"/>
  <c r="AH86" i="2"/>
  <c r="AI86" i="2"/>
  <c r="AG86" i="2"/>
  <c r="AM86" i="2" s="1"/>
  <c r="AK85" i="2"/>
  <c r="AI85" i="2"/>
  <c r="E84" i="15"/>
  <c r="E84" i="23"/>
  <c r="AG85" i="2"/>
  <c r="AJ85" i="2"/>
  <c r="AL85" i="2"/>
  <c r="AH85" i="2"/>
  <c r="AL84" i="2"/>
  <c r="AK84" i="2"/>
  <c r="AI84" i="2"/>
  <c r="AG84" i="2"/>
  <c r="AJ84" i="2"/>
  <c r="AH84" i="2"/>
  <c r="E83" i="15"/>
  <c r="E83" i="23"/>
  <c r="AH82" i="2"/>
  <c r="AK82" i="2"/>
  <c r="AL82" i="2"/>
  <c r="E81" i="23"/>
  <c r="E81" i="15"/>
  <c r="AI82" i="2"/>
  <c r="AG82" i="2"/>
  <c r="AJ82" i="2"/>
  <c r="AJ81" i="2"/>
  <c r="AK81" i="2"/>
  <c r="E80" i="23"/>
  <c r="AH81" i="2"/>
  <c r="AG81" i="2"/>
  <c r="E80" i="15"/>
  <c r="AI81" i="2"/>
  <c r="AL81" i="2"/>
  <c r="H110" i="24"/>
  <c r="AK79" i="2"/>
  <c r="AJ79" i="2"/>
  <c r="AH79" i="2"/>
  <c r="AG79" i="2"/>
  <c r="E78" i="23"/>
  <c r="AL79" i="2"/>
  <c r="AI79" i="2"/>
  <c r="E78" i="15"/>
  <c r="AL78" i="2"/>
  <c r="E77" i="23"/>
  <c r="AK78" i="2"/>
  <c r="AI78" i="2"/>
  <c r="AG78" i="2"/>
  <c r="AJ78" i="2"/>
  <c r="E77" i="15"/>
  <c r="AH78" i="2"/>
  <c r="E76" i="23"/>
  <c r="AK77" i="2"/>
  <c r="AI77" i="2"/>
  <c r="AH77" i="2"/>
  <c r="AG77" i="2"/>
  <c r="E76" i="15"/>
  <c r="AJ77" i="2"/>
  <c r="AL77" i="2"/>
  <c r="E75" i="15"/>
  <c r="E75" i="23"/>
  <c r="AL76" i="2"/>
  <c r="AI76" i="2"/>
  <c r="AJ76" i="2"/>
  <c r="AK76" i="2"/>
  <c r="AH76" i="2"/>
  <c r="AG76" i="2"/>
  <c r="E74" i="23"/>
  <c r="AJ75" i="2"/>
  <c r="AK75" i="2"/>
  <c r="AL75" i="2"/>
  <c r="AH75" i="2"/>
  <c r="AI75" i="2"/>
  <c r="AG75" i="2"/>
  <c r="E74" i="15"/>
  <c r="AK74" i="2"/>
  <c r="E73" i="15"/>
  <c r="AH74" i="2"/>
  <c r="AI74" i="2"/>
  <c r="E73" i="23"/>
  <c r="AL74" i="2"/>
  <c r="AJ74" i="2"/>
  <c r="AG74" i="2"/>
  <c r="E68" i="23"/>
  <c r="AK69" i="2"/>
  <c r="AH69" i="2"/>
  <c r="AL69" i="2"/>
  <c r="E62" i="15"/>
  <c r="E62" i="23"/>
  <c r="AL63" i="2"/>
  <c r="AK63" i="2"/>
  <c r="AJ63" i="2"/>
  <c r="AI63" i="2"/>
  <c r="AH63" i="2"/>
  <c r="AG63" i="2"/>
  <c r="E61" i="15"/>
  <c r="AG62" i="2"/>
  <c r="AH62" i="2"/>
  <c r="AI62" i="2"/>
  <c r="AJ62" i="2"/>
  <c r="AK62" i="2"/>
  <c r="AL62" i="2"/>
  <c r="E61" i="23"/>
  <c r="AJ61" i="2"/>
  <c r="AK61" i="2"/>
  <c r="AL61" i="2"/>
  <c r="E60" i="15"/>
  <c r="E60" i="23"/>
  <c r="AG61" i="2"/>
  <c r="AH61" i="2"/>
  <c r="AI61" i="2"/>
  <c r="E59" i="15"/>
  <c r="AL60" i="2"/>
  <c r="AK60" i="2"/>
  <c r="AJ60" i="2"/>
  <c r="AI60" i="2"/>
  <c r="E59" i="23"/>
  <c r="AH60" i="2"/>
  <c r="AG60" i="2"/>
  <c r="AI59" i="2"/>
  <c r="AH59" i="2"/>
  <c r="AL59" i="2"/>
  <c r="AK59" i="2"/>
  <c r="AG59" i="2"/>
  <c r="AJ59" i="2"/>
  <c r="E58" i="23"/>
  <c r="E58" i="15"/>
  <c r="AH58" i="2"/>
  <c r="E57" i="15"/>
  <c r="AI58" i="2"/>
  <c r="AJ58" i="2"/>
  <c r="AK58" i="2"/>
  <c r="AL58" i="2"/>
  <c r="E57" i="23"/>
  <c r="AG58" i="2"/>
  <c r="E56" i="23"/>
  <c r="AJ57" i="2"/>
  <c r="AL57" i="2"/>
  <c r="AK57" i="2"/>
  <c r="AH57" i="2"/>
  <c r="E56" i="15"/>
  <c r="AG57" i="2"/>
  <c r="AI57" i="2"/>
  <c r="AG56" i="2"/>
  <c r="F64" i="2"/>
  <c r="AK56" i="2"/>
  <c r="AI56" i="2"/>
  <c r="E55" i="15"/>
  <c r="AJ56" i="2"/>
  <c r="AH56" i="2"/>
  <c r="AL56" i="2"/>
  <c r="E55" i="23"/>
  <c r="AL55" i="2"/>
  <c r="AK55" i="2"/>
  <c r="E54" i="23"/>
  <c r="AJ55" i="2"/>
  <c r="AI55" i="2"/>
  <c r="AH55" i="2"/>
  <c r="AG55" i="2"/>
  <c r="E54" i="15"/>
  <c r="E53" i="23"/>
  <c r="AL54" i="2"/>
  <c r="AK54" i="2"/>
  <c r="AJ54" i="2"/>
  <c r="AI54" i="2"/>
  <c r="AH54" i="2"/>
  <c r="E53" i="15"/>
  <c r="AG54" i="2"/>
  <c r="E52" i="23"/>
  <c r="AL53" i="2"/>
  <c r="E52" i="15"/>
  <c r="AK53" i="2"/>
  <c r="AJ53" i="2"/>
  <c r="AI53" i="2"/>
  <c r="AH53" i="2"/>
  <c r="AG53" i="2"/>
  <c r="AH48" i="2"/>
  <c r="AG48" i="2"/>
  <c r="E47" i="15"/>
  <c r="E47" i="23"/>
  <c r="AI48" i="2"/>
  <c r="AJ48" i="2"/>
  <c r="AK48" i="2"/>
  <c r="AL48" i="2"/>
  <c r="E31" i="15"/>
  <c r="AI32" i="2"/>
  <c r="E31" i="23"/>
  <c r="AL32" i="2"/>
  <c r="AK32" i="2"/>
  <c r="AJ32" i="2"/>
  <c r="AH32" i="2"/>
  <c r="AG32" i="2"/>
  <c r="AG29" i="2"/>
  <c r="AL29" i="2"/>
  <c r="E29" i="15"/>
  <c r="E29" i="23"/>
  <c r="AK29" i="2"/>
  <c r="AJ29" i="2"/>
  <c r="AI29" i="2"/>
  <c r="AH29" i="2"/>
  <c r="AI28" i="2"/>
  <c r="AJ28" i="2"/>
  <c r="AK28" i="2"/>
  <c r="AL28" i="2"/>
  <c r="E28" i="23"/>
  <c r="AG28" i="2"/>
  <c r="AH28" i="2"/>
  <c r="E28" i="15"/>
  <c r="AL27" i="2"/>
  <c r="AK27" i="2"/>
  <c r="AJ27" i="2"/>
  <c r="AI27" i="2"/>
  <c r="AG27" i="2"/>
  <c r="E27" i="15"/>
  <c r="AH27" i="2"/>
  <c r="E27" i="23"/>
  <c r="E20" i="15"/>
  <c r="AJ20" i="2"/>
  <c r="F36" i="2"/>
  <c r="AH20" i="2"/>
  <c r="AG20" i="2"/>
  <c r="AK20" i="2"/>
  <c r="AL20" i="2"/>
  <c r="AI20" i="2"/>
  <c r="E20" i="23"/>
  <c r="AH17" i="2"/>
  <c r="AI17" i="2"/>
  <c r="AJ17" i="2"/>
  <c r="AK17" i="2"/>
  <c r="E17" i="15"/>
  <c r="AL17" i="2"/>
  <c r="E17" i="23"/>
  <c r="AF17" i="2"/>
  <c r="E15" i="23"/>
  <c r="AG15" i="2"/>
  <c r="E15" i="15"/>
  <c r="AL15" i="2"/>
  <c r="AK15" i="2"/>
  <c r="AJ15" i="2"/>
  <c r="AI15" i="2"/>
  <c r="AH15" i="2"/>
  <c r="E14" i="23"/>
  <c r="AL14" i="2"/>
  <c r="AK14" i="2"/>
  <c r="E14" i="15"/>
  <c r="AG14" i="2"/>
  <c r="AI14" i="2"/>
  <c r="AJ14" i="2"/>
  <c r="AH14" i="2"/>
  <c r="AF14" i="2"/>
  <c r="E13" i="23"/>
  <c r="F68" i="2"/>
  <c r="AI13" i="2"/>
  <c r="AK13" i="2"/>
  <c r="AJ13" i="2"/>
  <c r="AL13" i="2"/>
  <c r="E13" i="15"/>
  <c r="AL12" i="2"/>
  <c r="AJ12" i="2"/>
  <c r="E12" i="23"/>
  <c r="E12" i="15"/>
  <c r="F67" i="2"/>
  <c r="AK12" i="2"/>
  <c r="AI12" i="2"/>
  <c r="AL11" i="2"/>
  <c r="E11" i="23"/>
  <c r="AJ11" i="2"/>
  <c r="E11" i="15"/>
  <c r="AI11" i="2"/>
  <c r="AK11" i="2"/>
  <c r="AG10" i="23"/>
  <c r="J21" i="8"/>
  <c r="E6" i="15"/>
  <c r="AL6" i="2"/>
  <c r="F65" i="2"/>
  <c r="AJ6" i="2"/>
  <c r="E6" i="23"/>
  <c r="AK6" i="2"/>
  <c r="AI6" i="2"/>
  <c r="E5" i="23"/>
  <c r="E5" i="15"/>
  <c r="F72" i="2"/>
  <c r="AK5" i="2"/>
  <c r="AL5" i="2"/>
  <c r="AJ5" i="2"/>
  <c r="AI5" i="2"/>
  <c r="G14" i="23"/>
  <c r="N15" i="5"/>
  <c r="O13" i="2" s="1"/>
  <c r="AH13" i="2" s="1"/>
  <c r="G14" i="15"/>
  <c r="G13" i="15"/>
  <c r="G13" i="23"/>
  <c r="N14" i="5"/>
  <c r="O12" i="2" s="1"/>
  <c r="AH12" i="2" s="1"/>
  <c r="G12" i="23"/>
  <c r="N13" i="5"/>
  <c r="G12" i="15"/>
  <c r="L11" i="2"/>
  <c r="AG11" i="2" s="1"/>
  <c r="L97" i="2"/>
  <c r="AG97" i="2" s="1"/>
  <c r="I11" i="2"/>
  <c r="AF11" i="2" s="1"/>
  <c r="I97" i="2"/>
  <c r="AF97" i="2" s="1"/>
  <c r="G11" i="23"/>
  <c r="N12" i="5"/>
  <c r="G11" i="15"/>
  <c r="N11" i="5"/>
  <c r="G10" i="23"/>
  <c r="G10" i="15"/>
  <c r="N10" i="5"/>
  <c r="O10" i="2" s="1"/>
  <c r="AH10" i="2" s="1"/>
  <c r="H21" i="8"/>
  <c r="AE10" i="15"/>
  <c r="G9" i="23"/>
  <c r="G9" i="15"/>
  <c r="N9" i="5"/>
  <c r="O9" i="2" s="1"/>
  <c r="AH9" i="2" s="1"/>
  <c r="AE9" i="15"/>
  <c r="H20" i="8"/>
  <c r="AD9" i="15"/>
  <c r="G20" i="8"/>
  <c r="G8" i="23"/>
  <c r="G8" i="15"/>
  <c r="N8" i="5"/>
  <c r="O8" i="2" s="1"/>
  <c r="AH8" i="2" s="1"/>
  <c r="G7" i="23"/>
  <c r="G7" i="15"/>
  <c r="N7" i="5"/>
  <c r="O7" i="2" s="1"/>
  <c r="AH7" i="2" s="1"/>
  <c r="G6" i="23"/>
  <c r="N6" i="5"/>
  <c r="O6" i="2" s="1"/>
  <c r="AH6" i="2" s="1"/>
  <c r="G6" i="15"/>
  <c r="G5" i="23"/>
  <c r="N5" i="5"/>
  <c r="O5" i="2" s="1"/>
  <c r="AH5" i="2" s="1"/>
  <c r="G5" i="15"/>
  <c r="H16" i="24"/>
  <c r="H16" i="8"/>
  <c r="AE5" i="15"/>
  <c r="AE5" i="23"/>
  <c r="G16" i="24"/>
  <c r="G16" i="8"/>
  <c r="AD5" i="15"/>
  <c r="AD5" i="23"/>
  <c r="AM92" i="2"/>
  <c r="G128" i="24"/>
  <c r="G123" i="8"/>
  <c r="AD91" i="15"/>
  <c r="AD91" i="23"/>
  <c r="AM91" i="2"/>
  <c r="G127" i="24"/>
  <c r="G122" i="8"/>
  <c r="AD90" i="15"/>
  <c r="AD90" i="23"/>
  <c r="AM89" i="2"/>
  <c r="G125" i="24"/>
  <c r="G120" i="8"/>
  <c r="AD88" i="15"/>
  <c r="AD88" i="23"/>
  <c r="G121" i="24"/>
  <c r="G116" i="8"/>
  <c r="AD86" i="15"/>
  <c r="AD86" i="23"/>
  <c r="AD85" i="15"/>
  <c r="AD85" i="23"/>
  <c r="G114" i="8"/>
  <c r="AD84" i="15"/>
  <c r="AD84" i="23"/>
  <c r="G113" i="8"/>
  <c r="AD83" i="15"/>
  <c r="AD83" i="23"/>
  <c r="B139" i="2"/>
  <c r="AM82" i="2"/>
  <c r="G115" i="24"/>
  <c r="G109" i="8"/>
  <c r="AD81" i="15"/>
  <c r="AD81" i="23"/>
  <c r="AM81" i="2"/>
  <c r="G114" i="24"/>
  <c r="G108" i="8"/>
  <c r="AD80" i="15"/>
  <c r="AD80" i="23"/>
  <c r="G110" i="24"/>
  <c r="G104" i="8"/>
  <c r="AM79" i="2"/>
  <c r="G109" i="24"/>
  <c r="AD78" i="15"/>
  <c r="AD78" i="23"/>
  <c r="AM78" i="2"/>
  <c r="G108" i="24"/>
  <c r="G103" i="8"/>
  <c r="AD77" i="15"/>
  <c r="AD77" i="23"/>
  <c r="AM77" i="2"/>
  <c r="G107" i="24"/>
  <c r="G102" i="8"/>
  <c r="AD76" i="15"/>
  <c r="AD76" i="23"/>
  <c r="AM76" i="2"/>
  <c r="G104" i="24"/>
  <c r="G99" i="8"/>
  <c r="AD75" i="15"/>
  <c r="AD75" i="23"/>
  <c r="AM75" i="2"/>
  <c r="G103" i="24"/>
  <c r="G98" i="8"/>
  <c r="AD74" i="15"/>
  <c r="AD74" i="23"/>
  <c r="AM74" i="2"/>
  <c r="B127" i="2"/>
  <c r="G102" i="24"/>
  <c r="G101" i="24" s="1"/>
  <c r="G97" i="8"/>
  <c r="G96" i="8" s="1"/>
  <c r="AD73" i="15"/>
  <c r="AD73" i="23"/>
  <c r="AM29" i="2"/>
  <c r="AD29" i="15"/>
  <c r="AD29" i="23"/>
  <c r="G45" i="24"/>
  <c r="G43" i="8"/>
  <c r="AM28" i="2"/>
  <c r="G44" i="24"/>
  <c r="G42" i="8"/>
  <c r="AD28" i="15"/>
  <c r="AD28" i="23"/>
  <c r="AM27" i="2"/>
  <c r="G41" i="8"/>
  <c r="AD27" i="15"/>
  <c r="AD27" i="23"/>
  <c r="G43" i="24"/>
  <c r="G34" i="8"/>
  <c r="AD20" i="15"/>
  <c r="AD20" i="23"/>
  <c r="AG16" i="2"/>
  <c r="AH16" i="2"/>
  <c r="AJ16" i="2"/>
  <c r="E16" i="23"/>
  <c r="AL16" i="2"/>
  <c r="AI16" i="2"/>
  <c r="E105" i="2" s="1"/>
  <c r="E16" i="15"/>
  <c r="AK16" i="2"/>
  <c r="G105" i="2" s="1"/>
  <c r="AF16" i="2"/>
  <c r="AD15" i="15"/>
  <c r="AD15" i="23"/>
  <c r="AM15" i="2"/>
  <c r="G29" i="24"/>
  <c r="G28" i="8"/>
  <c r="G26" i="24"/>
  <c r="AD13" i="15"/>
  <c r="AD13" i="23"/>
  <c r="G25" i="8"/>
  <c r="M48" i="24"/>
  <c r="AJ30" i="23"/>
  <c r="M46" i="8"/>
  <c r="AI30" i="23"/>
  <c r="L46" i="8"/>
  <c r="L48" i="24"/>
  <c r="K48" i="24"/>
  <c r="AH30" i="23"/>
  <c r="K46" i="8"/>
  <c r="J48" i="24"/>
  <c r="AG30" i="23"/>
  <c r="J46" i="8"/>
  <c r="I48" i="24"/>
  <c r="AF30" i="23"/>
  <c r="I46" i="8"/>
  <c r="AE30" i="23"/>
  <c r="H46" i="8"/>
  <c r="H48" i="24"/>
  <c r="C6" i="14"/>
  <c r="G48" i="24"/>
  <c r="F48" i="24" s="1"/>
  <c r="F10" i="24" s="1"/>
  <c r="AD30" i="23"/>
  <c r="G46" i="8"/>
  <c r="AM31" i="2"/>
  <c r="C110" i="2"/>
  <c r="D110" i="2" s="1"/>
  <c r="AF73" i="2"/>
  <c r="AL73" i="2"/>
  <c r="AK73" i="2"/>
  <c r="AJ73" i="2"/>
  <c r="AI73" i="2"/>
  <c r="AH73" i="2"/>
  <c r="AG73" i="2"/>
  <c r="E72" i="23"/>
  <c r="E72" i="15"/>
  <c r="M45" i="8"/>
  <c r="M47" i="24"/>
  <c r="AJ30" i="15"/>
  <c r="AI30" i="15"/>
  <c r="L45" i="8"/>
  <c r="L47" i="24"/>
  <c r="K45" i="8"/>
  <c r="K47" i="24"/>
  <c r="AH30" i="15"/>
  <c r="J45" i="8"/>
  <c r="AG30" i="15"/>
  <c r="J47" i="24"/>
  <c r="AF30" i="15"/>
  <c r="I45" i="8"/>
  <c r="I47" i="24"/>
  <c r="H45" i="8"/>
  <c r="AE30" i="15"/>
  <c r="H47" i="24"/>
  <c r="AD30" i="15"/>
  <c r="G45" i="8"/>
  <c r="F45" i="8" s="1"/>
  <c r="F9" i="8" s="1"/>
  <c r="G47" i="24"/>
  <c r="F47" i="24" s="1"/>
  <c r="F9" i="24" s="1"/>
  <c r="C109" i="2"/>
  <c r="AM30" i="2"/>
  <c r="AM93" i="2"/>
  <c r="AD92" i="15"/>
  <c r="G131" i="24"/>
  <c r="AD92" i="23"/>
  <c r="G126" i="8"/>
  <c r="AF66" i="2"/>
  <c r="E19" i="23"/>
  <c r="E19" i="15"/>
  <c r="AM19" i="2"/>
  <c r="E18" i="23"/>
  <c r="E18" i="15"/>
  <c r="I35" i="24"/>
  <c r="AF18" i="23"/>
  <c r="AF18" i="15"/>
  <c r="M71" i="24"/>
  <c r="AJ51" i="23"/>
  <c r="M69" i="8"/>
  <c r="AI51" i="15"/>
  <c r="L69" i="8"/>
  <c r="AG51" i="23"/>
  <c r="J69" i="8"/>
  <c r="AG51" i="15"/>
  <c r="J71" i="24"/>
  <c r="AF51" i="15"/>
  <c r="I71" i="24"/>
  <c r="I69" i="8"/>
  <c r="AE51" i="15"/>
  <c r="H71" i="24"/>
  <c r="AE51" i="23"/>
  <c r="AJ50" i="15"/>
  <c r="AJ50" i="23"/>
  <c r="AI50" i="15"/>
  <c r="AI50" i="23"/>
  <c r="L70" i="24"/>
  <c r="M68" i="24"/>
  <c r="M64" i="8"/>
  <c r="L68" i="24"/>
  <c r="AI46" i="15"/>
  <c r="J68" i="24"/>
  <c r="AG46" i="23"/>
  <c r="AG46" i="15"/>
  <c r="J64" i="8"/>
  <c r="I68" i="24"/>
  <c r="AF46" i="23"/>
  <c r="AF46" i="15"/>
  <c r="I64" i="8"/>
  <c r="H68" i="24"/>
  <c r="H64" i="8"/>
  <c r="AE46" i="23"/>
  <c r="AE46" i="15"/>
  <c r="M58" i="24"/>
  <c r="AJ36" i="23"/>
  <c r="AJ36" i="15"/>
  <c r="M54" i="8"/>
  <c r="L58" i="24"/>
  <c r="AI36" i="23"/>
  <c r="L54" i="8"/>
  <c r="AI36" i="15"/>
  <c r="K58" i="24"/>
  <c r="AH36" i="23"/>
  <c r="AH36" i="15"/>
  <c r="K54" i="8"/>
  <c r="AG36" i="23"/>
  <c r="AG36" i="15"/>
  <c r="J54" i="8"/>
  <c r="AF36" i="23"/>
  <c r="I54" i="8"/>
  <c r="AF36" i="15"/>
  <c r="AE36" i="15"/>
  <c r="H54" i="8"/>
  <c r="AI34" i="23"/>
  <c r="L52" i="8"/>
  <c r="AI34" i="15"/>
  <c r="L56" i="24"/>
  <c r="K52" i="8"/>
  <c r="AH34" i="15"/>
  <c r="AH34" i="23"/>
  <c r="K56" i="24"/>
  <c r="J52" i="8"/>
  <c r="AG34" i="23"/>
  <c r="J56" i="24"/>
  <c r="AG34" i="15"/>
  <c r="I52" i="8"/>
  <c r="AF34" i="23"/>
  <c r="M51" i="8"/>
  <c r="AJ33" i="23"/>
  <c r="AH33" i="23"/>
  <c r="AH33" i="15"/>
  <c r="K51" i="8"/>
  <c r="K54" i="24"/>
  <c r="J51" i="8"/>
  <c r="AG33" i="23"/>
  <c r="AG33" i="15"/>
  <c r="J54" i="24"/>
  <c r="I51" i="8"/>
  <c r="AF33" i="23"/>
  <c r="AF33" i="15"/>
  <c r="I54" i="24"/>
  <c r="H54" i="24"/>
  <c r="AE33" i="23"/>
  <c r="M50" i="8"/>
  <c r="AJ32" i="23"/>
  <c r="AJ32" i="15"/>
  <c r="M52" i="24"/>
  <c r="L52" i="24"/>
  <c r="AI32" i="23"/>
  <c r="K52" i="24"/>
  <c r="AH32" i="15"/>
  <c r="J50" i="8"/>
  <c r="AG32" i="15"/>
  <c r="I52" i="24"/>
  <c r="AF32" i="15"/>
  <c r="H50" i="8"/>
  <c r="AE32" i="15"/>
  <c r="E45" i="23"/>
  <c r="E45" i="15"/>
  <c r="K63" i="8"/>
  <c r="AH45" i="15"/>
  <c r="K67" i="24"/>
  <c r="J63" i="8"/>
  <c r="AG45" i="23"/>
  <c r="J67" i="24"/>
  <c r="I63" i="8"/>
  <c r="AF45" i="23"/>
  <c r="I67" i="24"/>
  <c r="H67" i="24"/>
  <c r="AE45" i="23"/>
  <c r="AE45" i="15"/>
  <c r="E40" i="15"/>
  <c r="E40" i="23"/>
  <c r="AJ40" i="23"/>
  <c r="AJ40" i="15"/>
  <c r="M62" i="24"/>
  <c r="AI40" i="15"/>
  <c r="L62" i="24"/>
  <c r="AH40" i="15"/>
  <c r="K62" i="24"/>
  <c r="I62" i="24"/>
  <c r="I58" i="8"/>
  <c r="H62" i="24"/>
  <c r="AE40" i="23"/>
  <c r="AJ44" i="15"/>
  <c r="M62" i="8"/>
  <c r="AI44" i="23"/>
  <c r="L62" i="8"/>
  <c r="AH44" i="15"/>
  <c r="K62" i="8"/>
  <c r="AG44" i="15"/>
  <c r="J62" i="8"/>
  <c r="AF44" i="15"/>
  <c r="I62" i="8"/>
  <c r="AE44" i="15"/>
  <c r="H62" i="8"/>
  <c r="AJ43" i="15"/>
  <c r="M65" i="24"/>
  <c r="K65" i="24"/>
  <c r="AH43" i="23"/>
  <c r="K61" i="8"/>
  <c r="AE43" i="15"/>
  <c r="AE43" i="23"/>
  <c r="H61" i="8"/>
  <c r="H65" i="24"/>
  <c r="E42" i="23"/>
  <c r="E42" i="15"/>
  <c r="E37" i="15"/>
  <c r="E37" i="23"/>
  <c r="AJ39" i="23"/>
  <c r="AJ39" i="15"/>
  <c r="M57" i="8"/>
  <c r="AI39" i="23"/>
  <c r="J56" i="8"/>
  <c r="J60" i="24"/>
  <c r="AF38" i="15"/>
  <c r="I56" i="8"/>
  <c r="H60" i="24"/>
  <c r="H56" i="8"/>
  <c r="E23" i="23"/>
  <c r="E23" i="15"/>
  <c r="E24" i="23"/>
  <c r="E24" i="15"/>
  <c r="M40" i="8"/>
  <c r="AJ26" i="23"/>
  <c r="AI26" i="23"/>
  <c r="AI26" i="15"/>
  <c r="AH26" i="23"/>
  <c r="AH26" i="15"/>
  <c r="AG26" i="23"/>
  <c r="AG26" i="15"/>
  <c r="AF26" i="23"/>
  <c r="AF26" i="15"/>
  <c r="AE26" i="23"/>
  <c r="AE26" i="15"/>
  <c r="AH25" i="23"/>
  <c r="K39" i="8"/>
  <c r="K41" i="24"/>
  <c r="AH25" i="15"/>
  <c r="AG25" i="23"/>
  <c r="J39" i="8"/>
  <c r="J41" i="24"/>
  <c r="AG25" i="15"/>
  <c r="AF25" i="23"/>
  <c r="I41" i="24"/>
  <c r="I39" i="8"/>
  <c r="AF25" i="15"/>
  <c r="AE25" i="23"/>
  <c r="H41" i="24"/>
  <c r="H39" i="8"/>
  <c r="AE25" i="15"/>
  <c r="G39" i="8"/>
  <c r="AD25" i="15"/>
  <c r="AJ24" i="15"/>
  <c r="AJ24" i="23"/>
  <c r="AI24" i="15"/>
  <c r="AI24" i="23"/>
  <c r="K38" i="8"/>
  <c r="AH24" i="23"/>
  <c r="AJ23" i="15"/>
  <c r="M39" i="24"/>
  <c r="M37" i="8"/>
  <c r="AJ23" i="23"/>
  <c r="AI23" i="15"/>
  <c r="L37" i="8"/>
  <c r="L39" i="24"/>
  <c r="AI23" i="23"/>
  <c r="K37" i="8"/>
  <c r="AH23" i="23"/>
  <c r="J37" i="8"/>
  <c r="AG23" i="23"/>
  <c r="AF22" i="15"/>
  <c r="I36" i="8"/>
  <c r="AF22" i="23"/>
  <c r="AE22" i="23"/>
  <c r="H36" i="8"/>
  <c r="AE22" i="15"/>
  <c r="AD22" i="23"/>
  <c r="AD22" i="15"/>
  <c r="G36" i="8"/>
  <c r="AJ21" i="15"/>
  <c r="AJ21" i="23"/>
  <c r="M38" i="24"/>
  <c r="AI21" i="15"/>
  <c r="L38" i="24"/>
  <c r="AH21" i="15"/>
  <c r="K38" i="24"/>
  <c r="I35" i="8"/>
  <c r="AF21" i="23"/>
  <c r="AE21" i="15"/>
  <c r="AE21" i="23"/>
  <c r="H38" i="24"/>
  <c r="AD21" i="23"/>
  <c r="G38" i="24"/>
  <c r="J33" i="8"/>
  <c r="AG19" i="23"/>
  <c r="AG19" i="15"/>
  <c r="J36" i="24"/>
  <c r="M35" i="24"/>
  <c r="AJ18" i="23"/>
  <c r="AJ18" i="15"/>
  <c r="M32" i="8"/>
  <c r="L35" i="24"/>
  <c r="AI18" i="23"/>
  <c r="L32" i="8"/>
  <c r="K35" i="24"/>
  <c r="K32" i="8"/>
  <c r="AH18" i="23"/>
  <c r="J32" i="8"/>
  <c r="J35" i="24"/>
  <c r="AG18" i="23"/>
  <c r="M22" i="24"/>
  <c r="L22" i="24"/>
  <c r="K22" i="24"/>
  <c r="K22" i="18"/>
  <c r="AK24" i="15"/>
  <c r="K22" i="21"/>
  <c r="AP24" i="2"/>
  <c r="AK24" i="23"/>
  <c r="AM25" i="2"/>
  <c r="AG21" i="23"/>
  <c r="AH22" i="23"/>
  <c r="I38" i="24"/>
  <c r="AH21" i="23"/>
  <c r="AI22" i="23"/>
  <c r="AM22" i="2"/>
  <c r="J38" i="24"/>
  <c r="L41" i="24"/>
  <c r="J36" i="8"/>
  <c r="L39" i="8"/>
  <c r="AD26" i="15"/>
  <c r="AI21" i="23"/>
  <c r="AJ22" i="23"/>
  <c r="AG22" i="23"/>
  <c r="M41" i="24"/>
  <c r="K36" i="8"/>
  <c r="G38" i="8"/>
  <c r="M39" i="8"/>
  <c r="J40" i="24"/>
  <c r="H35" i="8"/>
  <c r="J38" i="8"/>
  <c r="AE23" i="15"/>
  <c r="AF24" i="15"/>
  <c r="L40" i="24"/>
  <c r="H42" i="24"/>
  <c r="J35" i="8"/>
  <c r="L38" i="8"/>
  <c r="H40" i="8"/>
  <c r="AG23" i="15"/>
  <c r="AH24" i="15"/>
  <c r="AI25" i="15"/>
  <c r="AJ26" i="15"/>
  <c r="AD26" i="23"/>
  <c r="G39" i="24"/>
  <c r="M40" i="24"/>
  <c r="I42" i="24"/>
  <c r="K35" i="8"/>
  <c r="G37" i="8"/>
  <c r="M38" i="8"/>
  <c r="I40" i="8"/>
  <c r="AF21" i="15"/>
  <c r="AH23" i="15"/>
  <c r="AJ25" i="15"/>
  <c r="AD25" i="23"/>
  <c r="AM26" i="2"/>
  <c r="H39" i="24"/>
  <c r="J42" i="24"/>
  <c r="L35" i="8"/>
  <c r="H37" i="8"/>
  <c r="J40" i="8"/>
  <c r="AD24" i="23"/>
  <c r="I39" i="24"/>
  <c r="K42" i="24"/>
  <c r="M35" i="8"/>
  <c r="I37" i="8"/>
  <c r="K40" i="8"/>
  <c r="AI22" i="15"/>
  <c r="AD23" i="23"/>
  <c r="AE24" i="23"/>
  <c r="H40" i="24"/>
  <c r="H38" i="8"/>
  <c r="K40" i="24"/>
  <c r="AM23" i="2"/>
  <c r="J39" i="24"/>
  <c r="L42" i="24"/>
  <c r="L40" i="8"/>
  <c r="AJ22" i="15"/>
  <c r="AF24" i="23"/>
  <c r="G40" i="24"/>
  <c r="AD24" i="15"/>
  <c r="I40" i="24"/>
  <c r="G35" i="8"/>
  <c r="G42" i="24"/>
  <c r="AD21" i="15"/>
  <c r="AF23" i="15"/>
  <c r="AG24" i="15"/>
  <c r="AM21" i="2"/>
  <c r="K39" i="24"/>
  <c r="G41" i="24"/>
  <c r="M42" i="24"/>
  <c r="K16" i="21"/>
  <c r="AP18" i="2"/>
  <c r="K16" i="18"/>
  <c r="AK18" i="23"/>
  <c r="AK18" i="15"/>
  <c r="G36" i="24"/>
  <c r="G32" i="8"/>
  <c r="M33" i="8"/>
  <c r="AD19" i="15"/>
  <c r="AD19" i="23"/>
  <c r="H36" i="24"/>
  <c r="H32" i="8"/>
  <c r="AD18" i="15"/>
  <c r="AE19" i="15"/>
  <c r="AD18" i="23"/>
  <c r="AE19" i="23"/>
  <c r="L33" i="8"/>
  <c r="I36" i="24"/>
  <c r="I32" i="8"/>
  <c r="AE18" i="15"/>
  <c r="AF19" i="15"/>
  <c r="AE18" i="23"/>
  <c r="AF19" i="23"/>
  <c r="G33" i="8"/>
  <c r="K36" i="24"/>
  <c r="AH19" i="15"/>
  <c r="AH19" i="23"/>
  <c r="G35" i="24"/>
  <c r="M36" i="24"/>
  <c r="AJ19" i="15"/>
  <c r="L36" i="24"/>
  <c r="AI19" i="15"/>
  <c r="M70" i="24"/>
  <c r="H69" i="8"/>
  <c r="AE50" i="23"/>
  <c r="AF51" i="23"/>
  <c r="AF50" i="23"/>
  <c r="AG50" i="23"/>
  <c r="AH51" i="23"/>
  <c r="K69" i="8"/>
  <c r="AH50" i="23"/>
  <c r="AI51" i="23"/>
  <c r="K71" i="24"/>
  <c r="J68" i="8"/>
  <c r="L71" i="24"/>
  <c r="K68" i="8"/>
  <c r="AE50" i="15"/>
  <c r="I68" i="8"/>
  <c r="L68" i="8"/>
  <c r="H70" i="24"/>
  <c r="M68" i="8"/>
  <c r="AG50" i="15"/>
  <c r="I70" i="24"/>
  <c r="AH50" i="15"/>
  <c r="AJ51" i="15"/>
  <c r="M67" i="24"/>
  <c r="H66" i="24"/>
  <c r="AE44" i="23"/>
  <c r="I58" i="24"/>
  <c r="I66" i="24"/>
  <c r="AF44" i="23"/>
  <c r="AH46" i="23"/>
  <c r="J58" i="24"/>
  <c r="J66" i="24"/>
  <c r="I61" i="8"/>
  <c r="K64" i="8"/>
  <c r="AF45" i="15"/>
  <c r="AF43" i="23"/>
  <c r="AG44" i="23"/>
  <c r="AH45" i="23"/>
  <c r="AI46" i="23"/>
  <c r="K66" i="24"/>
  <c r="H58" i="8"/>
  <c r="J61" i="8"/>
  <c r="L64" i="8"/>
  <c r="AG45" i="15"/>
  <c r="AH46" i="15"/>
  <c r="AG43" i="23"/>
  <c r="AH44" i="23"/>
  <c r="AI45" i="23"/>
  <c r="AJ46" i="23"/>
  <c r="M66" i="24"/>
  <c r="J58" i="8"/>
  <c r="L61" i="8"/>
  <c r="H63" i="8"/>
  <c r="AG43" i="15"/>
  <c r="AI45" i="15"/>
  <c r="AJ46" i="15"/>
  <c r="AF40" i="23"/>
  <c r="AI43" i="23"/>
  <c r="AJ44" i="23"/>
  <c r="K58" i="8"/>
  <c r="M61" i="8"/>
  <c r="AE40" i="15"/>
  <c r="AH43" i="15"/>
  <c r="AI44" i="15"/>
  <c r="AJ45" i="15"/>
  <c r="AG40" i="23"/>
  <c r="AJ43" i="23"/>
  <c r="I65" i="24"/>
  <c r="L58" i="8"/>
  <c r="AF40" i="15"/>
  <c r="AI43" i="15"/>
  <c r="AH40" i="23"/>
  <c r="M58" i="8"/>
  <c r="AG40" i="15"/>
  <c r="AE36" i="23"/>
  <c r="AI40" i="23"/>
  <c r="AF43" i="15"/>
  <c r="AJ45" i="23"/>
  <c r="L63" i="8"/>
  <c r="H58" i="24"/>
  <c r="L66" i="24"/>
  <c r="AE32" i="23"/>
  <c r="H51" i="8"/>
  <c r="L54" i="24"/>
  <c r="H56" i="24"/>
  <c r="AE34" i="15"/>
  <c r="AG32" i="23"/>
  <c r="M52" i="8"/>
  <c r="AF32" i="23"/>
  <c r="M54" i="24"/>
  <c r="I56" i="24"/>
  <c r="AE33" i="15"/>
  <c r="AF34" i="15"/>
  <c r="AH32" i="23"/>
  <c r="AI33" i="23"/>
  <c r="AJ34" i="23"/>
  <c r="I50" i="8"/>
  <c r="AI32" i="15"/>
  <c r="AJ33" i="15"/>
  <c r="H52" i="24"/>
  <c r="K50" i="8"/>
  <c r="L50" i="8"/>
  <c r="H52" i="8"/>
  <c r="J52" i="24"/>
  <c r="M56" i="24"/>
  <c r="L51" i="8"/>
  <c r="H95" i="24"/>
  <c r="H22" i="24"/>
  <c r="J22" i="24"/>
  <c r="AG10" i="15"/>
  <c r="AH10" i="15"/>
  <c r="AI10" i="15"/>
  <c r="AG69" i="2"/>
  <c r="AE68" i="15" s="1"/>
  <c r="J21" i="24"/>
  <c r="AJ69" i="2"/>
  <c r="K90" i="8" s="1"/>
  <c r="K21" i="24"/>
  <c r="M21" i="24"/>
  <c r="AJ10" i="23"/>
  <c r="K21" i="8"/>
  <c r="E68" i="15"/>
  <c r="M21" i="8"/>
  <c r="AI69" i="2"/>
  <c r="L21" i="24"/>
  <c r="L21" i="8"/>
  <c r="H94" i="24"/>
  <c r="AI66" i="2"/>
  <c r="J91" i="24" s="1"/>
  <c r="AJ9" i="23"/>
  <c r="AG66" i="2"/>
  <c r="AE65" i="15" s="1"/>
  <c r="AH66" i="2"/>
  <c r="AL66" i="2"/>
  <c r="AH9" i="23"/>
  <c r="AI9" i="23"/>
  <c r="E65" i="23"/>
  <c r="AG65" i="15"/>
  <c r="AJ66" i="2"/>
  <c r="E65" i="15"/>
  <c r="AK66" i="2"/>
  <c r="AI65" i="23" s="1"/>
  <c r="J20" i="8"/>
  <c r="J20" i="24"/>
  <c r="K20" i="24"/>
  <c r="K20" i="8"/>
  <c r="L20" i="24"/>
  <c r="L20" i="8"/>
  <c r="M20" i="24"/>
  <c r="M20" i="8"/>
  <c r="AF65" i="23"/>
  <c r="AG9" i="15"/>
  <c r="AG65" i="23"/>
  <c r="H87" i="8"/>
  <c r="J87" i="8"/>
  <c r="AJ65" i="23"/>
  <c r="AH8" i="15"/>
  <c r="AI8" i="15"/>
  <c r="E70" i="15"/>
  <c r="AJ8" i="15"/>
  <c r="K97" i="24"/>
  <c r="K92" i="8"/>
  <c r="AH70" i="23"/>
  <c r="AH70" i="15"/>
  <c r="AG71" i="2"/>
  <c r="AG8" i="23"/>
  <c r="AI71" i="2"/>
  <c r="J19" i="24"/>
  <c r="E70" i="23"/>
  <c r="AK71" i="2"/>
  <c r="K19" i="24"/>
  <c r="K19" i="8"/>
  <c r="AJ8" i="23"/>
  <c r="AL71" i="2"/>
  <c r="L19" i="24"/>
  <c r="L19" i="8"/>
  <c r="M19" i="24"/>
  <c r="AH71" i="2"/>
  <c r="J19" i="8"/>
  <c r="I96" i="24"/>
  <c r="AF69" i="23"/>
  <c r="AG70" i="2"/>
  <c r="H96" i="24" s="1"/>
  <c r="L18" i="8"/>
  <c r="E69" i="23"/>
  <c r="AI70" i="2"/>
  <c r="E69" i="15"/>
  <c r="AL70" i="2"/>
  <c r="AK70" i="2"/>
  <c r="AJ70" i="2"/>
  <c r="AI7" i="15"/>
  <c r="AJ7" i="23"/>
  <c r="M18" i="8"/>
  <c r="AI7" i="23"/>
  <c r="J18" i="24"/>
  <c r="J18" i="8"/>
  <c r="AG7" i="23"/>
  <c r="L18" i="24"/>
  <c r="K18" i="24"/>
  <c r="K18" i="8"/>
  <c r="AH7" i="15"/>
  <c r="I91" i="8"/>
  <c r="AF69" i="15"/>
  <c r="M18" i="24"/>
  <c r="AM96" i="2" l="1"/>
  <c r="G129" i="8"/>
  <c r="G134" i="24"/>
  <c r="AD95" i="15"/>
  <c r="AD95" i="23"/>
  <c r="AM61" i="2"/>
  <c r="G80" i="8"/>
  <c r="AD60" i="15"/>
  <c r="AD60" i="23"/>
  <c r="G84" i="24"/>
  <c r="AM13" i="2"/>
  <c r="AM12" i="2"/>
  <c r="G24" i="8"/>
  <c r="G23" i="8" s="1"/>
  <c r="AD12" i="15"/>
  <c r="AD12" i="23"/>
  <c r="G25" i="24"/>
  <c r="G24" i="24" s="1"/>
  <c r="H25" i="24"/>
  <c r="AE12" i="15"/>
  <c r="AE12" i="23"/>
  <c r="H24" i="8"/>
  <c r="AE10" i="23"/>
  <c r="H21" i="24"/>
  <c r="H20" i="24"/>
  <c r="AE9" i="23"/>
  <c r="AE8" i="15"/>
  <c r="H19" i="24"/>
  <c r="AE8" i="23"/>
  <c r="H19" i="8"/>
  <c r="G18" i="24"/>
  <c r="AD7" i="15"/>
  <c r="G18" i="8"/>
  <c r="AD7" i="23"/>
  <c r="AE13" i="23"/>
  <c r="H26" i="24"/>
  <c r="H25" i="8"/>
  <c r="AE13" i="15"/>
  <c r="AD8" i="15"/>
  <c r="G19" i="8"/>
  <c r="AD8" i="23"/>
  <c r="G19" i="24"/>
  <c r="AD10" i="15"/>
  <c r="G21" i="24"/>
  <c r="AD10" i="23"/>
  <c r="G21" i="8"/>
  <c r="AD9" i="23"/>
  <c r="G20" i="24"/>
  <c r="H18" i="8"/>
  <c r="AE7" i="23"/>
  <c r="AE7" i="15"/>
  <c r="H18" i="24"/>
  <c r="AE38" i="15"/>
  <c r="AE38" i="23"/>
  <c r="I60" i="24"/>
  <c r="AF38" i="23"/>
  <c r="AG38" i="15"/>
  <c r="AG38" i="23"/>
  <c r="K60" i="24"/>
  <c r="K56" i="8"/>
  <c r="L60" i="24"/>
  <c r="L56" i="8"/>
  <c r="H57" i="8"/>
  <c r="AE39" i="23"/>
  <c r="I57" i="8"/>
  <c r="I61" i="24"/>
  <c r="AF39" i="15"/>
  <c r="AF39" i="23"/>
  <c r="AG39" i="23"/>
  <c r="AG39" i="15"/>
  <c r="AH39" i="23"/>
  <c r="K61" i="24"/>
  <c r="AI68" i="23"/>
  <c r="AI68" i="15"/>
  <c r="I90" i="8"/>
  <c r="AF68" i="23"/>
  <c r="I94" i="24"/>
  <c r="AF68" i="15"/>
  <c r="AJ68" i="23"/>
  <c r="M90" i="8"/>
  <c r="M94" i="24"/>
  <c r="AJ68" i="15"/>
  <c r="F39" i="8"/>
  <c r="H61" i="24"/>
  <c r="AE39" i="15"/>
  <c r="AF38" i="2"/>
  <c r="AF42" i="2"/>
  <c r="G132" i="24"/>
  <c r="AD93" i="23"/>
  <c r="AM94" i="2"/>
  <c r="AD93" i="15"/>
  <c r="G127" i="8"/>
  <c r="AG38" i="2"/>
  <c r="AH38" i="2"/>
  <c r="AI38" i="2"/>
  <c r="AJ38" i="2"/>
  <c r="AK38" i="2"/>
  <c r="AL38" i="2"/>
  <c r="AK42" i="2"/>
  <c r="AG42" i="2"/>
  <c r="AI42" i="2"/>
  <c r="AJ42" i="2"/>
  <c r="AL42" i="2"/>
  <c r="E41" i="23"/>
  <c r="AH42" i="2"/>
  <c r="E41" i="15"/>
  <c r="H31" i="24"/>
  <c r="H30" i="8"/>
  <c r="AE17" i="15"/>
  <c r="AE17" i="23"/>
  <c r="AM87" i="2"/>
  <c r="AM17" i="2"/>
  <c r="AM20" i="2"/>
  <c r="F46" i="8"/>
  <c r="F10" i="8" s="1"/>
  <c r="F105" i="2"/>
  <c r="H105" i="2"/>
  <c r="G75" i="8"/>
  <c r="AD55" i="23"/>
  <c r="AD55" i="15"/>
  <c r="AM56" i="2"/>
  <c r="G77" i="24"/>
  <c r="G80" i="24"/>
  <c r="AD57" i="15"/>
  <c r="AM58" i="2"/>
  <c r="AD57" i="23"/>
  <c r="G77" i="8"/>
  <c r="AD34" i="23"/>
  <c r="G56" i="24"/>
  <c r="AD34" i="15"/>
  <c r="AH38" i="23"/>
  <c r="AH38" i="15"/>
  <c r="AI38" i="23"/>
  <c r="AI38" i="15"/>
  <c r="M60" i="24"/>
  <c r="AJ38" i="23"/>
  <c r="AJ38" i="15"/>
  <c r="M56" i="8"/>
  <c r="J61" i="24"/>
  <c r="J57" i="8"/>
  <c r="K57" i="8"/>
  <c r="AH39" i="15"/>
  <c r="L57" i="8"/>
  <c r="AI39" i="15"/>
  <c r="AM63" i="2"/>
  <c r="G86" i="24"/>
  <c r="G82" i="8"/>
  <c r="AD62" i="15"/>
  <c r="AD62" i="23"/>
  <c r="G81" i="24"/>
  <c r="AM59" i="2"/>
  <c r="AD58" i="23"/>
  <c r="AD58" i="15"/>
  <c r="G78" i="8"/>
  <c r="AM62" i="2"/>
  <c r="AD61" i="15"/>
  <c r="AD61" i="23"/>
  <c r="G85" i="24"/>
  <c r="G81" i="8"/>
  <c r="AD56" i="23"/>
  <c r="AM57" i="2"/>
  <c r="G78" i="24"/>
  <c r="G76" i="24" s="1"/>
  <c r="F76" i="24" s="1"/>
  <c r="G76" i="8"/>
  <c r="AD56" i="15"/>
  <c r="AM60" i="2"/>
  <c r="G79" i="8"/>
  <c r="AD59" i="15"/>
  <c r="AD59" i="23"/>
  <c r="G83" i="24"/>
  <c r="AD52" i="23"/>
  <c r="AM53" i="2"/>
  <c r="G72" i="24"/>
  <c r="G70" i="8"/>
  <c r="AD52" i="15"/>
  <c r="AD47" i="15"/>
  <c r="G69" i="24"/>
  <c r="G65" i="8"/>
  <c r="AD47" i="23"/>
  <c r="AM48" i="2"/>
  <c r="G71" i="8"/>
  <c r="AM54" i="2"/>
  <c r="G73" i="24"/>
  <c r="AD53" i="15"/>
  <c r="AD53" i="23"/>
  <c r="G68" i="24"/>
  <c r="G64" i="8"/>
  <c r="AD46" i="15"/>
  <c r="AD46" i="23"/>
  <c r="AM47" i="2"/>
  <c r="G70" i="24"/>
  <c r="G68" i="8"/>
  <c r="AD50" i="23"/>
  <c r="AD43" i="15"/>
  <c r="AD43" i="23"/>
  <c r="AM44" i="2"/>
  <c r="G65" i="24"/>
  <c r="G61" i="8"/>
  <c r="AD32" i="23"/>
  <c r="AM33" i="2"/>
  <c r="AD54" i="23"/>
  <c r="G74" i="24"/>
  <c r="G72" i="8"/>
  <c r="AM55" i="2"/>
  <c r="AD54" i="15"/>
  <c r="AM52" i="2"/>
  <c r="AD51" i="15"/>
  <c r="G69" i="8"/>
  <c r="G71" i="24"/>
  <c r="AD51" i="23"/>
  <c r="AM46" i="2"/>
  <c r="G63" i="8"/>
  <c r="G67" i="24"/>
  <c r="AD45" i="23"/>
  <c r="AD45" i="15"/>
  <c r="AM32" i="2"/>
  <c r="G51" i="24"/>
  <c r="AD31" i="23"/>
  <c r="G49" i="8"/>
  <c r="AD31" i="15"/>
  <c r="G120" i="24"/>
  <c r="G115" i="8"/>
  <c r="AM84" i="2"/>
  <c r="G119" i="24"/>
  <c r="AM88" i="2"/>
  <c r="G122" i="24"/>
  <c r="G117" i="8"/>
  <c r="AD87" i="15"/>
  <c r="AD87" i="23"/>
  <c r="G62" i="8"/>
  <c r="G66" i="24"/>
  <c r="AD44" i="23"/>
  <c r="AM45" i="2"/>
  <c r="AD44" i="15"/>
  <c r="AD39" i="15"/>
  <c r="AM40" i="2"/>
  <c r="G61" i="24"/>
  <c r="AD39" i="23"/>
  <c r="G57" i="8"/>
  <c r="G52" i="8"/>
  <c r="AM35" i="2"/>
  <c r="G54" i="8"/>
  <c r="G58" i="24"/>
  <c r="AD36" i="23"/>
  <c r="AM37" i="2"/>
  <c r="AD36" i="15"/>
  <c r="AM51" i="2"/>
  <c r="AD50" i="15"/>
  <c r="AM39" i="2"/>
  <c r="AD38" i="23"/>
  <c r="G60" i="24"/>
  <c r="G56" i="8"/>
  <c r="AD38" i="15"/>
  <c r="AD33" i="23"/>
  <c r="G51" i="8"/>
  <c r="AD33" i="15"/>
  <c r="G54" i="24"/>
  <c r="AM34" i="2"/>
  <c r="AD32" i="15"/>
  <c r="G50" i="8"/>
  <c r="G52" i="24"/>
  <c r="G62" i="24"/>
  <c r="AM41" i="2"/>
  <c r="AD40" i="23"/>
  <c r="AD40" i="15"/>
  <c r="G58" i="8"/>
  <c r="G22" i="24"/>
  <c r="AM85" i="2"/>
  <c r="AM95" i="2"/>
  <c r="G133" i="24"/>
  <c r="G128" i="8"/>
  <c r="AD94" i="23"/>
  <c r="AD94" i="15"/>
  <c r="B151" i="2"/>
  <c r="G121" i="8"/>
  <c r="G119" i="8" s="1"/>
  <c r="AD89" i="15"/>
  <c r="AM90" i="2"/>
  <c r="B147" i="2"/>
  <c r="G126" i="24"/>
  <c r="G124" i="24" s="1"/>
  <c r="AD89" i="23"/>
  <c r="AM6" i="2"/>
  <c r="G17" i="24"/>
  <c r="AD6" i="15"/>
  <c r="G17" i="8"/>
  <c r="AD6" i="23"/>
  <c r="H17" i="24"/>
  <c r="AE6" i="15"/>
  <c r="AE6" i="23"/>
  <c r="H17" i="8"/>
  <c r="F33" i="8"/>
  <c r="AK43" i="2"/>
  <c r="AL43" i="2"/>
  <c r="AF43" i="2"/>
  <c r="AG43" i="2"/>
  <c r="AH43" i="2"/>
  <c r="AI43" i="2"/>
  <c r="AJ43" i="2"/>
  <c r="H155" i="2"/>
  <c r="I39" i="14" s="1"/>
  <c r="I55" i="14" s="1"/>
  <c r="AJ96" i="15"/>
  <c r="M132" i="8"/>
  <c r="M131" i="8" s="1"/>
  <c r="AJ96" i="23"/>
  <c r="I39" i="22"/>
  <c r="I55" i="22" s="1"/>
  <c r="AH96" i="15"/>
  <c r="F155" i="2"/>
  <c r="G39" i="14" s="1"/>
  <c r="G55" i="14" s="1"/>
  <c r="K132" i="8"/>
  <c r="K131" i="8" s="1"/>
  <c r="AH96" i="23"/>
  <c r="G39" i="22"/>
  <c r="G55" i="22" s="1"/>
  <c r="G155" i="2"/>
  <c r="H39" i="14" s="1"/>
  <c r="H55" i="14" s="1"/>
  <c r="AI96" i="23"/>
  <c r="H39" i="22"/>
  <c r="H55" i="22" s="1"/>
  <c r="AI96" i="15"/>
  <c r="L132" i="8"/>
  <c r="L131" i="8" s="1"/>
  <c r="AG96" i="23"/>
  <c r="F39" i="22"/>
  <c r="F55" i="22" s="1"/>
  <c r="E155" i="2"/>
  <c r="F39" i="14" s="1"/>
  <c r="F55" i="14" s="1"/>
  <c r="J132" i="8"/>
  <c r="J131" i="8" s="1"/>
  <c r="AG96" i="15"/>
  <c r="AJ95" i="15"/>
  <c r="M134" i="24"/>
  <c r="M129" i="8"/>
  <c r="AJ95" i="23"/>
  <c r="L129" i="8"/>
  <c r="AI95" i="15"/>
  <c r="L134" i="24"/>
  <c r="AI95" i="23"/>
  <c r="AH95" i="15"/>
  <c r="K134" i="24"/>
  <c r="K129" i="8"/>
  <c r="AH95" i="23"/>
  <c r="J134" i="24"/>
  <c r="AG95" i="15"/>
  <c r="J129" i="8"/>
  <c r="AG95" i="23"/>
  <c r="AF95" i="15"/>
  <c r="I134" i="24"/>
  <c r="I129" i="8"/>
  <c r="AF95" i="23"/>
  <c r="H134" i="24"/>
  <c r="AE95" i="15"/>
  <c r="H129" i="8"/>
  <c r="AE95" i="23"/>
  <c r="AG94" i="15"/>
  <c r="J133" i="24"/>
  <c r="J128" i="8"/>
  <c r="AG94" i="23"/>
  <c r="H133" i="24"/>
  <c r="H128" i="8"/>
  <c r="AE94" i="23"/>
  <c r="AE94" i="15"/>
  <c r="AF94" i="23"/>
  <c r="I133" i="24"/>
  <c r="I128" i="8"/>
  <c r="AF94" i="15"/>
  <c r="M133" i="24"/>
  <c r="AJ94" i="15"/>
  <c r="M128" i="8"/>
  <c r="AJ94" i="23"/>
  <c r="L128" i="8"/>
  <c r="AI94" i="15"/>
  <c r="L133" i="24"/>
  <c r="AI94" i="23"/>
  <c r="K133" i="24"/>
  <c r="K128" i="8"/>
  <c r="AH94" i="15"/>
  <c r="AH94" i="23"/>
  <c r="K132" i="24"/>
  <c r="K127" i="8"/>
  <c r="AH93" i="15"/>
  <c r="AH93" i="23"/>
  <c r="AG93" i="15"/>
  <c r="J132" i="24"/>
  <c r="J127" i="8"/>
  <c r="AG93" i="23"/>
  <c r="I132" i="24"/>
  <c r="I127" i="8"/>
  <c r="AF93" i="15"/>
  <c r="AF93" i="23"/>
  <c r="AE93" i="15"/>
  <c r="H132" i="24"/>
  <c r="H127" i="8"/>
  <c r="AE93" i="23"/>
  <c r="M127" i="8"/>
  <c r="AJ93" i="15"/>
  <c r="M132" i="24"/>
  <c r="AJ93" i="23"/>
  <c r="AI93" i="15"/>
  <c r="L132" i="24"/>
  <c r="L127" i="8"/>
  <c r="AI93" i="23"/>
  <c r="K126" i="8"/>
  <c r="K125" i="8" s="1"/>
  <c r="AH92" i="23"/>
  <c r="K131" i="24"/>
  <c r="K130" i="24" s="1"/>
  <c r="AH92" i="15"/>
  <c r="J131" i="24"/>
  <c r="J130" i="24" s="1"/>
  <c r="AG92" i="23"/>
  <c r="J126" i="8"/>
  <c r="J125" i="8" s="1"/>
  <c r="AG92" i="15"/>
  <c r="I126" i="8"/>
  <c r="I125" i="8" s="1"/>
  <c r="AF92" i="23"/>
  <c r="I131" i="24"/>
  <c r="I130" i="24" s="1"/>
  <c r="AF92" i="15"/>
  <c r="H131" i="24"/>
  <c r="H130" i="24" s="1"/>
  <c r="AE92" i="23"/>
  <c r="H126" i="8"/>
  <c r="H125" i="8" s="1"/>
  <c r="AE92" i="15"/>
  <c r="AF98" i="2"/>
  <c r="AG98" i="2"/>
  <c r="AH98" i="2"/>
  <c r="AJ98" i="2"/>
  <c r="AL98" i="2"/>
  <c r="E97" i="23"/>
  <c r="AI98" i="2"/>
  <c r="AK98" i="2"/>
  <c r="E97" i="15"/>
  <c r="M131" i="24"/>
  <c r="AJ92" i="23"/>
  <c r="M126" i="8"/>
  <c r="AJ92" i="15"/>
  <c r="L131" i="24"/>
  <c r="AI92" i="23"/>
  <c r="L126" i="8"/>
  <c r="AI92" i="15"/>
  <c r="L128" i="24"/>
  <c r="AI91" i="23"/>
  <c r="L123" i="8"/>
  <c r="AI91" i="15"/>
  <c r="K123" i="8"/>
  <c r="AH91" i="23"/>
  <c r="AH91" i="15"/>
  <c r="K128" i="24"/>
  <c r="I123" i="8"/>
  <c r="AF91" i="23"/>
  <c r="I128" i="24"/>
  <c r="AF91" i="15"/>
  <c r="H128" i="24"/>
  <c r="AE91" i="23"/>
  <c r="H123" i="8"/>
  <c r="AE91" i="15"/>
  <c r="J128" i="24"/>
  <c r="AG91" i="23"/>
  <c r="J123" i="8"/>
  <c r="AG91" i="15"/>
  <c r="M128" i="24"/>
  <c r="M123" i="8"/>
  <c r="AJ91" i="23"/>
  <c r="AJ91" i="15"/>
  <c r="H127" i="24"/>
  <c r="H122" i="8"/>
  <c r="AE90" i="23"/>
  <c r="AE90" i="15"/>
  <c r="L127" i="24"/>
  <c r="AI90" i="23"/>
  <c r="L122" i="8"/>
  <c r="AI90" i="15"/>
  <c r="AH90" i="23"/>
  <c r="K127" i="24"/>
  <c r="K122" i="8"/>
  <c r="AH90" i="15"/>
  <c r="J127" i="24"/>
  <c r="J122" i="8"/>
  <c r="AG90" i="23"/>
  <c r="AG90" i="15"/>
  <c r="AF90" i="23"/>
  <c r="I127" i="24"/>
  <c r="I122" i="8"/>
  <c r="AF90" i="15"/>
  <c r="M127" i="24"/>
  <c r="AJ90" i="23"/>
  <c r="M122" i="8"/>
  <c r="AJ90" i="15"/>
  <c r="AG89" i="15"/>
  <c r="J126" i="24"/>
  <c r="J121" i="8"/>
  <c r="AG89" i="23"/>
  <c r="AF89" i="15"/>
  <c r="I121" i="8"/>
  <c r="I126" i="24"/>
  <c r="AF89" i="23"/>
  <c r="H126" i="24"/>
  <c r="H121" i="8"/>
  <c r="AE89" i="15"/>
  <c r="AE89" i="23"/>
  <c r="L121" i="8"/>
  <c r="AI89" i="15"/>
  <c r="L126" i="24"/>
  <c r="AI89" i="23"/>
  <c r="K126" i="24"/>
  <c r="K121" i="8"/>
  <c r="AH89" i="15"/>
  <c r="AH89" i="23"/>
  <c r="AJ89" i="15"/>
  <c r="M126" i="24"/>
  <c r="M121" i="8"/>
  <c r="AJ89" i="23"/>
  <c r="H125" i="24"/>
  <c r="H120" i="8"/>
  <c r="AE88" i="23"/>
  <c r="AE88" i="15"/>
  <c r="AJ88" i="23"/>
  <c r="AJ88" i="15"/>
  <c r="M125" i="24"/>
  <c r="M120" i="8"/>
  <c r="L120" i="8"/>
  <c r="AI88" i="23"/>
  <c r="L125" i="24"/>
  <c r="AI88" i="15"/>
  <c r="AH88" i="23"/>
  <c r="K120" i="8"/>
  <c r="AH88" i="15"/>
  <c r="K125" i="24"/>
  <c r="J125" i="24"/>
  <c r="J120" i="8"/>
  <c r="AG88" i="23"/>
  <c r="AG88" i="15"/>
  <c r="AF88" i="23"/>
  <c r="I125" i="24"/>
  <c r="AF88" i="15"/>
  <c r="I120" i="8"/>
  <c r="I122" i="24"/>
  <c r="AF87" i="15"/>
  <c r="I117" i="8"/>
  <c r="AF87" i="23"/>
  <c r="M117" i="8"/>
  <c r="AJ87" i="15"/>
  <c r="M122" i="24"/>
  <c r="AJ87" i="23"/>
  <c r="L117" i="8"/>
  <c r="AI87" i="15"/>
  <c r="L122" i="24"/>
  <c r="AI87" i="23"/>
  <c r="K122" i="24"/>
  <c r="AH87" i="15"/>
  <c r="K117" i="8"/>
  <c r="AH87" i="23"/>
  <c r="J117" i="8"/>
  <c r="AG87" i="15"/>
  <c r="J122" i="24"/>
  <c r="AG87" i="23"/>
  <c r="AE87" i="15"/>
  <c r="H122" i="24"/>
  <c r="H117" i="8"/>
  <c r="AE87" i="23"/>
  <c r="L121" i="24"/>
  <c r="AI86" i="15"/>
  <c r="L116" i="8"/>
  <c r="AI86" i="23"/>
  <c r="AJ86" i="15"/>
  <c r="M121" i="24"/>
  <c r="M116" i="8"/>
  <c r="AJ86" i="23"/>
  <c r="K116" i="8"/>
  <c r="AH86" i="15"/>
  <c r="K121" i="24"/>
  <c r="AH86" i="23"/>
  <c r="J121" i="24"/>
  <c r="AG86" i="15"/>
  <c r="J116" i="8"/>
  <c r="AG86" i="23"/>
  <c r="I121" i="24"/>
  <c r="AF86" i="15"/>
  <c r="I116" i="8"/>
  <c r="AF86" i="23"/>
  <c r="H116" i="8"/>
  <c r="AE86" i="15"/>
  <c r="H121" i="24"/>
  <c r="AE86" i="23"/>
  <c r="L120" i="24"/>
  <c r="AI85" i="23"/>
  <c r="L115" i="8"/>
  <c r="AI85" i="15"/>
  <c r="M115" i="8"/>
  <c r="AJ85" i="23"/>
  <c r="AJ85" i="15"/>
  <c r="M120" i="24"/>
  <c r="K120" i="24"/>
  <c r="AH85" i="23"/>
  <c r="AH85" i="15"/>
  <c r="K115" i="8"/>
  <c r="I120" i="24"/>
  <c r="AF85" i="23"/>
  <c r="I115" i="8"/>
  <c r="AF85" i="15"/>
  <c r="J115" i="8"/>
  <c r="AG85" i="23"/>
  <c r="AG85" i="15"/>
  <c r="J120" i="24"/>
  <c r="AE85" i="23"/>
  <c r="H120" i="24"/>
  <c r="H115" i="8"/>
  <c r="AE85" i="15"/>
  <c r="AI84" i="23"/>
  <c r="L114" i="8"/>
  <c r="AI84" i="15"/>
  <c r="AG84" i="23"/>
  <c r="J114" i="8"/>
  <c r="AG84" i="15"/>
  <c r="H114" i="8"/>
  <c r="AE84" i="15"/>
  <c r="AE84" i="23"/>
  <c r="K114" i="8"/>
  <c r="AH84" i="15"/>
  <c r="AH84" i="23"/>
  <c r="AJ84" i="23"/>
  <c r="M114" i="8"/>
  <c r="AJ84" i="15"/>
  <c r="AF84" i="15"/>
  <c r="I114" i="8"/>
  <c r="AF84" i="23"/>
  <c r="M119" i="24"/>
  <c r="AJ83" i="23"/>
  <c r="M113" i="8"/>
  <c r="AJ83" i="15"/>
  <c r="AI83" i="23"/>
  <c r="L119" i="24"/>
  <c r="L113" i="8"/>
  <c r="AI83" i="15"/>
  <c r="J119" i="24"/>
  <c r="AG83" i="23"/>
  <c r="J113" i="8"/>
  <c r="AG83" i="15"/>
  <c r="H113" i="8"/>
  <c r="AE83" i="23"/>
  <c r="H119" i="24"/>
  <c r="AE83" i="15"/>
  <c r="K113" i="8"/>
  <c r="AH83" i="23"/>
  <c r="K119" i="24"/>
  <c r="AH83" i="15"/>
  <c r="AF83" i="23"/>
  <c r="I119" i="24"/>
  <c r="AF83" i="15"/>
  <c r="I113" i="8"/>
  <c r="I115" i="24"/>
  <c r="I109" i="8"/>
  <c r="AF81" i="15"/>
  <c r="AF81" i="23"/>
  <c r="AI81" i="15"/>
  <c r="L109" i="8"/>
  <c r="AI81" i="23"/>
  <c r="L115" i="24"/>
  <c r="M115" i="24"/>
  <c r="M109" i="8"/>
  <c r="AJ81" i="15"/>
  <c r="AJ81" i="23"/>
  <c r="J115" i="24"/>
  <c r="J109" i="8"/>
  <c r="AG81" i="15"/>
  <c r="AG81" i="23"/>
  <c r="H115" i="24"/>
  <c r="H109" i="8"/>
  <c r="AE81" i="15"/>
  <c r="AE81" i="23"/>
  <c r="K115" i="24"/>
  <c r="K109" i="8"/>
  <c r="AH81" i="15"/>
  <c r="AH81" i="23"/>
  <c r="K114" i="24"/>
  <c r="K113" i="24" s="1"/>
  <c r="AH80" i="15"/>
  <c r="AH80" i="23"/>
  <c r="K108" i="8"/>
  <c r="K107" i="8" s="1"/>
  <c r="AI80" i="15"/>
  <c r="AI80" i="23"/>
  <c r="L114" i="24"/>
  <c r="L113" i="24" s="1"/>
  <c r="L108" i="8"/>
  <c r="L107" i="8" s="1"/>
  <c r="AF80" i="15"/>
  <c r="I114" i="24"/>
  <c r="I113" i="24" s="1"/>
  <c r="AF80" i="23"/>
  <c r="I108" i="8"/>
  <c r="I107" i="8" s="1"/>
  <c r="H114" i="24"/>
  <c r="H113" i="24" s="1"/>
  <c r="H108" i="8"/>
  <c r="H107" i="8" s="1"/>
  <c r="AE80" i="15"/>
  <c r="AE80" i="23"/>
  <c r="J108" i="8"/>
  <c r="J107" i="8" s="1"/>
  <c r="AG80" i="15"/>
  <c r="AG80" i="23"/>
  <c r="J114" i="24"/>
  <c r="J113" i="24" s="1"/>
  <c r="AJ80" i="15"/>
  <c r="M114" i="24"/>
  <c r="M113" i="24" s="1"/>
  <c r="AJ80" i="23"/>
  <c r="M108" i="8"/>
  <c r="M107" i="8" s="1"/>
  <c r="L110" i="24"/>
  <c r="J110" i="24"/>
  <c r="I110" i="24"/>
  <c r="K110" i="24"/>
  <c r="M110" i="24"/>
  <c r="L109" i="24"/>
  <c r="AI78" i="15"/>
  <c r="AI78" i="23"/>
  <c r="L104" i="8"/>
  <c r="K109" i="24"/>
  <c r="K104" i="8"/>
  <c r="AH78" i="15"/>
  <c r="AH78" i="23"/>
  <c r="I104" i="8"/>
  <c r="AF78" i="15"/>
  <c r="AF78" i="23"/>
  <c r="I109" i="24"/>
  <c r="H109" i="24"/>
  <c r="AE78" i="15"/>
  <c r="AE78" i="23"/>
  <c r="H104" i="8"/>
  <c r="AJ78" i="15"/>
  <c r="M109" i="24"/>
  <c r="M104" i="8"/>
  <c r="AJ78" i="23"/>
  <c r="AG78" i="23"/>
  <c r="J109" i="24"/>
  <c r="J104" i="8"/>
  <c r="AG78" i="15"/>
  <c r="AJ77" i="23"/>
  <c r="M108" i="24"/>
  <c r="M103" i="8"/>
  <c r="AJ77" i="15"/>
  <c r="AI77" i="23"/>
  <c r="L103" i="8"/>
  <c r="L108" i="24"/>
  <c r="AI77" i="15"/>
  <c r="AG77" i="23"/>
  <c r="J103" i="8"/>
  <c r="J108" i="24"/>
  <c r="AG77" i="15"/>
  <c r="H103" i="8"/>
  <c r="H108" i="24"/>
  <c r="AE77" i="15"/>
  <c r="AE77" i="23"/>
  <c r="K108" i="24"/>
  <c r="K103" i="8"/>
  <c r="AH77" i="15"/>
  <c r="AH77" i="23"/>
  <c r="AF80" i="2"/>
  <c r="AG80" i="2"/>
  <c r="AI80" i="2"/>
  <c r="E79" i="15"/>
  <c r="E79" i="23"/>
  <c r="AH80" i="2"/>
  <c r="AJ80" i="2"/>
  <c r="AK80" i="2"/>
  <c r="AL80" i="2"/>
  <c r="I108" i="24"/>
  <c r="I103" i="8"/>
  <c r="AF77" i="15"/>
  <c r="AF77" i="23"/>
  <c r="AI76" i="23"/>
  <c r="L107" i="24"/>
  <c r="L106" i="24" s="1"/>
  <c r="L102" i="8"/>
  <c r="L101" i="8" s="1"/>
  <c r="AI76" i="15"/>
  <c r="J102" i="8"/>
  <c r="J101" i="8" s="1"/>
  <c r="AG76" i="23"/>
  <c r="AG76" i="15"/>
  <c r="J107" i="24"/>
  <c r="J106" i="24" s="1"/>
  <c r="AF76" i="23"/>
  <c r="I107" i="24"/>
  <c r="I106" i="24" s="1"/>
  <c r="I102" i="8"/>
  <c r="I101" i="8" s="1"/>
  <c r="AF76" i="15"/>
  <c r="H107" i="24"/>
  <c r="H106" i="24" s="1"/>
  <c r="AE76" i="23"/>
  <c r="H102" i="8"/>
  <c r="H101" i="8" s="1"/>
  <c r="AE76" i="15"/>
  <c r="AH76" i="23"/>
  <c r="K107" i="24"/>
  <c r="K106" i="24" s="1"/>
  <c r="K102" i="8"/>
  <c r="K101" i="8" s="1"/>
  <c r="AH76" i="15"/>
  <c r="M102" i="8"/>
  <c r="M101" i="8" s="1"/>
  <c r="AJ76" i="23"/>
  <c r="M107" i="24"/>
  <c r="M106" i="24" s="1"/>
  <c r="AJ76" i="15"/>
  <c r="M99" i="8"/>
  <c r="M104" i="24"/>
  <c r="AJ75" i="23"/>
  <c r="AJ75" i="15"/>
  <c r="AG75" i="23"/>
  <c r="J104" i="24"/>
  <c r="J99" i="8"/>
  <c r="AG75" i="15"/>
  <c r="K104" i="24"/>
  <c r="K99" i="8"/>
  <c r="AH75" i="15"/>
  <c r="AH75" i="23"/>
  <c r="AI75" i="15"/>
  <c r="AI75" i="23"/>
  <c r="L104" i="24"/>
  <c r="L99" i="8"/>
  <c r="I104" i="24"/>
  <c r="I99" i="8"/>
  <c r="AF75" i="15"/>
  <c r="AF75" i="23"/>
  <c r="AE75" i="23"/>
  <c r="H104" i="24"/>
  <c r="H99" i="8"/>
  <c r="AE75" i="15"/>
  <c r="K98" i="8"/>
  <c r="AH74" i="15"/>
  <c r="K103" i="24"/>
  <c r="AH74" i="23"/>
  <c r="L103" i="24"/>
  <c r="AI74" i="15"/>
  <c r="L98" i="8"/>
  <c r="AI74" i="23"/>
  <c r="M98" i="8"/>
  <c r="AJ74" i="15"/>
  <c r="M103" i="24"/>
  <c r="AJ74" i="23"/>
  <c r="I103" i="24"/>
  <c r="I98" i="8"/>
  <c r="AF74" i="15"/>
  <c r="AF74" i="23"/>
  <c r="AG74" i="15"/>
  <c r="J103" i="24"/>
  <c r="J98" i="8"/>
  <c r="AG74" i="23"/>
  <c r="H103" i="24"/>
  <c r="H98" i="8"/>
  <c r="AE74" i="15"/>
  <c r="AE74" i="23"/>
  <c r="L97" i="8"/>
  <c r="L96" i="8" s="1"/>
  <c r="AI73" i="15"/>
  <c r="L102" i="24"/>
  <c r="L101" i="24" s="1"/>
  <c r="AI73" i="23"/>
  <c r="I97" i="8"/>
  <c r="AF73" i="15"/>
  <c r="I102" i="24"/>
  <c r="AF73" i="23"/>
  <c r="J102" i="24"/>
  <c r="J97" i="8"/>
  <c r="AG73" i="15"/>
  <c r="AG73" i="23"/>
  <c r="AJ73" i="15"/>
  <c r="M102" i="24"/>
  <c r="AJ73" i="23"/>
  <c r="M97" i="8"/>
  <c r="K102" i="24"/>
  <c r="AH73" i="23"/>
  <c r="K97" i="8"/>
  <c r="AH73" i="15"/>
  <c r="H102" i="24"/>
  <c r="H97" i="8"/>
  <c r="AE73" i="15"/>
  <c r="AE73" i="23"/>
  <c r="L94" i="24"/>
  <c r="L90" i="8"/>
  <c r="M86" i="24"/>
  <c r="M82" i="8"/>
  <c r="AJ62" i="15"/>
  <c r="AJ62" i="23"/>
  <c r="L82" i="8"/>
  <c r="AI62" i="15"/>
  <c r="L86" i="24"/>
  <c r="AI62" i="23"/>
  <c r="K86" i="24"/>
  <c r="AH62" i="15"/>
  <c r="K82" i="8"/>
  <c r="AH62" i="23"/>
  <c r="J86" i="24"/>
  <c r="J82" i="8"/>
  <c r="AG62" i="23"/>
  <c r="AG62" i="15"/>
  <c r="AF62" i="15"/>
  <c r="I86" i="24"/>
  <c r="I82" i="8"/>
  <c r="AF62" i="23"/>
  <c r="H86" i="24"/>
  <c r="H82" i="8"/>
  <c r="AE62" i="15"/>
  <c r="AE62" i="23"/>
  <c r="H85" i="24"/>
  <c r="AE61" i="23"/>
  <c r="H81" i="8"/>
  <c r="AE61" i="15"/>
  <c r="AF61" i="23"/>
  <c r="I85" i="24"/>
  <c r="I81" i="8"/>
  <c r="AF61" i="15"/>
  <c r="J81" i="8"/>
  <c r="AG61" i="23"/>
  <c r="AG61" i="15"/>
  <c r="J85" i="24"/>
  <c r="K85" i="24"/>
  <c r="AH61" i="15"/>
  <c r="AH61" i="23"/>
  <c r="K81" i="8"/>
  <c r="L85" i="24"/>
  <c r="L81" i="8"/>
  <c r="AI61" i="23"/>
  <c r="AI61" i="15"/>
  <c r="AJ61" i="23"/>
  <c r="AJ61" i="15"/>
  <c r="M85" i="24"/>
  <c r="M81" i="8"/>
  <c r="AH60" i="23"/>
  <c r="K84" i="24"/>
  <c r="K80" i="8"/>
  <c r="AH60" i="15"/>
  <c r="L80" i="8"/>
  <c r="AI60" i="23"/>
  <c r="L84" i="24"/>
  <c r="AI60" i="15"/>
  <c r="M84" i="24"/>
  <c r="M80" i="8"/>
  <c r="AJ60" i="23"/>
  <c r="AJ60" i="15"/>
  <c r="H80" i="8"/>
  <c r="AE60" i="23"/>
  <c r="H84" i="24"/>
  <c r="AE60" i="15"/>
  <c r="I84" i="24"/>
  <c r="I80" i="8"/>
  <c r="AF60" i="23"/>
  <c r="AF60" i="15"/>
  <c r="AG60" i="15"/>
  <c r="AG60" i="23"/>
  <c r="J84" i="24"/>
  <c r="J80" i="8"/>
  <c r="M83" i="24"/>
  <c r="M79" i="8"/>
  <c r="AJ59" i="15"/>
  <c r="AJ59" i="23"/>
  <c r="L83" i="24"/>
  <c r="L79" i="8"/>
  <c r="AI59" i="15"/>
  <c r="AI59" i="23"/>
  <c r="AH59" i="15"/>
  <c r="K83" i="24"/>
  <c r="K79" i="8"/>
  <c r="AH59" i="23"/>
  <c r="J79" i="8"/>
  <c r="J83" i="24"/>
  <c r="AG59" i="15"/>
  <c r="AG59" i="23"/>
  <c r="I83" i="24"/>
  <c r="AF59" i="15"/>
  <c r="I79" i="8"/>
  <c r="AF59" i="23"/>
  <c r="H79" i="8"/>
  <c r="AE59" i="23"/>
  <c r="H83" i="24"/>
  <c r="AE59" i="15"/>
  <c r="J81" i="24"/>
  <c r="AG58" i="23"/>
  <c r="J78" i="8"/>
  <c r="AG58" i="15"/>
  <c r="I81" i="24"/>
  <c r="AF58" i="15"/>
  <c r="AF58" i="23"/>
  <c r="I78" i="8"/>
  <c r="AJ58" i="23"/>
  <c r="M78" i="8"/>
  <c r="AJ58" i="15"/>
  <c r="M81" i="24"/>
  <c r="AI58" i="15"/>
  <c r="AI58" i="23"/>
  <c r="L81" i="24"/>
  <c r="L78" i="8"/>
  <c r="AE58" i="23"/>
  <c r="H81" i="24"/>
  <c r="H78" i="8"/>
  <c r="AE58" i="15"/>
  <c r="K81" i="24"/>
  <c r="K78" i="8"/>
  <c r="AH58" i="15"/>
  <c r="AH58" i="23"/>
  <c r="I80" i="24"/>
  <c r="I77" i="8"/>
  <c r="AF57" i="15"/>
  <c r="AF57" i="23"/>
  <c r="J77" i="8"/>
  <c r="AG57" i="23"/>
  <c r="J80" i="24"/>
  <c r="AG57" i="15"/>
  <c r="K77" i="8"/>
  <c r="AH57" i="15"/>
  <c r="K80" i="24"/>
  <c r="AH57" i="23"/>
  <c r="L80" i="24"/>
  <c r="L77" i="8"/>
  <c r="AI57" i="15"/>
  <c r="AI57" i="23"/>
  <c r="AJ57" i="15"/>
  <c r="M77" i="8"/>
  <c r="M80" i="24"/>
  <c r="AJ57" i="23"/>
  <c r="H80" i="24"/>
  <c r="H77" i="8"/>
  <c r="AE57" i="15"/>
  <c r="AE57" i="23"/>
  <c r="K78" i="24"/>
  <c r="K76" i="8"/>
  <c r="AH56" i="15"/>
  <c r="AH56" i="23"/>
  <c r="M78" i="24"/>
  <c r="M76" i="8"/>
  <c r="AJ56" i="15"/>
  <c r="AJ56" i="23"/>
  <c r="L76" i="8"/>
  <c r="L78" i="24"/>
  <c r="AI56" i="15"/>
  <c r="AI56" i="23"/>
  <c r="I78" i="24"/>
  <c r="I76" i="8"/>
  <c r="AF56" i="15"/>
  <c r="AF56" i="23"/>
  <c r="AE56" i="15"/>
  <c r="H78" i="24"/>
  <c r="H76" i="8"/>
  <c r="AE56" i="23"/>
  <c r="AG56" i="23"/>
  <c r="J78" i="24"/>
  <c r="AG56" i="15"/>
  <c r="J76" i="8"/>
  <c r="H77" i="24"/>
  <c r="H76" i="24" s="1"/>
  <c r="AE55" i="15"/>
  <c r="AE55" i="23"/>
  <c r="H75" i="8"/>
  <c r="AF64" i="2"/>
  <c r="E63" i="23"/>
  <c r="AG64" i="2"/>
  <c r="AH64" i="2"/>
  <c r="AI64" i="2"/>
  <c r="AJ64" i="2"/>
  <c r="AK64" i="2"/>
  <c r="AL64" i="2"/>
  <c r="E63" i="15"/>
  <c r="L75" i="8"/>
  <c r="L77" i="24"/>
  <c r="L76" i="24" s="1"/>
  <c r="AI55" i="15"/>
  <c r="AI55" i="23"/>
  <c r="J77" i="24"/>
  <c r="J76" i="24" s="1"/>
  <c r="AG55" i="15"/>
  <c r="AG55" i="23"/>
  <c r="J75" i="8"/>
  <c r="K77" i="24"/>
  <c r="K76" i="24" s="1"/>
  <c r="K75" i="8"/>
  <c r="AH55" i="15"/>
  <c r="AH55" i="23"/>
  <c r="I75" i="8"/>
  <c r="AF55" i="15"/>
  <c r="I77" i="24"/>
  <c r="I76" i="24" s="1"/>
  <c r="AF55" i="23"/>
  <c r="M75" i="8"/>
  <c r="M77" i="24"/>
  <c r="M76" i="24" s="1"/>
  <c r="AJ55" i="15"/>
  <c r="AJ55" i="23"/>
  <c r="M72" i="8"/>
  <c r="M74" i="24"/>
  <c r="AJ54" i="15"/>
  <c r="AJ54" i="23"/>
  <c r="L74" i="24"/>
  <c r="L72" i="8"/>
  <c r="AI54" i="23"/>
  <c r="AI54" i="15"/>
  <c r="AH54" i="23"/>
  <c r="K74" i="24"/>
  <c r="K72" i="8"/>
  <c r="AH54" i="15"/>
  <c r="AG54" i="23"/>
  <c r="J74" i="24"/>
  <c r="J72" i="8"/>
  <c r="AG54" i="15"/>
  <c r="I72" i="8"/>
  <c r="AF54" i="23"/>
  <c r="I74" i="24"/>
  <c r="AF54" i="15"/>
  <c r="H74" i="24"/>
  <c r="AE54" i="23"/>
  <c r="H72" i="8"/>
  <c r="AE54" i="15"/>
  <c r="AJ53" i="15"/>
  <c r="AJ53" i="23"/>
  <c r="M73" i="24"/>
  <c r="M71" i="8"/>
  <c r="AI53" i="15"/>
  <c r="AI53" i="23"/>
  <c r="L73" i="24"/>
  <c r="L71" i="8"/>
  <c r="K73" i="24"/>
  <c r="K71" i="8"/>
  <c r="AH53" i="23"/>
  <c r="AH53" i="15"/>
  <c r="AG53" i="15"/>
  <c r="AG53" i="23"/>
  <c r="J73" i="24"/>
  <c r="J71" i="8"/>
  <c r="I73" i="24"/>
  <c r="I71" i="8"/>
  <c r="AF53" i="15"/>
  <c r="AF53" i="23"/>
  <c r="AE53" i="15"/>
  <c r="AE53" i="23"/>
  <c r="H71" i="8"/>
  <c r="H73" i="24"/>
  <c r="M72" i="24"/>
  <c r="M70" i="8"/>
  <c r="AJ52" i="15"/>
  <c r="AJ52" i="23"/>
  <c r="L72" i="24"/>
  <c r="AI52" i="15"/>
  <c r="L70" i="8"/>
  <c r="AI52" i="23"/>
  <c r="K70" i="8"/>
  <c r="AH52" i="23"/>
  <c r="K72" i="24"/>
  <c r="AH52" i="15"/>
  <c r="J72" i="24"/>
  <c r="AG52" i="15"/>
  <c r="J70" i="8"/>
  <c r="AG52" i="23"/>
  <c r="I70" i="8"/>
  <c r="I72" i="24"/>
  <c r="AF52" i="15"/>
  <c r="AF52" i="23"/>
  <c r="H72" i="24"/>
  <c r="H70" i="8"/>
  <c r="AE52" i="15"/>
  <c r="AE52" i="23"/>
  <c r="I65" i="8"/>
  <c r="AF47" i="23"/>
  <c r="I69" i="24"/>
  <c r="AF47" i="15"/>
  <c r="AE47" i="15"/>
  <c r="AE47" i="23"/>
  <c r="H69" i="24"/>
  <c r="H65" i="8"/>
  <c r="AG47" i="23"/>
  <c r="J69" i="24"/>
  <c r="J65" i="8"/>
  <c r="AG47" i="15"/>
  <c r="K69" i="24"/>
  <c r="K65" i="8"/>
  <c r="AH47" i="23"/>
  <c r="AH47" i="15"/>
  <c r="L65" i="8"/>
  <c r="AI47" i="23"/>
  <c r="L69" i="24"/>
  <c r="AI47" i="15"/>
  <c r="AJ47" i="15"/>
  <c r="AJ47" i="23"/>
  <c r="M69" i="24"/>
  <c r="M65" i="8"/>
  <c r="J51" i="24"/>
  <c r="J50" i="24" s="1"/>
  <c r="J49" i="8"/>
  <c r="AG31" i="23"/>
  <c r="AG31" i="15"/>
  <c r="M49" i="8"/>
  <c r="AJ31" i="15"/>
  <c r="AJ31" i="23"/>
  <c r="M51" i="24"/>
  <c r="M50" i="24" s="1"/>
  <c r="AI31" i="23"/>
  <c r="L51" i="24"/>
  <c r="L50" i="24" s="1"/>
  <c r="L49" i="8"/>
  <c r="AI31" i="15"/>
  <c r="K49" i="8"/>
  <c r="AH31" i="15"/>
  <c r="AH31" i="23"/>
  <c r="K51" i="24"/>
  <c r="K50" i="24" s="1"/>
  <c r="AF31" i="15"/>
  <c r="AF31" i="23"/>
  <c r="I51" i="24"/>
  <c r="I50" i="24" s="1"/>
  <c r="I49" i="8"/>
  <c r="H51" i="24"/>
  <c r="H50" i="24" s="1"/>
  <c r="AE31" i="23"/>
  <c r="AE31" i="15"/>
  <c r="H49" i="8"/>
  <c r="H45" i="24"/>
  <c r="H43" i="8"/>
  <c r="AE29" i="15"/>
  <c r="AE29" i="23"/>
  <c r="M43" i="8"/>
  <c r="M45" i="24"/>
  <c r="AJ29" i="23"/>
  <c r="AJ29" i="15"/>
  <c r="L45" i="24"/>
  <c r="L43" i="8"/>
  <c r="AI29" i="15"/>
  <c r="AI29" i="23"/>
  <c r="AH29" i="15"/>
  <c r="K45" i="24"/>
  <c r="AH29" i="23"/>
  <c r="K43" i="8"/>
  <c r="J45" i="24"/>
  <c r="J43" i="8"/>
  <c r="AG29" i="23"/>
  <c r="AG29" i="15"/>
  <c r="AF29" i="15"/>
  <c r="I45" i="24"/>
  <c r="I43" i="8"/>
  <c r="AF29" i="23"/>
  <c r="J44" i="24"/>
  <c r="AG28" i="23"/>
  <c r="J42" i="8"/>
  <c r="AG28" i="15"/>
  <c r="AH28" i="23"/>
  <c r="K42" i="8"/>
  <c r="K44" i="24"/>
  <c r="AH28" i="15"/>
  <c r="L42" i="8"/>
  <c r="AI28" i="23"/>
  <c r="L44" i="24"/>
  <c r="AI28" i="15"/>
  <c r="AJ28" i="23"/>
  <c r="M44" i="24"/>
  <c r="M42" i="8"/>
  <c r="AJ28" i="15"/>
  <c r="H44" i="24"/>
  <c r="AE28" i="23"/>
  <c r="H42" i="8"/>
  <c r="AE28" i="15"/>
  <c r="I42" i="8"/>
  <c r="AF28" i="23"/>
  <c r="I44" i="24"/>
  <c r="AF28" i="15"/>
  <c r="M43" i="24"/>
  <c r="M41" i="8"/>
  <c r="AJ27" i="15"/>
  <c r="AJ27" i="23"/>
  <c r="L43" i="24"/>
  <c r="L41" i="8"/>
  <c r="AI27" i="15"/>
  <c r="AI27" i="23"/>
  <c r="AH27" i="15"/>
  <c r="K43" i="24"/>
  <c r="K41" i="8"/>
  <c r="AH27" i="23"/>
  <c r="J43" i="24"/>
  <c r="J41" i="8"/>
  <c r="AG27" i="15"/>
  <c r="AG27" i="23"/>
  <c r="H41" i="8"/>
  <c r="H43" i="24"/>
  <c r="AE27" i="15"/>
  <c r="AE27" i="23"/>
  <c r="I43" i="24"/>
  <c r="AF27" i="15"/>
  <c r="I41" i="8"/>
  <c r="AF27" i="23"/>
  <c r="K37" i="24"/>
  <c r="AH20" i="15"/>
  <c r="AH20" i="23"/>
  <c r="K34" i="8"/>
  <c r="AF36" i="2"/>
  <c r="AG36" i="2"/>
  <c r="AH36" i="2"/>
  <c r="AI36" i="2"/>
  <c r="AJ36" i="2"/>
  <c r="AK36" i="2"/>
  <c r="AL36" i="2"/>
  <c r="E35" i="15"/>
  <c r="E35" i="23"/>
  <c r="AF20" i="15"/>
  <c r="I34" i="8"/>
  <c r="AF20" i="23"/>
  <c r="I37" i="24"/>
  <c r="H37" i="24"/>
  <c r="H34" i="8"/>
  <c r="AE20" i="15"/>
  <c r="AE20" i="23"/>
  <c r="L34" i="8"/>
  <c r="L37" i="24"/>
  <c r="AI20" i="15"/>
  <c r="AI20" i="23"/>
  <c r="AJ20" i="15"/>
  <c r="AJ20" i="23"/>
  <c r="M37" i="24"/>
  <c r="M34" i="8"/>
  <c r="J34" i="8"/>
  <c r="J37" i="24"/>
  <c r="AG20" i="15"/>
  <c r="AG20" i="23"/>
  <c r="AF17" i="23"/>
  <c r="I31" i="24"/>
  <c r="I30" i="8"/>
  <c r="AF17" i="15"/>
  <c r="J30" i="8"/>
  <c r="AG17" i="15"/>
  <c r="AG17" i="23"/>
  <c r="J31" i="24"/>
  <c r="K31" i="24"/>
  <c r="AH17" i="23"/>
  <c r="K30" i="8"/>
  <c r="AH17" i="15"/>
  <c r="L30" i="8"/>
  <c r="AI17" i="15"/>
  <c r="AI17" i="23"/>
  <c r="L31" i="24"/>
  <c r="AJ17" i="23"/>
  <c r="AJ17" i="15"/>
  <c r="M31" i="24"/>
  <c r="M30" i="8"/>
  <c r="G30" i="8"/>
  <c r="AD17" i="23"/>
  <c r="AD17" i="15"/>
  <c r="G31" i="24"/>
  <c r="H29" i="24"/>
  <c r="AE15" i="23"/>
  <c r="H28" i="8"/>
  <c r="AE15" i="15"/>
  <c r="AJ15" i="23"/>
  <c r="M29" i="24"/>
  <c r="M28" i="8"/>
  <c r="AJ15" i="15"/>
  <c r="AI15" i="15"/>
  <c r="AI15" i="23"/>
  <c r="L28" i="8"/>
  <c r="L29" i="24"/>
  <c r="K29" i="24"/>
  <c r="K28" i="8"/>
  <c r="AH15" i="15"/>
  <c r="AH15" i="23"/>
  <c r="AG15" i="23"/>
  <c r="J29" i="24"/>
  <c r="J28" i="8"/>
  <c r="AG15" i="15"/>
  <c r="I29" i="24"/>
  <c r="I28" i="8"/>
  <c r="AF15" i="15"/>
  <c r="AF15" i="23"/>
  <c r="M28" i="24"/>
  <c r="M27" i="8"/>
  <c r="AJ14" i="23"/>
  <c r="AJ14" i="15"/>
  <c r="L28" i="24"/>
  <c r="L27" i="8"/>
  <c r="AI14" i="15"/>
  <c r="AI14" i="23"/>
  <c r="H27" i="8"/>
  <c r="AE14" i="15"/>
  <c r="AE14" i="23"/>
  <c r="H28" i="24"/>
  <c r="J28" i="24"/>
  <c r="J27" i="8"/>
  <c r="AG14" i="15"/>
  <c r="AG14" i="23"/>
  <c r="AH14" i="23"/>
  <c r="K28" i="24"/>
  <c r="K27" i="8"/>
  <c r="AH14" i="15"/>
  <c r="AF14" i="23"/>
  <c r="I28" i="24"/>
  <c r="I27" i="8"/>
  <c r="AF14" i="15"/>
  <c r="AM14" i="2"/>
  <c r="G28" i="24"/>
  <c r="G27" i="8"/>
  <c r="AD14" i="23"/>
  <c r="AD14" i="15"/>
  <c r="E67" i="23"/>
  <c r="AF68" i="2"/>
  <c r="AG68" i="2"/>
  <c r="AH68" i="2"/>
  <c r="AI68" i="2"/>
  <c r="AJ68" i="2"/>
  <c r="AK68" i="2"/>
  <c r="AL68" i="2"/>
  <c r="E67" i="15"/>
  <c r="J25" i="8"/>
  <c r="AG13" i="15"/>
  <c r="J26" i="24"/>
  <c r="AG13" i="23"/>
  <c r="L26" i="24"/>
  <c r="AI13" i="15"/>
  <c r="L25" i="8"/>
  <c r="AI13" i="23"/>
  <c r="K26" i="24"/>
  <c r="AH13" i="15"/>
  <c r="K25" i="8"/>
  <c r="AH13" i="23"/>
  <c r="AJ13" i="15"/>
  <c r="M26" i="24"/>
  <c r="M25" i="8"/>
  <c r="AJ13" i="23"/>
  <c r="AJ12" i="15"/>
  <c r="M25" i="24"/>
  <c r="M24" i="24" s="1"/>
  <c r="M24" i="8"/>
  <c r="M23" i="8" s="1"/>
  <c r="AJ12" i="23"/>
  <c r="AH12" i="15"/>
  <c r="K25" i="24"/>
  <c r="K24" i="24" s="1"/>
  <c r="K24" i="8"/>
  <c r="K23" i="8" s="1"/>
  <c r="AH12" i="23"/>
  <c r="AF67" i="2"/>
  <c r="AJ67" i="2"/>
  <c r="AL67" i="2"/>
  <c r="E66" i="23"/>
  <c r="AG67" i="2"/>
  <c r="AH67" i="2"/>
  <c r="AI67" i="2"/>
  <c r="AK67" i="2"/>
  <c r="E66" i="15"/>
  <c r="L25" i="24"/>
  <c r="L24" i="24" s="1"/>
  <c r="L24" i="8"/>
  <c r="L23" i="8" s="1"/>
  <c r="AI12" i="15"/>
  <c r="AI12" i="23"/>
  <c r="AG12" i="15"/>
  <c r="AG12" i="23"/>
  <c r="J25" i="24"/>
  <c r="J24" i="24" s="1"/>
  <c r="J24" i="8"/>
  <c r="J23" i="8" s="1"/>
  <c r="M23" i="24"/>
  <c r="M22" i="8"/>
  <c r="AJ11" i="15"/>
  <c r="AJ11" i="23"/>
  <c r="K23" i="24"/>
  <c r="K22" i="8"/>
  <c r="AH11" i="15"/>
  <c r="AH11" i="23"/>
  <c r="J23" i="24"/>
  <c r="AG11" i="23"/>
  <c r="AG11" i="15"/>
  <c r="J22" i="8"/>
  <c r="AI11" i="23"/>
  <c r="L23" i="24"/>
  <c r="L22" i="8"/>
  <c r="AI11" i="15"/>
  <c r="M17" i="24"/>
  <c r="M17" i="8"/>
  <c r="AJ6" i="15"/>
  <c r="AJ6" i="23"/>
  <c r="AF65" i="2"/>
  <c r="AG65" i="2"/>
  <c r="AH65" i="2"/>
  <c r="AI65" i="2"/>
  <c r="AJ65" i="2"/>
  <c r="AK65" i="2"/>
  <c r="AL65" i="2"/>
  <c r="E64" i="15"/>
  <c r="E64" i="23"/>
  <c r="K17" i="24"/>
  <c r="K17" i="8"/>
  <c r="AH6" i="15"/>
  <c r="AH6" i="23"/>
  <c r="L17" i="24"/>
  <c r="L17" i="8"/>
  <c r="AI6" i="23"/>
  <c r="AI6" i="15"/>
  <c r="J17" i="24"/>
  <c r="J17" i="8"/>
  <c r="AG6" i="23"/>
  <c r="AG6" i="15"/>
  <c r="E71" i="15"/>
  <c r="E71" i="23"/>
  <c r="AF72" i="2"/>
  <c r="AG72" i="2"/>
  <c r="AH72" i="2"/>
  <c r="AI72" i="2"/>
  <c r="AJ72" i="2"/>
  <c r="AK72" i="2"/>
  <c r="AL72" i="2"/>
  <c r="L16" i="24"/>
  <c r="L16" i="8"/>
  <c r="AI5" i="15"/>
  <c r="AI5" i="23"/>
  <c r="M16" i="24"/>
  <c r="M16" i="8"/>
  <c r="AJ5" i="15"/>
  <c r="AJ5" i="23"/>
  <c r="AH5" i="23"/>
  <c r="K16" i="24"/>
  <c r="K16" i="8"/>
  <c r="AH5" i="15"/>
  <c r="J16" i="24"/>
  <c r="J16" i="8"/>
  <c r="AG5" i="15"/>
  <c r="AG5" i="23"/>
  <c r="C105" i="2"/>
  <c r="B105" i="2"/>
  <c r="I26" i="24"/>
  <c r="I25" i="8"/>
  <c r="AF13" i="15"/>
  <c r="AF13" i="23"/>
  <c r="AF12" i="15"/>
  <c r="AF12" i="23"/>
  <c r="I25" i="24"/>
  <c r="I24" i="8"/>
  <c r="O97" i="2"/>
  <c r="AH97" i="2" s="1"/>
  <c r="O11" i="2"/>
  <c r="AH11" i="2" s="1"/>
  <c r="H23" i="24"/>
  <c r="H22" i="8"/>
  <c r="AE11" i="15"/>
  <c r="AE11" i="23"/>
  <c r="H132" i="8"/>
  <c r="H131" i="8" s="1"/>
  <c r="AE96" i="15"/>
  <c r="AE96" i="23"/>
  <c r="D39" i="22"/>
  <c r="D55" i="22" s="1"/>
  <c r="C155" i="2"/>
  <c r="D39" i="14" s="1"/>
  <c r="D55" i="14" s="1"/>
  <c r="G23" i="24"/>
  <c r="G22" i="8"/>
  <c r="AD11" i="15"/>
  <c r="AD11" i="23"/>
  <c r="AM97" i="2"/>
  <c r="B155" i="2"/>
  <c r="G132" i="8"/>
  <c r="G131" i="8" s="1"/>
  <c r="AD96" i="15"/>
  <c r="AD96" i="23"/>
  <c r="C39" i="22"/>
  <c r="AF10" i="23"/>
  <c r="I21" i="8"/>
  <c r="I17" i="24"/>
  <c r="I17" i="8"/>
  <c r="AF6" i="15"/>
  <c r="AF6" i="23"/>
  <c r="I16" i="24"/>
  <c r="I16" i="8"/>
  <c r="AF5" i="15"/>
  <c r="AF5" i="23"/>
  <c r="F128" i="24"/>
  <c r="F123" i="8"/>
  <c r="K89" i="18"/>
  <c r="AK91" i="15"/>
  <c r="AK91" i="23"/>
  <c r="K89" i="21"/>
  <c r="F127" i="24"/>
  <c r="F122" i="8"/>
  <c r="K88" i="18"/>
  <c r="AK90" i="15"/>
  <c r="AK90" i="23"/>
  <c r="K88" i="21"/>
  <c r="F125" i="24"/>
  <c r="F120" i="8"/>
  <c r="K86" i="18"/>
  <c r="AK88" i="15"/>
  <c r="AK88" i="23"/>
  <c r="K86" i="21"/>
  <c r="K84" i="21"/>
  <c r="F121" i="24"/>
  <c r="F116" i="8"/>
  <c r="K84" i="18"/>
  <c r="AK86" i="15"/>
  <c r="AK86" i="23"/>
  <c r="K83" i="21"/>
  <c r="F120" i="24"/>
  <c r="F115" i="8"/>
  <c r="K83" i="18"/>
  <c r="AK85" i="15"/>
  <c r="AK85" i="23"/>
  <c r="K79" i="21"/>
  <c r="F115" i="24"/>
  <c r="F109" i="8"/>
  <c r="K79" i="18"/>
  <c r="AK81" i="15"/>
  <c r="AK81" i="23"/>
  <c r="K78" i="21"/>
  <c r="F114" i="24"/>
  <c r="F108" i="8"/>
  <c r="K78" i="18"/>
  <c r="AK80" i="15"/>
  <c r="AK80" i="23"/>
  <c r="F110" i="24"/>
  <c r="F104" i="8"/>
  <c r="K76" i="18"/>
  <c r="AK78" i="15"/>
  <c r="AK78" i="23"/>
  <c r="K76" i="21"/>
  <c r="F109" i="24"/>
  <c r="K75" i="21"/>
  <c r="F108" i="24"/>
  <c r="F103" i="8"/>
  <c r="K75" i="18"/>
  <c r="AK77" i="15"/>
  <c r="AK77" i="23"/>
  <c r="F102" i="8"/>
  <c r="K74" i="18"/>
  <c r="AK76" i="15"/>
  <c r="AK76" i="23"/>
  <c r="F107" i="24"/>
  <c r="K74" i="21"/>
  <c r="F104" i="24"/>
  <c r="F99" i="8"/>
  <c r="K73" i="18"/>
  <c r="K73" i="21"/>
  <c r="AK75" i="15"/>
  <c r="AK75" i="23"/>
  <c r="F98" i="8"/>
  <c r="K72" i="18"/>
  <c r="K72" i="21"/>
  <c r="AK74" i="15"/>
  <c r="AK74" i="23"/>
  <c r="F103" i="24"/>
  <c r="F97" i="8"/>
  <c r="K71" i="18"/>
  <c r="K71" i="21"/>
  <c r="AK73" i="15"/>
  <c r="AK73" i="23"/>
  <c r="F102" i="24"/>
  <c r="AP29" i="2"/>
  <c r="K27" i="18"/>
  <c r="K27" i="21"/>
  <c r="AK29" i="15"/>
  <c r="AK29" i="23"/>
  <c r="AP28" i="2"/>
  <c r="K26" i="18"/>
  <c r="K26" i="21"/>
  <c r="AK28" i="15"/>
  <c r="AK28" i="23"/>
  <c r="AP27" i="2"/>
  <c r="K25" i="18"/>
  <c r="K25" i="21"/>
  <c r="AK27" i="15"/>
  <c r="AK27" i="23"/>
  <c r="AP20" i="2"/>
  <c r="K18" i="18"/>
  <c r="K18" i="21"/>
  <c r="AK20" i="15"/>
  <c r="AK20" i="23"/>
  <c r="H30" i="24"/>
  <c r="H29" i="8"/>
  <c r="AE16" i="15"/>
  <c r="AE16" i="23"/>
  <c r="I30" i="24"/>
  <c r="I29" i="8"/>
  <c r="AF16" i="15"/>
  <c r="AF16" i="23"/>
  <c r="K29" i="8"/>
  <c r="K30" i="24"/>
  <c r="AH16" i="15"/>
  <c r="AH16" i="23"/>
  <c r="M29" i="8"/>
  <c r="M30" i="24"/>
  <c r="AJ16" i="15"/>
  <c r="AJ16" i="23"/>
  <c r="J30" i="24"/>
  <c r="J29" i="8"/>
  <c r="AG16" i="15"/>
  <c r="AG16" i="23"/>
  <c r="L29" i="8"/>
  <c r="AI16" i="15"/>
  <c r="AI16" i="23"/>
  <c r="L30" i="24"/>
  <c r="G30" i="24"/>
  <c r="AM16" i="2"/>
  <c r="G29" i="8"/>
  <c r="AD16" i="15"/>
  <c r="AD16" i="23"/>
  <c r="AP15" i="2"/>
  <c r="K13" i="18"/>
  <c r="K13" i="21"/>
  <c r="AK15" i="15"/>
  <c r="AK15" i="23"/>
  <c r="I22" i="24"/>
  <c r="AF10" i="15"/>
  <c r="I21" i="24"/>
  <c r="AM10" i="2"/>
  <c r="AK10" i="23" s="1"/>
  <c r="I20" i="24"/>
  <c r="AM9" i="2"/>
  <c r="AF9" i="23"/>
  <c r="AF9" i="15"/>
  <c r="I20" i="8"/>
  <c r="F20" i="8" s="1"/>
  <c r="AF8" i="15"/>
  <c r="AF8" i="23"/>
  <c r="I19" i="8"/>
  <c r="AM8" i="2"/>
  <c r="I19" i="24"/>
  <c r="AF7" i="23"/>
  <c r="I18" i="24"/>
  <c r="I18" i="8"/>
  <c r="AM7" i="2"/>
  <c r="AF7" i="15"/>
  <c r="AM5" i="2"/>
  <c r="C27" i="22"/>
  <c r="J27" i="22" s="1"/>
  <c r="C139" i="2"/>
  <c r="E139" i="2" s="1"/>
  <c r="C27" i="14"/>
  <c r="J27" i="14" s="1"/>
  <c r="C18" i="22"/>
  <c r="J18" i="22" s="1"/>
  <c r="C127" i="2"/>
  <c r="E127" i="2" s="1"/>
  <c r="C18" i="14"/>
  <c r="J18" i="14" s="1"/>
  <c r="G87" i="8"/>
  <c r="G91" i="24"/>
  <c r="AD65" i="23"/>
  <c r="AD65" i="15"/>
  <c r="J6" i="14"/>
  <c r="J54" i="14" s="1"/>
  <c r="C54" i="14"/>
  <c r="K28" i="21"/>
  <c r="AK30" i="23"/>
  <c r="C178" i="2"/>
  <c r="I185" i="2" s="1"/>
  <c r="F110" i="2"/>
  <c r="C6" i="22"/>
  <c r="C54" i="22" s="1"/>
  <c r="D109" i="2"/>
  <c r="AJ72" i="15"/>
  <c r="M99" i="24"/>
  <c r="M94" i="8"/>
  <c r="AJ72" i="23"/>
  <c r="L99" i="24"/>
  <c r="AI72" i="15"/>
  <c r="L94" i="8"/>
  <c r="AI72" i="23"/>
  <c r="AH72" i="15"/>
  <c r="K99" i="24"/>
  <c r="K94" i="8"/>
  <c r="AH72" i="23"/>
  <c r="J94" i="8"/>
  <c r="J99" i="24"/>
  <c r="AG72" i="15"/>
  <c r="AG72" i="23"/>
  <c r="I99" i="24"/>
  <c r="AF72" i="15"/>
  <c r="I94" i="8"/>
  <c r="AF72" i="23"/>
  <c r="H94" i="8"/>
  <c r="H99" i="24"/>
  <c r="AE72" i="15"/>
  <c r="AE72" i="23"/>
  <c r="K28" i="18"/>
  <c r="AK30" i="15"/>
  <c r="AM73" i="2"/>
  <c r="G99" i="24"/>
  <c r="G94" i="8"/>
  <c r="AD72" i="15"/>
  <c r="AD72" i="23"/>
  <c r="F126" i="8"/>
  <c r="K90" i="18"/>
  <c r="K90" i="21"/>
  <c r="AK92" i="15"/>
  <c r="F131" i="24"/>
  <c r="AK92" i="23"/>
  <c r="K17" i="18"/>
  <c r="AP19" i="2"/>
  <c r="K17" i="21"/>
  <c r="AK19" i="23"/>
  <c r="AK19" i="15"/>
  <c r="F35" i="24"/>
  <c r="F40" i="8"/>
  <c r="F36" i="24"/>
  <c r="M95" i="24"/>
  <c r="L95" i="24"/>
  <c r="K95" i="24"/>
  <c r="J95" i="24"/>
  <c r="I95" i="24"/>
  <c r="F39" i="24"/>
  <c r="F38" i="24"/>
  <c r="F38" i="8"/>
  <c r="F41" i="24"/>
  <c r="K21" i="18"/>
  <c r="AP23" i="2"/>
  <c r="AK23" i="15"/>
  <c r="K21" i="21"/>
  <c r="AK23" i="23"/>
  <c r="K23" i="18"/>
  <c r="AK25" i="15"/>
  <c r="K23" i="21"/>
  <c r="AP25" i="2"/>
  <c r="AK25" i="23"/>
  <c r="K19" i="21"/>
  <c r="K19" i="18"/>
  <c r="AP21" i="2"/>
  <c r="AK21" i="23"/>
  <c r="AK21" i="15"/>
  <c r="AK26" i="23"/>
  <c r="AP26" i="2"/>
  <c r="AK26" i="15"/>
  <c r="K24" i="21"/>
  <c r="K24" i="18"/>
  <c r="F40" i="24"/>
  <c r="F42" i="24"/>
  <c r="F36" i="8"/>
  <c r="F37" i="8"/>
  <c r="AK22" i="15"/>
  <c r="AP22" i="2"/>
  <c r="K20" i="21"/>
  <c r="K20" i="18"/>
  <c r="AK22" i="23"/>
  <c r="F35" i="8"/>
  <c r="G31" i="8"/>
  <c r="F32" i="8"/>
  <c r="G95" i="24"/>
  <c r="G94" i="24"/>
  <c r="AE68" i="23"/>
  <c r="AD68" i="23"/>
  <c r="H90" i="8"/>
  <c r="AM69" i="2"/>
  <c r="F90" i="8" s="1"/>
  <c r="G90" i="8"/>
  <c r="AH68" i="23"/>
  <c r="AH68" i="15"/>
  <c r="K94" i="24"/>
  <c r="AG68" i="15"/>
  <c r="J94" i="24"/>
  <c r="J90" i="8"/>
  <c r="AG68" i="23"/>
  <c r="H91" i="24"/>
  <c r="I87" i="8"/>
  <c r="AE65" i="23"/>
  <c r="K91" i="24"/>
  <c r="AH65" i="15"/>
  <c r="K87" i="8"/>
  <c r="M87" i="8"/>
  <c r="AJ65" i="15"/>
  <c r="M91" i="24"/>
  <c r="I91" i="24"/>
  <c r="AF65" i="15"/>
  <c r="AH65" i="23"/>
  <c r="L91" i="24"/>
  <c r="AI65" i="15"/>
  <c r="L87" i="8"/>
  <c r="AM66" i="2"/>
  <c r="AI70" i="23"/>
  <c r="AI70" i="15"/>
  <c r="L97" i="24"/>
  <c r="L92" i="8"/>
  <c r="AF70" i="23"/>
  <c r="I92" i="8"/>
  <c r="I97" i="24"/>
  <c r="AF70" i="15"/>
  <c r="H92" i="8"/>
  <c r="H97" i="24"/>
  <c r="AE70" i="23"/>
  <c r="AE70" i="15"/>
  <c r="AG70" i="23"/>
  <c r="AG70" i="15"/>
  <c r="J92" i="8"/>
  <c r="J97" i="24"/>
  <c r="G97" i="24"/>
  <c r="G92" i="8"/>
  <c r="AD70" i="23"/>
  <c r="AM71" i="2"/>
  <c r="AD70" i="15"/>
  <c r="M97" i="24"/>
  <c r="M92" i="8"/>
  <c r="AJ70" i="15"/>
  <c r="AJ70" i="23"/>
  <c r="AM70" i="2"/>
  <c r="AE69" i="23"/>
  <c r="H91" i="8"/>
  <c r="AE69" i="15"/>
  <c r="G96" i="24"/>
  <c r="AD69" i="23"/>
  <c r="AD69" i="15"/>
  <c r="F3" i="14"/>
  <c r="F53" i="14" s="1"/>
  <c r="F3" i="22"/>
  <c r="F53" i="22" s="1"/>
  <c r="J96" i="24"/>
  <c r="J91" i="8"/>
  <c r="AG69" i="23"/>
  <c r="AG69" i="15"/>
  <c r="H3" i="14"/>
  <c r="H53" i="14" s="1"/>
  <c r="H3" i="22"/>
  <c r="H53" i="22" s="1"/>
  <c r="AI69" i="15"/>
  <c r="L96" i="24"/>
  <c r="AI69" i="23"/>
  <c r="L91" i="8"/>
  <c r="AH69" i="23"/>
  <c r="K96" i="24"/>
  <c r="AH69" i="15"/>
  <c r="K91" i="8"/>
  <c r="M96" i="24"/>
  <c r="AJ69" i="15"/>
  <c r="AJ69" i="23"/>
  <c r="M91" i="8"/>
  <c r="F129" i="8" l="1"/>
  <c r="AK95" i="15"/>
  <c r="AK95" i="23"/>
  <c r="F134" i="24"/>
  <c r="K93" i="21"/>
  <c r="K93" i="18"/>
  <c r="F18" i="24"/>
  <c r="F26" i="24"/>
  <c r="F20" i="24"/>
  <c r="F19" i="8"/>
  <c r="F21" i="8"/>
  <c r="F21" i="24"/>
  <c r="F19" i="24"/>
  <c r="F18" i="8"/>
  <c r="K58" i="18"/>
  <c r="AK60" i="23"/>
  <c r="F80" i="8"/>
  <c r="K58" i="21"/>
  <c r="F84" i="24"/>
  <c r="AK60" i="15"/>
  <c r="K11" i="21"/>
  <c r="AP13" i="2"/>
  <c r="AK13" i="15"/>
  <c r="K11" i="18"/>
  <c r="AK13" i="23"/>
  <c r="AP12" i="2"/>
  <c r="K10" i="18"/>
  <c r="K10" i="21"/>
  <c r="AK12" i="15"/>
  <c r="AK12" i="23"/>
  <c r="H24" i="24"/>
  <c r="H23" i="8"/>
  <c r="AK51" i="15"/>
  <c r="F69" i="8"/>
  <c r="AK51" i="23"/>
  <c r="K49" i="21"/>
  <c r="F71" i="24"/>
  <c r="AP52" i="2"/>
  <c r="K49" i="18"/>
  <c r="K43" i="21"/>
  <c r="AP46" i="2"/>
  <c r="K43" i="18"/>
  <c r="F67" i="24"/>
  <c r="AK45" i="15"/>
  <c r="AK45" i="23"/>
  <c r="F63" i="8"/>
  <c r="G130" i="24"/>
  <c r="G125" i="8"/>
  <c r="AD37" i="15"/>
  <c r="AD37" i="23"/>
  <c r="AM38" i="2"/>
  <c r="G55" i="8"/>
  <c r="G59" i="24"/>
  <c r="AM42" i="2"/>
  <c r="AD41" i="23"/>
  <c r="G63" i="24"/>
  <c r="G59" i="8"/>
  <c r="AD41" i="15"/>
  <c r="F132" i="24"/>
  <c r="AK93" i="23"/>
  <c r="F127" i="8"/>
  <c r="AK93" i="15"/>
  <c r="K91" i="21"/>
  <c r="K91" i="18"/>
  <c r="K55" i="8"/>
  <c r="AH37" i="23"/>
  <c r="AH37" i="15"/>
  <c r="K59" i="24"/>
  <c r="AI41" i="23"/>
  <c r="L63" i="24"/>
  <c r="L59" i="8"/>
  <c r="AI41" i="15"/>
  <c r="F87" i="8"/>
  <c r="AK65" i="15"/>
  <c r="H55" i="8"/>
  <c r="AE37" i="23"/>
  <c r="AE37" i="15"/>
  <c r="H59" i="24"/>
  <c r="AF37" i="23"/>
  <c r="I59" i="24"/>
  <c r="I55" i="8"/>
  <c r="AF37" i="15"/>
  <c r="AG37" i="15"/>
  <c r="AG37" i="23"/>
  <c r="J55" i="8"/>
  <c r="J59" i="24"/>
  <c r="AI37" i="23"/>
  <c r="L55" i="8"/>
  <c r="AI37" i="15"/>
  <c r="L59" i="24"/>
  <c r="AJ37" i="15"/>
  <c r="AJ37" i="23"/>
  <c r="M59" i="24"/>
  <c r="M55" i="8"/>
  <c r="AE41" i="15"/>
  <c r="AE41" i="23"/>
  <c r="H63" i="24"/>
  <c r="H59" i="8"/>
  <c r="J59" i="8"/>
  <c r="AG41" i="15"/>
  <c r="AG41" i="23"/>
  <c r="J63" i="24"/>
  <c r="AH41" i="15"/>
  <c r="K63" i="24"/>
  <c r="AH41" i="23"/>
  <c r="K59" i="8"/>
  <c r="M63" i="24"/>
  <c r="AJ41" i="23"/>
  <c r="M59" i="8"/>
  <c r="AJ41" i="15"/>
  <c r="AF41" i="15"/>
  <c r="AF41" i="23"/>
  <c r="I63" i="24"/>
  <c r="I59" i="8"/>
  <c r="G118" i="24"/>
  <c r="F30" i="8"/>
  <c r="F31" i="24"/>
  <c r="AP17" i="2"/>
  <c r="K15" i="18"/>
  <c r="K15" i="21"/>
  <c r="AK17" i="15"/>
  <c r="AK17" i="23"/>
  <c r="G112" i="8"/>
  <c r="F119" i="24"/>
  <c r="K81" i="18"/>
  <c r="AK83" i="15"/>
  <c r="K81" i="21"/>
  <c r="F113" i="8"/>
  <c r="AK83" i="23"/>
  <c r="G50" i="24"/>
  <c r="F50" i="24" s="1"/>
  <c r="F11" i="24" s="1"/>
  <c r="F29" i="24"/>
  <c r="G27" i="24"/>
  <c r="F27" i="24" s="1"/>
  <c r="G3" i="14"/>
  <c r="G53" i="14" s="1"/>
  <c r="G56" i="14" s="1"/>
  <c r="G3" i="22"/>
  <c r="G53" i="22" s="1"/>
  <c r="G56" i="22" s="1"/>
  <c r="I3" i="14"/>
  <c r="I53" i="14" s="1"/>
  <c r="I56" i="14" s="1"/>
  <c r="I3" i="22"/>
  <c r="I53" i="22" s="1"/>
  <c r="I56" i="22" s="1"/>
  <c r="F28" i="8"/>
  <c r="G26" i="8"/>
  <c r="I96" i="8"/>
  <c r="I101" i="24"/>
  <c r="J101" i="24"/>
  <c r="J96" i="8"/>
  <c r="M101" i="24"/>
  <c r="M96" i="8"/>
  <c r="K101" i="24"/>
  <c r="K96" i="8"/>
  <c r="H101" i="24"/>
  <c r="H96" i="8"/>
  <c r="F25" i="8"/>
  <c r="H27" i="24"/>
  <c r="I27" i="24"/>
  <c r="I26" i="8"/>
  <c r="K26" i="8"/>
  <c r="K27" i="24"/>
  <c r="M26" i="8"/>
  <c r="M27" i="24"/>
  <c r="J27" i="24"/>
  <c r="J26" i="8"/>
  <c r="L26" i="8"/>
  <c r="L27" i="24"/>
  <c r="F30" i="24"/>
  <c r="F29" i="8"/>
  <c r="F22" i="24"/>
  <c r="AK55" i="15"/>
  <c r="K53" i="21"/>
  <c r="K53" i="18"/>
  <c r="F77" i="24"/>
  <c r="F75" i="8"/>
  <c r="AK55" i="23"/>
  <c r="K55" i="18"/>
  <c r="K55" i="21"/>
  <c r="AK57" i="15"/>
  <c r="F77" i="8"/>
  <c r="AK57" i="23"/>
  <c r="F80" i="24"/>
  <c r="F86" i="24"/>
  <c r="F82" i="8"/>
  <c r="K60" i="18"/>
  <c r="K60" i="21"/>
  <c r="AK62" i="15"/>
  <c r="AK62" i="23"/>
  <c r="AK58" i="23"/>
  <c r="K56" i="21"/>
  <c r="K56" i="18"/>
  <c r="F81" i="24"/>
  <c r="F78" i="8"/>
  <c r="AK58" i="15"/>
  <c r="K59" i="18"/>
  <c r="K59" i="21"/>
  <c r="AK61" i="23"/>
  <c r="AK61" i="15"/>
  <c r="F85" i="24"/>
  <c r="F81" i="8"/>
  <c r="K54" i="21"/>
  <c r="AK56" i="15"/>
  <c r="AK56" i="23"/>
  <c r="F78" i="24"/>
  <c r="F76" i="8"/>
  <c r="K54" i="18"/>
  <c r="K57" i="21"/>
  <c r="AK59" i="15"/>
  <c r="K57" i="18"/>
  <c r="F79" i="8"/>
  <c r="F83" i="24"/>
  <c r="AK59" i="23"/>
  <c r="AP53" i="2"/>
  <c r="K50" i="21"/>
  <c r="F72" i="24"/>
  <c r="F70" i="8"/>
  <c r="K50" i="18"/>
  <c r="AK52" i="15"/>
  <c r="AK52" i="23"/>
  <c r="AP48" i="2"/>
  <c r="F69" i="24"/>
  <c r="F65" i="8"/>
  <c r="K45" i="18"/>
  <c r="K45" i="21"/>
  <c r="AK47" i="15"/>
  <c r="AK47" i="23"/>
  <c r="AP54" i="2"/>
  <c r="F73" i="24"/>
  <c r="F71" i="8"/>
  <c r="K51" i="18"/>
  <c r="K51" i="21"/>
  <c r="AK53" i="23"/>
  <c r="AK53" i="15"/>
  <c r="F68" i="24"/>
  <c r="AK46" i="23"/>
  <c r="F64" i="8"/>
  <c r="K44" i="21"/>
  <c r="AK46" i="15"/>
  <c r="K44" i="18"/>
  <c r="AP47" i="2"/>
  <c r="F61" i="8"/>
  <c r="AK43" i="15"/>
  <c r="K41" i="21"/>
  <c r="AP44" i="2"/>
  <c r="F65" i="24"/>
  <c r="K41" i="18"/>
  <c r="AK43" i="23"/>
  <c r="AK32" i="23"/>
  <c r="AK32" i="15"/>
  <c r="K30" i="18"/>
  <c r="K30" i="21"/>
  <c r="F52" i="24"/>
  <c r="F50" i="8"/>
  <c r="AP33" i="2"/>
  <c r="F72" i="8"/>
  <c r="K52" i="21"/>
  <c r="AK54" i="15"/>
  <c r="AK54" i="23"/>
  <c r="K52" i="18"/>
  <c r="AP55" i="2"/>
  <c r="F74" i="24"/>
  <c r="F51" i="24"/>
  <c r="F49" i="8"/>
  <c r="K29" i="18"/>
  <c r="K29" i="21"/>
  <c r="AK31" i="15"/>
  <c r="AK31" i="23"/>
  <c r="AP32" i="2"/>
  <c r="AK40" i="23"/>
  <c r="AK40" i="15"/>
  <c r="F58" i="8"/>
  <c r="F62" i="24"/>
  <c r="K38" i="18"/>
  <c r="AP41" i="2"/>
  <c r="K38" i="21"/>
  <c r="K92" i="21"/>
  <c r="F128" i="8"/>
  <c r="K92" i="18"/>
  <c r="F133" i="24"/>
  <c r="AK94" i="15"/>
  <c r="AK94" i="23"/>
  <c r="F91" i="24"/>
  <c r="K63" i="21"/>
  <c r="H124" i="24"/>
  <c r="H119" i="8"/>
  <c r="M124" i="24"/>
  <c r="M119" i="8"/>
  <c r="L119" i="8"/>
  <c r="L124" i="24"/>
  <c r="K119" i="8"/>
  <c r="K124" i="24"/>
  <c r="J124" i="24"/>
  <c r="J119" i="8"/>
  <c r="I124" i="24"/>
  <c r="I119" i="8"/>
  <c r="J118" i="24"/>
  <c r="J112" i="8"/>
  <c r="H112" i="8"/>
  <c r="K85" i="21"/>
  <c r="F122" i="24"/>
  <c r="F117" i="8"/>
  <c r="K85" i="18"/>
  <c r="AK87" i="15"/>
  <c r="AK87" i="23"/>
  <c r="M118" i="24"/>
  <c r="M112" i="8"/>
  <c r="L118" i="24"/>
  <c r="K42" i="18"/>
  <c r="AP45" i="2"/>
  <c r="F66" i="24"/>
  <c r="K42" i="21"/>
  <c r="F62" i="8"/>
  <c r="AK44" i="15"/>
  <c r="AK44" i="23"/>
  <c r="AK39" i="15"/>
  <c r="K37" i="18"/>
  <c r="AP40" i="2"/>
  <c r="K37" i="21"/>
  <c r="F57" i="8"/>
  <c r="AK39" i="23"/>
  <c r="F61" i="24"/>
  <c r="F56" i="24"/>
  <c r="AP35" i="2"/>
  <c r="AK34" i="15"/>
  <c r="AK34" i="23"/>
  <c r="F52" i="8"/>
  <c r="K32" i="21"/>
  <c r="K32" i="18"/>
  <c r="AP37" i="2"/>
  <c r="AK36" i="15"/>
  <c r="K34" i="21"/>
  <c r="K34" i="18"/>
  <c r="F58" i="24"/>
  <c r="F54" i="8"/>
  <c r="AK36" i="23"/>
  <c r="K48" i="21"/>
  <c r="AK50" i="15"/>
  <c r="K48" i="18"/>
  <c r="F70" i="24"/>
  <c r="F68" i="8"/>
  <c r="AP51" i="2"/>
  <c r="AK50" i="23"/>
  <c r="F56" i="8"/>
  <c r="AP39" i="2"/>
  <c r="F60" i="24"/>
  <c r="K36" i="21"/>
  <c r="AK38" i="23"/>
  <c r="AK38" i="15"/>
  <c r="K36" i="18"/>
  <c r="K31" i="18"/>
  <c r="AK33" i="23"/>
  <c r="AK33" i="15"/>
  <c r="F54" i="24"/>
  <c r="AP34" i="2"/>
  <c r="K31" i="21"/>
  <c r="F51" i="8"/>
  <c r="AK84" i="23"/>
  <c r="K82" i="18"/>
  <c r="AK84" i="15"/>
  <c r="K82" i="21"/>
  <c r="F114" i="8"/>
  <c r="AK65" i="23"/>
  <c r="K63" i="18"/>
  <c r="C36" i="14"/>
  <c r="J36" i="14" s="1"/>
  <c r="C151" i="2"/>
  <c r="E151" i="2" s="1"/>
  <c r="C36" i="22"/>
  <c r="J36" i="22" s="1"/>
  <c r="H26" i="8"/>
  <c r="L112" i="8"/>
  <c r="K112" i="8"/>
  <c r="K118" i="24"/>
  <c r="I118" i="24"/>
  <c r="I112" i="8"/>
  <c r="H15" i="8"/>
  <c r="G15" i="8"/>
  <c r="F17" i="24"/>
  <c r="F17" i="8"/>
  <c r="L15" i="24"/>
  <c r="J15" i="8"/>
  <c r="G15" i="24"/>
  <c r="F28" i="24"/>
  <c r="F27" i="8"/>
  <c r="L15" i="8"/>
  <c r="H15" i="24"/>
  <c r="K87" i="21"/>
  <c r="F126" i="24"/>
  <c r="F121" i="8"/>
  <c r="K87" i="18"/>
  <c r="AK89" i="15"/>
  <c r="AK89" i="23"/>
  <c r="C33" i="22"/>
  <c r="J33" i="22" s="1"/>
  <c r="C33" i="14"/>
  <c r="J33" i="14" s="1"/>
  <c r="C147" i="2"/>
  <c r="E147" i="2" s="1"/>
  <c r="AP6" i="2"/>
  <c r="K4" i="18"/>
  <c r="K4" i="21"/>
  <c r="AK6" i="15"/>
  <c r="AK6" i="23"/>
  <c r="B123" i="2"/>
  <c r="M15" i="24"/>
  <c r="K15" i="24"/>
  <c r="J15" i="24"/>
  <c r="H118" i="24"/>
  <c r="D3" i="14"/>
  <c r="D53" i="14" s="1"/>
  <c r="D56" i="14" s="1"/>
  <c r="D3" i="22"/>
  <c r="D53" i="22" s="1"/>
  <c r="D56" i="22" s="1"/>
  <c r="K31" i="8"/>
  <c r="I31" i="8"/>
  <c r="H31" i="8"/>
  <c r="L31" i="8"/>
  <c r="M31" i="8"/>
  <c r="J31" i="8"/>
  <c r="M15" i="8"/>
  <c r="K15" i="8"/>
  <c r="F94" i="24"/>
  <c r="K66" i="18"/>
  <c r="C3" i="22"/>
  <c r="C53" i="22" s="1"/>
  <c r="C3" i="14"/>
  <c r="C53" i="14" s="1"/>
  <c r="AI42" i="15"/>
  <c r="AI42" i="23"/>
  <c r="L60" i="8"/>
  <c r="L64" i="24"/>
  <c r="AJ42" i="23"/>
  <c r="M64" i="24"/>
  <c r="AJ42" i="15"/>
  <c r="M60" i="8"/>
  <c r="AM43" i="2"/>
  <c r="AD42" i="15"/>
  <c r="G60" i="8"/>
  <c r="AD42" i="23"/>
  <c r="G64" i="24"/>
  <c r="AE42" i="15"/>
  <c r="AE42" i="23"/>
  <c r="H64" i="24"/>
  <c r="H60" i="8"/>
  <c r="AF42" i="23"/>
  <c r="I64" i="24"/>
  <c r="AF42" i="15"/>
  <c r="I60" i="8"/>
  <c r="J64" i="24"/>
  <c r="J60" i="8"/>
  <c r="AG42" i="15"/>
  <c r="AG42" i="23"/>
  <c r="AH42" i="15"/>
  <c r="AH42" i="23"/>
  <c r="K64" i="24"/>
  <c r="K60" i="8"/>
  <c r="B159" i="2"/>
  <c r="AD97" i="23"/>
  <c r="AD97" i="15"/>
  <c r="G135" i="8"/>
  <c r="G134" i="8" s="1"/>
  <c r="G137" i="24"/>
  <c r="G136" i="24" s="1"/>
  <c r="AM98" i="2"/>
  <c r="H135" i="8"/>
  <c r="H134" i="8" s="1"/>
  <c r="AE97" i="23"/>
  <c r="H137" i="24"/>
  <c r="H136" i="24" s="1"/>
  <c r="AE97" i="15"/>
  <c r="AF97" i="23"/>
  <c r="I135" i="8"/>
  <c r="I134" i="8" s="1"/>
  <c r="AF97" i="15"/>
  <c r="I137" i="24"/>
  <c r="I136" i="24" s="1"/>
  <c r="K137" i="24"/>
  <c r="K136" i="24" s="1"/>
  <c r="AH97" i="23"/>
  <c r="AH97" i="15"/>
  <c r="K135" i="8"/>
  <c r="K134" i="8" s="1"/>
  <c r="M137" i="24"/>
  <c r="M136" i="24" s="1"/>
  <c r="M135" i="8"/>
  <c r="M134" i="8" s="1"/>
  <c r="AJ97" i="23"/>
  <c r="AJ97" i="15"/>
  <c r="J137" i="24"/>
  <c r="J136" i="24" s="1"/>
  <c r="AG97" i="15"/>
  <c r="J135" i="8"/>
  <c r="J134" i="8" s="1"/>
  <c r="AG97" i="23"/>
  <c r="L137" i="24"/>
  <c r="L136" i="24" s="1"/>
  <c r="L135" i="8"/>
  <c r="L134" i="8" s="1"/>
  <c r="AI97" i="15"/>
  <c r="AI97" i="23"/>
  <c r="B131" i="2"/>
  <c r="G111" i="24"/>
  <c r="G106" i="24" s="1"/>
  <c r="F106" i="24" s="1"/>
  <c r="AM80" i="2"/>
  <c r="AD79" i="23"/>
  <c r="AD79" i="15"/>
  <c r="G105" i="8"/>
  <c r="G101" i="8" s="1"/>
  <c r="F101" i="8" s="1"/>
  <c r="AE79" i="15"/>
  <c r="AE79" i="23"/>
  <c r="H111" i="24"/>
  <c r="H105" i="8"/>
  <c r="J105" i="8"/>
  <c r="AG79" i="15"/>
  <c r="J111" i="24"/>
  <c r="AG79" i="23"/>
  <c r="I105" i="8"/>
  <c r="I111" i="24"/>
  <c r="AF79" i="15"/>
  <c r="AF79" i="23"/>
  <c r="K105" i="8"/>
  <c r="K111" i="24"/>
  <c r="AH79" i="15"/>
  <c r="AH79" i="23"/>
  <c r="L111" i="24"/>
  <c r="AI79" i="15"/>
  <c r="L105" i="8"/>
  <c r="AI79" i="23"/>
  <c r="M105" i="8"/>
  <c r="AJ79" i="15"/>
  <c r="M111" i="24"/>
  <c r="AJ79" i="23"/>
  <c r="B119" i="2"/>
  <c r="G87" i="24"/>
  <c r="AD63" i="23"/>
  <c r="AD63" i="15"/>
  <c r="G83" i="8"/>
  <c r="G74" i="8" s="1"/>
  <c r="AM64" i="2"/>
  <c r="H87" i="24"/>
  <c r="AE63" i="23"/>
  <c r="H83" i="8"/>
  <c r="H74" i="8" s="1"/>
  <c r="AE63" i="15"/>
  <c r="I83" i="8"/>
  <c r="I74" i="8" s="1"/>
  <c r="AF63" i="15"/>
  <c r="I87" i="24"/>
  <c r="AF63" i="23"/>
  <c r="J87" i="24"/>
  <c r="AG63" i="23"/>
  <c r="J83" i="8"/>
  <c r="J74" i="8" s="1"/>
  <c r="AG63" i="15"/>
  <c r="K83" i="8"/>
  <c r="K74" i="8" s="1"/>
  <c r="K87" i="24"/>
  <c r="AH63" i="15"/>
  <c r="AH63" i="23"/>
  <c r="L87" i="24"/>
  <c r="AI63" i="15"/>
  <c r="L83" i="8"/>
  <c r="L74" i="8" s="1"/>
  <c r="AI63" i="23"/>
  <c r="M83" i="8"/>
  <c r="M74" i="8" s="1"/>
  <c r="M87" i="24"/>
  <c r="AJ63" i="15"/>
  <c r="AJ63" i="23"/>
  <c r="G53" i="8"/>
  <c r="G57" i="24"/>
  <c r="AM36" i="2"/>
  <c r="AD35" i="23"/>
  <c r="AD35" i="15"/>
  <c r="B115" i="2"/>
  <c r="H57" i="24"/>
  <c r="H53" i="8"/>
  <c r="AE35" i="23"/>
  <c r="AE35" i="15"/>
  <c r="I57" i="24"/>
  <c r="I53" i="8"/>
  <c r="AF35" i="15"/>
  <c r="AF35" i="23"/>
  <c r="J57" i="24"/>
  <c r="J53" i="8"/>
  <c r="AG35" i="15"/>
  <c r="AG35" i="23"/>
  <c r="K57" i="24"/>
  <c r="AH35" i="15"/>
  <c r="K53" i="8"/>
  <c r="AH35" i="23"/>
  <c r="L57" i="24"/>
  <c r="L53" i="8"/>
  <c r="AI35" i="15"/>
  <c r="AI35" i="23"/>
  <c r="M57" i="24"/>
  <c r="AJ35" i="15"/>
  <c r="AJ35" i="23"/>
  <c r="M53" i="8"/>
  <c r="AP14" i="2"/>
  <c r="AK14" i="15"/>
  <c r="AK14" i="23"/>
  <c r="K12" i="18"/>
  <c r="K12" i="21"/>
  <c r="AD67" i="23"/>
  <c r="AM68" i="2"/>
  <c r="AD67" i="15"/>
  <c r="G89" i="8"/>
  <c r="G93" i="24"/>
  <c r="AE67" i="15"/>
  <c r="AE67" i="23"/>
  <c r="H93" i="24"/>
  <c r="H89" i="8"/>
  <c r="I89" i="8"/>
  <c r="AF67" i="23"/>
  <c r="I93" i="24"/>
  <c r="AF67" i="15"/>
  <c r="J93" i="24"/>
  <c r="J89" i="8"/>
  <c r="AG67" i="15"/>
  <c r="AG67" i="23"/>
  <c r="K93" i="24"/>
  <c r="AH67" i="23"/>
  <c r="K89" i="8"/>
  <c r="AH67" i="15"/>
  <c r="AI67" i="15"/>
  <c r="AI67" i="23"/>
  <c r="L93" i="24"/>
  <c r="L89" i="8"/>
  <c r="AJ67" i="15"/>
  <c r="AJ67" i="23"/>
  <c r="M93" i="24"/>
  <c r="M89" i="8"/>
  <c r="AD66" i="23"/>
  <c r="AD66" i="15"/>
  <c r="G88" i="8"/>
  <c r="G92" i="24"/>
  <c r="AM67" i="2"/>
  <c r="AH66" i="15"/>
  <c r="AH66" i="23"/>
  <c r="K92" i="24"/>
  <c r="K89" i="24" s="1"/>
  <c r="K88" i="8"/>
  <c r="M88" i="8"/>
  <c r="AJ66" i="23"/>
  <c r="M92" i="24"/>
  <c r="M89" i="24" s="1"/>
  <c r="AJ66" i="15"/>
  <c r="H92" i="24"/>
  <c r="AE66" i="15"/>
  <c r="H88" i="8"/>
  <c r="AE66" i="23"/>
  <c r="I88" i="8"/>
  <c r="I92" i="24"/>
  <c r="AF66" i="15"/>
  <c r="AF66" i="23"/>
  <c r="J92" i="24"/>
  <c r="AG66" i="15"/>
  <c r="J88" i="8"/>
  <c r="AG66" i="23"/>
  <c r="L92" i="24"/>
  <c r="L88" i="8"/>
  <c r="AI66" i="15"/>
  <c r="AI66" i="23"/>
  <c r="AD64" i="15"/>
  <c r="G90" i="24"/>
  <c r="G86" i="8"/>
  <c r="AD64" i="23"/>
  <c r="AM65" i="2"/>
  <c r="H90" i="24"/>
  <c r="H86" i="8"/>
  <c r="AE64" i="23"/>
  <c r="AE64" i="15"/>
  <c r="AF64" i="15"/>
  <c r="AF64" i="23"/>
  <c r="I90" i="24"/>
  <c r="I86" i="8"/>
  <c r="J90" i="24"/>
  <c r="AG64" i="23"/>
  <c r="J86" i="8"/>
  <c r="AG64" i="15"/>
  <c r="K90" i="24"/>
  <c r="K86" i="8"/>
  <c r="AH64" i="15"/>
  <c r="AH64" i="23"/>
  <c r="L86" i="8"/>
  <c r="AI64" i="23"/>
  <c r="L90" i="24"/>
  <c r="AI64" i="15"/>
  <c r="AJ64" i="23"/>
  <c r="M90" i="24"/>
  <c r="M86" i="8"/>
  <c r="AJ64" i="15"/>
  <c r="AD71" i="23"/>
  <c r="AD71" i="15"/>
  <c r="G93" i="8"/>
  <c r="G98" i="24"/>
  <c r="AM72" i="2"/>
  <c r="H98" i="24"/>
  <c r="H93" i="8"/>
  <c r="AE71" i="15"/>
  <c r="AE71" i="23"/>
  <c r="I93" i="8"/>
  <c r="AF71" i="23"/>
  <c r="I98" i="24"/>
  <c r="AF71" i="15"/>
  <c r="J98" i="24"/>
  <c r="AG71" i="15"/>
  <c r="AG71" i="23"/>
  <c r="J93" i="8"/>
  <c r="K93" i="8"/>
  <c r="AH71" i="23"/>
  <c r="K98" i="24"/>
  <c r="AH71" i="15"/>
  <c r="L98" i="24"/>
  <c r="AI71" i="15"/>
  <c r="AI71" i="23"/>
  <c r="L93" i="8"/>
  <c r="M98" i="24"/>
  <c r="AJ71" i="23"/>
  <c r="M93" i="8"/>
  <c r="AJ71" i="15"/>
  <c r="M130" i="24"/>
  <c r="M125" i="8"/>
  <c r="L130" i="24"/>
  <c r="L125" i="8"/>
  <c r="F45" i="24"/>
  <c r="F43" i="8"/>
  <c r="F44" i="24"/>
  <c r="F42" i="8"/>
  <c r="F41" i="8"/>
  <c r="F43" i="24"/>
  <c r="F37" i="24"/>
  <c r="F34" i="8"/>
  <c r="F56" i="14"/>
  <c r="F56" i="22"/>
  <c r="H56" i="14"/>
  <c r="H56" i="22"/>
  <c r="D105" i="2"/>
  <c r="D155" i="2"/>
  <c r="I132" i="8"/>
  <c r="I131" i="8" s="1"/>
  <c r="F131" i="8" s="1"/>
  <c r="AF96" i="15"/>
  <c r="AF96" i="23"/>
  <c r="E39" i="22"/>
  <c r="I22" i="8"/>
  <c r="I23" i="24"/>
  <c r="AF11" i="15"/>
  <c r="AF11" i="23"/>
  <c r="F132" i="8"/>
  <c r="K94" i="18"/>
  <c r="AK96" i="15"/>
  <c r="AK96" i="23"/>
  <c r="K94" i="21"/>
  <c r="C39" i="14"/>
  <c r="AP16" i="2"/>
  <c r="K14" i="18"/>
  <c r="K14" i="21"/>
  <c r="AK16" i="15"/>
  <c r="AK16" i="23"/>
  <c r="AP9" i="2"/>
  <c r="K7" i="18"/>
  <c r="AK8" i="23"/>
  <c r="K6" i="18"/>
  <c r="AK5" i="23"/>
  <c r="AK5" i="15"/>
  <c r="K3" i="21"/>
  <c r="K3" i="18"/>
  <c r="AP5" i="2"/>
  <c r="I24" i="24"/>
  <c r="F25" i="24"/>
  <c r="I23" i="8"/>
  <c r="F24" i="8"/>
  <c r="AM11" i="2"/>
  <c r="F16" i="24"/>
  <c r="F16" i="8"/>
  <c r="AK10" i="15"/>
  <c r="K8" i="18"/>
  <c r="K8" i="21"/>
  <c r="AP10" i="2"/>
  <c r="AK9" i="15"/>
  <c r="AK9" i="23"/>
  <c r="K7" i="21"/>
  <c r="AP8" i="2"/>
  <c r="K6" i="21"/>
  <c r="AK8" i="15"/>
  <c r="AK7" i="15"/>
  <c r="K5" i="21"/>
  <c r="AP7" i="2"/>
  <c r="AK7" i="23"/>
  <c r="K5" i="18"/>
  <c r="J6" i="22"/>
  <c r="J54" i="22" s="1"/>
  <c r="F109" i="2"/>
  <c r="C174" i="2"/>
  <c r="I184" i="2" s="1"/>
  <c r="K70" i="18"/>
  <c r="F99" i="24"/>
  <c r="F94" i="8"/>
  <c r="AK72" i="23"/>
  <c r="K70" i="21"/>
  <c r="AK72" i="15"/>
  <c r="F91" i="8"/>
  <c r="AK69" i="23"/>
  <c r="AK69" i="15"/>
  <c r="K67" i="18"/>
  <c r="K67" i="21"/>
  <c r="F96" i="24"/>
  <c r="F95" i="24"/>
  <c r="AK68" i="15"/>
  <c r="AK68" i="23"/>
  <c r="K66" i="21"/>
  <c r="F97" i="24"/>
  <c r="K68" i="21"/>
  <c r="K68" i="18"/>
  <c r="AK70" i="23"/>
  <c r="F92" i="8"/>
  <c r="AK70" i="15"/>
  <c r="F23" i="8" l="1"/>
  <c r="F24" i="24"/>
  <c r="AK37" i="23"/>
  <c r="AP38" i="2"/>
  <c r="K35" i="21"/>
  <c r="F59" i="24"/>
  <c r="F55" i="8"/>
  <c r="AK37" i="15"/>
  <c r="K35" i="18"/>
  <c r="AP42" i="2"/>
  <c r="AK41" i="15"/>
  <c r="F59" i="8"/>
  <c r="K39" i="21"/>
  <c r="K39" i="18"/>
  <c r="F63" i="24"/>
  <c r="AK41" i="23"/>
  <c r="G14" i="24"/>
  <c r="F101" i="24"/>
  <c r="F96" i="8"/>
  <c r="I85" i="8"/>
  <c r="H85" i="8"/>
  <c r="G14" i="8"/>
  <c r="F124" i="24"/>
  <c r="F119" i="8"/>
  <c r="K14" i="24"/>
  <c r="J14" i="24"/>
  <c r="M14" i="8"/>
  <c r="F26" i="8"/>
  <c r="L14" i="24"/>
  <c r="H14" i="24"/>
  <c r="M14" i="24"/>
  <c r="K14" i="8"/>
  <c r="H48" i="8"/>
  <c r="I48" i="8"/>
  <c r="I89" i="24"/>
  <c r="J89" i="24"/>
  <c r="J85" i="8"/>
  <c r="L89" i="24"/>
  <c r="F130" i="24"/>
  <c r="L14" i="8"/>
  <c r="J14" i="8"/>
  <c r="J48" i="8"/>
  <c r="K48" i="8"/>
  <c r="L48" i="8"/>
  <c r="M48" i="8"/>
  <c r="F125" i="8"/>
  <c r="F112" i="8"/>
  <c r="F118" i="24"/>
  <c r="G48" i="8"/>
  <c r="H14" i="8"/>
  <c r="G85" i="8"/>
  <c r="F31" i="8"/>
  <c r="C15" i="14"/>
  <c r="J15" i="14" s="1"/>
  <c r="C123" i="2"/>
  <c r="E123" i="2" s="1"/>
  <c r="C15" i="22"/>
  <c r="J15" i="22" s="1"/>
  <c r="M85" i="8"/>
  <c r="L85" i="8"/>
  <c r="K85" i="8"/>
  <c r="G89" i="24"/>
  <c r="AP43" i="2"/>
  <c r="F60" i="8"/>
  <c r="K40" i="18"/>
  <c r="AK42" i="23"/>
  <c r="K40" i="21"/>
  <c r="F64" i="24"/>
  <c r="AK42" i="15"/>
  <c r="C159" i="2"/>
  <c r="C42" i="22"/>
  <c r="C42" i="14"/>
  <c r="J42" i="14" s="1"/>
  <c r="K95" i="21"/>
  <c r="F135" i="8"/>
  <c r="K95" i="18"/>
  <c r="AK97" i="23"/>
  <c r="AK97" i="15"/>
  <c r="F137" i="24"/>
  <c r="C21" i="22"/>
  <c r="J21" i="22" s="1"/>
  <c r="C131" i="2"/>
  <c r="E131" i="2" s="1"/>
  <c r="C21" i="14"/>
  <c r="J21" i="14" s="1"/>
  <c r="F105" i="8"/>
  <c r="AK79" i="15"/>
  <c r="F111" i="24"/>
  <c r="AK79" i="23"/>
  <c r="K77" i="18"/>
  <c r="K77" i="21"/>
  <c r="C119" i="2"/>
  <c r="E119" i="2" s="1"/>
  <c r="C12" i="14"/>
  <c r="J12" i="14" s="1"/>
  <c r="C12" i="22"/>
  <c r="J12" i="22" s="1"/>
  <c r="F87" i="24"/>
  <c r="K61" i="21"/>
  <c r="AK63" i="15"/>
  <c r="F83" i="8"/>
  <c r="AK63" i="23"/>
  <c r="K61" i="18"/>
  <c r="F57" i="24"/>
  <c r="K33" i="21"/>
  <c r="F53" i="8"/>
  <c r="AP36" i="2"/>
  <c r="AK35" i="15"/>
  <c r="K33" i="18"/>
  <c r="AK35" i="23"/>
  <c r="C9" i="22"/>
  <c r="C115" i="2"/>
  <c r="C9" i="14"/>
  <c r="AK67" i="15"/>
  <c r="K65" i="21"/>
  <c r="K65" i="18"/>
  <c r="F89" i="8"/>
  <c r="F93" i="24"/>
  <c r="AK67" i="23"/>
  <c r="AK66" i="23"/>
  <c r="AK66" i="15"/>
  <c r="K64" i="21"/>
  <c r="K64" i="18"/>
  <c r="F88" i="8"/>
  <c r="F92" i="24"/>
  <c r="AK64" i="15"/>
  <c r="K62" i="21"/>
  <c r="K62" i="18"/>
  <c r="F86" i="8"/>
  <c r="F90" i="24"/>
  <c r="AK64" i="23"/>
  <c r="AK71" i="23"/>
  <c r="AK71" i="15"/>
  <c r="F93" i="8"/>
  <c r="F98" i="24"/>
  <c r="K69" i="21"/>
  <c r="K69" i="18"/>
  <c r="H89" i="24"/>
  <c r="F136" i="24"/>
  <c r="F134" i="8"/>
  <c r="F74" i="8"/>
  <c r="I105" i="2"/>
  <c r="E3" i="14"/>
  <c r="E53" i="14" s="1"/>
  <c r="E3" i="22"/>
  <c r="E53" i="22" s="1"/>
  <c r="F22" i="8"/>
  <c r="I15" i="8"/>
  <c r="F23" i="24"/>
  <c r="I15" i="24"/>
  <c r="J39" i="22"/>
  <c r="E55" i="22"/>
  <c r="AK11" i="23"/>
  <c r="AK11" i="15"/>
  <c r="K9" i="21"/>
  <c r="K9" i="18"/>
  <c r="AP11" i="2"/>
  <c r="E39" i="14"/>
  <c r="I155" i="2"/>
  <c r="K155" i="2" s="1"/>
  <c r="F85" i="8" l="1"/>
  <c r="F48" i="8"/>
  <c r="F89" i="24"/>
  <c r="E56" i="22"/>
  <c r="J9" i="22"/>
  <c r="E115" i="2"/>
  <c r="J9" i="14"/>
  <c r="E159" i="2"/>
  <c r="J42" i="22"/>
  <c r="B174" i="2"/>
  <c r="B178" i="2" s="1"/>
  <c r="J3" i="14"/>
  <c r="J3" i="22"/>
  <c r="J53" i="22" s="1"/>
  <c r="K105" i="2"/>
  <c r="I14" i="8"/>
  <c r="F15" i="8"/>
  <c r="F14" i="8" s="1"/>
  <c r="F8" i="8" s="1"/>
  <c r="I14" i="24"/>
  <c r="F15" i="24"/>
  <c r="F14" i="24" s="1"/>
  <c r="F8" i="24" s="1"/>
  <c r="J39" i="14"/>
  <c r="E55" i="14"/>
  <c r="E56" i="14" s="1"/>
  <c r="H184" i="2" l="1"/>
  <c r="J53" i="14"/>
  <c r="AF83" i="2" l="1"/>
  <c r="AD82" i="15" s="1"/>
  <c r="AD98" i="15" s="1"/>
  <c r="B135" i="2"/>
  <c r="AG83" i="2"/>
  <c r="AE82" i="15" s="1"/>
  <c r="AE98" i="15" s="1"/>
  <c r="AJ83" i="2"/>
  <c r="K116" i="24" s="1"/>
  <c r="AL83" i="2"/>
  <c r="AJ82" i="23" s="1"/>
  <c r="AJ98" i="23" s="1"/>
  <c r="AK83" i="2"/>
  <c r="AI83" i="2"/>
  <c r="AH83" i="2"/>
  <c r="I116" i="24"/>
  <c r="AF99" i="2"/>
  <c r="AH100" i="2"/>
  <c r="AF100" i="2"/>
  <c r="E82" i="23"/>
  <c r="E82" i="15"/>
  <c r="AF82" i="15" l="1"/>
  <c r="AF98" i="15" s="1"/>
  <c r="AH99" i="2"/>
  <c r="G116" i="24"/>
  <c r="G113" i="24" s="1"/>
  <c r="F113" i="24" s="1"/>
  <c r="AD82" i="23"/>
  <c r="AD98" i="23" s="1"/>
  <c r="G110" i="8"/>
  <c r="G107" i="8" s="1"/>
  <c r="F107" i="8" s="1"/>
  <c r="F11" i="8" s="1"/>
  <c r="I110" i="8"/>
  <c r="AF82" i="23"/>
  <c r="AF98" i="23" s="1"/>
  <c r="M116" i="24"/>
  <c r="AJ82" i="15"/>
  <c r="AJ98" i="15" s="1"/>
  <c r="M110" i="8"/>
  <c r="L116" i="24"/>
  <c r="AI82" i="23"/>
  <c r="AI98" i="23" s="1"/>
  <c r="L110" i="8"/>
  <c r="AI82" i="15"/>
  <c r="AI98" i="15" s="1"/>
  <c r="C135" i="2"/>
  <c r="C24" i="14"/>
  <c r="C24" i="22"/>
  <c r="AM83" i="2"/>
  <c r="H116" i="24"/>
  <c r="H110" i="8"/>
  <c r="AE82" i="23"/>
  <c r="AE98" i="23" s="1"/>
  <c r="AG100" i="2"/>
  <c r="AG99" i="2"/>
  <c r="K110" i="8"/>
  <c r="AH82" i="23"/>
  <c r="AH98" i="23" s="1"/>
  <c r="AH82" i="15"/>
  <c r="AH98" i="15" s="1"/>
  <c r="AJ99" i="2"/>
  <c r="AJ100" i="2"/>
  <c r="AL100" i="2"/>
  <c r="AL99" i="2"/>
  <c r="AK100" i="2"/>
  <c r="AK99" i="2"/>
  <c r="J116" i="24"/>
  <c r="AG82" i="23"/>
  <c r="AG98" i="23" s="1"/>
  <c r="J110" i="8"/>
  <c r="AG82" i="15"/>
  <c r="AG98" i="15" s="1"/>
  <c r="AI99" i="2"/>
  <c r="AI100" i="2"/>
  <c r="E135" i="2" l="1"/>
  <c r="D174" i="2"/>
  <c r="J24" i="14"/>
  <c r="C55" i="14"/>
  <c r="J24" i="22"/>
  <c r="C55" i="22"/>
  <c r="AM99" i="2"/>
  <c r="AM100" i="2"/>
  <c r="K80" i="18"/>
  <c r="K80" i="21"/>
  <c r="AK82" i="15"/>
  <c r="AK98" i="15" s="1"/>
  <c r="F110" i="8"/>
  <c r="F116" i="24"/>
  <c r="AK82" i="23"/>
  <c r="AK98" i="23" s="1"/>
  <c r="D178" i="2" l="1"/>
  <c r="E178" i="2" s="1"/>
  <c r="D179" i="2" s="1"/>
  <c r="E174" i="2"/>
  <c r="J184" i="2"/>
  <c r="C56" i="14"/>
  <c r="J55" i="14"/>
  <c r="J56" i="14" s="1"/>
  <c r="C56" i="22"/>
  <c r="J55" i="22"/>
  <c r="J56" i="22" s="1"/>
  <c r="K96" i="18"/>
  <c r="K96" i="21"/>
  <c r="L80" i="18" l="1"/>
  <c r="M80" i="18" s="1"/>
  <c r="L46" i="18"/>
  <c r="M46" i="18" s="1"/>
  <c r="L47" i="18"/>
  <c r="M47" i="18" s="1"/>
  <c r="L80" i="21"/>
  <c r="M80" i="21" s="1"/>
  <c r="L46" i="21"/>
  <c r="M46" i="21" s="1"/>
  <c r="L47" i="21"/>
  <c r="M47" i="21" s="1"/>
  <c r="D175" i="2"/>
  <c r="B175" i="2"/>
  <c r="C175" i="2"/>
  <c r="K24" i="14"/>
  <c r="K6" i="14"/>
  <c r="K15" i="14"/>
  <c r="K21" i="14"/>
  <c r="K3" i="14"/>
  <c r="K18" i="14"/>
  <c r="K9" i="14"/>
  <c r="K12" i="14"/>
  <c r="K33" i="14"/>
  <c r="K39" i="14"/>
  <c r="K27" i="14"/>
  <c r="K42" i="14"/>
  <c r="K36" i="14"/>
  <c r="K24" i="22"/>
  <c r="K39" i="22"/>
  <c r="K42" i="22"/>
  <c r="K21" i="22"/>
  <c r="K9" i="22"/>
  <c r="K27" i="22"/>
  <c r="K36" i="22"/>
  <c r="K6" i="22"/>
  <c r="K12" i="22"/>
  <c r="K3" i="22"/>
  <c r="K15" i="22"/>
  <c r="K18" i="22"/>
  <c r="K33" i="22"/>
  <c r="B179" i="2"/>
  <c r="C179" i="2"/>
  <c r="L31" i="18"/>
  <c r="M31" i="18" s="1"/>
  <c r="L61" i="18"/>
  <c r="M61" i="18" s="1"/>
  <c r="L27" i="18"/>
  <c r="M27" i="18" s="1"/>
  <c r="L50" i="18"/>
  <c r="M50" i="18" s="1"/>
  <c r="L43" i="18"/>
  <c r="M43" i="18" s="1"/>
  <c r="L70" i="18"/>
  <c r="M70" i="18" s="1"/>
  <c r="L55" i="18"/>
  <c r="M55" i="18" s="1"/>
  <c r="L17" i="18"/>
  <c r="M17" i="18" s="1"/>
  <c r="L51" i="18"/>
  <c r="M51" i="18" s="1"/>
  <c r="L26" i="18"/>
  <c r="M26" i="18" s="1"/>
  <c r="L90" i="18"/>
  <c r="M90" i="18" s="1"/>
  <c r="L54" i="18"/>
  <c r="M54" i="18" s="1"/>
  <c r="L13" i="18"/>
  <c r="M13" i="18" s="1"/>
  <c r="L35" i="18"/>
  <c r="M35" i="18" s="1"/>
  <c r="L68" i="18"/>
  <c r="M68" i="18" s="1"/>
  <c r="L28" i="18"/>
  <c r="M28" i="18" s="1"/>
  <c r="L33" i="18"/>
  <c r="M33" i="18" s="1"/>
  <c r="L42" i="18"/>
  <c r="M42" i="18" s="1"/>
  <c r="L37" i="18"/>
  <c r="M37" i="18" s="1"/>
  <c r="L85" i="18"/>
  <c r="M85" i="18" s="1"/>
  <c r="L10" i="18"/>
  <c r="M10" i="18" s="1"/>
  <c r="L44" i="18"/>
  <c r="M44" i="18" s="1"/>
  <c r="L67" i="18"/>
  <c r="M67" i="18" s="1"/>
  <c r="L34" i="18"/>
  <c r="M34" i="18" s="1"/>
  <c r="L30" i="18"/>
  <c r="M30" i="18" s="1"/>
  <c r="L74" i="18"/>
  <c r="M74" i="18" s="1"/>
  <c r="L89" i="18"/>
  <c r="M89" i="18" s="1"/>
  <c r="L22" i="18"/>
  <c r="M22" i="18" s="1"/>
  <c r="L29" i="18"/>
  <c r="M29" i="18" s="1"/>
  <c r="L48" i="18"/>
  <c r="M48" i="18" s="1"/>
  <c r="L62" i="18"/>
  <c r="M62" i="18" s="1"/>
  <c r="L88" i="18"/>
  <c r="M88" i="18" s="1"/>
  <c r="L20" i="18"/>
  <c r="M20" i="18" s="1"/>
  <c r="L45" i="18"/>
  <c r="M45" i="18" s="1"/>
  <c r="L53" i="18"/>
  <c r="M53" i="18" s="1"/>
  <c r="L14" i="18"/>
  <c r="M14" i="18" s="1"/>
  <c r="L3" i="18"/>
  <c r="M3" i="18" s="1"/>
  <c r="L57" i="18"/>
  <c r="M57" i="18" s="1"/>
  <c r="L95" i="18"/>
  <c r="M95" i="18" s="1"/>
  <c r="L76" i="18"/>
  <c r="M76" i="18" s="1"/>
  <c r="L39" i="18"/>
  <c r="M39" i="18" s="1"/>
  <c r="L6" i="18"/>
  <c r="M6" i="18" s="1"/>
  <c r="L69" i="18"/>
  <c r="M69" i="18" s="1"/>
  <c r="L83" i="18"/>
  <c r="M83" i="18" s="1"/>
  <c r="L77" i="18"/>
  <c r="M77" i="18" s="1"/>
  <c r="L15" i="18"/>
  <c r="M15" i="18" s="1"/>
  <c r="L65" i="18"/>
  <c r="M65" i="18" s="1"/>
  <c r="L79" i="18"/>
  <c r="M79" i="18" s="1"/>
  <c r="L40" i="18"/>
  <c r="M40" i="18" s="1"/>
  <c r="L73" i="18"/>
  <c r="M73" i="18" s="1"/>
  <c r="L21" i="18"/>
  <c r="M21" i="18" s="1"/>
  <c r="L23" i="18"/>
  <c r="M23" i="18" s="1"/>
  <c r="L94" i="18"/>
  <c r="M94" i="18" s="1"/>
  <c r="L5" i="18"/>
  <c r="M5" i="18" s="1"/>
  <c r="L63" i="18"/>
  <c r="M63" i="18" s="1"/>
  <c r="L25" i="18"/>
  <c r="M25" i="18" s="1"/>
  <c r="L7" i="18"/>
  <c r="M7" i="18" s="1"/>
  <c r="L38" i="18"/>
  <c r="M38" i="18" s="1"/>
  <c r="L86" i="18"/>
  <c r="M86" i="18" s="1"/>
  <c r="L93" i="18"/>
  <c r="M93" i="18" s="1"/>
  <c r="L49" i="18"/>
  <c r="M49" i="18" s="1"/>
  <c r="L11" i="18"/>
  <c r="M11" i="18" s="1"/>
  <c r="L82" i="18"/>
  <c r="M82" i="18" s="1"/>
  <c r="L41" i="18"/>
  <c r="M41" i="18" s="1"/>
  <c r="L78" i="18"/>
  <c r="M78" i="18" s="1"/>
  <c r="L87" i="18"/>
  <c r="M87" i="18" s="1"/>
  <c r="L91" i="18"/>
  <c r="M91" i="18" s="1"/>
  <c r="L8" i="18"/>
  <c r="M8" i="18" s="1"/>
  <c r="L72" i="18"/>
  <c r="M72" i="18" s="1"/>
  <c r="L24" i="18"/>
  <c r="M24" i="18" s="1"/>
  <c r="L58" i="18"/>
  <c r="M58" i="18" s="1"/>
  <c r="L52" i="18"/>
  <c r="M52" i="18" s="1"/>
  <c r="L16" i="18"/>
  <c r="M16" i="18" s="1"/>
  <c r="L64" i="18"/>
  <c r="M64" i="18" s="1"/>
  <c r="L18" i="18"/>
  <c r="M18" i="18" s="1"/>
  <c r="L81" i="18"/>
  <c r="M81" i="18" s="1"/>
  <c r="L60" i="18"/>
  <c r="M60" i="18" s="1"/>
  <c r="L4" i="18"/>
  <c r="M4" i="18" s="1"/>
  <c r="L36" i="18"/>
  <c r="M36" i="18" s="1"/>
  <c r="L92" i="18"/>
  <c r="M92" i="18" s="1"/>
  <c r="L75" i="18"/>
  <c r="M75" i="18" s="1"/>
  <c r="L19" i="18"/>
  <c r="M19" i="18" s="1"/>
  <c r="L12" i="18"/>
  <c r="M12" i="18" s="1"/>
  <c r="L66" i="18"/>
  <c r="M66" i="18" s="1"/>
  <c r="L9" i="18"/>
  <c r="M9" i="18" s="1"/>
  <c r="L71" i="18"/>
  <c r="M71" i="18" s="1"/>
  <c r="L84" i="18"/>
  <c r="M84" i="18" s="1"/>
  <c r="L32" i="18"/>
  <c r="M32" i="18" s="1"/>
  <c r="L59" i="18"/>
  <c r="M59" i="18" s="1"/>
  <c r="L56" i="18"/>
  <c r="M56" i="18" s="1"/>
  <c r="L36" i="21"/>
  <c r="M36" i="21" s="1"/>
  <c r="L84" i="21"/>
  <c r="M84" i="21" s="1"/>
  <c r="L86" i="21"/>
  <c r="M86" i="21" s="1"/>
  <c r="L79" i="21"/>
  <c r="M79" i="21" s="1"/>
  <c r="L17" i="21"/>
  <c r="M17" i="21" s="1"/>
  <c r="L10" i="21"/>
  <c r="M10" i="21" s="1"/>
  <c r="L41" i="21"/>
  <c r="M41" i="21" s="1"/>
  <c r="L70" i="21"/>
  <c r="M70" i="21" s="1"/>
  <c r="L11" i="21"/>
  <c r="M11" i="21" s="1"/>
  <c r="L53" i="21"/>
  <c r="M53" i="21" s="1"/>
  <c r="L58" i="21"/>
  <c r="M58" i="21" s="1"/>
  <c r="L9" i="21"/>
  <c r="M9" i="21" s="1"/>
  <c r="L20" i="21"/>
  <c r="M20" i="21" s="1"/>
  <c r="L24" i="21"/>
  <c r="M24" i="21" s="1"/>
  <c r="L60" i="21"/>
  <c r="M60" i="21" s="1"/>
  <c r="L44" i="21"/>
  <c r="M44" i="21" s="1"/>
  <c r="L59" i="21"/>
  <c r="M59" i="21" s="1"/>
  <c r="L83" i="21"/>
  <c r="M83" i="21" s="1"/>
  <c r="L29" i="21"/>
  <c r="M29" i="21" s="1"/>
  <c r="L12" i="21"/>
  <c r="M12" i="21" s="1"/>
  <c r="L57" i="21"/>
  <c r="M57" i="21" s="1"/>
  <c r="L72" i="21"/>
  <c r="M72" i="21" s="1"/>
  <c r="L30" i="21"/>
  <c r="M30" i="21" s="1"/>
  <c r="L3" i="21"/>
  <c r="M3" i="21" s="1"/>
  <c r="L19" i="21"/>
  <c r="M19" i="21" s="1"/>
  <c r="L35" i="21"/>
  <c r="M35" i="21" s="1"/>
  <c r="L67" i="21"/>
  <c r="M67" i="21" s="1"/>
  <c r="L50" i="21"/>
  <c r="M50" i="21" s="1"/>
  <c r="L45" i="21"/>
  <c r="M45" i="21" s="1"/>
  <c r="L51" i="21"/>
  <c r="M51" i="21" s="1"/>
  <c r="L89" i="21"/>
  <c r="M89" i="21" s="1"/>
  <c r="L56" i="21"/>
  <c r="M56" i="21" s="1"/>
  <c r="L15" i="21"/>
  <c r="M15" i="21" s="1"/>
  <c r="L31" i="21"/>
  <c r="M31" i="21" s="1"/>
  <c r="L49" i="21"/>
  <c r="M49" i="21" s="1"/>
  <c r="L95" i="21"/>
  <c r="M95" i="21" s="1"/>
  <c r="L40" i="21"/>
  <c r="M40" i="21" s="1"/>
  <c r="L81" i="21"/>
  <c r="M81" i="21" s="1"/>
  <c r="L42" i="21"/>
  <c r="M42" i="21" s="1"/>
  <c r="L61" i="21"/>
  <c r="M61" i="21" s="1"/>
  <c r="L69" i="21"/>
  <c r="M69" i="21" s="1"/>
  <c r="L73" i="21"/>
  <c r="M73" i="21" s="1"/>
  <c r="L33" i="21"/>
  <c r="M33" i="21" s="1"/>
  <c r="L90" i="21"/>
  <c r="M90" i="21" s="1"/>
  <c r="L8" i="21"/>
  <c r="M8" i="21" s="1"/>
  <c r="L82" i="21"/>
  <c r="M82" i="21" s="1"/>
  <c r="L25" i="21"/>
  <c r="M25" i="21" s="1"/>
  <c r="L32" i="21"/>
  <c r="M32" i="21" s="1"/>
  <c r="L93" i="21"/>
  <c r="M93" i="21" s="1"/>
  <c r="L7" i="21"/>
  <c r="M7" i="21" s="1"/>
  <c r="L52" i="21"/>
  <c r="M52" i="21" s="1"/>
  <c r="L37" i="21"/>
  <c r="M37" i="21" s="1"/>
  <c r="L27" i="21"/>
  <c r="M27" i="21" s="1"/>
  <c r="L21" i="21"/>
  <c r="M21" i="21" s="1"/>
  <c r="L85" i="21"/>
  <c r="M85" i="21" s="1"/>
  <c r="L14" i="21"/>
  <c r="M14" i="21" s="1"/>
  <c r="L91" i="21"/>
  <c r="M91" i="21" s="1"/>
  <c r="L88" i="21"/>
  <c r="M88" i="21" s="1"/>
  <c r="L48" i="21"/>
  <c r="M48" i="21" s="1"/>
  <c r="L23" i="21"/>
  <c r="M23" i="21" s="1"/>
  <c r="L28" i="21"/>
  <c r="M28" i="21" s="1"/>
  <c r="L94" i="21"/>
  <c r="M94" i="21" s="1"/>
  <c r="L92" i="21"/>
  <c r="M92" i="21" s="1"/>
  <c r="L38" i="21"/>
  <c r="M38" i="21" s="1"/>
  <c r="L65" i="21"/>
  <c r="M65" i="21" s="1"/>
  <c r="L87" i="21"/>
  <c r="M87" i="21" s="1"/>
  <c r="L6" i="21"/>
  <c r="M6" i="21" s="1"/>
  <c r="L34" i="21"/>
  <c r="M34" i="21" s="1"/>
  <c r="L39" i="21"/>
  <c r="M39" i="21" s="1"/>
  <c r="L18" i="21"/>
  <c r="M18" i="21" s="1"/>
  <c r="L62" i="21"/>
  <c r="M62" i="21" s="1"/>
  <c r="L4" i="21"/>
  <c r="M4" i="21" s="1"/>
  <c r="L5" i="21"/>
  <c r="M5" i="21" s="1"/>
  <c r="L16" i="21"/>
  <c r="M16" i="21" s="1"/>
  <c r="L66" i="21"/>
  <c r="M66" i="21" s="1"/>
  <c r="L13" i="21"/>
  <c r="M13" i="21" s="1"/>
  <c r="L26" i="21"/>
  <c r="M26" i="21" s="1"/>
  <c r="L64" i="21"/>
  <c r="M64" i="21" s="1"/>
  <c r="L77" i="21"/>
  <c r="M77" i="21" s="1"/>
  <c r="L43" i="21"/>
  <c r="M43" i="21" s="1"/>
  <c r="L74" i="21"/>
  <c r="M74" i="21" s="1"/>
  <c r="L76" i="21"/>
  <c r="M76" i="21" s="1"/>
  <c r="L68" i="21"/>
  <c r="M68" i="21" s="1"/>
  <c r="L63" i="21"/>
  <c r="M63" i="21" s="1"/>
  <c r="L71" i="21"/>
  <c r="M71" i="21" s="1"/>
  <c r="L22" i="21"/>
  <c r="M22" i="21" s="1"/>
  <c r="L54" i="21"/>
  <c r="M54" i="21" s="1"/>
  <c r="L75" i="21"/>
  <c r="M75" i="21" s="1"/>
  <c r="L55" i="21"/>
  <c r="M55" i="21" s="1"/>
  <c r="L78" i="21"/>
  <c r="M78" i="21" s="1"/>
  <c r="E175" i="2" l="1"/>
  <c r="L27" i="22"/>
  <c r="L42" i="22"/>
  <c r="L36" i="22"/>
  <c r="L12" i="22"/>
  <c r="L15" i="22"/>
  <c r="L18" i="22"/>
  <c r="L33" i="22"/>
  <c r="L39" i="22"/>
  <c r="L21" i="22"/>
  <c r="L24" i="22"/>
  <c r="L9" i="22"/>
  <c r="M96" i="18"/>
  <c r="M97" i="18" s="1"/>
  <c r="M96" i="21"/>
  <c r="M97" i="21" s="1"/>
  <c r="E17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邱扬</author>
  </authors>
  <commentList>
    <comment ref="F9" authorId="0" shapeId="0" xr:uid="{00000000-0006-0000-0500-00000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焦煤、气煤、瘦煤等</t>
        </r>
      </text>
    </comment>
    <comment ref="F13" authorId="0" shapeId="0" xr:uid="{00000000-0006-0000-0500-00000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汽油密度0.775/10^3t/L来源GB17930-2016 表2</t>
        </r>
      </text>
    </comment>
    <comment ref="F14" authorId="0" shapeId="0" xr:uid="{00000000-0006-0000-0500-00000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统计未区分R22、R32，假设用量各一半</t>
        </r>
      </text>
    </comment>
    <comment ref="F15" authorId="0" shapeId="0" xr:uid="{00000000-0006-0000-0500-00000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按购入量推算淘汰/使用量，淘汰/使用量按逸散算</t>
        </r>
      </text>
    </comment>
    <comment ref="F16" authorId="0" shapeId="0" xr:uid="{00000000-0006-0000-05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（人数*人均BOD*0.001*BOD修正因子*248*8/24）计算依据见下附图</t>
        </r>
      </text>
    </comment>
    <comment ref="F23" authorId="0" shapeId="0" xr:uid="{00000000-0006-0000-0500-00000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镍铁+水淬镍</t>
        </r>
      </text>
    </comment>
    <comment ref="F53" authorId="0" shapeId="0" xr:uid="{00000000-0006-0000-0500-00000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4" authorId="0" shapeId="0" xr:uid="{00000000-0006-0000-05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5" authorId="0" shapeId="0" xr:uid="{00000000-0006-0000-05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“净化水”展开后的“水源站取水量”</t>
        </r>
      </text>
    </comment>
    <comment ref="F56" authorId="0" shapeId="0" xr:uid="{00000000-0006-0000-05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7" authorId="0" shapeId="0" xr:uid="{00000000-0006-0000-05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8" authorId="0" shapeId="0" xr:uid="{00000000-0006-0000-05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59" authorId="0" shapeId="0" xr:uid="{00000000-0006-0000-0500-00001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</t>
        </r>
      </text>
    </comment>
    <comment ref="F60" authorId="0" shapeId="0" xr:uid="{00000000-0006-0000-0500-00001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1" authorId="0" shapeId="0" xr:uid="{00000000-0006-0000-0500-00001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2" authorId="0" shapeId="0" xr:uid="{00000000-0006-0000-0500-00001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3" authorId="0" shapeId="0" xr:uid="{00000000-0006-0000-0500-00001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64" authorId="0" shapeId="0" xr:uid="{00000000-0006-0000-0500-00001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F80" authorId="0" shapeId="0" xr:uid="{D5008BE1-DFAF-4C03-B4D6-20A388BFC646}">
      <text>
        <r>
          <rPr>
            <b/>
            <sz val="12"/>
            <color indexed="81"/>
            <rFont val="宋体"/>
            <family val="3"/>
            <charset val="134"/>
          </rPr>
          <t>邱扬:</t>
        </r>
        <r>
          <rPr>
            <sz val="12"/>
            <color indexed="81"/>
            <rFont val="宋体"/>
            <family val="3"/>
            <charset val="134"/>
          </rPr>
          <t xml:space="preserve">
添加了生活垃圾厨余垃圾、其他固废运输排放</t>
        </r>
      </text>
    </comment>
    <comment ref="F97" authorId="0" shapeId="0" xr:uid="{00000000-0006-0000-0500-00001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焦炉煤气-其他</t>
        </r>
      </text>
    </comment>
    <comment ref="F98" authorId="0" shapeId="0" xr:uid="{00000000-0006-0000-0500-00001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保守计算：将2025年产出的所有钢材报废产生的排放计算到2025年范围三中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</authors>
  <commentList>
    <comment ref="E2" authorId="0" shapeId="0" xr:uid="{00000000-0006-0000-09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  <comment ref="E132" authorId="0" shapeId="0" xr:uid="{00000000-0006-0000-09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5.1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B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B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E2" authorId="0" shapeId="0" xr:uid="{00000000-0006-0000-0B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E5" authorId="1" shapeId="0" xr:uid="{00000000-0006-0000-0B00-00000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天然气量通知单</t>
        </r>
      </text>
    </comment>
    <comment ref="E6" authorId="2" shapeId="0" xr:uid="{00000000-0006-0000-0B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E7" authorId="1" shapeId="0" xr:uid="{00000000-0006-0000-0B00-00000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8" authorId="1" shapeId="0" xr:uid="{00000000-0006-0000-0B00-00000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9" authorId="1" shapeId="0" xr:uid="{00000000-0006-0000-0B00-00000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焦煤 </t>
        </r>
      </text>
    </comment>
    <comment ref="E10" authorId="1" shapeId="0" xr:uid="{00000000-0006-0000-0B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1" authorId="1" shapeId="0" xr:uid="{00000000-0006-0000-0B00-00000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
</t>
        </r>
      </text>
    </comment>
    <comment ref="E12" authorId="2" shapeId="0" xr:uid="{00000000-0006-0000-0B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《汽油耗量》，汽油密度0.775/10^3t/L来源GB17930-2016 表2</t>
        </r>
      </text>
    </comment>
    <comment ref="E13" authorId="2" shapeId="0" xr:uid="{00000000-0006-0000-0B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4" authorId="2" shapeId="0" xr:uid="{00000000-0006-0000-0B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5" authorId="2" shapeId="0" xr:uid="{00000000-0006-0000-0B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E16" authorId="2" shapeId="0" xr:uid="{00000000-0006-0000-0B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7" authorId="2" shapeId="0" xr:uid="{00000000-0006-0000-0B00-00001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8" authorId="1" shapeId="0" xr:uid="{00000000-0006-0000-0B00-00001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收发存、脱硫脱硝成本补充
</t>
        </r>
      </text>
    </comment>
    <comment ref="E19" authorId="1" shapeId="0" xr:uid="{00000000-0006-0000-0B00-00001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收发存中没有烧结的用量，用分厂月报表数据加和</t>
        </r>
      </text>
    </comment>
    <comment ref="E20" authorId="1" shapeId="0" xr:uid="{00000000-0006-0000-0B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1" authorId="1" shapeId="0" xr:uid="{00000000-0006-0000-0B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2" authorId="1" shapeId="0" xr:uid="{00000000-0006-0000-0B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E23" authorId="1" shapeId="0" xr:uid="{00000000-0006-0000-0B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能源报表</t>
        </r>
      </text>
    </comment>
    <comment ref="E24" authorId="1" shapeId="0" xr:uid="{00000000-0006-0000-0B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E25" authorId="1" shapeId="0" xr:uid="{00000000-0006-0000-0B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E26" authorId="1" shapeId="0" xr:uid="{00000000-0006-0000-0B00-00001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基本电费、自发电；2024年冶钢宾馆水电气</t>
        </r>
      </text>
    </comment>
    <comment ref="E27" authorId="2" shapeId="0" xr:uid="{00000000-0006-0000-0B00-00001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E28" authorId="1" shapeId="0" xr:uid="{00000000-0006-0000-0B00-00001C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用了使用量加和 收发存里没有烧结的生石灰</t>
        </r>
      </text>
    </comment>
    <comment ref="E29" authorId="2" shapeId="0" xr:uid="{00000000-0006-0000-0B00-00001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2" authorId="1" shapeId="0" xr:uid="{00000000-0006-0000-0B00-00001E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3" authorId="1" shapeId="0" xr:uid="{00000000-0006-0000-0B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镍铁+水淬镍</t>
        </r>
      </text>
    </comment>
    <comment ref="E34" authorId="1" shapeId="0" xr:uid="{00000000-0006-0000-0B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5" authorId="1" shapeId="0" xr:uid="{00000000-0006-0000-0B00-00002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6" authorId="1" shapeId="0" xr:uid="{00000000-0006-0000-0B00-00002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7" authorId="2" shapeId="0" xr:uid="{00000000-0006-0000-0B00-00002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8" authorId="2" shapeId="0" xr:uid="{00000000-0006-0000-0B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9" authorId="2" shapeId="0" xr:uid="{00000000-0006-0000-0B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0" authorId="2" shapeId="0" xr:uid="{00000000-0006-0000-0B00-00002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</t>
        </r>
      </text>
    </comment>
    <comment ref="E41" authorId="2" shapeId="0" xr:uid="{00000000-0006-0000-0B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2" authorId="2" shapeId="0" xr:uid="{00000000-0006-0000-0B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3" authorId="2" shapeId="0" xr:uid="{00000000-0006-0000-0B00-00002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E45" authorId="2" shapeId="0" xr:uid="{00000000-0006-0000-0B00-00002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6" authorId="2" shapeId="0" xr:uid="{00000000-0006-0000-0B00-00002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7" authorId="2" shapeId="0" xr:uid="{00000000-0006-0000-0B00-00002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0" authorId="2" shapeId="0" xr:uid="{00000000-0006-0000-0B00-00002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1" authorId="2" shapeId="0" xr:uid="{00000000-0006-0000-0B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2" authorId="2" shapeId="0" xr:uid="{00000000-0006-0000-0B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65" authorId="2" shapeId="0" xr:uid="{00000000-0006-0000-0B00-00003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数据来源：《垃圾表》
</t>
        </r>
      </text>
    </comment>
    <comment ref="E66" authorId="3" shapeId="0" xr:uid="{00000000-0006-0000-0B00-000031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7" authorId="3" shapeId="0" xr:uid="{00000000-0006-0000-0B00-000032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8" authorId="3" shapeId="0" xr:uid="{00000000-0006-0000-0B00-000033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E69" authorId="2" shapeId="0" xr:uid="{00000000-0006-0000-0B00-00003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E70" authorId="3" shapeId="0" xr:uid="{00000000-0006-0000-0B00-000036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</t>
        </r>
      </text>
    </comment>
    <comment ref="E71" authorId="3" shapeId="0" xr:uid="{00000000-0006-0000-0B00-000037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2" authorId="3" shapeId="0" xr:uid="{00000000-0006-0000-0B00-000038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3" authorId="3" shapeId="0" xr:uid="{00000000-0006-0000-0B00-000039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4" authorId="2" shapeId="0" xr:uid="{00000000-0006-0000-0B00-00003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5" authorId="2" shapeId="0" xr:uid="{00000000-0006-0000-0B00-00003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E76" authorId="2" shapeId="0" xr:uid="{00000000-0006-0000-0B00-00003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7" authorId="3" shapeId="0" xr:uid="{00000000-0006-0000-0B00-00003D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《粗苯汽车衡结净计量实绩_24年汇总表》《危险废物转移联单(煤焦油）》</t>
        </r>
      </text>
    </comment>
    <comment ref="E78" authorId="2" shapeId="0" xr:uid="{00000000-0006-0000-0B00-00003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79" authorId="2" shapeId="0" xr:uid="{00000000-0006-0000-0B00-00004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0" authorId="2" shapeId="0" xr:uid="{00000000-0006-0000-0B00-00004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1" authorId="2" shapeId="0" xr:uid="{00000000-0006-0000-0B00-00004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Infraware Corporation</author>
    <author>侯溯文</author>
    <author>邱扬</author>
    <author>17802</author>
  </authors>
  <commentList>
    <comment ref="B2" authorId="0" shapeId="0" xr:uid="{00000000-0006-0000-0C00-000001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ISO14064-3 Table A.2;
GHG Protocol D;
IPCC 2006 Guidelines for National GHG Inventories;</t>
        </r>
      </text>
    </comment>
    <comment ref="C2" authorId="0" shapeId="0" xr:uid="{00000000-0006-0000-0C00-000002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4.3.1 ;4.3.2</t>
        </r>
      </text>
    </comment>
    <comment ref="E2" authorId="0" shapeId="0" xr:uid="{00000000-0006-0000-0C00-000003000000}">
      <text>
        <r>
          <rPr>
            <b/>
            <sz val="8"/>
            <color indexed="8"/>
            <rFont val="Tahoma"/>
            <family val="2"/>
          </rPr>
          <t>xin_li:</t>
        </r>
        <r>
          <rPr>
            <sz val="8"/>
            <color indexed="8"/>
            <rFont val="Tahoma"/>
            <family val="2"/>
          </rPr>
          <t xml:space="preserve">
ISO14064-1 Clause 4.3</t>
        </r>
      </text>
    </comment>
    <comment ref="E5" authorId="1" shapeId="0" xr:uid="{00000000-0006-0000-0C00-00000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天然气量通知单</t>
        </r>
      </text>
    </comment>
    <comment ref="E6" authorId="2" shapeId="0" xr:uid="{00000000-0006-0000-0C00-00000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《2024冶钢宾馆水电气》</t>
        </r>
      </text>
    </comment>
    <comment ref="E7" authorId="1" shapeId="0" xr:uid="{00000000-0006-0000-0C00-00000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8" authorId="1" shapeId="0" xr:uid="{00000000-0006-0000-0C00-00000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9" authorId="1" shapeId="0" xr:uid="{00000000-0006-0000-0C00-00000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焦煤 </t>
        </r>
      </text>
    </comment>
    <comment ref="E10" authorId="1" shapeId="0" xr:uid="{00000000-0006-0000-0C00-00000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11" authorId="1" shapeId="0" xr:uid="{00000000-0006-0000-0C00-00000B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
</t>
        </r>
      </text>
    </comment>
    <comment ref="E12" authorId="2" shapeId="0" xr:uid="{00000000-0006-0000-0C00-00000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《汽油耗量》，汽油密度0.775/10^3t/L来源GB17930-2016 表2</t>
        </r>
      </text>
    </comment>
    <comment ref="E13" authorId="2" shapeId="0" xr:uid="{00000000-0006-0000-0C00-00000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4" authorId="2" shapeId="0" xr:uid="{00000000-0006-0000-0C00-00000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《空调加氟汇总表》</t>
        </r>
      </text>
    </comment>
    <comment ref="E15" authorId="2" shapeId="0" xr:uid="{00000000-0006-0000-0C00-00000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（人数*人均BOD*0.001*BOD修正因子*251*8/24）计算依据见下附图</t>
        </r>
      </text>
    </comment>
    <comment ref="E16" authorId="2" shapeId="0" xr:uid="{00000000-0006-0000-0C00-00001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7" authorId="2" shapeId="0" xr:uid="{00000000-0006-0000-0C00-00001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《细化收资清单（动力）（六氟化硫）》</t>
        </r>
      </text>
    </comment>
    <comment ref="E18" authorId="1" shapeId="0" xr:uid="{00000000-0006-0000-0C00-00001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收发存、脱硫脱硝成本补充
</t>
        </r>
      </text>
    </comment>
    <comment ref="E19" authorId="1" shapeId="0" xr:uid="{00000000-0006-0000-0C00-00001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收发存中没有烧结的用量，用分厂月报表数据加和</t>
        </r>
      </text>
    </comment>
    <comment ref="E20" authorId="1" shapeId="0" xr:uid="{00000000-0006-0000-0C00-000014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1" authorId="1" shapeId="0" xr:uid="{00000000-0006-0000-0C00-000015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22" authorId="1" shapeId="0" xr:uid="{00000000-0006-0000-0C00-000016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2024年产量表 50t+70t+转炉</t>
        </r>
      </text>
    </comment>
    <comment ref="E23" authorId="1" shapeId="0" xr:uid="{00000000-0006-0000-0C00-000017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能源报表</t>
        </r>
      </text>
    </comment>
    <comment ref="E24" authorId="1" shapeId="0" xr:uid="{00000000-0006-0000-0C00-000018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新化能完成情况</t>
        </r>
      </text>
    </comment>
    <comment ref="E25" authorId="1" shapeId="0" xr:uid="{00000000-0006-0000-0C00-000019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</t>
        </r>
      </text>
    </comment>
    <comment ref="E26" authorId="1" shapeId="0" xr:uid="{00000000-0006-0000-0C00-00001A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基本电费、自发电；2024年冶钢宾馆水电气</t>
        </r>
      </text>
    </comment>
    <comment ref="E27" authorId="2" shapeId="0" xr:uid="{00000000-0006-0000-0C00-00001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《2024年统计月报（烧结）》《2024年统计报表（中高炉）》
收发存统计有重复计算的问题</t>
        </r>
      </text>
    </comment>
    <comment ref="E28" authorId="1" shapeId="0" xr:uid="{00000000-0006-0000-0C00-00001C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用了使用量加和 收发存里没有烧结的生石灰</t>
        </r>
      </text>
    </comment>
    <comment ref="E29" authorId="2" shapeId="0" xr:uid="{00000000-0006-0000-0C00-00001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0" authorId="2" shapeId="0" xr:uid="{00000000-0006-0000-0C00-00001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《2024生铁、废钢、白云石、水处理药剂数据》</t>
        </r>
      </text>
    </comment>
    <comment ref="E32" authorId="1" shapeId="0" xr:uid="{00000000-0006-0000-0C00-00001F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3" authorId="1" shapeId="0" xr:uid="{00000000-0006-0000-0C00-000020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 镍铁+水淬镍</t>
        </r>
      </text>
    </comment>
    <comment ref="E34" authorId="1" shapeId="0" xr:uid="{00000000-0006-0000-0C00-000021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5" authorId="1" shapeId="0" xr:uid="{00000000-0006-0000-0C00-000022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6" authorId="1" shapeId="0" xr:uid="{00000000-0006-0000-0C00-000023000000}">
      <text>
        <r>
          <rPr>
            <b/>
            <sz val="9"/>
            <rFont val="宋体"/>
            <family val="3"/>
            <charset val="134"/>
          </rPr>
          <t>侯溯文:</t>
        </r>
        <r>
          <rPr>
            <sz val="9"/>
            <rFont val="宋体"/>
            <family val="3"/>
            <charset val="134"/>
          </rPr>
          <t xml:space="preserve">
收发存</t>
        </r>
      </text>
    </comment>
    <comment ref="E37" authorId="2" shapeId="0" xr:uid="{00000000-0006-0000-0C00-000024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8" authorId="2" shapeId="0" xr:uid="{00000000-0006-0000-0C00-000025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39" authorId="2" shapeId="0" xr:uid="{00000000-0006-0000-0C00-00002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收发存</t>
        </r>
      </text>
    </comment>
    <comment ref="E40" authorId="2" shapeId="0" xr:uid="{00000000-0006-0000-0C00-000027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《脱硫脱硝成本补充》</t>
        </r>
      </text>
    </comment>
    <comment ref="E41" authorId="2" shapeId="0" xr:uid="{00000000-0006-0000-0C00-000028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2" authorId="2" shapeId="0" xr:uid="{00000000-0006-0000-0C00-000029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3" authorId="2" shapeId="0" xr:uid="{00000000-0006-0000-0C00-00002A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《2024年12月能源报表》中，“净化水”展开后的“水源站取水量”</t>
        </r>
      </text>
    </comment>
    <comment ref="E45" authorId="2" shapeId="0" xr:uid="{00000000-0006-0000-0C00-00002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6" authorId="2" shapeId="0" xr:uid="{00000000-0006-0000-0C00-00002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47" authorId="2" shapeId="0" xr:uid="{00000000-0006-0000-0C00-00002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0" authorId="2" shapeId="0" xr:uid="{00000000-0006-0000-0C00-00002E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1" authorId="2" shapeId="0" xr:uid="{00000000-0006-0000-0C00-00002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52" authorId="2" shapeId="0" xr:uid="{00000000-0006-0000-0C00-000030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折算美元（汇率1：6.7261）</t>
        </r>
      </text>
    </comment>
    <comment ref="E65" authorId="2" shapeId="0" xr:uid="{00000000-0006-0000-0C00-00003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数据来源：《垃圾表》
</t>
        </r>
      </text>
    </comment>
    <comment ref="E66" authorId="3" shapeId="0" xr:uid="{00000000-0006-0000-0C00-000032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7" authorId="3" shapeId="0" xr:uid="{00000000-0006-0000-0C00-000033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《2024环保指标统计》</t>
        </r>
      </text>
    </comment>
    <comment ref="E68" authorId="3" shapeId="0" xr:uid="{00000000-0006-0000-0C00-000034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《危险废物转移联单》</t>
        </r>
      </text>
    </comment>
    <comment ref="E69" authorId="2" shapeId="0" xr:uid="{00000000-0006-0000-0C00-000036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取2024年出行城市人次达总人次前80%的差旅距离加权平均后得到平均单程差旅距离约为357.02km，出差人次为11593</t>
        </r>
      </text>
    </comment>
    <comment ref="E70" authorId="3" shapeId="0" xr:uid="{00000000-0006-0000-0C00-000037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</t>
        </r>
      </text>
    </comment>
    <comment ref="E71" authorId="3" shapeId="0" xr:uid="{00000000-0006-0000-0C00-000038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2" authorId="3" shapeId="0" xr:uid="{00000000-0006-0000-0C00-000039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3" authorId="3" shapeId="0" xr:uid="{00000000-0006-0000-0C00-00003A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《7.员工通勤情况统计》
</t>
        </r>
      </text>
    </comment>
    <comment ref="E74" authorId="2" shapeId="0" xr:uid="{00000000-0006-0000-0C00-00003B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5" authorId="2" shapeId="0" xr:uid="{00000000-0006-0000-0C00-00003C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
</t>
        </r>
      </text>
    </comment>
    <comment ref="E76" authorId="2" shapeId="0" xr:uid="{00000000-0006-0000-0C00-00003D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《2024产品销售运输统计》</t>
        </r>
      </text>
    </comment>
    <comment ref="E77" authorId="3" shapeId="0" xr:uid="{00000000-0006-0000-0C00-00003E000000}">
      <text>
        <r>
          <rPr>
            <b/>
            <sz val="9"/>
            <rFont val="宋体"/>
            <family val="3"/>
            <charset val="134"/>
          </rPr>
          <t>17802:</t>
        </r>
        <r>
          <rPr>
            <sz val="9"/>
            <rFont val="宋体"/>
            <family val="3"/>
            <charset val="134"/>
          </rPr>
          <t xml:space="preserve">
《粗苯汽车衡结净计量实绩_24年汇总表》《危险废物转移联单(煤焦油）》</t>
        </r>
      </text>
    </comment>
    <comment ref="E78" authorId="2" shapeId="0" xr:uid="{00000000-0006-0000-0C00-00003F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79" authorId="2" shapeId="0" xr:uid="{00000000-0006-0000-0C00-000041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0" authorId="2" shapeId="0" xr:uid="{00000000-0006-0000-0C00-000042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《2024年钢坯钢材外销情况统计表》
</t>
        </r>
      </text>
    </comment>
    <comment ref="E81" authorId="2" shapeId="0" xr:uid="{00000000-0006-0000-0C00-000043000000}">
      <text>
        <r>
          <rPr>
            <b/>
            <sz val="12"/>
            <rFont val="宋体"/>
            <family val="3"/>
            <charset val="134"/>
          </rPr>
          <t>邱扬:</t>
        </r>
        <r>
          <rPr>
            <sz val="12"/>
            <rFont val="宋体"/>
            <family val="3"/>
            <charset val="134"/>
          </rPr>
          <t xml:space="preserve">
根据与核查老师沟通，保守计算：将2024年产出的所有钢材报废产生的排放计算到2024年范围三中
计算公式说明：钢材总量*（2023年全国废钢总资源量-2023年废钢消耗量）/2023年全国废钢总资源量
即钢材总量*报废废钢比例
数据来源《废钢助力钢铁行业电炉短流程发展研究》</t>
        </r>
      </text>
    </comment>
  </commentList>
</comments>
</file>

<file path=xl/sharedStrings.xml><?xml version="1.0" encoding="utf-8"?>
<sst xmlns="http://schemas.openxmlformats.org/spreadsheetml/2006/main" count="3381" uniqueCount="917">
  <si>
    <r>
      <rPr>
        <b/>
        <sz val="20"/>
        <color indexed="8"/>
        <rFont val="宋体"/>
        <family val="3"/>
        <charset val="134"/>
      </rPr>
      <t>温室气体盘查清册</t>
    </r>
  </si>
  <si>
    <r>
      <rPr>
        <sz val="10"/>
        <color theme="1"/>
        <rFont val="宋体"/>
        <family val="3"/>
        <charset val="134"/>
      </rPr>
      <t>编号：</t>
    </r>
    <r>
      <rPr>
        <sz val="10"/>
        <color indexed="8"/>
        <rFont val="Arial"/>
        <family val="2"/>
      </rPr>
      <t>DY-GHG-2025-01</t>
    </r>
  </si>
  <si>
    <r>
      <rPr>
        <sz val="10"/>
        <color indexed="8"/>
        <rFont val="宋体"/>
        <family val="3"/>
        <charset val="134"/>
      </rPr>
      <t>版本</t>
    </r>
    <r>
      <rPr>
        <sz val="10"/>
        <color indexed="8"/>
        <rFont val="Arial"/>
        <family val="2"/>
      </rPr>
      <t>/</t>
    </r>
    <r>
      <rPr>
        <sz val="10"/>
        <color indexed="8"/>
        <rFont val="宋体"/>
        <family val="3"/>
        <charset val="134"/>
      </rPr>
      <t>版次：</t>
    </r>
    <r>
      <rPr>
        <sz val="10"/>
        <color indexed="8"/>
        <rFont val="Arial"/>
        <family val="2"/>
      </rPr>
      <t>A/1</t>
    </r>
  </si>
  <si>
    <r>
      <rPr>
        <sz val="10"/>
        <color theme="1"/>
        <rFont val="宋体"/>
        <family val="3"/>
        <charset val="134"/>
      </rPr>
      <t>日期：</t>
    </r>
    <r>
      <rPr>
        <sz val="10"/>
        <color indexed="8"/>
        <rFont val="Arial"/>
        <family val="2"/>
      </rPr>
      <t>2025/7/3</t>
    </r>
  </si>
  <si>
    <r>
      <rPr>
        <b/>
        <sz val="12"/>
        <color indexed="53"/>
        <rFont val="宋体"/>
        <family val="3"/>
        <charset val="134"/>
      </rPr>
      <t>组织名称：</t>
    </r>
  </si>
  <si>
    <r>
      <rPr>
        <sz val="12"/>
        <color indexed="8"/>
        <rFont val="宋体"/>
        <family val="3"/>
        <charset val="134"/>
      </rPr>
      <t>大冶特殊钢有限公司</t>
    </r>
  </si>
  <si>
    <r>
      <rPr>
        <b/>
        <sz val="12"/>
        <color indexed="53"/>
        <rFont val="宋体"/>
        <family val="3"/>
        <charset val="134"/>
      </rPr>
      <t>组织边界：</t>
    </r>
  </si>
  <si>
    <r>
      <rPr>
        <sz val="12"/>
        <color indexed="8"/>
        <rFont val="宋体"/>
        <family val="3"/>
        <charset val="134"/>
      </rPr>
      <t>湖北省黄石市黄石大道</t>
    </r>
    <r>
      <rPr>
        <sz val="12"/>
        <color indexed="8"/>
        <rFont val="Arial"/>
        <family val="2"/>
      </rPr>
      <t>316</t>
    </r>
    <r>
      <rPr>
        <sz val="12"/>
        <color indexed="8"/>
        <rFont val="宋体"/>
        <family val="3"/>
        <charset val="134"/>
      </rPr>
      <t>号</t>
    </r>
  </si>
  <si>
    <r>
      <rPr>
        <b/>
        <sz val="12"/>
        <color indexed="53"/>
        <rFont val="宋体"/>
        <family val="3"/>
        <charset val="134"/>
      </rPr>
      <t>盘查覆盖周期</t>
    </r>
    <r>
      <rPr>
        <b/>
        <sz val="12"/>
        <color indexed="53"/>
        <rFont val="Arial"/>
        <family val="2"/>
      </rPr>
      <t>:</t>
    </r>
  </si>
  <si>
    <r>
      <rPr>
        <sz val="12"/>
        <color indexed="8"/>
        <rFont val="Arial"/>
        <family val="2"/>
      </rPr>
      <t>2024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日至</t>
    </r>
    <r>
      <rPr>
        <sz val="12"/>
        <color indexed="8"/>
        <rFont val="Arial"/>
        <family val="2"/>
      </rPr>
      <t>2024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12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31</t>
    </r>
    <r>
      <rPr>
        <sz val="12"/>
        <color indexed="8"/>
        <rFont val="宋体"/>
        <family val="3"/>
        <charset val="134"/>
      </rPr>
      <t>日</t>
    </r>
  </si>
  <si>
    <r>
      <rPr>
        <b/>
        <sz val="12"/>
        <color indexed="53"/>
        <rFont val="宋体"/>
        <family val="3"/>
        <charset val="134"/>
      </rPr>
      <t>编制</t>
    </r>
    <r>
      <rPr>
        <b/>
        <sz val="12"/>
        <color indexed="53"/>
        <rFont val="Arial"/>
        <family val="2"/>
      </rPr>
      <t xml:space="preserve"> </t>
    </r>
    <r>
      <rPr>
        <b/>
        <sz val="12"/>
        <color indexed="53"/>
        <rFont val="宋体"/>
        <family val="3"/>
        <charset val="134"/>
      </rPr>
      <t>：</t>
    </r>
  </si>
  <si>
    <r>
      <rPr>
        <b/>
        <sz val="12"/>
        <color indexed="53"/>
        <rFont val="宋体"/>
        <family val="3"/>
        <charset val="134"/>
      </rPr>
      <t>审核：</t>
    </r>
  </si>
  <si>
    <r>
      <rPr>
        <b/>
        <sz val="12"/>
        <color indexed="53"/>
        <rFont val="宋体"/>
        <family val="3"/>
        <charset val="134"/>
      </rPr>
      <t>核准：</t>
    </r>
  </si>
  <si>
    <r>
      <rPr>
        <b/>
        <sz val="12"/>
        <color indexed="8"/>
        <rFont val="宋体"/>
        <family val="3"/>
        <charset val="134"/>
      </rPr>
      <t>报告边界</t>
    </r>
  </si>
  <si>
    <r>
      <rPr>
        <b/>
        <sz val="12"/>
        <color indexed="8"/>
        <rFont val="宋体"/>
        <family val="3"/>
        <charset val="134"/>
      </rPr>
      <t>运营控制权</t>
    </r>
  </si>
  <si>
    <t>范围一排放量：</t>
  </si>
  <si>
    <r>
      <rPr>
        <b/>
        <sz val="12"/>
        <color indexed="8"/>
        <rFont val="宋体"/>
        <family val="3"/>
        <charset val="134"/>
      </rPr>
      <t>单位：</t>
    </r>
    <r>
      <rPr>
        <b/>
        <sz val="12"/>
        <color indexed="8"/>
        <rFont val="Arial"/>
        <family val="2"/>
      </rPr>
      <t>tCO</t>
    </r>
    <r>
      <rPr>
        <b/>
        <vertAlign val="subscript"/>
        <sz val="12"/>
        <color indexed="8"/>
        <rFont val="Arial"/>
        <family val="2"/>
      </rPr>
      <t>2</t>
    </r>
    <r>
      <rPr>
        <b/>
        <sz val="12"/>
        <color indexed="8"/>
        <rFont val="Arial"/>
        <family val="2"/>
      </rPr>
      <t>e</t>
    </r>
  </si>
  <si>
    <t>范围二（基于位置）排放量：</t>
  </si>
  <si>
    <t>范围二（基于市场）排放量：</t>
  </si>
  <si>
    <r>
      <rPr>
        <b/>
        <sz val="12"/>
        <color indexed="53"/>
        <rFont val="宋体"/>
        <family val="3"/>
        <charset val="134"/>
      </rPr>
      <t>排放</t>
    </r>
  </si>
  <si>
    <t>范围三排放量：</t>
  </si>
  <si>
    <t>编号</t>
  </si>
  <si>
    <t>排放源</t>
  </si>
  <si>
    <t>排放设施</t>
  </si>
  <si>
    <t>备注</t>
  </si>
  <si>
    <t>总排放量</t>
  </si>
  <si>
    <r>
      <rPr>
        <b/>
        <sz val="10"/>
        <color indexed="9"/>
        <rFont val="Arial"/>
        <family val="2"/>
      </rPr>
      <t>CO</t>
    </r>
    <r>
      <rPr>
        <b/>
        <vertAlign val="subscript"/>
        <sz val="10"/>
        <color indexed="9"/>
        <rFont val="Arial"/>
        <family val="2"/>
      </rPr>
      <t>2</t>
    </r>
  </si>
  <si>
    <r>
      <rPr>
        <b/>
        <sz val="10"/>
        <color indexed="9"/>
        <rFont val="Arial"/>
        <family val="2"/>
      </rPr>
      <t>CH</t>
    </r>
    <r>
      <rPr>
        <b/>
        <vertAlign val="subscript"/>
        <sz val="10"/>
        <color indexed="9"/>
        <rFont val="Arial"/>
        <family val="2"/>
      </rPr>
      <t>4</t>
    </r>
  </si>
  <si>
    <r>
      <rPr>
        <b/>
        <sz val="10"/>
        <color indexed="9"/>
        <rFont val="Arial"/>
        <family val="2"/>
      </rPr>
      <t>N</t>
    </r>
    <r>
      <rPr>
        <b/>
        <vertAlign val="subscript"/>
        <sz val="10"/>
        <color indexed="9"/>
        <rFont val="Arial"/>
        <family val="2"/>
      </rPr>
      <t>2</t>
    </r>
    <r>
      <rPr>
        <b/>
        <sz val="10"/>
        <color indexed="9"/>
        <rFont val="Arial"/>
        <family val="2"/>
      </rPr>
      <t>O</t>
    </r>
  </si>
  <si>
    <t>HFCs</t>
  </si>
  <si>
    <t>PFCs</t>
  </si>
  <si>
    <r>
      <rPr>
        <b/>
        <sz val="10"/>
        <color indexed="9"/>
        <rFont val="Arial"/>
        <family val="2"/>
      </rPr>
      <t>SF</t>
    </r>
    <r>
      <rPr>
        <b/>
        <vertAlign val="subscript"/>
        <sz val="10"/>
        <color indexed="9"/>
        <rFont val="Arial"/>
        <family val="2"/>
      </rPr>
      <t>6</t>
    </r>
  </si>
  <si>
    <r>
      <rPr>
        <b/>
        <sz val="10"/>
        <color indexed="9"/>
        <rFont val="Arial"/>
        <family val="2"/>
      </rPr>
      <t>NF</t>
    </r>
    <r>
      <rPr>
        <b/>
        <vertAlign val="subscript"/>
        <sz val="10"/>
        <color indexed="9"/>
        <rFont val="Arial"/>
        <family val="2"/>
      </rPr>
      <t>3</t>
    </r>
  </si>
  <si>
    <r>
      <rPr>
        <b/>
        <sz val="10"/>
        <color theme="0"/>
        <rFont val="Arial"/>
        <family val="2"/>
      </rPr>
      <t>tCO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</t>
    </r>
  </si>
  <si>
    <r>
      <rPr>
        <b/>
        <sz val="10"/>
        <color indexed="8"/>
        <rFont val="宋体"/>
        <family val="3"/>
        <charset val="134"/>
      </rPr>
      <t>范围一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宋体"/>
        <family val="3"/>
        <charset val="134"/>
      </rPr>
      <t>直接排放</t>
    </r>
  </si>
  <si>
    <t>固定源燃烧直接排放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</si>
  <si>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</si>
  <si>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</si>
  <si>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</si>
  <si>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</si>
  <si>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</si>
  <si>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</si>
  <si>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</si>
  <si>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</si>
  <si>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移动源燃烧直接排放</t>
  </si>
  <si>
    <t>1.2.1</t>
  </si>
  <si>
    <t>1.2.2</t>
  </si>
  <si>
    <t>逸散源直接排放</t>
  </si>
  <si>
    <t>1.3.1</t>
  </si>
  <si>
    <t>1.3.2</t>
  </si>
  <si>
    <t>1.3.3</t>
  </si>
  <si>
    <t>1.3.4</t>
  </si>
  <si>
    <t>1.3.5</t>
  </si>
  <si>
    <t>制程排放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</si>
  <si>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</si>
  <si>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</si>
  <si>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</si>
  <si>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</si>
  <si>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</si>
  <si>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</si>
  <si>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</si>
  <si>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</si>
  <si>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</si>
  <si>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</si>
  <si>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</si>
  <si>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</si>
  <si>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范围二 外购电间接排放</t>
  </si>
  <si>
    <t>范围三 类别1</t>
  </si>
  <si>
    <t>外购商品和服务的上游排放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</si>
  <si>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</si>
  <si>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</si>
  <si>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</si>
  <si>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</si>
  <si>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</si>
  <si>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</si>
  <si>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</si>
  <si>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</si>
  <si>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</si>
  <si>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</si>
  <si>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</si>
  <si>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</si>
  <si>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</si>
  <si>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</si>
  <si>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</si>
  <si>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</si>
  <si>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</si>
  <si>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</si>
  <si>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</si>
  <si>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</si>
  <si>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</si>
  <si>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</si>
  <si>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</si>
  <si>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</si>
  <si>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范围三 类别2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</si>
  <si>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</si>
  <si>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</si>
  <si>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</si>
  <si>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</si>
  <si>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</si>
  <si>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</si>
  <si>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</si>
  <si>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</si>
  <si>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</si>
  <si>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</si>
  <si>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</si>
  <si>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范围三 类别3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</si>
  <si>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</si>
  <si>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</si>
  <si>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</si>
  <si>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</si>
  <si>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</si>
  <si>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</si>
  <si>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</si>
  <si>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</si>
  <si>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</si>
  <si>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</si>
  <si>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范围三 类别4</t>
  </si>
  <si>
    <t>3.4.1</t>
  </si>
  <si>
    <t>3.4.2</t>
  </si>
  <si>
    <t>3.4.3</t>
  </si>
  <si>
    <t>范围三 类别5</t>
  </si>
  <si>
    <t>3.5.1</t>
  </si>
  <si>
    <t>3.5.2</t>
  </si>
  <si>
    <t>3.5.3</t>
  </si>
  <si>
    <t>3.5.4</t>
  </si>
  <si>
    <t>3.5.5</t>
  </si>
  <si>
    <t>范围三 类别6</t>
  </si>
  <si>
    <t>3.6.1</t>
  </si>
  <si>
    <t>3.6.2</t>
  </si>
  <si>
    <t>3.6.3</t>
  </si>
  <si>
    <t>范围三 类别7</t>
  </si>
  <si>
    <t>3.7.1</t>
  </si>
  <si>
    <t>3.7.2</t>
  </si>
  <si>
    <t>3.7.3</t>
  </si>
  <si>
    <t>3.7.4</t>
  </si>
  <si>
    <t>范围三 类别9</t>
  </si>
  <si>
    <t>3.9.1</t>
  </si>
  <si>
    <t>3.9.2</t>
  </si>
  <si>
    <t>3.9.3</t>
  </si>
  <si>
    <t>3.9.4</t>
  </si>
  <si>
    <t>范围三 类别10</t>
  </si>
  <si>
    <t>3.10.1</t>
  </si>
  <si>
    <t>3.10.2</t>
  </si>
  <si>
    <t>3.10.3</t>
  </si>
  <si>
    <t>3.10.4</t>
  </si>
  <si>
    <t>范围三 类别12</t>
  </si>
  <si>
    <t>3.12.1</t>
  </si>
  <si>
    <t>修改日志</t>
  </si>
  <si>
    <t>问题</t>
  </si>
  <si>
    <t>2026.3.17</t>
  </si>
  <si>
    <t>完成了表1温室气体盘查表数据填写并比对两年数据</t>
  </si>
  <si>
    <t>2026.3.18</t>
  </si>
  <si>
    <t>更新了“附表2-EF”，并同步更新了其他表格</t>
  </si>
  <si>
    <t>部分排放因子需和核查老师确认是否需要更新</t>
  </si>
  <si>
    <t>变量名</t>
  </si>
  <si>
    <t>值</t>
  </si>
  <si>
    <t>公司名称</t>
  </si>
  <si>
    <t>company_name</t>
  </si>
  <si>
    <t>大冶特殊钢有限公司</t>
  </si>
  <si>
    <t>报告周期</t>
  </si>
  <si>
    <t>reporting_period</t>
  </si>
  <si>
    <t>2025年1月1日至2025年12月31日</t>
  </si>
  <si>
    <t>报告编号</t>
  </si>
  <si>
    <t>document_number</t>
  </si>
  <si>
    <t>DY-GHG-2026-01</t>
  </si>
  <si>
    <t>生成日期</t>
  </si>
  <si>
    <t>posted_time</t>
  </si>
  <si>
    <t>统一社会信用代码</t>
  </si>
  <si>
    <t>Unified_Social_Credit_Identifier</t>
  </si>
  <si>
    <t>91420000798750168P</t>
  </si>
  <si>
    <t>法人代表</t>
  </si>
  <si>
    <t>legal_person</t>
  </si>
  <si>
    <t>蒋乔</t>
  </si>
  <si>
    <t>注册资金</t>
  </si>
  <si>
    <t>registered_capital</t>
  </si>
  <si>
    <t>207218.53万元</t>
  </si>
  <si>
    <t>注册日期</t>
  </si>
  <si>
    <t>date_of_establishment</t>
  </si>
  <si>
    <t>注册地址</t>
  </si>
  <si>
    <t>registered_address</t>
  </si>
  <si>
    <t>湖北省黄石市黄石大道316号</t>
  </si>
  <si>
    <t>生产地址</t>
  </si>
  <si>
    <t>production_address</t>
  </si>
  <si>
    <t>经营范围</t>
  </si>
  <si>
    <t>scope_of_business</t>
  </si>
  <si>
    <t>大冶特殊钢有限公司成立于2007年03月09日，注册地位于湖北省黄石市黄石大道316号，法定代表人为蒋乔。经营范围包括黑色、有色金属冶炼、压延加工；生产、销售高温合金材料、耐蚀合金材料、铁矿石、钢坯、钢锭、钢材、金属制品、钢管及管件和相应的工业辅助材料及承接来料加工业务；钢铁和合金材料检测；再生资源回收经营；货物或技术进出口（国家限定公司经营或禁止进出口的商品和技术除外）；机械零件、汽车零部件制造和加工；机械、仪表、电器制造和修理；化工产品（不含危险品和限制类产品）制造；港口码头建设及经营；煤气、热力、自来水、工业用水生产和供应；餐饮经营与管理。（涉及许可经营项目，应取得相关部门许可后方可经营）。</t>
  </si>
  <si>
    <t>公司简介</t>
  </si>
  <si>
    <t>company_profile</t>
  </si>
  <si>
    <t>大冶特殊钢有限公司（简称：大冶特钢）是中国近代“钢铁摇篮”，地处中国矿冶之都、先进制造业基地湖北省黄石市。隶属中信泰富特钢集团，是其沿海沿江产业链的战略布局中的重要一环。
大冶特钢是国家高新技术企业、全国首批两化融合示范企业、全国首批绿色制造示范企业、全国绿化模范单位。拥有国家认定企业技术中心、院士专家工作站、博士后科研工作站、高品质特殊钢湖北省重点实验室，先后承担国家多项冶金课题的项目攻关，主持或参与起草修订了多项国家和行业技术标准。先后荣获“全国质量奖”、“全国质量标杆”、“中国工业大奖表彰奖”，多项产品荣获国家冶金产品实物质量“金杯奖”、“国家科学技术进步一等奖、二等奖”、“冶金科学技术奖一等奖”、“国家知识产权优势企业”、“中国航天突出贡献供应商”、“中国工模具行业最具影响力钢厂品牌”等奖项。
大冶特钢是中国品种规格最齐全的高品质棒材、高端中厚壁无缝钢管、高合金锻材三大特钢生产基地，工艺技术和装备具备世界先进水平。主要产品有轴承钢、汽车用钢、能源用钢、工程机械用钢、航空航天用钢等。主要服务于航天航空、海洋、核电、风电、交通、火电、油气、工程机械、重燃、船舶、石化、汽车、高铁等关键领域。
从中国第一炉电渣钢到第一根极薄壁高温合金旋压管，从第一个飞机用高温合金涡轮盘，到第一根轧制的飞机大梁(毛坯)，从中国第一颗人造地球卫星，到神舟系列飞船的上天，到“嫦娥”奔月，再到“天宫”“北斗”发射升空，大冶特钢均提供了关键部件的用钢。工程机械用无缝钢管已连续13年产销量全国第一、13年全球第一，石油工具及装备用中厚壁无缝钢管连续10年产销量全国第一，大口径厚壁高压锅炉用管连续5年产销量全国第一。
大冶特钢秉承“诚信、创新、融合、卓越”的理念，牢记为客户创造价值，为员工创造幸福，为股东创造效益，为社会创造财富的企业使命，致力于为客户提供多规格、多品种、高品质的特殊钢产品及整体服务方案，致力于“创建全球最具竞争力的特钢企业集团”。</t>
  </si>
  <si>
    <t>DDL</t>
  </si>
  <si>
    <t>deadline</t>
  </si>
  <si>
    <t>2026年6月底前</t>
  </si>
  <si>
    <t>规则文件</t>
  </si>
  <si>
    <t>rule_file</t>
  </si>
  <si>
    <t>《大冶特殊钢温室气体盘查控制程序（DY-GHG-2023）》</t>
  </si>
  <si>
    <t>GWP值来源文件</t>
  </si>
  <si>
    <t>GWP_Value_Reference_Document</t>
  </si>
  <si>
    <t>IPCC 2021年出具的《第六次评估报告AR6》</t>
  </si>
  <si>
    <t>source_file</t>
  </si>
  <si>
    <t>《温室气体盘查清册》-表2 不确定性评估</t>
  </si>
  <si>
    <t>制作</t>
  </si>
  <si>
    <t>producer</t>
  </si>
  <si>
    <t>杨春英</t>
  </si>
  <si>
    <t>审核</t>
  </si>
  <si>
    <t>auditor</t>
  </si>
  <si>
    <t>核准</t>
  </si>
  <si>
    <t>approver</t>
  </si>
  <si>
    <t>报告年</t>
  </si>
  <si>
    <t>report_year</t>
  </si>
  <si>
    <t>下一年</t>
  </si>
  <si>
    <t>next_year</t>
  </si>
  <si>
    <r>
      <rPr>
        <sz val="10"/>
        <color theme="1"/>
        <rFont val="宋体"/>
        <family val="3"/>
        <charset val="134"/>
      </rPr>
      <t>日期：</t>
    </r>
    <r>
      <rPr>
        <sz val="10"/>
        <color indexed="8"/>
        <rFont val="Arial"/>
        <family val="2"/>
      </rPr>
      <t>2026/7/3</t>
    </r>
  </si>
  <si>
    <r>
      <rPr>
        <sz val="12"/>
        <color indexed="8"/>
        <rFont val="Arial"/>
        <family val="2"/>
      </rPr>
      <t>2025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1</t>
    </r>
    <r>
      <rPr>
        <sz val="12"/>
        <color indexed="8"/>
        <rFont val="宋体"/>
        <family val="3"/>
        <charset val="134"/>
      </rPr>
      <t>日至</t>
    </r>
    <r>
      <rPr>
        <sz val="12"/>
        <color indexed="8"/>
        <rFont val="Arial"/>
        <family val="2"/>
      </rPr>
      <t>2025</t>
    </r>
    <r>
      <rPr>
        <sz val="12"/>
        <color indexed="8"/>
        <rFont val="宋体"/>
        <family val="3"/>
        <charset val="134"/>
      </rPr>
      <t>年</t>
    </r>
    <r>
      <rPr>
        <sz val="12"/>
        <color indexed="8"/>
        <rFont val="Arial"/>
        <family val="2"/>
      </rPr>
      <t>12</t>
    </r>
    <r>
      <rPr>
        <sz val="12"/>
        <color indexed="8"/>
        <rFont val="宋体"/>
        <family val="3"/>
        <charset val="134"/>
      </rPr>
      <t>月</t>
    </r>
    <r>
      <rPr>
        <sz val="12"/>
        <color indexed="8"/>
        <rFont val="Arial"/>
        <family val="2"/>
      </rPr>
      <t>31</t>
    </r>
    <r>
      <rPr>
        <sz val="12"/>
        <color indexed="8"/>
        <rFont val="宋体"/>
        <family val="3"/>
        <charset val="134"/>
      </rPr>
      <t>日</t>
    </r>
  </si>
  <si>
    <t>3.7.5</t>
  </si>
  <si>
    <t>3.11.1</t>
  </si>
  <si>
    <r>
      <rPr>
        <b/>
        <sz val="20"/>
        <rFont val="宋体"/>
        <family val="3"/>
        <charset val="134"/>
      </rPr>
      <t>温室气体盘查表</t>
    </r>
  </si>
  <si>
    <r>
      <rPr>
        <b/>
        <sz val="12"/>
        <rFont val="宋体"/>
        <family val="3"/>
        <charset val="134"/>
      </rPr>
      <t>编号</t>
    </r>
  </si>
  <si>
    <r>
      <rPr>
        <b/>
        <sz val="12"/>
        <rFont val="Arial"/>
        <family val="2"/>
      </rPr>
      <t>GHG</t>
    </r>
    <r>
      <rPr>
        <b/>
        <sz val="12"/>
        <rFont val="宋体"/>
        <family val="3"/>
        <charset val="134"/>
      </rPr>
      <t>排放类别</t>
    </r>
  </si>
  <si>
    <r>
      <rPr>
        <b/>
        <sz val="12"/>
        <rFont val="宋体"/>
        <family val="3"/>
        <charset val="134"/>
      </rPr>
      <t>排放源</t>
    </r>
  </si>
  <si>
    <r>
      <rPr>
        <b/>
        <sz val="12"/>
        <rFont val="宋体"/>
        <family val="3"/>
        <charset val="134"/>
      </rPr>
      <t>设施</t>
    </r>
  </si>
  <si>
    <r>
      <rPr>
        <b/>
        <sz val="12"/>
        <rFont val="宋体"/>
        <family val="3"/>
        <charset val="134"/>
      </rPr>
      <t>报告边界</t>
    </r>
  </si>
  <si>
    <r>
      <rPr>
        <b/>
        <sz val="12"/>
        <rFont val="宋体"/>
        <family val="3"/>
        <charset val="134"/>
      </rPr>
      <t>活动数据</t>
    </r>
  </si>
  <si>
    <r>
      <rPr>
        <b/>
        <sz val="12"/>
        <rFont val="宋体"/>
        <family val="3"/>
        <charset val="134"/>
      </rPr>
      <t>排放因子</t>
    </r>
    <r>
      <rPr>
        <b/>
        <sz val="12"/>
        <rFont val="Arial"/>
        <family val="2"/>
      </rPr>
      <t>&amp;</t>
    </r>
    <r>
      <rPr>
        <b/>
        <sz val="12"/>
        <rFont val="宋体"/>
        <family val="3"/>
        <charset val="134"/>
      </rPr>
      <t>系数</t>
    </r>
  </si>
  <si>
    <r>
      <rPr>
        <b/>
        <sz val="12"/>
        <rFont val="宋体"/>
        <family val="3"/>
        <charset val="134"/>
      </rPr>
      <t>排放量</t>
    </r>
  </si>
  <si>
    <t>CO2</t>
  </si>
  <si>
    <t>CH4</t>
  </si>
  <si>
    <t>N2O</t>
  </si>
  <si>
    <t>SF6</t>
  </si>
  <si>
    <t>NF3</t>
  </si>
  <si>
    <r>
      <rPr>
        <b/>
        <sz val="12"/>
        <rFont val="宋体"/>
        <family val="3"/>
        <charset val="134"/>
      </rPr>
      <t>总量</t>
    </r>
  </si>
  <si>
    <r>
      <rPr>
        <b/>
        <sz val="12"/>
        <rFont val="宋体"/>
        <family val="3"/>
        <charset val="134"/>
      </rPr>
      <t>数值</t>
    </r>
  </si>
  <si>
    <r>
      <rPr>
        <b/>
        <sz val="12"/>
        <rFont val="宋体"/>
        <family val="3"/>
        <charset val="134"/>
      </rPr>
      <t>计量单位</t>
    </r>
  </si>
  <si>
    <t>数据来源</t>
  </si>
  <si>
    <t>EF</t>
  </si>
  <si>
    <t>GWP</t>
  </si>
  <si>
    <r>
      <rPr>
        <b/>
        <sz val="12"/>
        <rFont val="宋体"/>
        <family val="3"/>
        <charset val="134"/>
      </rPr>
      <t>型号</t>
    </r>
  </si>
  <si>
    <t>tCO2e</t>
  </si>
  <si>
    <t>变化量</t>
  </si>
  <si>
    <r>
      <rPr>
        <sz val="10"/>
        <rFont val="宋体"/>
        <family val="3"/>
        <charset val="134"/>
      </rPr>
      <t>固定燃烧</t>
    </r>
  </si>
  <si>
    <r>
      <rPr>
        <sz val="10"/>
        <rFont val="宋体"/>
        <family val="3"/>
        <charset val="134"/>
      </rPr>
      <t>天然气燃烧</t>
    </r>
  </si>
  <si>
    <t>热处理炉（加热炉）</t>
  </si>
  <si>
    <t>范围一</t>
  </si>
  <si>
    <t>10000Nm3</t>
  </si>
  <si>
    <t>《天然气发票》</t>
  </si>
  <si>
    <t>tCO2/10000Nm3</t>
  </si>
  <si>
    <t>液化石油气燃烧</t>
  </si>
  <si>
    <t>冶钢宾馆</t>
  </si>
  <si>
    <t>t</t>
  </si>
  <si>
    <t>《2025全年液化气明细表》</t>
  </si>
  <si>
    <t>tCO2/t</t>
  </si>
  <si>
    <r>
      <rPr>
        <sz val="10"/>
        <rFont val="宋体"/>
        <family val="3"/>
        <charset val="134"/>
      </rPr>
      <t>烟煤燃烧</t>
    </r>
  </si>
  <si>
    <r>
      <rPr>
        <sz val="10"/>
        <rFont val="宋体"/>
        <family val="3"/>
        <charset val="134"/>
      </rPr>
      <t>高炉</t>
    </r>
  </si>
  <si>
    <r>
      <rPr>
        <sz val="10"/>
        <rFont val="宋体"/>
        <family val="3"/>
        <charset val="134"/>
      </rPr>
      <t>《收发存汇总表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发出量》</t>
    </r>
  </si>
  <si>
    <r>
      <rPr>
        <sz val="10"/>
        <rFont val="宋体"/>
        <family val="3"/>
        <charset val="134"/>
      </rPr>
      <t>无烟煤燃烧</t>
    </r>
  </si>
  <si>
    <t>高炉、烧结</t>
  </si>
  <si>
    <t>固定燃烧</t>
  </si>
  <si>
    <t>洗精煤燃烧</t>
  </si>
  <si>
    <t>焦炉</t>
  </si>
  <si>
    <t>焦炭燃烧</t>
  </si>
  <si>
    <t>高炉</t>
  </si>
  <si>
    <t>焦屑燃烧</t>
  </si>
  <si>
    <t>烧结、高炉</t>
  </si>
  <si>
    <t>焦炉煤气燃烧</t>
  </si>
  <si>
    <t>外售</t>
  </si>
  <si>
    <r>
      <rPr>
        <sz val="10"/>
        <rFont val="宋体"/>
        <family val="3"/>
        <charset val="134"/>
      </rPr>
      <t>移动燃烧</t>
    </r>
  </si>
  <si>
    <t>柴油燃烧</t>
  </si>
  <si>
    <t>场内运输</t>
  </si>
  <si>
    <r>
      <rPr>
        <sz val="10"/>
        <rFont val="Arial"/>
        <family val="2"/>
      </rPr>
      <t>0#</t>
    </r>
    <r>
      <rPr>
        <sz val="10"/>
        <rFont val="宋体"/>
        <family val="3"/>
        <charset val="134"/>
      </rPr>
      <t>柴油燃烧</t>
    </r>
  </si>
  <si>
    <t>汽油燃烧</t>
  </si>
  <si>
    <r>
      <rPr>
        <sz val="10"/>
        <rFont val="宋体"/>
        <family val="3"/>
        <charset val="134"/>
      </rPr>
      <t>公务车</t>
    </r>
  </si>
  <si>
    <r>
      <rPr>
        <sz val="10"/>
        <rFont val="宋体"/>
        <family val="3"/>
        <charset val="134"/>
      </rPr>
      <t>《</t>
    </r>
    <r>
      <rPr>
        <sz val="10"/>
        <rFont val="宋体"/>
        <family val="3"/>
        <charset val="134"/>
      </rPr>
      <t>办公室小车队燃油表</t>
    </r>
    <r>
      <rPr>
        <sz val="10"/>
        <rFont val="宋体"/>
        <family val="3"/>
        <charset val="134"/>
      </rPr>
      <t>》</t>
    </r>
  </si>
  <si>
    <r>
      <rPr>
        <sz val="10"/>
        <rFont val="Arial"/>
        <family val="2"/>
      </rPr>
      <t>92#</t>
    </r>
    <r>
      <rPr>
        <sz val="10"/>
        <rFont val="宋体"/>
        <family val="3"/>
        <charset val="134"/>
      </rPr>
      <t>汽油燃烧</t>
    </r>
  </si>
  <si>
    <r>
      <rPr>
        <sz val="10"/>
        <rFont val="宋体"/>
        <family val="3"/>
        <charset val="134"/>
      </rPr>
      <t>逸散排放</t>
    </r>
  </si>
  <si>
    <r>
      <rPr>
        <sz val="10"/>
        <rFont val="宋体"/>
        <family val="3"/>
        <charset val="134"/>
      </rPr>
      <t>制冷剂逸散（</t>
    </r>
    <r>
      <rPr>
        <sz val="10"/>
        <rFont val="Arial"/>
        <family val="2"/>
      </rPr>
      <t>R32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</si>
  <si>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分体式空调</t>
    </r>
  </si>
  <si>
    <t>《空调加氟汇总表》</t>
  </si>
  <si>
    <t>tHFCs/t</t>
  </si>
  <si>
    <t>HFC-32</t>
  </si>
  <si>
    <r>
      <rPr>
        <sz val="10"/>
        <rFont val="Arial"/>
        <family val="2"/>
      </rPr>
      <t>CO2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</si>
  <si>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二氧化碳灭火器</t>
    </r>
  </si>
  <si>
    <r>
      <rPr>
        <sz val="10"/>
        <rFont val="Arial"/>
        <family val="2"/>
      </rPr>
      <t>CH4</t>
    </r>
    <r>
      <rPr>
        <sz val="10"/>
        <rFont val="宋体"/>
        <family val="3"/>
        <charset val="134"/>
      </rPr>
      <t>逸散</t>
    </r>
  </si>
  <si>
    <r>
      <rPr>
        <sz val="10"/>
        <rFont val="宋体"/>
        <family val="3"/>
        <charset val="134"/>
      </rPr>
      <t>化粪池</t>
    </r>
  </si>
  <si>
    <t>tBOD</t>
  </si>
  <si>
    <t>tCH4/tBOD</t>
  </si>
  <si>
    <t>逸散排放</t>
  </si>
  <si>
    <t>耗氧池</t>
  </si>
  <si>
    <t>tCOD</t>
  </si>
  <si>
    <t>tCH4/tCOD</t>
  </si>
  <si>
    <t>白云石</t>
  </si>
  <si>
    <t>电极</t>
  </si>
  <si>
    <r>
      <rPr>
        <sz val="10"/>
        <rFont val="宋体"/>
        <family val="3"/>
        <charset val="134"/>
      </rPr>
      <t>炼钢</t>
    </r>
  </si>
  <si>
    <t>废钢</t>
  </si>
  <si>
    <t>高碳锰铁</t>
  </si>
  <si>
    <t>锰铁</t>
  </si>
  <si>
    <t>锰硅合金</t>
  </si>
  <si>
    <t>镍铁</t>
  </si>
  <si>
    <t>高碳铬铁</t>
  </si>
  <si>
    <t>铬铁</t>
  </si>
  <si>
    <t>硅铁</t>
  </si>
  <si>
    <t>钼铁</t>
  </si>
  <si>
    <t>粗钢</t>
  </si>
  <si>
    <t>固碳产品</t>
  </si>
  <si>
    <t>钢坯</t>
  </si>
  <si>
    <t>粗苯</t>
  </si>
  <si>
    <t>《附表3：冶钢2025PCF补充数据表》</t>
  </si>
  <si>
    <t>焦油</t>
  </si>
  <si>
    <t>危废处置</t>
  </si>
  <si>
    <r>
      <rPr>
        <sz val="10"/>
        <color rgb="FFFF0000"/>
        <rFont val="宋体"/>
        <family val="3"/>
        <charset val="134"/>
      </rPr>
      <t>《汽车衡结净计量实绩</t>
    </r>
    <r>
      <rPr>
        <sz val="10"/>
        <color rgb="FFFF0000"/>
        <rFont val="Arial"/>
        <family val="2"/>
      </rPr>
      <t>_</t>
    </r>
    <r>
      <rPr>
        <sz val="10"/>
        <color rgb="FFFF0000"/>
        <rFont val="宋体"/>
        <family val="3"/>
        <charset val="134"/>
      </rPr>
      <t>焦油</t>
    </r>
    <r>
      <rPr>
        <sz val="10"/>
        <color rgb="FFFF0000"/>
        <rFont val="Arial"/>
        <family val="2"/>
      </rPr>
      <t>2025</t>
    </r>
    <r>
      <rPr>
        <sz val="10"/>
        <color rgb="FFFF0000"/>
        <rFont val="宋体"/>
        <family val="3"/>
        <charset val="134"/>
      </rPr>
      <t>年度》</t>
    </r>
  </si>
  <si>
    <t>煤焦油</t>
  </si>
  <si>
    <r>
      <rPr>
        <sz val="10"/>
        <rFont val="宋体"/>
        <family val="3"/>
        <charset val="134"/>
      </rPr>
      <t>输入能源间接温室气体排放</t>
    </r>
  </si>
  <si>
    <t>外购电力（基于位置）</t>
  </si>
  <si>
    <r>
      <rPr>
        <sz val="10"/>
        <rFont val="宋体"/>
        <family val="3"/>
        <charset val="134"/>
      </rPr>
      <t>用电设备</t>
    </r>
  </si>
  <si>
    <t>范围二</t>
  </si>
  <si>
    <t>MWh</t>
  </si>
  <si>
    <t>《电费发票》</t>
  </si>
  <si>
    <t>tCO2/MWh</t>
  </si>
  <si>
    <t>外购电力（基于市场）</t>
  </si>
  <si>
    <t>铁矿石生产</t>
  </si>
  <si>
    <t>烧结</t>
  </si>
  <si>
    <t>生石灰生产</t>
  </si>
  <si>
    <t>烧结、转炉、电炉</t>
  </si>
  <si>
    <r>
      <rPr>
        <sz val="10"/>
        <color theme="1"/>
        <rFont val="宋体"/>
        <family val="3"/>
        <charset val="134"/>
      </rPr>
      <t>《收发存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>入库量》</t>
    </r>
  </si>
  <si>
    <t>白云石生产</t>
  </si>
  <si>
    <t>球团生产</t>
  </si>
  <si>
    <t>高炉、转炉</t>
  </si>
  <si>
    <t>废钢生产</t>
  </si>
  <si>
    <t>转炉、电炉</t>
  </si>
  <si>
    <t>电极生产</t>
  </si>
  <si>
    <t>锰铁生产</t>
  </si>
  <si>
    <t>镍铁生产</t>
  </si>
  <si>
    <t>铬铁生产</t>
  </si>
  <si>
    <t>萤石生产</t>
  </si>
  <si>
    <t>硅铁生产</t>
  </si>
  <si>
    <t>钼铁生产</t>
  </si>
  <si>
    <t>铝铁生产</t>
  </si>
  <si>
    <t>铝生产</t>
  </si>
  <si>
    <t>增碳剂生产</t>
  </si>
  <si>
    <t>铁鳞生产</t>
  </si>
  <si>
    <t>炼钢</t>
  </si>
  <si>
    <t>氨水生产</t>
  </si>
  <si>
    <t>碳化硅生产</t>
  </si>
  <si>
    <t>-</t>
  </si>
  <si>
    <t>镁生产</t>
  </si>
  <si>
    <t>所有其他纸制品加工制造</t>
  </si>
  <si>
    <t>办公室</t>
  </si>
  <si>
    <t>$</t>
  </si>
  <si>
    <t>t CO2e/2022 USD, purchaser price</t>
  </si>
  <si>
    <t>办公用品(纸张除外)制造</t>
  </si>
  <si>
    <t>源水</t>
  </si>
  <si>
    <t>水处理工序</t>
  </si>
  <si>
    <r>
      <rPr>
        <sz val="10"/>
        <color theme="1"/>
        <rFont val="宋体"/>
        <family val="3"/>
        <charset val="134"/>
      </rPr>
      <t>《</t>
    </r>
    <r>
      <rPr>
        <sz val="10"/>
        <color theme="1"/>
        <rFont val="Arial"/>
        <family val="2"/>
      </rPr>
      <t>2025</t>
    </r>
    <r>
      <rPr>
        <sz val="10"/>
        <color theme="1"/>
        <rFont val="宋体"/>
        <family val="3"/>
        <charset val="134"/>
      </rPr>
      <t>年</t>
    </r>
    <r>
      <rPr>
        <sz val="10"/>
        <color theme="1"/>
        <rFont val="Arial"/>
        <family val="2"/>
      </rPr>
      <t>12</t>
    </r>
    <r>
      <rPr>
        <sz val="10"/>
        <color theme="1"/>
        <rFont val="宋体"/>
        <family val="3"/>
        <charset val="134"/>
      </rPr>
      <t>月能源报表》</t>
    </r>
  </si>
  <si>
    <t>资本货物</t>
  </si>
  <si>
    <t>采购产品空调和暖空气加热设备和商业和工业制冷设备制造</t>
  </si>
  <si>
    <t>办公室、各工序</t>
  </si>
  <si>
    <t>电子计算机制造</t>
  </si>
  <si>
    <t>其他工业设备制造</t>
  </si>
  <si>
    <t>各工序</t>
  </si>
  <si>
    <t>测量和测试电力和电气信号的仪器制造</t>
  </si>
  <si>
    <t>机械动力传动设备制造</t>
  </si>
  <si>
    <t>测量、分配及其他泵类设备制造</t>
  </si>
  <si>
    <t>用于测量、显示和控制工业过程变量的仪器及相关产品制造</t>
  </si>
  <si>
    <t>所有其他杂项电气设备及元件制造</t>
  </si>
  <si>
    <t>所有其他杂项制造</t>
  </si>
  <si>
    <t>范围一、二相关燃料和能源相关的活动产生的排放</t>
  </si>
  <si>
    <t>液化石油气生产</t>
  </si>
  <si>
    <t>洗精煤生产</t>
  </si>
  <si>
    <t>焦化</t>
  </si>
  <si>
    <t>柴油生产</t>
  </si>
  <si>
    <t>汽油生产</t>
  </si>
  <si>
    <t>车队</t>
  </si>
  <si>
    <t>焦炭生产</t>
  </si>
  <si>
    <t>烟煤生产</t>
  </si>
  <si>
    <t>无烟煤生产</t>
  </si>
  <si>
    <t>天然气生产</t>
  </si>
  <si>
    <t>转炉、电炉、锻造、热处理</t>
  </si>
  <si>
    <t>外购电力上游排放</t>
  </si>
  <si>
    <t>上游运输配送产生的排放</t>
  </si>
  <si>
    <t>船运</t>
  </si>
  <si>
    <t>tkm</t>
  </si>
  <si>
    <t>《原辅材料运输统计计算》</t>
  </si>
  <si>
    <t>汽运</t>
  </si>
  <si>
    <t>铁路运输</t>
  </si>
  <si>
    <t>运营中产生的废物排放</t>
  </si>
  <si>
    <t>生活垃圾和厨余垃圾</t>
  </si>
  <si>
    <t>垃圾站</t>
  </si>
  <si>
    <t>《生活、厨余垃圾统计表》</t>
  </si>
  <si>
    <t>废油</t>
  </si>
  <si>
    <r>
      <rPr>
        <sz val="10"/>
        <color theme="1"/>
        <rFont val="宋体"/>
        <family val="3"/>
        <charset val="134"/>
      </rPr>
      <t>《</t>
    </r>
    <r>
      <rPr>
        <sz val="10"/>
        <color theme="1"/>
        <rFont val="Arial"/>
        <family val="2"/>
      </rPr>
      <t>2025</t>
    </r>
    <r>
      <rPr>
        <sz val="10"/>
        <color theme="1"/>
        <rFont val="宋体"/>
        <family val="3"/>
        <charset val="134"/>
      </rPr>
      <t>环保指标统计》</t>
    </r>
  </si>
  <si>
    <t>废油水</t>
  </si>
  <si>
    <t>废弃物运输</t>
  </si>
  <si>
    <t>《危险废物转移联单》</t>
  </si>
  <si>
    <t>商务旅行产生的排放</t>
  </si>
  <si>
    <t>航运</t>
  </si>
  <si>
    <t>passenger*km</t>
  </si>
  <si>
    <t>《公司差旅情况》</t>
  </si>
  <si>
    <t>员工差旅住宿</t>
  </si>
  <si>
    <r>
      <rPr>
        <sz val="10"/>
        <color indexed="8"/>
        <rFont val="宋体"/>
        <family val="3"/>
        <charset val="134"/>
      </rPr>
      <t>总间</t>
    </r>
    <r>
      <rPr>
        <sz val="10"/>
        <color indexed="8"/>
        <rFont val="Arial"/>
        <family val="2"/>
      </rPr>
      <t>*</t>
    </r>
    <r>
      <rPr>
        <sz val="10"/>
        <color indexed="8"/>
        <rFont val="宋体"/>
        <family val="3"/>
        <charset val="134"/>
      </rPr>
      <t>晚</t>
    </r>
  </si>
  <si>
    <r>
      <rPr>
        <sz val="10"/>
        <color indexed="8"/>
        <rFont val="Arial"/>
        <family val="2"/>
      </rPr>
      <t>tCO2/</t>
    </r>
    <r>
      <rPr>
        <sz val="10"/>
        <color indexed="8"/>
        <rFont val="宋体"/>
        <family val="3"/>
        <charset val="134"/>
      </rPr>
      <t>间</t>
    </r>
    <r>
      <rPr>
        <sz val="10"/>
        <color indexed="8"/>
        <rFont val="Arial"/>
        <family val="2"/>
      </rPr>
      <t>*</t>
    </r>
    <r>
      <rPr>
        <sz val="10"/>
        <color indexed="8"/>
        <rFont val="宋体"/>
        <family val="3"/>
        <charset val="134"/>
      </rPr>
      <t>晚</t>
    </r>
  </si>
  <si>
    <t>员工通勤产生的排放</t>
  </si>
  <si>
    <t>通勤车</t>
  </si>
  <si>
    <t>《员工通勤情况统计》</t>
  </si>
  <si>
    <t>电力公交</t>
  </si>
  <si>
    <t>电瓶车</t>
  </si>
  <si>
    <t>电动车</t>
  </si>
  <si>
    <t>自驾油车</t>
  </si>
  <si>
    <t>km</t>
  </si>
  <si>
    <t>自驾电车</t>
  </si>
  <si>
    <t>下游运输配送产生的排放</t>
  </si>
  <si>
    <r>
      <rPr>
        <sz val="10"/>
        <color theme="1"/>
        <rFont val="宋体"/>
        <family val="3"/>
        <charset val="134"/>
      </rPr>
      <t>《附表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：冶钢</t>
    </r>
    <r>
      <rPr>
        <sz val="10"/>
        <color theme="1"/>
        <rFont val="Arial"/>
        <family val="2"/>
      </rPr>
      <t>2025PCF</t>
    </r>
    <r>
      <rPr>
        <sz val="10"/>
        <color theme="1"/>
        <rFont val="宋体"/>
        <family val="3"/>
        <charset val="134"/>
      </rPr>
      <t>补充数据表》</t>
    </r>
  </si>
  <si>
    <t>汽运-副产品</t>
  </si>
  <si>
    <r>
      <rPr>
        <sz val="10"/>
        <color theme="1"/>
        <rFont val="宋体"/>
        <family val="3"/>
        <charset val="134"/>
      </rPr>
      <t>《汽车衡净计量实绩</t>
    </r>
    <r>
      <rPr>
        <sz val="10"/>
        <color theme="1"/>
        <rFont val="Arial"/>
        <family val="2"/>
      </rPr>
      <t>_</t>
    </r>
    <r>
      <rPr>
        <sz val="10"/>
        <color theme="1"/>
        <rFont val="宋体"/>
        <family val="3"/>
        <charset val="134"/>
      </rPr>
      <t>焦油》《粗苯外销明细表》</t>
    </r>
  </si>
  <si>
    <t>外销产品加工产生的排放</t>
  </si>
  <si>
    <t>锻材加工</t>
  </si>
  <si>
    <t>下游钢铁厂</t>
  </si>
  <si>
    <t>棒材加工</t>
  </si>
  <si>
    <t>钢管加工</t>
  </si>
  <si>
    <t>钢坯加工</t>
  </si>
  <si>
    <t>外销产品使用产生的排放</t>
  </si>
  <si>
    <t>外售焦炉煤气燃烧</t>
  </si>
  <si>
    <t>范围三 类别11</t>
  </si>
  <si>
    <r>
      <rPr>
        <sz val="10"/>
        <rFont val="宋体"/>
        <family val="3"/>
        <charset val="134"/>
      </rPr>
      <t>《</t>
    </r>
    <r>
      <rPr>
        <sz val="10"/>
        <rFont val="Arial"/>
        <family val="2"/>
      </rPr>
      <t>2025</t>
    </r>
    <r>
      <rPr>
        <sz val="10"/>
        <rFont val="宋体"/>
        <family val="3"/>
        <charset val="134"/>
      </rPr>
      <t>年冶钢能源介质平衡表》</t>
    </r>
  </si>
  <si>
    <t>外售产品报废产生的排放</t>
  </si>
  <si>
    <t>产品报废</t>
  </si>
  <si>
    <r>
      <rPr>
        <b/>
        <i/>
        <sz val="10"/>
        <rFont val="宋体"/>
        <family val="3"/>
        <charset val="134"/>
      </rPr>
      <t>备注</t>
    </r>
  </si>
  <si>
    <r>
      <rPr>
        <i/>
        <sz val="10"/>
        <rFont val="Arial"/>
        <family val="2"/>
      </rPr>
      <t>R600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R600a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R290</t>
    </r>
    <r>
      <rPr>
        <i/>
        <sz val="10"/>
        <rFont val="宋体"/>
        <family val="3"/>
        <charset val="134"/>
      </rPr>
      <t>、环戊烷、</t>
    </r>
    <r>
      <rPr>
        <i/>
        <sz val="10"/>
        <rFont val="Arial"/>
        <family val="2"/>
      </rPr>
      <t>R22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R33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R35</t>
    </r>
    <r>
      <rPr>
        <i/>
        <sz val="10"/>
        <rFont val="宋体"/>
        <family val="3"/>
        <charset val="134"/>
      </rPr>
      <t>不在盘查范围内</t>
    </r>
  </si>
  <si>
    <r>
      <rPr>
        <i/>
        <sz val="10"/>
        <rFont val="宋体"/>
        <family val="3"/>
        <charset val="134"/>
      </rPr>
      <t>无需纳入计算</t>
    </r>
  </si>
  <si>
    <t>合计（位置法）</t>
  </si>
  <si>
    <r>
      <rPr>
        <i/>
        <sz val="10"/>
        <rFont val="Arial"/>
        <family val="2"/>
      </rPr>
      <t>R142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R142b</t>
    </r>
    <r>
      <rPr>
        <i/>
        <sz val="10"/>
        <rFont val="宋体"/>
        <family val="3"/>
        <charset val="134"/>
      </rPr>
      <t>、</t>
    </r>
    <r>
      <rPr>
        <i/>
        <sz val="10"/>
        <rFont val="Arial"/>
        <family val="2"/>
      </rPr>
      <t>R12</t>
    </r>
    <r>
      <rPr>
        <i/>
        <sz val="10"/>
        <rFont val="宋体"/>
        <family val="3"/>
        <charset val="134"/>
      </rPr>
      <t>属于淘汰制冷剂，不盘查</t>
    </r>
  </si>
  <si>
    <t>合计（市场法）</t>
  </si>
  <si>
    <t>直接温室气体排放</t>
  </si>
  <si>
    <r>
      <rPr>
        <b/>
        <sz val="12"/>
        <color indexed="9"/>
        <rFont val="宋体"/>
        <family val="3"/>
        <charset val="134"/>
      </rPr>
      <t>总量</t>
    </r>
  </si>
  <si>
    <r>
      <rPr>
        <b/>
        <sz val="11"/>
        <rFont val="Arial"/>
        <family val="2"/>
      </rPr>
      <t>2024</t>
    </r>
    <r>
      <rPr>
        <b/>
        <sz val="11"/>
        <rFont val="宋体"/>
        <family val="3"/>
        <charset val="134"/>
      </rPr>
      <t>数据</t>
    </r>
  </si>
  <si>
    <r>
      <rPr>
        <b/>
        <sz val="12"/>
        <rFont val="宋体"/>
        <family val="3"/>
        <charset val="134"/>
      </rPr>
      <t>汇总</t>
    </r>
  </si>
  <si>
    <t>输入能源间接温室气体排放</t>
  </si>
  <si>
    <r>
      <rPr>
        <b/>
        <sz val="12"/>
        <color indexed="9"/>
        <rFont val="宋体"/>
        <family val="3"/>
        <charset val="134"/>
      </rPr>
      <t>类别</t>
    </r>
  </si>
  <si>
    <r>
      <rPr>
        <b/>
        <sz val="11"/>
        <rFont val="宋体"/>
        <family val="3"/>
        <charset val="134"/>
      </rPr>
      <t>汇总</t>
    </r>
  </si>
  <si>
    <t>范围三</t>
  </si>
  <si>
    <t>外购商品和服务的上游产生的排放</t>
  </si>
  <si>
    <t>资本货物产生的排放</t>
  </si>
  <si>
    <t>范围一、二之外燃料和能源相关的活动产生的排放</t>
  </si>
  <si>
    <t>运营产生的废物产生的排放</t>
  </si>
  <si>
    <t>范围三 类别8</t>
  </si>
  <si>
    <t>上游租赁资产产生的排放</t>
  </si>
  <si>
    <t>备注：不相关，无上游租赁资产</t>
  </si>
  <si>
    <t>范围三 类别13</t>
  </si>
  <si>
    <t>下游租赁资产产生的排放</t>
  </si>
  <si>
    <t>备注：不相关，冶钢宾馆和餐厅均为大冶所有</t>
  </si>
  <si>
    <t>范围三 类别14</t>
  </si>
  <si>
    <t>特许经营产生的排放</t>
  </si>
  <si>
    <t>备注：不相关，没有特许经营的下游公司</t>
  </si>
  <si>
    <t>范围三 类别15</t>
  </si>
  <si>
    <t>投资产生的排放</t>
  </si>
  <si>
    <t>备注：不相关，没有投资活动</t>
  </si>
  <si>
    <r>
      <rPr>
        <sz val="12"/>
        <rFont val="Arial"/>
        <family val="2"/>
      </rPr>
      <t>2024</t>
    </r>
    <r>
      <rPr>
        <sz val="12"/>
        <rFont val="宋体"/>
        <family val="3"/>
        <charset val="134"/>
      </rPr>
      <t>数据</t>
    </r>
  </si>
  <si>
    <t>总量</t>
  </si>
  <si>
    <r>
      <rPr>
        <b/>
        <sz val="11"/>
        <rFont val="宋体"/>
        <family val="3"/>
        <charset val="134"/>
      </rPr>
      <t>总排放量</t>
    </r>
  </si>
  <si>
    <t>基于位置</t>
  </si>
  <si>
    <r>
      <rPr>
        <b/>
        <sz val="11"/>
        <rFont val="宋体"/>
        <family val="3"/>
        <charset val="134"/>
      </rPr>
      <t>排放占比</t>
    </r>
  </si>
  <si>
    <t>排放占比</t>
  </si>
  <si>
    <t>基于市场</t>
  </si>
  <si>
    <t>差值</t>
  </si>
  <si>
    <r>
      <rPr>
        <b/>
        <sz val="16"/>
        <color indexed="8"/>
        <rFont val="新細明體"/>
        <charset val="134"/>
      </rPr>
      <t>不确定性</t>
    </r>
    <r>
      <rPr>
        <b/>
        <sz val="16"/>
        <color indexed="8"/>
        <rFont val="宋体"/>
        <family val="3"/>
        <charset val="134"/>
      </rPr>
      <t>评</t>
    </r>
    <r>
      <rPr>
        <b/>
        <sz val="16"/>
        <color indexed="8"/>
        <rFont val="新細明體"/>
        <charset val="134"/>
      </rPr>
      <t>估表</t>
    </r>
  </si>
  <si>
    <r>
      <rPr>
        <b/>
        <sz val="12"/>
        <color indexed="9"/>
        <rFont val="宋体"/>
        <family val="3"/>
        <charset val="134"/>
      </rPr>
      <t>编号</t>
    </r>
  </si>
  <si>
    <r>
      <rPr>
        <b/>
        <sz val="12"/>
        <color indexed="9"/>
        <rFont val="宋体"/>
        <family val="3"/>
        <charset val="134"/>
      </rPr>
      <t>排放源</t>
    </r>
  </si>
  <si>
    <r>
      <rPr>
        <b/>
        <sz val="12"/>
        <color indexed="9"/>
        <rFont val="宋体"/>
        <family val="3"/>
        <charset val="134"/>
      </rPr>
      <t>设施</t>
    </r>
  </si>
  <si>
    <r>
      <rPr>
        <b/>
        <sz val="12"/>
        <color indexed="9"/>
        <rFont val="宋体"/>
        <family val="3"/>
        <charset val="134"/>
      </rPr>
      <t>活动数据类别</t>
    </r>
  </si>
  <si>
    <r>
      <rPr>
        <b/>
        <sz val="12"/>
        <color indexed="9"/>
        <rFont val="宋体"/>
        <family val="3"/>
        <charset val="134"/>
      </rPr>
      <t>排放因子类别</t>
    </r>
  </si>
  <si>
    <r>
      <rPr>
        <b/>
        <sz val="12"/>
        <color indexed="9"/>
        <rFont val="宋体"/>
        <family val="3"/>
        <charset val="134"/>
      </rPr>
      <t>校准频率</t>
    </r>
  </si>
  <si>
    <r>
      <rPr>
        <b/>
        <sz val="12"/>
        <color indexed="9"/>
        <rFont val="宋体"/>
        <family val="3"/>
        <charset val="134"/>
      </rPr>
      <t>活动数据级别</t>
    </r>
  </si>
  <si>
    <r>
      <rPr>
        <b/>
        <sz val="12"/>
        <color indexed="9"/>
        <rFont val="宋体"/>
        <family val="3"/>
        <charset val="134"/>
      </rPr>
      <t>排放因子级别</t>
    </r>
  </si>
  <si>
    <r>
      <rPr>
        <b/>
        <sz val="12"/>
        <color indexed="9"/>
        <rFont val="宋体"/>
        <family val="3"/>
        <charset val="134"/>
      </rPr>
      <t>校准级别</t>
    </r>
  </si>
  <si>
    <r>
      <rPr>
        <b/>
        <sz val="12"/>
        <color indexed="9"/>
        <rFont val="宋体"/>
        <family val="3"/>
        <charset val="134"/>
      </rPr>
      <t>平均得分</t>
    </r>
  </si>
  <si>
    <r>
      <rPr>
        <b/>
        <sz val="12"/>
        <color indexed="9"/>
        <rFont val="宋体"/>
        <family val="3"/>
        <charset val="134"/>
      </rPr>
      <t>排放量</t>
    </r>
    <r>
      <rPr>
        <b/>
        <sz val="12"/>
        <color indexed="9"/>
        <rFont val="Arial"/>
        <family val="2"/>
      </rPr>
      <t>(tCO2e)</t>
    </r>
  </si>
  <si>
    <r>
      <rPr>
        <b/>
        <sz val="12"/>
        <color indexed="9"/>
        <rFont val="宋体"/>
        <family val="3"/>
        <charset val="134"/>
      </rPr>
      <t>排放量占比</t>
    </r>
  </si>
  <si>
    <r>
      <rPr>
        <b/>
        <sz val="12"/>
        <color indexed="9"/>
        <rFont val="宋体"/>
        <family val="3"/>
        <charset val="134"/>
      </rPr>
      <t>加权平均积分</t>
    </r>
  </si>
  <si>
    <t>自动连续量测</t>
  </si>
  <si>
    <t>国际排放因子</t>
  </si>
  <si>
    <t>校准且合格</t>
  </si>
  <si>
    <t>定期量测/抄表/铭牌</t>
  </si>
  <si>
    <t>校准但不合格/未校准但数据可查证</t>
  </si>
  <si>
    <t>国家排放因子</t>
  </si>
  <si>
    <t>自行推估</t>
  </si>
  <si>
    <t>加权合计</t>
  </si>
  <si>
    <t>uncertainty_score_location_based</t>
  </si>
  <si>
    <t>加权等级</t>
  </si>
  <si>
    <t xml:space="preserve">             </t>
  </si>
  <si>
    <t>优+</t>
  </si>
  <si>
    <t>&gt;=5.0</t>
  </si>
  <si>
    <t>优</t>
  </si>
  <si>
    <t>&lt;5.0,&gt;=4.0</t>
  </si>
  <si>
    <t>良</t>
  </si>
  <si>
    <t>&lt;4.0,&gt;=3.0</t>
  </si>
  <si>
    <t>一般</t>
  </si>
  <si>
    <t>&lt;3.0,&gt;=2.0</t>
  </si>
  <si>
    <t>差</t>
  </si>
  <si>
    <t>&lt;2.0</t>
  </si>
  <si>
    <t>uncertainty_score_market_based</t>
  </si>
  <si>
    <t>uncertainty_level_market_based</t>
  </si>
  <si>
    <t>工业名称</t>
  </si>
  <si>
    <r>
      <rPr>
        <b/>
        <sz val="12"/>
        <color indexed="9"/>
        <rFont val="宋体"/>
        <family val="3"/>
        <charset val="134"/>
      </rPr>
      <t>中文名称</t>
    </r>
    <r>
      <rPr>
        <b/>
        <sz val="12"/>
        <color indexed="9"/>
        <rFont val="Arial"/>
        <family val="2"/>
      </rPr>
      <t>/</t>
    </r>
    <r>
      <rPr>
        <b/>
        <sz val="12"/>
        <color indexed="9"/>
        <rFont val="宋体"/>
        <family val="3"/>
        <charset val="134"/>
      </rPr>
      <t>化学分子式</t>
    </r>
  </si>
  <si>
    <r>
      <rPr>
        <b/>
        <sz val="12"/>
        <color indexed="9"/>
        <rFont val="宋体"/>
        <family val="3"/>
        <charset val="134"/>
      </rPr>
      <t>组成比例（</t>
    </r>
    <r>
      <rPr>
        <b/>
        <sz val="12"/>
        <color indexed="9"/>
        <rFont val="Arial"/>
        <family val="2"/>
      </rPr>
      <t>%</t>
    </r>
    <r>
      <rPr>
        <b/>
        <sz val="12"/>
        <color indexed="9"/>
        <rFont val="宋体"/>
        <family val="3"/>
        <charset val="134"/>
      </rPr>
      <t>）</t>
    </r>
  </si>
  <si>
    <t>GWP(HFCs)</t>
  </si>
  <si>
    <t>GWP(PFCs)</t>
  </si>
  <si>
    <t>来源</t>
  </si>
  <si>
    <t>二氧化碳</t>
  </si>
  <si>
    <r>
      <rPr>
        <sz val="10"/>
        <color indexed="8"/>
        <rFont val="Arial"/>
        <family val="2"/>
      </rPr>
      <t>2021</t>
    </r>
    <r>
      <rPr>
        <sz val="10"/>
        <color indexed="8"/>
        <rFont val="宋体"/>
        <family val="3"/>
        <charset val="134"/>
      </rPr>
      <t>年</t>
    </r>
    <r>
      <rPr>
        <sz val="10"/>
        <color indexed="8"/>
        <rFont val="Arial"/>
        <family val="2"/>
      </rPr>
      <t>IPCC</t>
    </r>
    <r>
      <rPr>
        <sz val="10"/>
        <color indexed="8"/>
        <rFont val="宋体"/>
        <family val="3"/>
        <charset val="134"/>
      </rPr>
      <t>第六次评估报告</t>
    </r>
    <r>
      <rPr>
        <sz val="10"/>
        <color indexed="8"/>
        <rFont val="Arial"/>
        <family val="2"/>
      </rPr>
      <t>AR6</t>
    </r>
  </si>
  <si>
    <t>甲烷</t>
  </si>
  <si>
    <t>氧化亚氮</t>
  </si>
  <si>
    <t>HCFC-22</t>
  </si>
  <si>
    <r>
      <rPr>
        <sz val="10"/>
        <color indexed="8"/>
        <rFont val="Arial"/>
        <family val="2"/>
      </rPr>
      <t>R-22</t>
    </r>
    <r>
      <rPr>
        <sz val="10"/>
        <color indexed="8"/>
        <rFont val="宋体"/>
        <family val="3"/>
        <charset val="134"/>
      </rPr>
      <t>，一氟二氯甲烷，</t>
    </r>
    <r>
      <rPr>
        <sz val="10"/>
        <color indexed="8"/>
        <rFont val="Arial"/>
        <family val="2"/>
      </rPr>
      <t>CHCl2F</t>
    </r>
  </si>
  <si>
    <t>HFC-23</t>
  </si>
  <si>
    <r>
      <rPr>
        <sz val="10"/>
        <color indexed="8"/>
        <rFont val="Arial"/>
        <family val="2"/>
      </rPr>
      <t>R-23</t>
    </r>
    <r>
      <rPr>
        <sz val="10"/>
        <color indexed="8"/>
        <rFont val="宋体"/>
        <family val="3"/>
        <charset val="134"/>
      </rPr>
      <t>，三氟甲烷，</t>
    </r>
    <r>
      <rPr>
        <sz val="10"/>
        <color indexed="8"/>
        <rFont val="Arial"/>
        <family val="2"/>
      </rPr>
      <t>CHF3</t>
    </r>
  </si>
  <si>
    <r>
      <rPr>
        <sz val="10"/>
        <color indexed="8"/>
        <rFont val="Arial"/>
        <family val="2"/>
      </rPr>
      <t>R-32</t>
    </r>
    <r>
      <rPr>
        <sz val="10"/>
        <color indexed="8"/>
        <rFont val="宋体"/>
        <family val="3"/>
        <charset val="134"/>
      </rPr>
      <t>，二氟甲烷，</t>
    </r>
    <r>
      <rPr>
        <sz val="10"/>
        <color indexed="8"/>
        <rFont val="Arial"/>
        <family val="2"/>
      </rPr>
      <t>CH2F2</t>
    </r>
  </si>
  <si>
    <t>HFC-41</t>
  </si>
  <si>
    <r>
      <rPr>
        <sz val="10"/>
        <color indexed="8"/>
        <rFont val="宋体"/>
        <family val="3"/>
        <charset val="134"/>
      </rPr>
      <t>一氟甲烷，</t>
    </r>
    <r>
      <rPr>
        <sz val="10"/>
        <color indexed="8"/>
        <rFont val="Arial"/>
        <family val="2"/>
      </rPr>
      <t>CH3F</t>
    </r>
  </si>
  <si>
    <t>HFC-125</t>
  </si>
  <si>
    <r>
      <rPr>
        <sz val="10"/>
        <color indexed="8"/>
        <rFont val="Arial"/>
        <family val="2"/>
      </rPr>
      <t>R-125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1,1,1,2,2-</t>
    </r>
    <r>
      <rPr>
        <sz val="10"/>
        <color indexed="8"/>
        <rFont val="宋体"/>
        <family val="3"/>
        <charset val="134"/>
      </rPr>
      <t>五氟乙烷，</t>
    </r>
    <r>
      <rPr>
        <sz val="10"/>
        <color indexed="8"/>
        <rFont val="Arial"/>
        <family val="2"/>
      </rPr>
      <t>C2HF5</t>
    </r>
  </si>
  <si>
    <t>HFC-134</t>
  </si>
  <si>
    <r>
      <rPr>
        <sz val="10"/>
        <color indexed="8"/>
        <rFont val="Arial"/>
        <family val="2"/>
      </rPr>
      <t>R-134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1,1,2,2-</t>
    </r>
    <r>
      <rPr>
        <sz val="10"/>
        <color indexed="8"/>
        <rFont val="宋体"/>
        <family val="3"/>
        <charset val="134"/>
      </rPr>
      <t>四氟乙烷，</t>
    </r>
    <r>
      <rPr>
        <sz val="10"/>
        <color indexed="8"/>
        <rFont val="Arial"/>
        <family val="2"/>
      </rPr>
      <t>C2H2F4</t>
    </r>
  </si>
  <si>
    <t>HFC-134a</t>
  </si>
  <si>
    <r>
      <rPr>
        <sz val="10"/>
        <color indexed="8"/>
        <rFont val="Arial"/>
        <family val="2"/>
      </rPr>
      <t>R-134a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1,1,1,2-</t>
    </r>
    <r>
      <rPr>
        <sz val="10"/>
        <color indexed="8"/>
        <rFont val="宋体"/>
        <family val="3"/>
        <charset val="134"/>
      </rPr>
      <t>四氟乙烷，</t>
    </r>
    <r>
      <rPr>
        <sz val="10"/>
        <color indexed="8"/>
        <rFont val="Arial"/>
        <family val="2"/>
      </rPr>
      <t>C2H2F4</t>
    </r>
  </si>
  <si>
    <t>HFC-143</t>
  </si>
  <si>
    <r>
      <rPr>
        <sz val="10"/>
        <color indexed="8"/>
        <rFont val="Arial"/>
        <family val="2"/>
      </rPr>
      <t>R-143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1,1,2-</t>
    </r>
    <r>
      <rPr>
        <sz val="10"/>
        <color indexed="8"/>
        <rFont val="宋体"/>
        <family val="3"/>
        <charset val="134"/>
      </rPr>
      <t>三氟乙烷，</t>
    </r>
    <r>
      <rPr>
        <sz val="10"/>
        <color indexed="8"/>
        <rFont val="Arial"/>
        <family val="2"/>
      </rPr>
      <t>CHF2CH2F</t>
    </r>
  </si>
  <si>
    <t>HFC-143a</t>
  </si>
  <si>
    <r>
      <rPr>
        <sz val="10"/>
        <color indexed="8"/>
        <rFont val="Arial"/>
        <family val="2"/>
      </rPr>
      <t>R-143a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1,1,1-</t>
    </r>
    <r>
      <rPr>
        <sz val="10"/>
        <color indexed="8"/>
        <rFont val="宋体"/>
        <family val="3"/>
        <charset val="134"/>
      </rPr>
      <t>三氟乙烷，</t>
    </r>
    <r>
      <rPr>
        <sz val="10"/>
        <color indexed="8"/>
        <rFont val="Arial"/>
        <family val="2"/>
      </rPr>
      <t>C2H3F3</t>
    </r>
  </si>
  <si>
    <t>HFC-152</t>
  </si>
  <si>
    <r>
      <rPr>
        <sz val="10"/>
        <color indexed="8"/>
        <rFont val="Arial"/>
        <family val="2"/>
      </rPr>
      <t>R-152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1,2-</t>
    </r>
    <r>
      <rPr>
        <sz val="10"/>
        <color indexed="8"/>
        <rFont val="宋体"/>
        <family val="3"/>
        <charset val="134"/>
      </rPr>
      <t>二氟乙烷，</t>
    </r>
    <r>
      <rPr>
        <sz val="10"/>
        <color indexed="8"/>
        <rFont val="Arial"/>
        <family val="2"/>
      </rPr>
      <t>CH2FCH2F</t>
    </r>
  </si>
  <si>
    <t>HFC-152a</t>
  </si>
  <si>
    <r>
      <rPr>
        <sz val="10"/>
        <color indexed="8"/>
        <rFont val="Arial"/>
        <family val="2"/>
      </rPr>
      <t>R-152a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1,1-</t>
    </r>
    <r>
      <rPr>
        <sz val="10"/>
        <color indexed="8"/>
        <rFont val="宋体"/>
        <family val="3"/>
        <charset val="134"/>
      </rPr>
      <t>二氟乙烷，</t>
    </r>
    <r>
      <rPr>
        <sz val="10"/>
        <color indexed="8"/>
        <rFont val="Arial"/>
        <family val="2"/>
      </rPr>
      <t>C2H4F2</t>
    </r>
  </si>
  <si>
    <t>HFC-161</t>
  </si>
  <si>
    <r>
      <rPr>
        <sz val="10"/>
        <color indexed="8"/>
        <rFont val="Arial"/>
        <family val="2"/>
      </rPr>
      <t>R-161</t>
    </r>
    <r>
      <rPr>
        <sz val="10"/>
        <color indexed="8"/>
        <rFont val="宋体"/>
        <family val="3"/>
        <charset val="134"/>
      </rPr>
      <t>，一氟乙烷，</t>
    </r>
    <r>
      <rPr>
        <sz val="10"/>
        <color indexed="8"/>
        <rFont val="Arial"/>
        <family val="2"/>
      </rPr>
      <t>CH3CH2F</t>
    </r>
  </si>
  <si>
    <t>HFC-227ea</t>
  </si>
  <si>
    <r>
      <rPr>
        <sz val="10"/>
        <color indexed="8"/>
        <rFont val="Arial"/>
        <family val="2"/>
      </rPr>
      <t>R-227ea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1,1,1,2,3,3,3-七氟丙烷，CF3CHFCF3</t>
    </r>
  </si>
  <si>
    <t>HFC-236cb</t>
  </si>
  <si>
    <r>
      <rPr>
        <sz val="10"/>
        <color indexed="8"/>
        <rFont val="Arial"/>
        <family val="2"/>
      </rPr>
      <t>R-236cb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CH2FCF2CF3</t>
    </r>
  </si>
  <si>
    <t>HFC-236ea</t>
  </si>
  <si>
    <r>
      <rPr>
        <sz val="10"/>
        <color indexed="8"/>
        <rFont val="Arial"/>
        <family val="2"/>
      </rPr>
      <t>R-236ea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1,1,1,2,3,3-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CHF2CHFCF3</t>
    </r>
  </si>
  <si>
    <t>HFC-236fa</t>
  </si>
  <si>
    <r>
      <rPr>
        <sz val="10"/>
        <color indexed="8"/>
        <rFont val="Arial"/>
        <family val="2"/>
      </rPr>
      <t>R-236fa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1,1,1,3,3,3-</t>
    </r>
    <r>
      <rPr>
        <sz val="10"/>
        <color indexed="8"/>
        <rFont val="宋体"/>
        <family val="3"/>
        <charset val="134"/>
      </rPr>
      <t>六氟丙烷，</t>
    </r>
    <r>
      <rPr>
        <sz val="10"/>
        <color indexed="8"/>
        <rFont val="Arial"/>
        <family val="2"/>
      </rPr>
      <t>C3H2F6</t>
    </r>
  </si>
  <si>
    <t>HFC-245ca</t>
  </si>
  <si>
    <r>
      <rPr>
        <sz val="10"/>
        <color indexed="8"/>
        <rFont val="Arial"/>
        <family val="2"/>
      </rPr>
      <t>R-245ca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1,1,2,2,3-</t>
    </r>
    <r>
      <rPr>
        <sz val="10"/>
        <color indexed="8"/>
        <rFont val="宋体"/>
        <family val="3"/>
        <charset val="134"/>
      </rPr>
      <t>五氟丙烷，</t>
    </r>
    <r>
      <rPr>
        <sz val="10"/>
        <color indexed="8"/>
        <rFont val="Arial"/>
        <family val="2"/>
      </rPr>
      <t>CH2FCF2CHF2</t>
    </r>
  </si>
  <si>
    <t>HFC-245fa</t>
  </si>
  <si>
    <r>
      <rPr>
        <sz val="10"/>
        <color indexed="8"/>
        <rFont val="Arial"/>
        <family val="2"/>
      </rPr>
      <t>R-245fa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1,1,1,3,3-</t>
    </r>
    <r>
      <rPr>
        <sz val="10"/>
        <color indexed="8"/>
        <rFont val="宋体"/>
        <family val="3"/>
        <charset val="134"/>
      </rPr>
      <t>五氟丙烷，</t>
    </r>
    <r>
      <rPr>
        <sz val="10"/>
        <color indexed="8"/>
        <rFont val="Arial"/>
        <family val="2"/>
      </rPr>
      <t>CHF2CH2CF3</t>
    </r>
  </si>
  <si>
    <t>HFC-365mfc</t>
  </si>
  <si>
    <r>
      <rPr>
        <sz val="10"/>
        <color indexed="8"/>
        <rFont val="Arial"/>
        <family val="2"/>
      </rPr>
      <t>R-365mfc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1,1,1,3,3-</t>
    </r>
    <r>
      <rPr>
        <sz val="10"/>
        <color indexed="8"/>
        <rFont val="宋体"/>
        <family val="3"/>
        <charset val="134"/>
      </rPr>
      <t>五氟丁烷，</t>
    </r>
    <r>
      <rPr>
        <sz val="10"/>
        <color indexed="8"/>
        <rFont val="Arial"/>
        <family val="2"/>
      </rPr>
      <t>CF3CH2CF2CH3</t>
    </r>
  </si>
  <si>
    <t>HFC-43-10mee</t>
  </si>
  <si>
    <r>
      <rPr>
        <sz val="10"/>
        <color indexed="8"/>
        <rFont val="Arial"/>
        <family val="2"/>
      </rPr>
      <t>R-43-10mee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1,1,1,2,2,3,4,5,5,5-</t>
    </r>
    <r>
      <rPr>
        <sz val="10"/>
        <color indexed="8"/>
        <rFont val="宋体"/>
        <family val="3"/>
        <charset val="134"/>
      </rPr>
      <t>十氟戊烷，</t>
    </r>
    <r>
      <rPr>
        <sz val="10"/>
        <color indexed="8"/>
        <rFont val="Arial"/>
        <family val="2"/>
      </rPr>
      <t>CF3CHFCHFCF2CF3</t>
    </r>
  </si>
  <si>
    <t>R401A</t>
  </si>
  <si>
    <r>
      <rPr>
        <sz val="10"/>
        <color indexed="8"/>
        <rFont val="Arial"/>
        <family val="2"/>
      </rPr>
      <t>R22/152a/R124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53/13/34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</si>
  <si>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只考虑了</t>
    </r>
    <r>
      <rPr>
        <sz val="10"/>
        <color indexed="8"/>
        <rFont val="Arial"/>
        <family val="2"/>
      </rPr>
      <t>R152a</t>
    </r>
  </si>
  <si>
    <t>R401B</t>
  </si>
  <si>
    <r>
      <rPr>
        <sz val="10"/>
        <color indexed="8"/>
        <rFont val="Arial"/>
        <family val="2"/>
      </rPr>
      <t>R22/152a/R124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61/11/28</t>
    </r>
    <r>
      <rPr>
        <sz val="10"/>
        <color indexed="8"/>
        <rFont val="宋体"/>
        <family val="3"/>
        <charset val="134"/>
      </rPr>
      <t>）</t>
    </r>
  </si>
  <si>
    <t>R404A</t>
  </si>
  <si>
    <r>
      <rPr>
        <sz val="10"/>
        <color indexed="8"/>
        <rFont val="Arial"/>
        <family val="2"/>
      </rPr>
      <t>R125/143a/R134a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44/52/4</t>
    </r>
    <r>
      <rPr>
        <sz val="10"/>
        <color indexed="8"/>
        <rFont val="宋体"/>
        <family val="3"/>
        <charset val="134"/>
      </rPr>
      <t>）</t>
    </r>
  </si>
  <si>
    <t>R407A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</si>
  <si>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20/40/40</t>
    </r>
    <r>
      <rPr>
        <sz val="10"/>
        <color indexed="8"/>
        <rFont val="宋体"/>
        <family val="3"/>
        <charset val="134"/>
      </rPr>
      <t>）</t>
    </r>
  </si>
  <si>
    <t>R407B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</si>
  <si>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10/70/20</t>
    </r>
    <r>
      <rPr>
        <sz val="10"/>
        <color indexed="8"/>
        <rFont val="宋体"/>
        <family val="3"/>
        <charset val="134"/>
      </rPr>
      <t>）</t>
    </r>
  </si>
  <si>
    <t>R407C</t>
  </si>
  <si>
    <r>
      <rPr>
        <sz val="10"/>
        <color indexed="8"/>
        <rFont val="Arial"/>
        <family val="2"/>
      </rPr>
      <t>R32/R125/R134a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23/25/52</t>
    </r>
    <r>
      <rPr>
        <sz val="10"/>
        <color indexed="8"/>
        <rFont val="宋体"/>
        <family val="3"/>
        <charset val="134"/>
      </rPr>
      <t>）</t>
    </r>
  </si>
  <si>
    <t>R408A</t>
  </si>
  <si>
    <r>
      <rPr>
        <sz val="10"/>
        <color indexed="8"/>
        <rFont val="Arial"/>
        <family val="2"/>
      </rPr>
      <t>R125/R143a/R22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7/46/47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</si>
  <si>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未考虑</t>
    </r>
    <r>
      <rPr>
        <sz val="10"/>
        <color indexed="8"/>
        <rFont val="Arial"/>
        <family val="2"/>
      </rPr>
      <t>R22</t>
    </r>
  </si>
  <si>
    <t>R410A</t>
  </si>
  <si>
    <r>
      <rPr>
        <sz val="10"/>
        <color indexed="8"/>
        <rFont val="Arial"/>
        <family val="2"/>
      </rPr>
      <t>R32/R125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50/50</t>
    </r>
    <r>
      <rPr>
        <sz val="10"/>
        <color indexed="8"/>
        <rFont val="宋体"/>
        <family val="3"/>
        <charset val="134"/>
      </rPr>
      <t>）</t>
    </r>
  </si>
  <si>
    <t>R413A</t>
  </si>
  <si>
    <r>
      <rPr>
        <sz val="10"/>
        <color indexed="8"/>
        <rFont val="Arial"/>
        <family val="2"/>
      </rPr>
      <t>R218/R134a/R600a(9/88/3</t>
    </r>
    <r>
      <rPr>
        <sz val="10"/>
        <color indexed="8"/>
        <rFont val="宋体"/>
        <family val="3"/>
        <charset val="134"/>
      </rPr>
      <t>）</t>
    </r>
    <r>
      <rPr>
        <sz val="10"/>
        <color indexed="8"/>
        <rFont val="Arial"/>
        <family val="2"/>
      </rPr>
      <t xml:space="preserve"> </t>
    </r>
  </si>
  <si>
    <t>R417A</t>
  </si>
  <si>
    <t>R125/R134a/R600a(46.6/50/3.4)</t>
  </si>
  <si>
    <t>R503</t>
  </si>
  <si>
    <r>
      <rPr>
        <sz val="10"/>
        <color indexed="8"/>
        <rFont val="Arial"/>
        <family val="2"/>
      </rPr>
      <t>R23/R13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40.1/59.9</t>
    </r>
    <r>
      <rPr>
        <sz val="10"/>
        <color indexed="8"/>
        <rFont val="宋体"/>
        <family val="3"/>
        <charset val="134"/>
      </rPr>
      <t>）</t>
    </r>
  </si>
  <si>
    <r>
      <rPr>
        <sz val="10"/>
        <color indexed="8"/>
        <rFont val="宋体"/>
        <family val="3"/>
        <charset val="134"/>
      </rPr>
      <t>只考虑了</t>
    </r>
    <r>
      <rPr>
        <sz val="10"/>
        <color indexed="8"/>
        <rFont val="Arial"/>
        <family val="2"/>
      </rPr>
      <t>R23,</t>
    </r>
    <r>
      <rPr>
        <sz val="10"/>
        <color indexed="8"/>
        <rFont val="宋体"/>
        <family val="3"/>
        <charset val="134"/>
      </rPr>
      <t>未考虑</t>
    </r>
    <r>
      <rPr>
        <sz val="10"/>
        <color indexed="8"/>
        <rFont val="Arial"/>
        <family val="2"/>
      </rPr>
      <t>R13</t>
    </r>
  </si>
  <si>
    <t>R507A</t>
  </si>
  <si>
    <r>
      <rPr>
        <sz val="10"/>
        <color indexed="8"/>
        <rFont val="Arial"/>
        <family val="2"/>
      </rPr>
      <t>R125/R143a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50.0/50.0</t>
    </r>
    <r>
      <rPr>
        <sz val="10"/>
        <color indexed="8"/>
        <rFont val="宋体"/>
        <family val="3"/>
        <charset val="134"/>
      </rPr>
      <t>）</t>
    </r>
  </si>
  <si>
    <t>R508A</t>
  </si>
  <si>
    <r>
      <rPr>
        <sz val="10"/>
        <color indexed="8"/>
        <rFont val="Arial"/>
        <family val="2"/>
      </rPr>
      <t>R23/R116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39.0/61.0</t>
    </r>
    <r>
      <rPr>
        <sz val="10"/>
        <color indexed="8"/>
        <rFont val="宋体"/>
        <family val="3"/>
        <charset val="134"/>
      </rPr>
      <t>）</t>
    </r>
  </si>
  <si>
    <t>R508B</t>
  </si>
  <si>
    <r>
      <rPr>
        <sz val="10"/>
        <color indexed="8"/>
        <rFont val="Arial"/>
        <family val="2"/>
      </rPr>
      <t>R23/R116</t>
    </r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"/>
        <family val="2"/>
      </rPr>
      <t>46.0/54.0</t>
    </r>
    <r>
      <rPr>
        <sz val="10"/>
        <color indexed="8"/>
        <rFont val="宋体"/>
        <family val="3"/>
        <charset val="134"/>
      </rPr>
      <t>）</t>
    </r>
  </si>
  <si>
    <t>PFC-116</t>
  </si>
  <si>
    <r>
      <rPr>
        <sz val="10"/>
        <color indexed="8"/>
        <rFont val="Arial"/>
        <family val="2"/>
      </rPr>
      <t>R-116</t>
    </r>
    <r>
      <rPr>
        <sz val="10"/>
        <color indexed="8"/>
        <rFont val="宋体"/>
        <family val="3"/>
        <charset val="134"/>
      </rPr>
      <t>，六氟乙烷，</t>
    </r>
    <r>
      <rPr>
        <sz val="10"/>
        <color indexed="8"/>
        <rFont val="Arial"/>
        <family val="2"/>
      </rPr>
      <t>C2F6</t>
    </r>
  </si>
  <si>
    <t>PFC-14</t>
  </si>
  <si>
    <r>
      <rPr>
        <sz val="10"/>
        <color indexed="8"/>
        <rFont val="Arial"/>
        <family val="2"/>
      </rPr>
      <t>R-14</t>
    </r>
    <r>
      <rPr>
        <sz val="10"/>
        <color indexed="8"/>
        <rFont val="宋体"/>
        <family val="3"/>
        <charset val="134"/>
      </rPr>
      <t>，四氟化碳，</t>
    </r>
    <r>
      <rPr>
        <sz val="10"/>
        <color indexed="8"/>
        <rFont val="Arial"/>
        <family val="2"/>
      </rPr>
      <t>CF4</t>
    </r>
  </si>
  <si>
    <t>PFC-218</t>
  </si>
  <si>
    <r>
      <rPr>
        <sz val="10"/>
        <color indexed="8"/>
        <rFont val="Arial"/>
        <family val="2"/>
      </rPr>
      <t>C3F8</t>
    </r>
    <r>
      <rPr>
        <sz val="10"/>
        <color indexed="8"/>
        <rFont val="標楷體"/>
        <charset val="134"/>
      </rPr>
      <t>，全氟丙烷</t>
    </r>
  </si>
  <si>
    <t>PFC-318</t>
  </si>
  <si>
    <r>
      <rPr>
        <sz val="10"/>
        <color indexed="8"/>
        <rFont val="Arial"/>
        <family val="2"/>
      </rPr>
      <t>c-C4F8</t>
    </r>
    <r>
      <rPr>
        <sz val="10"/>
        <color indexed="8"/>
        <rFont val="宋体"/>
        <family val="3"/>
        <charset val="134"/>
      </rPr>
      <t>，八氟环丁烷</t>
    </r>
  </si>
  <si>
    <t>PFC-31-10</t>
  </si>
  <si>
    <r>
      <rPr>
        <sz val="10"/>
        <color indexed="8"/>
        <rFont val="Arial"/>
        <family val="2"/>
      </rPr>
      <t>C4F10</t>
    </r>
    <r>
      <rPr>
        <sz val="10"/>
        <color indexed="8"/>
        <rFont val="標楷體"/>
        <charset val="134"/>
      </rPr>
      <t>，全氟丁烷</t>
    </r>
  </si>
  <si>
    <t>PFC-41-12</t>
  </si>
  <si>
    <r>
      <rPr>
        <sz val="10"/>
        <color indexed="8"/>
        <rFont val="Arial"/>
        <family val="2"/>
      </rPr>
      <t>C5F12</t>
    </r>
    <r>
      <rPr>
        <sz val="10"/>
        <color indexed="8"/>
        <rFont val="標楷體"/>
        <charset val="134"/>
      </rPr>
      <t>，全氟戊烷</t>
    </r>
  </si>
  <si>
    <t>PFC-51-14</t>
  </si>
  <si>
    <r>
      <rPr>
        <sz val="10"/>
        <color indexed="8"/>
        <rFont val="Arial"/>
        <family val="2"/>
      </rPr>
      <t>C6F14</t>
    </r>
    <r>
      <rPr>
        <sz val="10"/>
        <color indexed="8"/>
        <rFont val="標楷體"/>
        <charset val="134"/>
      </rPr>
      <t>，全氟己烷</t>
    </r>
  </si>
  <si>
    <t>三氟化氮</t>
  </si>
  <si>
    <t>六氟化硫</t>
  </si>
  <si>
    <r>
      <rPr>
        <b/>
        <sz val="12"/>
        <color indexed="9"/>
        <rFont val="Arial"/>
        <family val="2"/>
      </rPr>
      <t>GHG</t>
    </r>
    <r>
      <rPr>
        <b/>
        <sz val="12"/>
        <color indexed="9"/>
        <rFont val="宋体"/>
        <family val="3"/>
        <charset val="134"/>
      </rPr>
      <t>排放类别</t>
    </r>
  </si>
  <si>
    <t>低位发热量</t>
  </si>
  <si>
    <r>
      <rPr>
        <b/>
        <sz val="12"/>
        <color indexed="9"/>
        <rFont val="宋体"/>
        <family val="3"/>
        <charset val="134"/>
      </rPr>
      <t>单位</t>
    </r>
  </si>
  <si>
    <t>氧化率</t>
  </si>
  <si>
    <t>基于热值排放系数，t GHG/GJ</t>
  </si>
  <si>
    <t>排放因子，t GHG/10000m³</t>
  </si>
  <si>
    <t>IPCC-2006缺省值</t>
  </si>
  <si>
    <t>计算值</t>
  </si>
  <si>
    <r>
      <rPr>
        <b/>
        <sz val="12"/>
        <color indexed="9"/>
        <rFont val="宋体"/>
        <family val="3"/>
        <charset val="134"/>
      </rPr>
      <t>企业温室气体排放核算与报告指南</t>
    </r>
    <r>
      <rPr>
        <b/>
        <sz val="12"/>
        <color indexed="9"/>
        <rFont val="Arial"/>
        <family val="2"/>
      </rPr>
      <t xml:space="preserve"> </t>
    </r>
    <r>
      <rPr>
        <b/>
        <sz val="12"/>
        <color indexed="9"/>
        <rFont val="宋体"/>
        <family val="3"/>
        <charset val="134"/>
      </rPr>
      <t>钢铁行业</t>
    </r>
  </si>
  <si>
    <t>范围一 固定燃烧排放</t>
  </si>
  <si>
    <r>
      <rPr>
        <sz val="10"/>
        <color indexed="8"/>
        <rFont val="宋体"/>
        <family val="3"/>
        <charset val="134"/>
      </rPr>
      <t>天然气</t>
    </r>
    <r>
      <rPr>
        <sz val="10"/>
        <color indexed="8"/>
        <rFont val="宋体"/>
        <family val="3"/>
        <charset val="134"/>
      </rPr>
      <t>燃烧</t>
    </r>
  </si>
  <si>
    <t>热处理炉</t>
  </si>
  <si>
    <r>
      <rPr>
        <sz val="10"/>
        <color indexed="8"/>
        <rFont val="Arial"/>
        <family val="2"/>
      </rPr>
      <t>GJ/10</t>
    </r>
    <r>
      <rPr>
        <vertAlign val="superscript"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>Nm3</t>
    </r>
  </si>
  <si>
    <t>GJ/t</t>
  </si>
  <si>
    <t>烟煤燃烧</t>
  </si>
  <si>
    <t>无烟煤燃烧</t>
  </si>
  <si>
    <t>焦丁燃烧</t>
  </si>
  <si>
    <t>范围一 移动燃烧排放</t>
  </si>
  <si>
    <t>火车/货车</t>
  </si>
  <si>
    <t>公务车</t>
  </si>
  <si>
    <t>CO2排放因子</t>
  </si>
  <si>
    <t>范围一 制程排放</t>
  </si>
  <si>
    <t>石灰石</t>
  </si>
  <si>
    <r>
      <rPr>
        <sz val="10"/>
        <color indexed="8"/>
        <rFont val="宋体"/>
        <family val="3"/>
        <charset val="134"/>
      </rPr>
      <t>石灰窑</t>
    </r>
  </si>
  <si>
    <r>
      <rPr>
        <sz val="10"/>
        <color indexed="8"/>
        <rFont val="宋体"/>
        <family val="3"/>
        <charset val="134"/>
      </rPr>
      <t>高炉</t>
    </r>
  </si>
  <si>
    <r>
      <rPr>
        <sz val="10"/>
        <color indexed="8"/>
        <rFont val="宋体"/>
        <family val="3"/>
        <charset val="134"/>
      </rPr>
      <t>电极</t>
    </r>
  </si>
  <si>
    <r>
      <rPr>
        <sz val="10"/>
        <color indexed="8"/>
        <rFont val="宋体"/>
        <family val="3"/>
        <charset val="134"/>
      </rPr>
      <t>炼钢</t>
    </r>
  </si>
  <si>
    <t>微碳锰铁</t>
  </si>
  <si>
    <r>
      <rPr>
        <sz val="10"/>
        <color indexed="8"/>
        <rFont val="宋体"/>
        <family val="3"/>
        <charset val="134"/>
      </rPr>
      <t>废钢</t>
    </r>
  </si>
  <si>
    <r>
      <rPr>
        <sz val="10"/>
        <color indexed="8"/>
        <rFont val="宋体"/>
        <family val="3"/>
        <charset val="134"/>
      </rPr>
      <t>粗钢</t>
    </r>
  </si>
  <si>
    <t>HFCs/PFCs</t>
  </si>
  <si>
    <t>MCF</t>
  </si>
  <si>
    <t>Bo</t>
  </si>
  <si>
    <t>排放因子</t>
  </si>
  <si>
    <r>
      <rPr>
        <b/>
        <sz val="12"/>
        <color indexed="9"/>
        <rFont val="宋体"/>
        <family val="3"/>
        <charset val="134"/>
      </rPr>
      <t>排放因子引用源</t>
    </r>
  </si>
  <si>
    <r>
      <rPr>
        <b/>
        <sz val="12"/>
        <color indexed="9"/>
        <rFont val="Arial"/>
        <family val="2"/>
      </rPr>
      <t>EF</t>
    </r>
    <r>
      <rPr>
        <b/>
        <sz val="12"/>
        <color indexed="9"/>
        <rFont val="宋体"/>
        <family val="3"/>
        <charset val="134"/>
      </rPr>
      <t>估计值</t>
    </r>
  </si>
  <si>
    <t>范围一 逸散排放</t>
  </si>
  <si>
    <r>
      <rPr>
        <sz val="10"/>
        <color rgb="FF000000"/>
        <rFont val="Arial"/>
        <family val="2"/>
      </rPr>
      <t>CO2</t>
    </r>
    <r>
      <rPr>
        <sz val="10"/>
        <color rgb="FF000000"/>
        <rFont val="宋体"/>
        <family val="3"/>
        <charset val="134"/>
      </rPr>
      <t>逸散</t>
    </r>
  </si>
  <si>
    <r>
      <rPr>
        <sz val="10"/>
        <color indexed="8"/>
        <rFont val="宋体"/>
        <family val="3"/>
        <charset val="134"/>
      </rPr>
      <t>二氧化碳灭火器</t>
    </r>
  </si>
  <si>
    <t>kgCO2/kg</t>
  </si>
  <si>
    <t>质量平衡</t>
  </si>
  <si>
    <r>
      <rPr>
        <sz val="10"/>
        <color rgb="FF000000"/>
        <rFont val="宋体"/>
        <family val="3"/>
        <charset val="134"/>
      </rPr>
      <t>制冷剂逸散（</t>
    </r>
    <r>
      <rPr>
        <sz val="10"/>
        <color rgb="FF000000"/>
        <rFont val="Arial"/>
        <family val="2"/>
      </rPr>
      <t>R32</t>
    </r>
    <r>
      <rPr>
        <sz val="10"/>
        <color rgb="FF000000"/>
        <rFont val="宋体"/>
        <family val="3"/>
        <charset val="134"/>
      </rPr>
      <t>）</t>
    </r>
  </si>
  <si>
    <t>kgGHG/kg</t>
  </si>
  <si>
    <t>kgCH4/kgBOD</t>
  </si>
  <si>
    <r>
      <rPr>
        <sz val="10"/>
        <rFont val="Arial"/>
        <family val="2"/>
      </rPr>
      <t>2006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IPCC</t>
    </r>
    <r>
      <rPr>
        <sz val="10"/>
        <rFont val="宋体"/>
        <family val="3"/>
        <charset val="134"/>
      </rPr>
      <t>国家温室气体清单指南</t>
    </r>
    <r>
      <rPr>
        <sz val="10"/>
        <rFont val="Arial"/>
        <family val="2"/>
      </rPr>
      <t>V5_6_Ch6 Table6.2/6.3;</t>
    </r>
    <r>
      <rPr>
        <sz val="10"/>
        <rFont val="宋体"/>
        <family val="3"/>
        <charset val="134"/>
      </rPr>
      <t>公式</t>
    </r>
    <r>
      <rPr>
        <sz val="10"/>
        <rFont val="Arial"/>
        <family val="2"/>
      </rPr>
      <t>6.1/6.2</t>
    </r>
  </si>
  <si>
    <r>
      <rPr>
        <sz val="10"/>
        <color indexed="8"/>
        <rFont val="宋体"/>
        <family val="3"/>
        <charset val="134"/>
      </rPr>
      <t>厌氧池</t>
    </r>
  </si>
  <si>
    <t>kgCH4/kgCOD</t>
  </si>
  <si>
    <r>
      <rPr>
        <sz val="10"/>
        <color indexed="8"/>
        <rFont val="宋体"/>
        <family val="3"/>
        <charset val="134"/>
      </rPr>
      <t>厌氧池</t>
    </r>
    <r>
      <rPr>
        <sz val="10"/>
        <color indexed="8"/>
        <rFont val="宋体"/>
        <family val="3"/>
        <charset val="134"/>
      </rPr>
      <t>、厕所、下水道等</t>
    </r>
  </si>
  <si>
    <r>
      <rPr>
        <sz val="10"/>
        <color indexed="8"/>
        <rFont val="Arial"/>
        <family val="2"/>
      </rPr>
      <t>gBOD/</t>
    </r>
    <r>
      <rPr>
        <sz val="10"/>
        <color indexed="8"/>
        <rFont val="宋体"/>
        <family val="3"/>
        <charset val="134"/>
      </rPr>
      <t>人</t>
    </r>
    <r>
      <rPr>
        <sz val="10"/>
        <color indexed="8"/>
        <rFont val="Arial"/>
        <family val="2"/>
      </rPr>
      <t>·</t>
    </r>
    <r>
      <rPr>
        <sz val="10"/>
        <color indexed="8"/>
        <rFont val="宋体"/>
        <family val="3"/>
        <charset val="134"/>
      </rPr>
      <t>天</t>
    </r>
  </si>
  <si>
    <r>
      <rPr>
        <sz val="10"/>
        <rFont val="Arial"/>
        <family val="2"/>
      </rPr>
      <t>2006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IPCC</t>
    </r>
    <r>
      <rPr>
        <sz val="10"/>
        <rFont val="宋体"/>
        <family val="3"/>
        <charset val="134"/>
      </rPr>
      <t>国家温室气体清单指南</t>
    </r>
    <r>
      <rPr>
        <sz val="10"/>
        <rFont val="Arial"/>
        <family val="2"/>
      </rPr>
      <t>V5_6_Ch6 Table 6.4;</t>
    </r>
    <r>
      <rPr>
        <sz val="10"/>
        <rFont val="宋体"/>
        <family val="3"/>
        <charset val="134"/>
      </rPr>
      <t>公式</t>
    </r>
    <r>
      <rPr>
        <sz val="10"/>
        <rFont val="Arial"/>
        <family val="2"/>
      </rPr>
      <t>6.3</t>
    </r>
  </si>
  <si>
    <t>范围二 外购能源间接排放</t>
  </si>
  <si>
    <r>
      <rPr>
        <sz val="10"/>
        <rFont val="宋体"/>
        <family val="3"/>
        <charset val="134"/>
      </rPr>
      <t>电力</t>
    </r>
  </si>
  <si>
    <r>
      <rPr>
        <sz val="10"/>
        <color indexed="8"/>
        <rFont val="宋体"/>
        <family val="3"/>
        <charset val="134"/>
      </rPr>
      <t>生态环境部、国家能源局发布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年电力二氧化碳排放因子的公告（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年全国电力排放因子）</t>
    </r>
  </si>
  <si>
    <r>
      <rPr>
        <sz val="10"/>
        <color indexed="8"/>
        <rFont val="宋体"/>
        <family val="3"/>
        <charset val="134"/>
      </rPr>
      <t>生态环境部、国家能源局发布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年电力二氧化碳排放因子的公告（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年全国电力平均二氧化碳排放因子（不包括市场化交易的非化石能源电量））</t>
    </r>
  </si>
  <si>
    <t>Activity name</t>
  </si>
  <si>
    <t>Geography</t>
  </si>
  <si>
    <r>
      <rPr>
        <b/>
        <sz val="12"/>
        <color indexed="9"/>
        <rFont val="宋体"/>
        <family val="3"/>
        <charset val="134"/>
      </rPr>
      <t>引用源</t>
    </r>
  </si>
  <si>
    <r>
      <rPr>
        <b/>
        <sz val="12"/>
        <color indexed="9"/>
        <rFont val="宋体"/>
        <family val="3"/>
        <charset val="134"/>
      </rPr>
      <t>缺省排放因子</t>
    </r>
  </si>
  <si>
    <t>范围三 类别1 外购商品和服务的上游排放</t>
  </si>
  <si>
    <t>marker for Iron ore,crude ore,63% Fe</t>
  </si>
  <si>
    <t>Global (GLO)</t>
  </si>
  <si>
    <t>ecoinvent 3.10-cut off</t>
  </si>
  <si>
    <t>market for quicklime, in pieces, loose</t>
  </si>
  <si>
    <t>Rest-of-World (RoW)</t>
  </si>
  <si>
    <t>marker for dolomite</t>
  </si>
  <si>
    <t>market for iron pellet</t>
  </si>
  <si>
    <t>market for waste reinforcement steel</t>
  </si>
  <si>
    <t>market for ferromanganese,high-coal,74.5% Mn</t>
  </si>
  <si>
    <t>market for ferronickel</t>
  </si>
  <si>
    <t>market for ferrochromium,high-carbom.55% Cr</t>
  </si>
  <si>
    <t>market for fluorspar, 97% purity</t>
  </si>
  <si>
    <t>ferrosilicon production</t>
  </si>
  <si>
    <t>China (CN)</t>
  </si>
  <si>
    <t xml:space="preserve">Ferro-Molybdenum </t>
  </si>
  <si>
    <t>market for aluminium,cast alloy</t>
  </si>
  <si>
    <t>global warming potential (GWP100)</t>
  </si>
  <si>
    <t>market for aluminium,primary,ingot</t>
  </si>
  <si>
    <t>market for recarburizer</t>
  </si>
  <si>
    <t>ecoinvent 3.11-cut off</t>
  </si>
  <si>
    <t>market for iron scrap, unsorted</t>
  </si>
  <si>
    <t>market for ammonia, anhydrous, liquid</t>
  </si>
  <si>
    <t>market for silicon carbide</t>
  </si>
  <si>
    <t>market for magnesium</t>
  </si>
  <si>
    <t>All Other Converted Paper Product Manufacturing</t>
  </si>
  <si>
    <t>SupplyChainGHGEmissionFactors_v1.3.0_NAICS_CO2e_USD2022</t>
  </si>
  <si>
    <t>Office Supplies (except Paper) Manufacturing</t>
  </si>
  <si>
    <t>market for tap water</t>
  </si>
  <si>
    <t>范围三 类别2 资本货物</t>
  </si>
  <si>
    <t>Warm Air Heating and Air-Conditioning Equipment and Supplies Merchant Wholesalers</t>
  </si>
  <si>
    <t>Electronic Computer Manufacturing</t>
  </si>
  <si>
    <t>Other Industrial Machinery Manufacturing</t>
  </si>
  <si>
    <t>Instrument Manufacturing for Measuring and Testing Electricity and Electrical Signals</t>
  </si>
  <si>
    <t>Mechanical Power Transmission Equipment Manufacturing</t>
  </si>
  <si>
    <t>Measuring, Dispensing, and Other Pumping Equipment Manufacturing</t>
  </si>
  <si>
    <t>Instruments and Related Products Manufacturing for Measuring, Displaying, and Controlling Industrial Process Variables</t>
  </si>
  <si>
    <t>All Other Miscellaneous Electrical Equipment and Component Manufacturing</t>
  </si>
  <si>
    <t>All Other Miscellaneous Manufacturing</t>
  </si>
  <si>
    <t>范围三 类别3 范围一、二之外燃料和能源相关的活动产生的排放</t>
  </si>
  <si>
    <t>market for liquefied petroleum gas</t>
  </si>
  <si>
    <t>market for hard coal</t>
  </si>
  <si>
    <t>market for diesel</t>
  </si>
  <si>
    <t>market for petrol, unleaded</t>
  </si>
  <si>
    <t>market for natural gas, high pressure</t>
  </si>
  <si>
    <t>tCO2/10000Nm³</t>
  </si>
  <si>
    <t>范围三 类别4 上下游运输配送产生的排放</t>
  </si>
  <si>
    <t>market for transport, freight, inland waterways, barge</t>
  </si>
  <si>
    <t>tCO2-Eq/tkm</t>
  </si>
  <si>
    <t>market group for transport, freight, lorry, unspecified</t>
  </si>
  <si>
    <t>market for transport, freight train</t>
  </si>
  <si>
    <t>范围三 类别5 运营中产生的废物排放</t>
  </si>
  <si>
    <t>market for average incineration residue</t>
  </si>
  <si>
    <t>treatment of waste mineral oil, hazardous waste incineration</t>
  </si>
  <si>
    <t>范围三 类别6 商务旅行产生的排放</t>
  </si>
  <si>
    <t>国内航空客运（中型飞机）</t>
  </si>
  <si>
    <t>kgCO2/passenger*km</t>
  </si>
  <si>
    <t>CPCD, China Products Carbon Footprint Factors Database</t>
  </si>
  <si>
    <t>transport, passenger train, high-speed</t>
  </si>
  <si>
    <t>酒店住宿</t>
  </si>
  <si>
    <t>中国大陆</t>
  </si>
  <si>
    <t>范围三 类别7 员工通勤产生的排放</t>
  </si>
  <si>
    <t>电动公交车运输</t>
  </si>
  <si>
    <t>transport,passenger,electic bicycle</t>
  </si>
  <si>
    <t>transport,passenger car</t>
  </si>
  <si>
    <t>kgCO2/km</t>
  </si>
  <si>
    <t>引用源</t>
  </si>
  <si>
    <t>范围三 类别9 外销产品加工产生的排放</t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</si>
  <si>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锻材》</t>
    </r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</si>
  <si>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棒材》</t>
    </r>
  </si>
  <si>
    <r>
      <rPr>
        <sz val="10"/>
        <color indexed="8"/>
        <rFont val="宋体"/>
        <family val="3"/>
        <charset val="134"/>
      </rPr>
      <t>厂商反馈《细化收资清单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管材》</t>
    </r>
  </si>
  <si>
    <t>hot rolling, steel</t>
  </si>
  <si>
    <r>
      <rPr>
        <sz val="10"/>
        <color indexed="8"/>
        <rFont val="Arial"/>
        <family val="2"/>
      </rPr>
      <t>1.</t>
    </r>
    <r>
      <rPr>
        <sz val="10"/>
        <color indexed="8"/>
        <rFont val="宋体"/>
        <family val="3"/>
        <charset val="134"/>
      </rPr>
      <t>不用</t>
    </r>
    <r>
      <rPr>
        <sz val="10"/>
        <color indexed="8"/>
        <rFont val="Arial"/>
        <family val="2"/>
      </rPr>
      <t>CPCD</t>
    </r>
    <r>
      <rPr>
        <sz val="10"/>
        <color indexed="8"/>
        <rFont val="宋体"/>
        <family val="3"/>
        <charset val="134"/>
      </rPr>
      <t>因子的理由：因</t>
    </r>
    <r>
      <rPr>
        <sz val="10"/>
        <color indexed="8"/>
        <rFont val="Arial"/>
        <family val="2"/>
      </rPr>
      <t>CPCD</t>
    </r>
    <r>
      <rPr>
        <sz val="10"/>
        <color indexed="8"/>
        <rFont val="宋体"/>
        <family val="3"/>
        <charset val="134"/>
      </rPr>
      <t>排放因子过大，估计包含了“钢坯制造”和“钢坯加工”两部分排放在内，正常的钢坯加工工序排放强度仅在</t>
    </r>
    <r>
      <rPr>
        <sz val="10"/>
        <color indexed="8"/>
        <rFont val="Arial"/>
        <family val="2"/>
      </rPr>
      <t>0.2-0.3tCO2e/t</t>
    </r>
    <r>
      <rPr>
        <sz val="10"/>
        <color indexed="8"/>
        <rFont val="宋体"/>
        <family val="3"/>
        <charset val="134"/>
      </rPr>
      <t xml:space="preserve">钢材产品之间。
</t>
    </r>
    <r>
      <rPr>
        <sz val="10"/>
        <color indexed="8"/>
        <rFont val="Arial"/>
        <family val="2"/>
      </rPr>
      <t>2.</t>
    </r>
    <r>
      <rPr>
        <sz val="10"/>
        <color indexed="8"/>
        <rFont val="宋体"/>
        <family val="3"/>
        <charset val="134"/>
      </rPr>
      <t>选用ecoinvent因子的原因：钢坯加工成钢材的过程大多会经过热轧工序处理，选用热轧钢排放因子更具代表性。</t>
    </r>
  </si>
  <si>
    <t>类别11</t>
  </si>
  <si>
    <t>范围三 类别11 外销产品使用产生的排放</t>
  </si>
  <si>
    <t>类别12</t>
  </si>
  <si>
    <t>范围三 类别12 外售产品报废产生的排放</t>
  </si>
  <si>
    <t>treatment of scrap steel, inert material landfill</t>
  </si>
  <si>
    <t>2024年已实施的节能减排措施</t>
  </si>
  <si>
    <t>序号</t>
  </si>
  <si>
    <t>节能实施方案名称</t>
  </si>
  <si>
    <t>方案具体描述</t>
  </si>
  <si>
    <t>责任部门</t>
  </si>
  <si>
    <t>项目实施进度概况</t>
  </si>
  <si>
    <t>节能量预估</t>
  </si>
  <si>
    <t>节电</t>
  </si>
  <si>
    <t>通过选择经济购电套餐、错峰用电、降低计费容量等方式，2024年外购电价同比去年下降0.0784元/kWh（含年度交易电价下降0.0330元/kWh），减少外购电费13263万元，全年减少外购电费15560万元。</t>
  </si>
  <si>
    <t>能源环保部</t>
  </si>
  <si>
    <t>已完成</t>
  </si>
  <si>
    <t>预计全年减少外购电3800万kWh</t>
  </si>
  <si>
    <t>减少天然气外购</t>
  </si>
  <si>
    <t>推进焦气替代天然气项目，减少天然气外购，降低燃气成本。</t>
  </si>
  <si>
    <t>预计全年减少采购费用2000万元</t>
  </si>
  <si>
    <t>提升回收转炉煤气量</t>
  </si>
  <si>
    <t>通过改善回收条件、风机提频、管道清灰等措施提升转炉煤气回收量。</t>
  </si>
  <si>
    <t>预计全年创效1020万元</t>
  </si>
  <si>
    <t>管理类节能</t>
  </si>
  <si>
    <t>氩气提产降耗、提升转炉煤气回收等。</t>
  </si>
  <si>
    <t>吨钢氩气消耗量较去年下降1.3m³/t，转炉煤气回收较去年月均提高16.52m³/t</t>
  </si>
  <si>
    <t>2025年计划实施的节能减排措施</t>
  </si>
  <si>
    <t>提升绿电消耗量</t>
  </si>
  <si>
    <t>增加自建光伏发电面积，加大外购绿电消耗量</t>
  </si>
  <si>
    <t>实施中</t>
  </si>
  <si>
    <t>实现建筑物可利用面积光伏利用率≥90%，力争外购绿电消耗占比达10%</t>
  </si>
  <si>
    <t>提升焦炉煤气外送量</t>
  </si>
  <si>
    <t xml:space="preserve">按预定计划完成外供逸洋制管能源介质项目
</t>
  </si>
  <si>
    <t>计划全年外供煤气1800万m³，减少碳排放1.37万吨</t>
  </si>
  <si>
    <t>各排放源明细</t>
  </si>
  <si>
    <r>
      <rPr>
        <b/>
        <sz val="6"/>
        <rFont val="宋体"/>
        <family val="3"/>
        <charset val="134"/>
      </rPr>
      <t>编号</t>
    </r>
  </si>
  <si>
    <r>
      <rPr>
        <b/>
        <sz val="6"/>
        <rFont val="Arial"/>
        <family val="2"/>
      </rPr>
      <t>GHG</t>
    </r>
    <r>
      <rPr>
        <b/>
        <sz val="6"/>
        <rFont val="宋体"/>
        <family val="3"/>
        <charset val="134"/>
      </rPr>
      <t>排放类别</t>
    </r>
  </si>
  <si>
    <r>
      <rPr>
        <b/>
        <sz val="6"/>
        <rFont val="宋体"/>
        <family val="3"/>
        <charset val="134"/>
      </rPr>
      <t>排放源</t>
    </r>
  </si>
  <si>
    <r>
      <rPr>
        <b/>
        <sz val="6"/>
        <rFont val="宋体"/>
        <family val="3"/>
        <charset val="134"/>
      </rPr>
      <t>报告边界</t>
    </r>
  </si>
  <si>
    <r>
      <rPr>
        <b/>
        <sz val="6"/>
        <rFont val="宋体"/>
        <family val="3"/>
        <charset val="134"/>
      </rPr>
      <t>活动数据</t>
    </r>
  </si>
  <si>
    <r>
      <rPr>
        <b/>
        <sz val="6"/>
        <rFont val="宋体"/>
        <family val="3"/>
        <charset val="134"/>
      </rPr>
      <t>排放因子</t>
    </r>
    <r>
      <rPr>
        <b/>
        <sz val="6"/>
        <rFont val="Arial"/>
        <family val="2"/>
      </rPr>
      <t>&amp;</t>
    </r>
    <r>
      <rPr>
        <b/>
        <sz val="6"/>
        <rFont val="宋体"/>
        <family val="3"/>
        <charset val="134"/>
      </rPr>
      <t>系数</t>
    </r>
  </si>
  <si>
    <r>
      <rPr>
        <b/>
        <sz val="6"/>
        <rFont val="宋体"/>
        <family val="3"/>
        <charset val="134"/>
      </rPr>
      <t>排放量</t>
    </r>
  </si>
  <si>
    <r>
      <rPr>
        <b/>
        <sz val="6"/>
        <rFont val="宋体"/>
        <family val="3"/>
        <charset val="134"/>
      </rPr>
      <t>总量</t>
    </r>
  </si>
  <si>
    <r>
      <rPr>
        <b/>
        <sz val="6"/>
        <rFont val="宋体"/>
        <family val="3"/>
        <charset val="134"/>
      </rPr>
      <t>数值</t>
    </r>
  </si>
  <si>
    <r>
      <rPr>
        <b/>
        <sz val="6"/>
        <rFont val="宋体"/>
        <family val="3"/>
        <charset val="134"/>
      </rPr>
      <t>计量单位</t>
    </r>
  </si>
  <si>
    <r>
      <rPr>
        <b/>
        <sz val="6"/>
        <rFont val="宋体"/>
        <family val="3"/>
        <charset val="134"/>
      </rPr>
      <t>型号</t>
    </r>
  </si>
  <si>
    <t>tCO2/10000Nm4</t>
  </si>
  <si>
    <t>tCO2/10000Nm5</t>
  </si>
  <si>
    <t>tCO2/10000Nm6</t>
  </si>
  <si>
    <t>tCO2/10000Nm7</t>
  </si>
  <si>
    <t>tCO2/10000Nm8</t>
  </si>
  <si>
    <t>tCO2/10000Nm10</t>
  </si>
  <si>
    <t>tCO2/10000Nm11</t>
  </si>
  <si>
    <t>tCO2/10000Nm12</t>
  </si>
  <si>
    <t>tCO2/10000Nm13</t>
  </si>
  <si>
    <t>tCO2/10000Nm14</t>
  </si>
  <si>
    <t>tCO2/10000Nm15</t>
  </si>
  <si>
    <t>tCO2/10000Nm16</t>
  </si>
  <si>
    <t>tCO2/10000Nm17</t>
  </si>
  <si>
    <t>tCO2/10000Nm18</t>
  </si>
  <si>
    <t>tCO2/10000Nm19</t>
  </si>
  <si>
    <t>tCO2/10000Nm20</t>
  </si>
  <si>
    <t>tCO2/10000Nm21</t>
  </si>
  <si>
    <t>tCO2/10000Nm22</t>
  </si>
  <si>
    <t>tCO2/10000Nm23</t>
  </si>
  <si>
    <t>tCO2/10000Nm24</t>
  </si>
  <si>
    <t>tCO2/10000Nm25</t>
  </si>
  <si>
    <t>tCO2/10000Nm26</t>
  </si>
  <si>
    <t>tCO2/10000Nm27</t>
  </si>
  <si>
    <t>tCO2/10000Nm28</t>
  </si>
  <si>
    <t>tCO2/10000Nm29</t>
  </si>
  <si>
    <t>tCO2/10000Nm31</t>
  </si>
  <si>
    <t>tCO2/10000Nm32</t>
  </si>
  <si>
    <t>tCO2/10000Nm33</t>
  </si>
  <si>
    <t>tCO2/10000Nm34</t>
  </si>
  <si>
    <t>tCO2/10000Nm35</t>
  </si>
  <si>
    <t>tCO2/10000Nm36</t>
  </si>
  <si>
    <t>tCO2/10000Nm37</t>
  </si>
  <si>
    <t>tCO2/10000Nm38</t>
  </si>
  <si>
    <t>tCO2/10000Nm39</t>
  </si>
  <si>
    <t>tCO2/10000Nm40</t>
  </si>
  <si>
    <t>tCO2/10000Nm41</t>
  </si>
  <si>
    <t>tCO2/10000Nm42</t>
  </si>
  <si>
    <t>tCO2/10000Nm43</t>
  </si>
  <si>
    <t>tCO2/10000Nm44</t>
  </si>
  <si>
    <t>tCO2/10000Nm45</t>
  </si>
  <si>
    <t>tCO2/10000Nm46</t>
  </si>
  <si>
    <t>tCO2/10000Nm47</t>
  </si>
  <si>
    <t>tCO2/10000Nm48</t>
  </si>
  <si>
    <t>tCO2/10000Nm49</t>
  </si>
  <si>
    <t>tCO2/10000Nm50</t>
  </si>
  <si>
    <t>tCO2/10000Nm51</t>
  </si>
  <si>
    <t>tCO2/10000Nm52</t>
  </si>
  <si>
    <t>tCO2/10000Nm53</t>
  </si>
  <si>
    <t>tCO2/10000Nm54</t>
  </si>
  <si>
    <t>tCO2/10000Nm55</t>
  </si>
  <si>
    <t>tCO2/10000Nm56</t>
  </si>
  <si>
    <t>tCO2/10000Nm57</t>
  </si>
  <si>
    <t>tCO2/10000Nm58</t>
  </si>
  <si>
    <t>tCO2/10000Nm59</t>
  </si>
  <si>
    <t>tCO2/10000Nm60</t>
  </si>
  <si>
    <t>tCO2/10000Nm61</t>
  </si>
  <si>
    <t>tCO2/10000Nm62</t>
  </si>
  <si>
    <t>tCO2/10000Nm63</t>
  </si>
  <si>
    <t>tCO2/10000Nm64</t>
  </si>
  <si>
    <t>tCO2/10000Nm65</t>
  </si>
  <si>
    <t>tCO2/10000Nm66</t>
  </si>
  <si>
    <t>tCO2/10000Nm68</t>
  </si>
  <si>
    <t>tCO2/10000Nm69</t>
  </si>
  <si>
    <t>tCO2/10000Nm70</t>
  </si>
  <si>
    <t>tCO2/10000Nm71</t>
  </si>
  <si>
    <t>tCO2/10000Nm72</t>
  </si>
  <si>
    <t>tCO2/10000Nm73</t>
  </si>
  <si>
    <t>tCO2/10000Nm74</t>
  </si>
  <si>
    <t>tCO2/10000Nm75</t>
  </si>
  <si>
    <t>tCO2/10000Nm76</t>
  </si>
  <si>
    <t>tCO2/10000Nm77</t>
  </si>
  <si>
    <t>tCO2/10000Nm79</t>
  </si>
  <si>
    <t>tCO2/10000Nm80</t>
  </si>
  <si>
    <t>tCO2/10000Nm81</t>
  </si>
  <si>
    <t>tCO2/10000Nm82</t>
  </si>
  <si>
    <t>tCO2/10000Nm83</t>
  </si>
  <si>
    <t>tCO2/10000Nm84</t>
  </si>
  <si>
    <t>tCO2/10000Nm85</t>
  </si>
  <si>
    <t>tCO2/10000Nm86</t>
  </si>
  <si>
    <t>tCO2/10000Nm87</t>
  </si>
  <si>
    <t>tCO2/10000Nm88</t>
  </si>
  <si>
    <t>tCO2/10000Nm89</t>
  </si>
  <si>
    <t>tCO2/10000Nm90</t>
  </si>
  <si>
    <t>tCO2/10000Nm91</t>
  </si>
  <si>
    <t>tCO2/10000Nm92</t>
  </si>
  <si>
    <t>tCO2/10000Nm93</t>
  </si>
  <si>
    <t>tCO2/10000Nm94</t>
  </si>
  <si>
    <t>tCO2/10000Nm95</t>
  </si>
  <si>
    <t>tCO2/10000Nm96</t>
  </si>
  <si>
    <t>tCO2/10000Nm97</t>
  </si>
  <si>
    <t>tCO2/10000Nm30</t>
  </si>
  <si>
    <t>占比</t>
  </si>
  <si>
    <t>温室气体</t>
  </si>
  <si>
    <t>汇总</t>
  </si>
  <si>
    <t>输入能源间接温室气体排放（基于位置）</t>
  </si>
  <si>
    <r>
      <rPr>
        <b/>
        <sz val="6.5"/>
        <color rgb="FFFFFFFF"/>
        <rFont val="宋体"/>
        <family val="3"/>
        <charset val="134"/>
      </rPr>
      <t>范围三类别</t>
    </r>
    <r>
      <rPr>
        <b/>
        <sz val="6.5"/>
        <color indexed="9"/>
        <rFont val="Arial"/>
        <family val="2"/>
      </rPr>
      <t>1</t>
    </r>
  </si>
  <si>
    <t>范围三类别2</t>
  </si>
  <si>
    <t>范围三类别3</t>
  </si>
  <si>
    <t>范围三类别4</t>
  </si>
  <si>
    <t>范围三类别5</t>
  </si>
  <si>
    <t>范围三类别6</t>
  </si>
  <si>
    <t>范围三类别7</t>
  </si>
  <si>
    <t>范围三类别8</t>
  </si>
  <si>
    <t>范围三类别9</t>
  </si>
  <si>
    <t>范围三类别10</t>
  </si>
  <si>
    <t>范围三类别11</t>
  </si>
  <si>
    <t>范围三类别12</t>
  </si>
  <si>
    <t>范围三类别13</t>
  </si>
  <si>
    <t>范围三类别14</t>
  </si>
  <si>
    <t>范围三类别15</t>
  </si>
  <si>
    <t>合计</t>
  </si>
  <si>
    <r>
      <rPr>
        <b/>
        <sz val="6.5"/>
        <rFont val="宋体"/>
        <family val="3"/>
        <charset val="134"/>
      </rPr>
      <t>范围二</t>
    </r>
    <r>
      <rPr>
        <b/>
        <sz val="6.5"/>
        <rFont val="Arial"/>
        <family val="2"/>
      </rPr>
      <t xml:space="preserve">
</t>
    </r>
    <r>
      <rPr>
        <b/>
        <sz val="6.5"/>
        <rFont val="宋体"/>
        <family val="3"/>
        <charset val="134"/>
      </rPr>
      <t>（基于位置）</t>
    </r>
  </si>
  <si>
    <t>总计</t>
  </si>
  <si>
    <t>输入能源间接温室气体排放（基于市场）</t>
  </si>
  <si>
    <r>
      <rPr>
        <b/>
        <sz val="6.5"/>
        <rFont val="宋体"/>
        <family val="3"/>
        <charset val="134"/>
      </rPr>
      <t>范围二</t>
    </r>
    <r>
      <rPr>
        <b/>
        <sz val="6.5"/>
        <rFont val="Arial"/>
        <family val="2"/>
      </rPr>
      <t xml:space="preserve">
</t>
    </r>
    <r>
      <rPr>
        <b/>
        <sz val="6.5"/>
        <rFont val="宋体"/>
        <family val="3"/>
        <charset val="134"/>
      </rPr>
      <t>（基于市场）</t>
    </r>
  </si>
  <si>
    <t>《冶钢2025年度碳排放报表》（来源为过磅单）</t>
    <phoneticPr fontId="89" type="noConversion"/>
  </si>
  <si>
    <t>焦炉煤气外供结算单</t>
    <phoneticPr fontId="89" type="noConversion"/>
  </si>
  <si>
    <t>《2025年统计月报（转炉）》《2025年50t电炉台账》《2025年大电炉台账》</t>
    <phoneticPr fontId="89" type="noConversion"/>
  </si>
  <si>
    <t>《2025年统计报表（中高炉）》《2025年统计月报（转炉）》</t>
    <phoneticPr fontId="89" type="noConversion"/>
  </si>
  <si>
    <t>《2025年产品、废钢流转情况表》</t>
    <phoneticPr fontId="89" type="noConversion"/>
  </si>
  <si>
    <t>《2025年统计月报（转炉）》</t>
    <phoneticPr fontId="89" type="noConversion"/>
  </si>
  <si>
    <r>
      <rPr>
        <sz val="10"/>
        <color theme="1"/>
        <rFont val="宋体"/>
        <family val="3"/>
        <charset val="134"/>
      </rPr>
      <t>《</t>
    </r>
    <r>
      <rPr>
        <sz val="10"/>
        <color theme="1"/>
        <rFont val="Arial"/>
        <family val="2"/>
      </rPr>
      <t>2025</t>
    </r>
    <r>
      <rPr>
        <sz val="10"/>
        <color theme="1"/>
        <rFont val="宋体"/>
        <family val="3"/>
        <charset val="134"/>
      </rPr>
      <t>年统计月报（烧结）》《</t>
    </r>
    <r>
      <rPr>
        <sz val="10"/>
        <color theme="1"/>
        <rFont val="Arial"/>
        <family val="2"/>
      </rPr>
      <t>2025</t>
    </r>
    <r>
      <rPr>
        <sz val="10"/>
        <color theme="1"/>
        <rFont val="宋体"/>
        <family val="3"/>
        <charset val="134"/>
      </rPr>
      <t>年统计报表（中高炉）》</t>
    </r>
    <phoneticPr fontId="89" type="noConversion"/>
  </si>
  <si>
    <t>《2025年统计月报（转炉）》《50t电炉原材料 消耗汇总表》《70t电炉原材料 消耗汇总表》</t>
    <phoneticPr fontId="89" type="noConversion"/>
  </si>
  <si>
    <t>《50t电炉原材料 消耗汇总表》《70t电炉原材料 消耗汇总表》</t>
    <phoneticPr fontId="89" type="noConversion"/>
  </si>
  <si>
    <r>
      <t>2023</t>
    </r>
    <r>
      <rPr>
        <sz val="10"/>
        <color indexed="8"/>
        <rFont val="宋体"/>
        <family val="3"/>
        <charset val="134"/>
      </rPr>
      <t>年全国电力平均碳足迹因子、</t>
    </r>
    <r>
      <rPr>
        <sz val="10"/>
        <color indexed="8"/>
        <rFont val="Arial"/>
        <family val="2"/>
      </rPr>
      <t>2023</t>
    </r>
    <r>
      <rPr>
        <sz val="10"/>
        <color indexed="8"/>
        <rFont val="宋体"/>
        <family val="3"/>
        <charset val="134"/>
      </rPr>
      <t>年全国电力平均排放因子</t>
    </r>
    <phoneticPr fontId="89" type="noConversion"/>
  </si>
  <si>
    <t>《电费发票》《绿证》</t>
    <phoneticPr fontId="89" type="noConversion"/>
  </si>
  <si>
    <t>market for graphite block</t>
    <phoneticPr fontId="89" type="noConversion"/>
  </si>
  <si>
    <t>ecoinvent 3.11-cut off</t>
    <phoneticPr fontId="89" type="noConversion"/>
  </si>
  <si>
    <t>USLCI+</t>
    <phoneticPr fontId="89" type="noConversion"/>
  </si>
  <si>
    <t>Metallurgical coke, at plant {RNA} 丨
Metallurgical coke</t>
    <phoneticPr fontId="89" type="noConversion"/>
  </si>
  <si>
    <t>Bituminous coal, at mine {RNA} 丨
Bituminous coal, at mine</t>
    <phoneticPr fontId="89" type="noConversion"/>
  </si>
  <si>
    <t>Anthracite coal, at mine {RNA} 丨
Anthracite coal, at mine</t>
    <phoneticPr fontId="89" type="noConversion"/>
  </si>
  <si>
    <t>《收发存汇总表》</t>
    <phoneticPr fontId="89" type="noConversion"/>
  </si>
  <si>
    <t>《人数统计表》</t>
    <phoneticPr fontId="89" type="noConversion"/>
  </si>
  <si>
    <r>
      <t>《</t>
    </r>
    <r>
      <rPr>
        <sz val="10"/>
        <rFont val="宋体"/>
        <family val="3"/>
        <charset val="134"/>
        <scheme val="major"/>
      </rPr>
      <t>2025</t>
    </r>
    <r>
      <rPr>
        <sz val="10"/>
        <rFont val="宋体"/>
        <family val="3"/>
        <charset val="134"/>
      </rPr>
      <t>年工业废水处置》</t>
    </r>
    <phoneticPr fontId="89" type="noConversion"/>
  </si>
  <si>
    <r>
      <rPr>
        <sz val="10"/>
        <color rgb="FFFF0000"/>
        <rFont val="宋体"/>
        <family val="3"/>
        <charset val="134"/>
      </rPr>
      <t>《</t>
    </r>
    <r>
      <rPr>
        <sz val="10"/>
        <color rgb="FFFF0000"/>
        <rFont val="Arial"/>
        <family val="2"/>
      </rPr>
      <t>2025</t>
    </r>
    <r>
      <rPr>
        <sz val="10"/>
        <color rgb="FFFF0000"/>
        <rFont val="宋体"/>
        <family val="3"/>
        <charset val="134"/>
      </rPr>
      <t>年统计月报（转炉厂）》《</t>
    </r>
    <r>
      <rPr>
        <sz val="10"/>
        <color rgb="FFFF0000"/>
        <rFont val="Arial"/>
        <family val="2"/>
      </rPr>
      <t>70t</t>
    </r>
    <r>
      <rPr>
        <sz val="10"/>
        <color rgb="FFFF0000"/>
        <rFont val="宋体"/>
        <family val="3"/>
        <charset val="134"/>
      </rPr>
      <t>电炉台账》《</t>
    </r>
    <r>
      <rPr>
        <sz val="10"/>
        <color rgb="FFFF0000"/>
        <rFont val="Arial"/>
        <family val="2"/>
      </rPr>
      <t>50t</t>
    </r>
    <r>
      <rPr>
        <sz val="10"/>
        <color rgb="FFFF0000"/>
        <rFont val="宋体"/>
        <family val="3"/>
        <charset val="134"/>
      </rPr>
      <t>电炉台账》</t>
    </r>
    <phoneticPr fontId="89" type="noConversion"/>
  </si>
  <si>
    <t>盐酸生产</t>
    <phoneticPr fontId="89" type="noConversion"/>
  </si>
  <si>
    <t>氢氧化钠生产</t>
    <phoneticPr fontId="89" type="noConversion"/>
  </si>
  <si>
    <t>market for sodium hydroxide, without water, in 50% solution state</t>
    <phoneticPr fontId="89" type="noConversion"/>
  </si>
  <si>
    <t>market for hydrochloric acid, without water, in 30% solution state</t>
    <phoneticPr fontId="89" type="noConversion"/>
  </si>
  <si>
    <t>Rest-of-World (RoW)</t>
    <phoneticPr fontId="89" type="noConversion"/>
  </si>
  <si>
    <t>tCO3/t</t>
  </si>
  <si>
    <t>tCO4/t</t>
  </si>
  <si>
    <t>焦化</t>
    <phoneticPr fontId="89" type="noConversion"/>
  </si>
  <si>
    <r>
      <rPr>
        <sz val="10"/>
        <color theme="1"/>
        <rFont val="宋体"/>
        <family val="3"/>
        <charset val="134"/>
      </rPr>
      <t>《脱硫脱硝成本补充》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《水处理用氨水（美萍</t>
    </r>
    <r>
      <rPr>
        <sz val="10"/>
        <color theme="1"/>
        <rFont val="Arial"/>
        <family val="2"/>
      </rPr>
      <t>50kg</t>
    </r>
    <r>
      <rPr>
        <sz val="10"/>
        <color theme="1"/>
        <rFont val="宋体"/>
        <family val="3"/>
        <charset val="134"/>
      </rPr>
      <t>）（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）》</t>
    </r>
    <phoneticPr fontId="89" type="noConversion"/>
  </si>
  <si>
    <t xml:space="preserve"> 《水处理用氨水（美萍50kg）（2）》</t>
    <phoneticPr fontId="8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</si>
</sst>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76" formatCode="_-* #,##0.00_-;\-* #,##0.00_-;_-* &quot;-&quot;??_-;_-@_-"/>
    <numFmt numFmtId="177" formatCode="#,##0.00_ "/>
    <numFmt numFmtId="178" formatCode="#,##0.00;[Red]#,##0.00"/>
    <numFmt numFmtId="179" formatCode="0.00_ "/>
    <numFmt numFmtId="180" formatCode="#,##0_ "/>
    <numFmt numFmtId="181" formatCode="0.000_);[Red]\(0.000\)"/>
    <numFmt numFmtId="182" formatCode="0.0000000"/>
    <numFmt numFmtId="183" formatCode="0.0000000E+00"/>
    <numFmt numFmtId="184" formatCode="0.000"/>
    <numFmt numFmtId="185" formatCode="0.000000_ "/>
    <numFmt numFmtId="186" formatCode="0.0000"/>
    <numFmt numFmtId="187" formatCode="0.00000"/>
    <numFmt numFmtId="188" formatCode="#,##0.0_ "/>
    <numFmt numFmtId="189" formatCode="0_);[Red]\(0\)"/>
    <numFmt numFmtId="190" formatCode="0.0%"/>
    <numFmt numFmtId="191" formatCode="0.0000_ "/>
    <numFmt numFmtId="192" formatCode="0.000_ "/>
    <numFmt numFmtId="193" formatCode="0.000E+00"/>
    <numFmt numFmtId="194" formatCode="0.00_);[Red]\(0.00\)"/>
  </numFmts>
  <fonts count="96">
    <font>
      <sz val="12"/>
      <color indexed="8"/>
      <name val="新細明體"/>
      <charset val="134"/>
    </font>
    <font>
      <b/>
      <sz val="6.5"/>
      <color indexed="9"/>
      <name val="宋体"/>
      <family val="3"/>
      <charset val="134"/>
    </font>
    <font>
      <b/>
      <sz val="6.5"/>
      <color rgb="FFFFFFFF"/>
      <name val="宋体"/>
      <family val="3"/>
      <charset val="134"/>
    </font>
    <font>
      <b/>
      <sz val="6.5"/>
      <color indexed="9"/>
      <name val="Arial"/>
      <family val="2"/>
    </font>
    <font>
      <b/>
      <sz val="6.5"/>
      <name val="宋体"/>
      <family val="3"/>
      <charset val="134"/>
    </font>
    <font>
      <b/>
      <sz val="6.5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name val="宋体"/>
      <family val="3"/>
      <charset val="134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20"/>
      <name val="宋体"/>
      <family val="3"/>
      <charset val="134"/>
    </font>
    <font>
      <b/>
      <sz val="20"/>
      <name val="Arial"/>
      <family val="2"/>
    </font>
    <font>
      <b/>
      <sz val="6"/>
      <name val="Arial"/>
      <family val="2"/>
    </font>
    <font>
      <b/>
      <sz val="6"/>
      <name val="宋体"/>
      <family val="3"/>
      <charset val="134"/>
    </font>
    <font>
      <sz val="6"/>
      <name val="Arial"/>
      <family val="2"/>
    </font>
    <font>
      <sz val="12"/>
      <color indexed="8"/>
      <name val="宋体"/>
      <family val="3"/>
      <charset val="134"/>
      <scheme val="major"/>
    </font>
    <font>
      <b/>
      <sz val="14"/>
      <color theme="1"/>
      <name val="方正书宋简体"/>
      <charset val="134"/>
    </font>
    <font>
      <b/>
      <sz val="11"/>
      <name val="方正书宋简体"/>
      <charset val="134"/>
    </font>
    <font>
      <b/>
      <sz val="11"/>
      <color rgb="FF000000"/>
      <name val="方正书宋简体"/>
      <charset val="134"/>
    </font>
    <font>
      <sz val="11"/>
      <name val="方正书宋简体"/>
      <charset val="134"/>
    </font>
    <font>
      <sz val="12"/>
      <name val="方正书宋简体"/>
      <charset val="134"/>
    </font>
    <font>
      <b/>
      <sz val="14"/>
      <name val="方正书宋简体"/>
      <charset val="134"/>
    </font>
    <font>
      <sz val="10"/>
      <name val="方正书宋简体"/>
      <charset val="134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9"/>
      <name val="宋体"/>
      <family val="3"/>
      <charset val="134"/>
    </font>
    <font>
      <b/>
      <sz val="12"/>
      <color rgb="FFFFFFFF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2"/>
      <color theme="0"/>
      <name val="宋体"/>
      <family val="3"/>
      <charset val="134"/>
      <scheme val="major"/>
    </font>
    <font>
      <sz val="12"/>
      <color indexed="8"/>
      <name val="Arial"/>
      <family val="2"/>
    </font>
    <font>
      <b/>
      <sz val="16"/>
      <color indexed="8"/>
      <name val="新細明體"/>
      <charset val="134"/>
    </font>
    <font>
      <sz val="11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0"/>
      <color theme="1"/>
      <name val="Arial"/>
      <family val="2"/>
    </font>
    <font>
      <b/>
      <sz val="20"/>
      <color indexed="8"/>
      <name val="Arial"/>
      <family val="2"/>
    </font>
    <font>
      <b/>
      <sz val="12"/>
      <color rgb="FFFF66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name val="新細明體"/>
      <charset val="134"/>
    </font>
    <font>
      <sz val="12"/>
      <color theme="1"/>
      <name val="宋体"/>
      <family val="3"/>
      <charset val="134"/>
      <scheme val="minor"/>
    </font>
    <font>
      <sz val="9"/>
      <name val="Geneva"/>
      <family val="1"/>
    </font>
    <font>
      <b/>
      <vertAlign val="subscript"/>
      <sz val="10"/>
      <color indexed="9"/>
      <name val="Arial"/>
      <family val="2"/>
    </font>
    <font>
      <b/>
      <sz val="12"/>
      <color indexed="53"/>
      <name val="宋体"/>
      <family val="3"/>
      <charset val="134"/>
    </font>
    <font>
      <b/>
      <vertAlign val="subscript"/>
      <sz val="10"/>
      <color theme="0"/>
      <name val="Arial"/>
      <family val="2"/>
    </font>
    <font>
      <b/>
      <sz val="20"/>
      <color indexed="8"/>
      <name val="宋体"/>
      <family val="3"/>
      <charset val="134"/>
    </font>
    <font>
      <vertAlign val="superscript"/>
      <sz val="10"/>
      <color indexed="8"/>
      <name val="Arial"/>
      <family val="2"/>
    </font>
    <font>
      <sz val="10"/>
      <color indexed="8"/>
      <name val="標楷體"/>
      <charset val="134"/>
    </font>
    <font>
      <b/>
      <sz val="12"/>
      <color indexed="8"/>
      <name val="宋体"/>
      <family val="3"/>
      <charset val="134"/>
    </font>
    <font>
      <i/>
      <sz val="10"/>
      <name val="宋体"/>
      <family val="3"/>
      <charset val="134"/>
    </font>
    <font>
      <b/>
      <sz val="12"/>
      <color indexed="53"/>
      <name val="Arial"/>
      <family val="2"/>
    </font>
    <font>
      <b/>
      <sz val="16"/>
      <color indexed="8"/>
      <name val="宋体"/>
      <family val="3"/>
      <charset val="134"/>
    </font>
    <font>
      <b/>
      <i/>
      <sz val="10"/>
      <name val="宋体"/>
      <family val="3"/>
      <charset val="134"/>
    </font>
    <font>
      <b/>
      <sz val="12"/>
      <color indexed="8"/>
      <name val="Arial"/>
      <family val="2"/>
    </font>
    <font>
      <b/>
      <vertAlign val="subscript"/>
      <sz val="12"/>
      <color indexed="8"/>
      <name val="Arial"/>
      <family val="2"/>
    </font>
    <font>
      <b/>
      <sz val="8"/>
      <color indexed="8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8"/>
      <color indexed="8"/>
      <name val="Tahoma"/>
      <family val="2"/>
    </font>
    <font>
      <sz val="12"/>
      <color indexed="8"/>
      <name val="新細明體"/>
      <charset val="134"/>
    </font>
    <font>
      <sz val="9"/>
      <name val="新細明體"/>
      <charset val="134"/>
    </font>
    <font>
      <sz val="10"/>
      <name val="宋体"/>
      <family val="2"/>
      <charset val="134"/>
    </font>
    <font>
      <sz val="10"/>
      <name val="宋体"/>
      <family val="3"/>
      <charset val="134"/>
      <scheme val="major"/>
    </font>
    <font>
      <sz val="10"/>
      <color theme="1"/>
      <name val="Arial"/>
      <family val="3"/>
      <charset val="134"/>
    </font>
    <font>
      <sz val="10"/>
      <color rgb="FFFF0000"/>
      <name val="Arial"/>
      <family val="3"/>
      <charset val="134"/>
    </font>
    <font>
      <sz val="12"/>
      <color indexed="81"/>
      <name val="宋体"/>
      <family val="3"/>
      <charset val="134"/>
    </font>
    <font>
      <b/>
      <sz val="12"/>
      <color indexed="81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rgb="FF92D050"/>
        <bgColor indexed="64"/>
      </patternFill>
    </fill>
    <fill>
      <patternFill patternType="darkUp">
        <bgColor theme="0"/>
      </patternFill>
    </fill>
    <fill>
      <patternFill patternType="darkUp">
        <bgColor indexed="9"/>
      </patternFill>
    </fill>
    <fill>
      <patternFill patternType="darkUp"/>
    </fill>
    <fill>
      <patternFill patternType="solid">
        <fgColor rgb="FFFF6600"/>
        <bgColor indexed="64"/>
      </patternFill>
    </fill>
    <fill>
      <patternFill patternType="darkUp"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ck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23"/>
      </top>
      <bottom/>
      <diagonal/>
    </border>
    <border>
      <left style="thin">
        <color indexed="23"/>
      </left>
      <right/>
      <top style="thick">
        <color indexed="23"/>
      </top>
      <bottom/>
      <diagonal/>
    </border>
    <border>
      <left style="thin">
        <color indexed="23"/>
      </left>
      <right style="thick">
        <color auto="1"/>
      </right>
      <top style="thick">
        <color indexed="23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/>
      <top style="thin">
        <color indexed="23"/>
      </top>
      <bottom style="thin">
        <color auto="1"/>
      </bottom>
      <diagonal/>
    </border>
    <border>
      <left style="thick">
        <color indexed="53"/>
      </left>
      <right style="thin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ck">
        <color auto="1"/>
      </right>
      <top style="thick">
        <color indexed="53"/>
      </top>
      <bottom style="thin">
        <color auto="1"/>
      </bottom>
      <diagonal/>
    </border>
    <border>
      <left style="thin">
        <color indexed="23"/>
      </left>
      <right style="thick">
        <color auto="1"/>
      </right>
      <top style="thin">
        <color indexed="23"/>
      </top>
      <bottom style="thin">
        <color auto="1"/>
      </bottom>
      <diagonal/>
    </border>
    <border>
      <left style="thick">
        <color indexed="5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/>
      <right/>
      <top style="thin">
        <color indexed="23"/>
      </top>
      <bottom style="thin">
        <color auto="1"/>
      </bottom>
      <diagonal/>
    </border>
    <border>
      <left style="thick">
        <color indexed="2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/>
      <top style="thin">
        <color indexed="23"/>
      </top>
      <bottom style="thick">
        <color auto="1"/>
      </bottom>
      <diagonal/>
    </border>
    <border>
      <left style="thick">
        <color indexed="53"/>
      </left>
      <right style="thin">
        <color auto="1"/>
      </right>
      <top style="thin">
        <color indexed="23"/>
      </top>
      <bottom style="thick">
        <color auto="1"/>
      </bottom>
      <diagonal/>
    </border>
    <border>
      <left style="thin">
        <color indexed="23"/>
      </left>
      <right style="thick">
        <color auto="1"/>
      </right>
      <top style="thin">
        <color indexed="23"/>
      </top>
      <bottom style="thick">
        <color auto="1"/>
      </bottom>
      <diagonal/>
    </border>
    <border>
      <left/>
      <right/>
      <top style="thin">
        <color indexed="23"/>
      </top>
      <bottom style="thick">
        <color auto="1"/>
      </bottom>
      <diagonal/>
    </border>
    <border>
      <left/>
      <right/>
      <top/>
      <bottom style="thick">
        <color indexed="2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/>
      <diagonal/>
    </border>
    <border>
      <left/>
      <right style="thin">
        <color auto="1"/>
      </right>
      <top style="thin">
        <color indexed="23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ck">
        <color rgb="FFFF6600"/>
      </bottom>
      <diagonal/>
    </border>
    <border>
      <left/>
      <right/>
      <top/>
      <bottom style="thick">
        <color rgb="FFFF6600"/>
      </bottom>
      <diagonal/>
    </border>
    <border>
      <left/>
      <right style="thin">
        <color theme="0"/>
      </right>
      <top/>
      <bottom style="thick">
        <color rgb="FFFF6600"/>
      </bottom>
      <diagonal/>
    </border>
    <border>
      <left style="thin">
        <color theme="0"/>
      </left>
      <right/>
      <top style="thin">
        <color theme="0"/>
      </top>
      <bottom style="thick">
        <color rgb="FFFF6600"/>
      </bottom>
      <diagonal/>
    </border>
    <border>
      <left/>
      <right style="thin">
        <color theme="0"/>
      </right>
      <top style="thin">
        <color theme="0"/>
      </top>
      <bottom style="thick">
        <color rgb="FFFF6600"/>
      </bottom>
      <diagonal/>
    </border>
    <border>
      <left style="thin">
        <color theme="0"/>
      </left>
      <right style="thin">
        <color theme="0"/>
      </right>
      <top style="thick">
        <color rgb="FFFF66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FFCC99"/>
      </right>
      <top/>
      <bottom style="thin">
        <color theme="1"/>
      </bottom>
      <diagonal/>
    </border>
    <border>
      <left style="thin">
        <color rgb="FFFFCC99"/>
      </left>
      <right style="thin">
        <color rgb="FFFFCC99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FFCC99"/>
      </right>
      <top style="thin">
        <color theme="1"/>
      </top>
      <bottom style="thin">
        <color theme="1"/>
      </bottom>
      <diagonal/>
    </border>
    <border>
      <left style="thin">
        <color rgb="FFFFCC99"/>
      </left>
      <right style="thin">
        <color rgb="FFFFCC99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auto="1"/>
      </bottom>
      <diagonal/>
    </border>
    <border>
      <left style="thin">
        <color rgb="FFFFCC99"/>
      </left>
      <right style="thin">
        <color rgb="FFFFCC99"/>
      </right>
      <top style="thin">
        <color theme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FF66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43" fontId="88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0" fontId="68" fillId="0" borderId="0"/>
    <xf numFmtId="0" fontId="29" fillId="25" borderId="70">
      <protection locked="0"/>
    </xf>
    <xf numFmtId="9" fontId="68" fillId="0" borderId="0">
      <alignment vertical="center"/>
    </xf>
    <xf numFmtId="0" fontId="52" fillId="0" borderId="0"/>
    <xf numFmtId="0" fontId="66" fillId="0" borderId="0"/>
    <xf numFmtId="0" fontId="66" fillId="0" borderId="0">
      <alignment vertical="center"/>
    </xf>
    <xf numFmtId="0" fontId="52" fillId="0" borderId="0"/>
    <xf numFmtId="0" fontId="68" fillId="0" borderId="0"/>
    <xf numFmtId="0" fontId="68" fillId="0" borderId="0">
      <alignment vertical="center"/>
    </xf>
    <xf numFmtId="0" fontId="69" fillId="0" borderId="0">
      <alignment vertical="center"/>
    </xf>
    <xf numFmtId="0" fontId="88" fillId="0" borderId="0"/>
    <xf numFmtId="176" fontId="88" fillId="0" borderId="0" applyFont="0" applyFill="0" applyBorder="0" applyAlignment="0" applyProtection="0">
      <alignment vertical="center"/>
    </xf>
    <xf numFmtId="43" fontId="88" fillId="0" borderId="0" applyFont="0" applyFill="0" applyBorder="0" applyAlignment="0" applyProtection="0">
      <alignment vertical="center"/>
    </xf>
    <xf numFmtId="43" fontId="88" fillId="0" borderId="0" applyFont="0" applyFill="0" applyBorder="0" applyAlignment="0" applyProtection="0">
      <alignment vertical="center"/>
    </xf>
    <xf numFmtId="43" fontId="88" fillId="0" borderId="0" applyFont="0" applyFill="0" applyBorder="0" applyAlignment="0" applyProtection="0">
      <alignment vertical="center"/>
    </xf>
    <xf numFmtId="176" fontId="68" fillId="0" borderId="0">
      <alignment vertical="center"/>
    </xf>
    <xf numFmtId="0" fontId="68" fillId="0" borderId="0"/>
    <xf numFmtId="0" fontId="68" fillId="0" borderId="0"/>
    <xf numFmtId="0" fontId="69" fillId="0" borderId="0">
      <alignment vertical="center"/>
    </xf>
    <xf numFmtId="0" fontId="70" fillId="0" borderId="0"/>
    <xf numFmtId="0" fontId="68" fillId="0" borderId="0"/>
  </cellStyleXfs>
  <cellXfs count="65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vertical="center"/>
    </xf>
    <xf numFmtId="10" fontId="2" fillId="2" borderId="2" xfId="2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10" fontId="5" fillId="3" borderId="2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177" fontId="5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10" fontId="5" fillId="4" borderId="2" xfId="2" applyNumberFormat="1" applyFont="1" applyFill="1" applyBorder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9" fillId="5" borderId="0" xfId="0" applyFont="1" applyFill="1" applyAlignment="1" applyProtection="1">
      <alignment horizontal="center" vertical="center"/>
      <protection locked="0"/>
    </xf>
    <xf numFmtId="0" fontId="10" fillId="5" borderId="0" xfId="0" applyFont="1" applyFill="1" applyAlignment="1" applyProtection="1">
      <alignment vertical="center"/>
      <protection locked="0"/>
    </xf>
    <xf numFmtId="0" fontId="11" fillId="6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/>
      <protection locked="0"/>
    </xf>
    <xf numFmtId="0" fontId="12" fillId="5" borderId="0" xfId="0" applyFont="1" applyFill="1" applyAlignment="1" applyProtection="1">
      <alignment vertical="center" wrapText="1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 applyProtection="1">
      <alignment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6" fillId="6" borderId="2" xfId="0" applyFont="1" applyFill="1" applyBorder="1" applyAlignment="1" applyProtection="1">
      <alignment horizontal="center" vertical="center" wrapText="1"/>
      <protection locked="0"/>
    </xf>
    <xf numFmtId="178" fontId="15" fillId="6" borderId="2" xfId="0" applyNumberFormat="1" applyFont="1" applyFill="1" applyBorder="1" applyAlignment="1" applyProtection="1">
      <alignment vertical="center"/>
      <protection locked="0"/>
    </xf>
    <xf numFmtId="0" fontId="15" fillId="6" borderId="2" xfId="0" applyFont="1" applyFill="1" applyBorder="1" applyAlignment="1" applyProtection="1">
      <alignment vertical="center"/>
      <protection locked="0"/>
    </xf>
    <xf numFmtId="179" fontId="15" fillId="7" borderId="2" xfId="0" applyNumberFormat="1" applyFont="1" applyFill="1" applyBorder="1" applyAlignment="1" applyProtection="1">
      <alignment vertical="center"/>
      <protection locked="0"/>
    </xf>
    <xf numFmtId="0" fontId="15" fillId="3" borderId="2" xfId="0" applyFont="1" applyFill="1" applyBorder="1" applyAlignment="1">
      <alignment horizontal="center" vertical="center"/>
    </xf>
    <xf numFmtId="11" fontId="15" fillId="7" borderId="2" xfId="0" applyNumberFormat="1" applyFont="1" applyFill="1" applyBorder="1" applyAlignment="1" applyProtection="1">
      <alignment vertical="center"/>
      <protection locked="0"/>
    </xf>
    <xf numFmtId="9" fontId="15" fillId="7" borderId="2" xfId="0" applyNumberFormat="1" applyFont="1" applyFill="1" applyBorder="1" applyAlignment="1" applyProtection="1">
      <alignment horizontal="center" vertical="center"/>
      <protection locked="0"/>
    </xf>
    <xf numFmtId="0" fontId="15" fillId="5" borderId="2" xfId="0" applyFont="1" applyFill="1" applyBorder="1" applyAlignment="1" applyProtection="1">
      <alignment horizontal="center" vertical="center"/>
      <protection locked="0"/>
    </xf>
    <xf numFmtId="180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178" fontId="15" fillId="3" borderId="2" xfId="0" applyNumberFormat="1" applyFont="1" applyFill="1" applyBorder="1" applyAlignment="1">
      <alignment horizontal="center" vertical="center"/>
    </xf>
    <xf numFmtId="0" fontId="17" fillId="5" borderId="0" xfId="0" applyFont="1" applyFill="1" applyAlignment="1" applyProtection="1">
      <alignment vertical="center"/>
      <protection locked="0"/>
    </xf>
    <xf numFmtId="0" fontId="17" fillId="5" borderId="0" xfId="0" applyFont="1" applyFill="1" applyAlignment="1" applyProtection="1">
      <alignment vertical="center" wrapText="1"/>
      <protection locked="0"/>
    </xf>
    <xf numFmtId="178" fontId="17" fillId="8" borderId="6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5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2" fillId="10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left" vertical="center" wrapText="1"/>
    </xf>
    <xf numFmtId="0" fontId="22" fillId="10" borderId="2" xfId="0" applyFont="1" applyFill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26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8" fillId="6" borderId="0" xfId="0" applyFont="1" applyFill="1" applyAlignment="1">
      <alignment vertical="center"/>
    </xf>
    <xf numFmtId="0" fontId="29" fillId="6" borderId="0" xfId="13" applyFont="1" applyFill="1" applyAlignment="1">
      <alignment vertical="center"/>
    </xf>
    <xf numFmtId="0" fontId="29" fillId="6" borderId="0" xfId="0" applyFont="1" applyFill="1" applyAlignment="1">
      <alignment vertical="center"/>
    </xf>
    <xf numFmtId="0" fontId="29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vertical="center"/>
    </xf>
    <xf numFmtId="0" fontId="26" fillId="2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32" fillId="10" borderId="2" xfId="0" applyFont="1" applyFill="1" applyBorder="1" applyAlignment="1">
      <alignment vertical="center" wrapText="1"/>
    </xf>
    <xf numFmtId="0" fontId="33" fillId="10" borderId="2" xfId="0" applyFont="1" applyFill="1" applyBorder="1" applyAlignment="1">
      <alignment horizontal="left" vertical="center"/>
    </xf>
    <xf numFmtId="181" fontId="29" fillId="10" borderId="2" xfId="1" applyNumberFormat="1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 wrapText="1"/>
    </xf>
    <xf numFmtId="9" fontId="29" fillId="10" borderId="2" xfId="2" applyFont="1" applyFill="1" applyBorder="1" applyAlignment="1">
      <alignment horizontal="center" vertical="center"/>
    </xf>
    <xf numFmtId="182" fontId="29" fillId="10" borderId="2" xfId="0" applyNumberFormat="1" applyFont="1" applyFill="1" applyBorder="1" applyAlignment="1">
      <alignment horizontal="center" vertical="center"/>
    </xf>
    <xf numFmtId="183" fontId="29" fillId="10" borderId="2" xfId="0" applyNumberFormat="1" applyFont="1" applyFill="1" applyBorder="1" applyAlignment="1">
      <alignment horizontal="center" vertical="center"/>
    </xf>
    <xf numFmtId="0" fontId="34" fillId="10" borderId="2" xfId="0" applyFont="1" applyFill="1" applyBorder="1" applyAlignment="1" applyProtection="1">
      <alignment vertical="center"/>
      <protection locked="0"/>
    </xf>
    <xf numFmtId="0" fontId="34" fillId="10" borderId="2" xfId="0" applyFont="1" applyFill="1" applyBorder="1" applyAlignment="1" applyProtection="1">
      <alignment vertical="center" wrapText="1"/>
      <protection locked="0"/>
    </xf>
    <xf numFmtId="0" fontId="33" fillId="10" borderId="2" xfId="0" applyFont="1" applyFill="1" applyBorder="1" applyAlignment="1">
      <alignment vertical="center" wrapText="1"/>
    </xf>
    <xf numFmtId="9" fontId="29" fillId="10" borderId="2" xfId="0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left" vertical="center"/>
    </xf>
    <xf numFmtId="0" fontId="33" fillId="6" borderId="0" xfId="0" applyFont="1" applyFill="1" applyAlignment="1">
      <alignment horizontal="left" vertical="center"/>
    </xf>
    <xf numFmtId="0" fontId="29" fillId="6" borderId="0" xfId="0" applyFont="1" applyFill="1" applyAlignment="1">
      <alignment horizontal="center" vertical="center" wrapText="1"/>
    </xf>
    <xf numFmtId="9" fontId="29" fillId="6" borderId="0" xfId="2" applyFont="1" applyFill="1" applyBorder="1" applyAlignment="1">
      <alignment horizontal="center" vertical="center"/>
    </xf>
    <xf numFmtId="182" fontId="29" fillId="6" borderId="0" xfId="0" applyNumberFormat="1" applyFont="1" applyFill="1" applyAlignment="1">
      <alignment horizontal="center" vertical="center"/>
    </xf>
    <xf numFmtId="183" fontId="29" fillId="6" borderId="0" xfId="0" applyNumberFormat="1" applyFont="1" applyFill="1" applyAlignment="1">
      <alignment horizontal="center" vertical="center"/>
    </xf>
    <xf numFmtId="0" fontId="32" fillId="10" borderId="2" xfId="0" applyFont="1" applyFill="1" applyBorder="1" applyAlignment="1">
      <alignment horizontal="left" vertical="center"/>
    </xf>
    <xf numFmtId="184" fontId="29" fillId="10" borderId="2" xfId="0" applyNumberFormat="1" applyFont="1" applyFill="1" applyBorder="1" applyAlignment="1">
      <alignment horizontal="center" vertical="center"/>
    </xf>
    <xf numFmtId="185" fontId="29" fillId="10" borderId="2" xfId="0" applyNumberFormat="1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179" fontId="28" fillId="0" borderId="0" xfId="23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0" fontId="26" fillId="2" borderId="2" xfId="0" applyFont="1" applyFill="1" applyBorder="1" applyAlignment="1">
      <alignment vertical="center"/>
    </xf>
    <xf numFmtId="0" fontId="29" fillId="6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36" fillId="6" borderId="2" xfId="0" applyFont="1" applyFill="1" applyBorder="1" applyAlignment="1">
      <alignment horizontal="left" vertical="center"/>
    </xf>
    <xf numFmtId="9" fontId="29" fillId="5" borderId="2" xfId="0" applyNumberFormat="1" applyFont="1" applyFill="1" applyBorder="1" applyAlignment="1">
      <alignment horizontal="center" vertical="center"/>
    </xf>
    <xf numFmtId="185" fontId="29" fillId="0" borderId="2" xfId="0" applyNumberFormat="1" applyFont="1" applyBorder="1" applyAlignment="1">
      <alignment horizontal="center" vertical="center"/>
    </xf>
    <xf numFmtId="0" fontId="28" fillId="11" borderId="2" xfId="0" applyFont="1" applyFill="1" applyBorder="1" applyAlignment="1">
      <alignment vertical="center"/>
    </xf>
    <xf numFmtId="0" fontId="28" fillId="11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0" fontId="33" fillId="0" borderId="2" xfId="0" applyFont="1" applyBorder="1" applyAlignment="1">
      <alignment horizontal="left" vertical="center"/>
    </xf>
    <xf numFmtId="0" fontId="28" fillId="0" borderId="2" xfId="0" applyFont="1" applyBorder="1" applyAlignment="1" applyProtection="1">
      <alignment horizontal="left" vertical="center"/>
      <protection locked="0"/>
    </xf>
    <xf numFmtId="0" fontId="28" fillId="0" borderId="0" xfId="0" applyFont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8" fillId="6" borderId="2" xfId="0" applyFont="1" applyFill="1" applyBorder="1" applyAlignment="1">
      <alignment horizontal="left" vertical="center"/>
    </xf>
    <xf numFmtId="0" fontId="28" fillId="12" borderId="2" xfId="0" applyFont="1" applyFill="1" applyBorder="1" applyAlignment="1">
      <alignment vertical="center"/>
    </xf>
    <xf numFmtId="179" fontId="28" fillId="13" borderId="2" xfId="23" applyNumberFormat="1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185" fontId="29" fillId="6" borderId="2" xfId="0" applyNumberFormat="1" applyFont="1" applyFill="1" applyBorder="1" applyAlignment="1">
      <alignment horizontal="center" vertical="center"/>
    </xf>
    <xf numFmtId="0" fontId="28" fillId="6" borderId="2" xfId="0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Alignment="1">
      <alignment horizontal="left" vertical="center"/>
    </xf>
    <xf numFmtId="0" fontId="29" fillId="5" borderId="0" xfId="0" applyFont="1" applyFill="1" applyAlignment="1">
      <alignment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35" fillId="10" borderId="2" xfId="0" applyFont="1" applyFill="1" applyBorder="1" applyAlignment="1">
      <alignment horizontal="left" vertical="center" wrapText="1"/>
    </xf>
    <xf numFmtId="186" fontId="28" fillId="10" borderId="2" xfId="0" applyNumberFormat="1" applyFont="1" applyFill="1" applyBorder="1" applyAlignment="1">
      <alignment horizontal="left" vertical="center"/>
    </xf>
    <xf numFmtId="0" fontId="28" fillId="10" borderId="2" xfId="0" applyFont="1" applyFill="1" applyBorder="1" applyAlignment="1">
      <alignment vertical="center"/>
    </xf>
    <xf numFmtId="186" fontId="28" fillId="10" borderId="2" xfId="0" applyNumberFormat="1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5" borderId="0" xfId="0" applyFont="1" applyFill="1" applyAlignment="1">
      <alignment horizontal="left" vertical="center" wrapText="1"/>
    </xf>
    <xf numFmtId="0" fontId="36" fillId="6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left" vertical="center"/>
    </xf>
    <xf numFmtId="0" fontId="26" fillId="14" borderId="2" xfId="0" applyFont="1" applyFill="1" applyBorder="1" applyAlignment="1">
      <alignment vertical="center"/>
    </xf>
    <xf numFmtId="0" fontId="31" fillId="14" borderId="2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34" fillId="10" borderId="4" xfId="0" applyFont="1" applyFill="1" applyBorder="1" applyAlignment="1" applyProtection="1">
      <alignment vertical="center" wrapText="1"/>
      <protection locked="0"/>
    </xf>
    <xf numFmtId="187" fontId="29" fillId="10" borderId="2" xfId="0" applyNumberFormat="1" applyFont="1" applyFill="1" applyBorder="1" applyAlignment="1">
      <alignment horizontal="center" vertical="center"/>
    </xf>
    <xf numFmtId="0" fontId="38" fillId="10" borderId="2" xfId="0" applyFont="1" applyFill="1" applyBorder="1" applyAlignment="1" applyProtection="1">
      <alignment horizontal="center" vertical="center"/>
      <protection locked="0"/>
    </xf>
    <xf numFmtId="0" fontId="29" fillId="15" borderId="2" xfId="0" applyFont="1" applyFill="1" applyBorder="1" applyAlignment="1">
      <alignment horizontal="center" vertical="center"/>
    </xf>
    <xf numFmtId="0" fontId="34" fillId="6" borderId="0" xfId="0" applyFont="1" applyFill="1" applyAlignment="1" applyProtection="1">
      <alignment vertical="center" wrapText="1"/>
      <protection locked="0"/>
    </xf>
    <xf numFmtId="0" fontId="34" fillId="6" borderId="0" xfId="0" applyFont="1" applyFill="1" applyAlignment="1" applyProtection="1">
      <alignment vertical="center"/>
      <protection locked="0"/>
    </xf>
    <xf numFmtId="0" fontId="38" fillId="6" borderId="0" xfId="0" applyFont="1" applyFill="1" applyAlignment="1" applyProtection="1">
      <alignment horizontal="center" vertical="center"/>
      <protection locked="0"/>
    </xf>
    <xf numFmtId="187" fontId="29" fillId="6" borderId="0" xfId="0" applyNumberFormat="1" applyFont="1" applyFill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4" fillId="0" borderId="4" xfId="0" applyFont="1" applyBorder="1" applyAlignment="1" applyProtection="1">
      <alignment vertical="center" wrapText="1"/>
      <protection locked="0"/>
    </xf>
    <xf numFmtId="0" fontId="34" fillId="0" borderId="2" xfId="0" applyFont="1" applyBorder="1" applyAlignment="1" applyProtection="1">
      <alignment vertical="center"/>
      <protection locked="0"/>
    </xf>
    <xf numFmtId="184" fontId="29" fillId="0" borderId="2" xfId="0" applyNumberFormat="1" applyFont="1" applyBorder="1" applyAlignment="1">
      <alignment horizontal="center" vertical="center"/>
    </xf>
    <xf numFmtId="0" fontId="34" fillId="6" borderId="4" xfId="0" applyFont="1" applyFill="1" applyBorder="1" applyAlignment="1" applyProtection="1">
      <alignment vertical="center" wrapText="1"/>
      <protection locked="0"/>
    </xf>
    <xf numFmtId="0" fontId="34" fillId="0" borderId="4" xfId="0" applyFont="1" applyBorder="1" applyAlignment="1" applyProtection="1">
      <alignment vertical="center"/>
      <protection locked="0"/>
    </xf>
    <xf numFmtId="187" fontId="29" fillId="6" borderId="2" xfId="0" applyNumberFormat="1" applyFont="1" applyFill="1" applyBorder="1" applyAlignment="1">
      <alignment horizontal="center" vertical="center"/>
    </xf>
    <xf numFmtId="184" fontId="29" fillId="6" borderId="2" xfId="0" applyNumberFormat="1" applyFont="1" applyFill="1" applyBorder="1" applyAlignment="1">
      <alignment horizontal="center" vertical="center"/>
    </xf>
    <xf numFmtId="0" fontId="29" fillId="6" borderId="2" xfId="13" applyFont="1" applyFill="1" applyBorder="1" applyAlignment="1">
      <alignment horizontal="center" vertical="center"/>
    </xf>
    <xf numFmtId="0" fontId="34" fillId="0" borderId="4" xfId="13" applyFont="1" applyBorder="1" applyAlignment="1" applyProtection="1">
      <alignment vertical="center"/>
      <protection locked="0"/>
    </xf>
    <xf numFmtId="0" fontId="34" fillId="6" borderId="4" xfId="13" applyFont="1" applyFill="1" applyBorder="1" applyAlignment="1" applyProtection="1">
      <alignment vertical="center" wrapText="1"/>
      <protection locked="0"/>
    </xf>
    <xf numFmtId="187" fontId="29" fillId="6" borderId="2" xfId="13" applyNumberFormat="1" applyFont="1" applyFill="1" applyBorder="1" applyAlignment="1">
      <alignment horizontal="center" vertical="center"/>
    </xf>
    <xf numFmtId="185" fontId="29" fillId="6" borderId="2" xfId="13" applyNumberFormat="1" applyFont="1" applyFill="1" applyBorder="1" applyAlignment="1">
      <alignment horizontal="center" vertical="center"/>
    </xf>
    <xf numFmtId="184" fontId="29" fillId="6" borderId="2" xfId="13" applyNumberFormat="1" applyFont="1" applyFill="1" applyBorder="1" applyAlignment="1">
      <alignment horizontal="center" vertical="center"/>
    </xf>
    <xf numFmtId="11" fontId="29" fillId="5" borderId="0" xfId="0" applyNumberFormat="1" applyFont="1" applyFill="1" applyAlignment="1">
      <alignment horizontal="left" vertical="center"/>
    </xf>
    <xf numFmtId="0" fontId="28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4" fillId="0" borderId="0" xfId="0" applyFont="1" applyAlignment="1" applyProtection="1">
      <alignment vertical="center" wrapText="1"/>
      <protection locked="0"/>
    </xf>
    <xf numFmtId="0" fontId="34" fillId="0" borderId="0" xfId="0" applyFont="1" applyAlignment="1" applyProtection="1">
      <alignment vertical="center"/>
      <protection locked="0"/>
    </xf>
    <xf numFmtId="184" fontId="29" fillId="0" borderId="0" xfId="0" applyNumberFormat="1" applyFont="1" applyAlignment="1">
      <alignment horizontal="center" vertical="center"/>
    </xf>
    <xf numFmtId="0" fontId="28" fillId="0" borderId="0" xfId="0" applyFont="1" applyAlignment="1" applyProtection="1">
      <alignment horizontal="center" vertical="center"/>
      <protection locked="0"/>
    </xf>
    <xf numFmtId="0" fontId="29" fillId="11" borderId="2" xfId="0" applyFont="1" applyFill="1" applyBorder="1" applyAlignment="1">
      <alignment horizontal="center" vertical="center"/>
    </xf>
    <xf numFmtId="0" fontId="38" fillId="6" borderId="2" xfId="0" applyFont="1" applyFill="1" applyBorder="1" applyAlignment="1" applyProtection="1">
      <alignment horizontal="center" vertical="center"/>
      <protection locked="0"/>
    </xf>
    <xf numFmtId="0" fontId="29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185" fontId="29" fillId="6" borderId="0" xfId="0" applyNumberFormat="1" applyFont="1" applyFill="1" applyAlignment="1">
      <alignment horizontal="center" vertical="center"/>
    </xf>
    <xf numFmtId="0" fontId="29" fillId="6" borderId="0" xfId="0" applyFont="1" applyFill="1" applyAlignment="1">
      <alignment vertical="center" wrapText="1"/>
    </xf>
    <xf numFmtId="0" fontId="32" fillId="6" borderId="2" xfId="0" applyFont="1" applyFill="1" applyBorder="1" applyAlignment="1">
      <alignment horizontal="left" vertical="center"/>
    </xf>
    <xf numFmtId="9" fontId="29" fillId="6" borderId="2" xfId="2" applyFont="1" applyFill="1" applyBorder="1" applyAlignment="1">
      <alignment horizontal="center" vertical="center"/>
    </xf>
    <xf numFmtId="182" fontId="29" fillId="6" borderId="2" xfId="0" applyNumberFormat="1" applyFont="1" applyFill="1" applyBorder="1" applyAlignment="1">
      <alignment horizontal="center" vertical="center"/>
    </xf>
    <xf numFmtId="183" fontId="29" fillId="6" borderId="2" xfId="0" applyNumberFormat="1" applyFont="1" applyFill="1" applyBorder="1" applyAlignment="1">
      <alignment horizontal="center" vertical="center"/>
    </xf>
    <xf numFmtId="0" fontId="34" fillId="6" borderId="2" xfId="0" applyFont="1" applyFill="1" applyBorder="1" applyAlignment="1" applyProtection="1">
      <alignment vertical="center" wrapText="1"/>
      <protection locked="0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vertical="center"/>
    </xf>
    <xf numFmtId="0" fontId="32" fillId="5" borderId="17" xfId="0" applyFont="1" applyFill="1" applyBorder="1" applyAlignment="1">
      <alignment vertical="center"/>
    </xf>
    <xf numFmtId="0" fontId="29" fillId="5" borderId="18" xfId="0" applyFont="1" applyFill="1" applyBorder="1" applyAlignment="1">
      <alignment vertical="center"/>
    </xf>
    <xf numFmtId="180" fontId="29" fillId="5" borderId="19" xfId="0" applyNumberFormat="1" applyFont="1" applyFill="1" applyBorder="1" applyAlignment="1">
      <alignment horizontal="right" vertical="center" wrapText="1"/>
    </xf>
    <xf numFmtId="0" fontId="29" fillId="0" borderId="20" xfId="0" applyFont="1" applyBorder="1" applyAlignment="1">
      <alignment horizontal="right" vertical="center"/>
    </xf>
    <xf numFmtId="0" fontId="29" fillId="0" borderId="21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5" borderId="22" xfId="0" applyFont="1" applyFill="1" applyBorder="1" applyAlignment="1">
      <alignment horizontal="center" vertical="center"/>
    </xf>
    <xf numFmtId="188" fontId="29" fillId="5" borderId="23" xfId="0" applyNumberFormat="1" applyFont="1" applyFill="1" applyBorder="1" applyAlignment="1">
      <alignment horizontal="right" vertical="center" wrapText="1"/>
    </xf>
    <xf numFmtId="0" fontId="29" fillId="0" borderId="17" xfId="0" applyFont="1" applyBorder="1" applyAlignment="1">
      <alignment horizontal="right" vertical="center"/>
    </xf>
    <xf numFmtId="0" fontId="29" fillId="0" borderId="22" xfId="0" applyFont="1" applyBorder="1" applyAlignment="1">
      <alignment horizontal="right" vertical="center"/>
    </xf>
    <xf numFmtId="180" fontId="29" fillId="5" borderId="23" xfId="0" applyNumberFormat="1" applyFont="1" applyFill="1" applyBorder="1" applyAlignment="1">
      <alignment horizontal="right" vertical="center" wrapText="1"/>
    </xf>
    <xf numFmtId="0" fontId="29" fillId="3" borderId="16" xfId="0" applyFont="1" applyFill="1" applyBorder="1" applyAlignment="1">
      <alignment vertical="center"/>
    </xf>
    <xf numFmtId="0" fontId="29" fillId="3" borderId="17" xfId="0" applyFont="1" applyFill="1" applyBorder="1" applyAlignment="1">
      <alignment vertical="center"/>
    </xf>
    <xf numFmtId="0" fontId="29" fillId="3" borderId="18" xfId="0" applyFont="1" applyFill="1" applyBorder="1" applyAlignment="1">
      <alignment vertical="center"/>
    </xf>
    <xf numFmtId="0" fontId="29" fillId="3" borderId="23" xfId="0" applyFont="1" applyFill="1" applyBorder="1" applyAlignment="1">
      <alignment horizontal="right" vertical="center"/>
    </xf>
    <xf numFmtId="180" fontId="29" fillId="3" borderId="17" xfId="0" applyNumberFormat="1" applyFont="1" applyFill="1" applyBorder="1" applyAlignment="1">
      <alignment horizontal="right" vertical="center" wrapText="1"/>
    </xf>
    <xf numFmtId="180" fontId="29" fillId="3" borderId="22" xfId="0" applyNumberFormat="1" applyFont="1" applyFill="1" applyBorder="1" applyAlignment="1">
      <alignment horizontal="right" vertical="center" wrapText="1"/>
    </xf>
    <xf numFmtId="0" fontId="29" fillId="3" borderId="5" xfId="0" applyFont="1" applyFill="1" applyBorder="1" applyAlignment="1">
      <alignment horizontal="right" vertical="center"/>
    </xf>
    <xf numFmtId="0" fontId="29" fillId="3" borderId="22" xfId="0" applyFont="1" applyFill="1" applyBorder="1" applyAlignment="1">
      <alignment horizontal="center" vertical="center"/>
    </xf>
    <xf numFmtId="0" fontId="32" fillId="3" borderId="17" xfId="0" applyFont="1" applyFill="1" applyBorder="1" applyAlignment="1">
      <alignment vertical="center"/>
    </xf>
    <xf numFmtId="188" fontId="29" fillId="3" borderId="17" xfId="0" applyNumberFormat="1" applyFont="1" applyFill="1" applyBorder="1" applyAlignment="1">
      <alignment horizontal="right" vertical="center" wrapText="1"/>
    </xf>
    <xf numFmtId="177" fontId="29" fillId="3" borderId="17" xfId="0" applyNumberFormat="1" applyFont="1" applyFill="1" applyBorder="1" applyAlignment="1">
      <alignment horizontal="right" vertical="center" wrapText="1"/>
    </xf>
    <xf numFmtId="180" fontId="28" fillId="3" borderId="17" xfId="0" applyNumberFormat="1" applyFont="1" applyFill="1" applyBorder="1" applyAlignment="1">
      <alignment horizontal="right" vertical="center" wrapText="1"/>
    </xf>
    <xf numFmtId="0" fontId="29" fillId="5" borderId="17" xfId="0" applyFont="1" applyFill="1" applyBorder="1" applyAlignment="1">
      <alignment vertical="center"/>
    </xf>
    <xf numFmtId="0" fontId="29" fillId="0" borderId="23" xfId="0" applyFont="1" applyBorder="1" applyAlignment="1">
      <alignment horizontal="right" vertical="center"/>
    </xf>
    <xf numFmtId="40" fontId="29" fillId="5" borderId="17" xfId="0" applyNumberFormat="1" applyFont="1" applyFill="1" applyBorder="1" applyAlignment="1">
      <alignment horizontal="right" vertical="center" wrapText="1"/>
    </xf>
    <xf numFmtId="0" fontId="32" fillId="5" borderId="22" xfId="0" applyFont="1" applyFill="1" applyBorder="1" applyAlignment="1">
      <alignment horizontal="center" vertical="center"/>
    </xf>
    <xf numFmtId="38" fontId="29" fillId="5" borderId="17" xfId="0" applyNumberFormat="1" applyFont="1" applyFill="1" applyBorder="1" applyAlignment="1">
      <alignment horizontal="right" vertical="center"/>
    </xf>
    <xf numFmtId="40" fontId="29" fillId="5" borderId="17" xfId="0" applyNumberFormat="1" applyFont="1" applyFill="1" applyBorder="1" applyAlignment="1">
      <alignment horizontal="right" vertical="center"/>
    </xf>
    <xf numFmtId="40" fontId="29" fillId="0" borderId="17" xfId="0" applyNumberFormat="1" applyFont="1" applyBorder="1" applyAlignment="1">
      <alignment horizontal="right" vertical="center"/>
    </xf>
    <xf numFmtId="38" fontId="29" fillId="0" borderId="17" xfId="0" applyNumberFormat="1" applyFont="1" applyBorder="1" applyAlignment="1">
      <alignment horizontal="right" vertical="center"/>
    </xf>
    <xf numFmtId="0" fontId="29" fillId="5" borderId="23" xfId="0" applyFont="1" applyFill="1" applyBorder="1" applyAlignment="1">
      <alignment horizontal="right" vertical="center"/>
    </xf>
    <xf numFmtId="0" fontId="29" fillId="5" borderId="22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29" fillId="3" borderId="24" xfId="0" applyFont="1" applyFill="1" applyBorder="1" applyAlignment="1">
      <alignment horizontal="right" vertical="center"/>
    </xf>
    <xf numFmtId="0" fontId="29" fillId="17" borderId="16" xfId="0" applyFont="1" applyFill="1" applyBorder="1" applyAlignment="1">
      <alignment vertical="center"/>
    </xf>
    <xf numFmtId="0" fontId="32" fillId="17" borderId="17" xfId="0" applyFont="1" applyFill="1" applyBorder="1" applyAlignment="1">
      <alignment vertical="center"/>
    </xf>
    <xf numFmtId="0" fontId="29" fillId="17" borderId="18" xfId="0" applyFont="1" applyFill="1" applyBorder="1" applyAlignment="1">
      <alignment vertical="center"/>
    </xf>
    <xf numFmtId="180" fontId="29" fillId="17" borderId="23" xfId="0" applyNumberFormat="1" applyFont="1" applyFill="1" applyBorder="1" applyAlignment="1">
      <alignment horizontal="right" vertical="center" wrapText="1"/>
    </xf>
    <xf numFmtId="0" fontId="29" fillId="17" borderId="17" xfId="0" applyFont="1" applyFill="1" applyBorder="1" applyAlignment="1">
      <alignment horizontal="right" vertical="center"/>
    </xf>
    <xf numFmtId="0" fontId="29" fillId="17" borderId="22" xfId="0" applyFont="1" applyFill="1" applyBorder="1" applyAlignment="1">
      <alignment horizontal="right" vertical="center"/>
    </xf>
    <xf numFmtId="0" fontId="29" fillId="17" borderId="24" xfId="0" applyFont="1" applyFill="1" applyBorder="1" applyAlignment="1">
      <alignment horizontal="right" vertical="center"/>
    </xf>
    <xf numFmtId="0" fontId="29" fillId="17" borderId="22" xfId="0" applyFont="1" applyFill="1" applyBorder="1" applyAlignment="1">
      <alignment horizontal="center" vertical="center"/>
    </xf>
    <xf numFmtId="0" fontId="29" fillId="17" borderId="25" xfId="0" applyFont="1" applyFill="1" applyBorder="1" applyAlignment="1">
      <alignment vertical="center"/>
    </xf>
    <xf numFmtId="0" fontId="32" fillId="17" borderId="26" xfId="0" applyFont="1" applyFill="1" applyBorder="1" applyAlignment="1">
      <alignment vertical="center"/>
    </xf>
    <xf numFmtId="0" fontId="29" fillId="17" borderId="27" xfId="0" applyFont="1" applyFill="1" applyBorder="1" applyAlignment="1">
      <alignment vertical="center"/>
    </xf>
    <xf numFmtId="180" fontId="29" fillId="17" borderId="28" xfId="0" applyNumberFormat="1" applyFont="1" applyFill="1" applyBorder="1" applyAlignment="1">
      <alignment horizontal="right" vertical="center" wrapText="1"/>
    </xf>
    <xf numFmtId="0" fontId="29" fillId="17" borderId="26" xfId="0" applyFont="1" applyFill="1" applyBorder="1" applyAlignment="1">
      <alignment horizontal="right" vertical="center"/>
    </xf>
    <xf numFmtId="0" fontId="29" fillId="17" borderId="29" xfId="0" applyFont="1" applyFill="1" applyBorder="1" applyAlignment="1">
      <alignment horizontal="right" vertical="center"/>
    </xf>
    <xf numFmtId="0" fontId="29" fillId="17" borderId="30" xfId="0" applyFont="1" applyFill="1" applyBorder="1" applyAlignment="1">
      <alignment horizontal="right" vertical="center"/>
    </xf>
    <xf numFmtId="0" fontId="29" fillId="17" borderId="29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26" fillId="2" borderId="12" xfId="0" applyFont="1" applyFill="1" applyBorder="1" applyAlignment="1" applyProtection="1">
      <alignment horizontal="center" vertical="center"/>
      <protection locked="0"/>
    </xf>
    <xf numFmtId="0" fontId="26" fillId="2" borderId="12" xfId="0" applyFont="1" applyFill="1" applyBorder="1" applyAlignment="1" applyProtection="1">
      <alignment horizontal="center" vertical="center" wrapText="1"/>
      <protection locked="0"/>
    </xf>
    <xf numFmtId="181" fontId="26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0" fontId="42" fillId="3" borderId="16" xfId="0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left" vertical="center" wrapText="1"/>
    </xf>
    <xf numFmtId="0" fontId="32" fillId="6" borderId="17" xfId="0" applyFont="1" applyFill="1" applyBorder="1" applyAlignment="1" applyProtection="1">
      <alignment vertical="center"/>
      <protection locked="0"/>
    </xf>
    <xf numFmtId="0" fontId="42" fillId="3" borderId="17" xfId="0" applyFont="1" applyFill="1" applyBorder="1" applyAlignment="1">
      <alignment horizontal="center" vertical="center" wrapText="1"/>
    </xf>
    <xf numFmtId="0" fontId="42" fillId="3" borderId="17" xfId="0" applyFont="1" applyFill="1" applyBorder="1" applyAlignment="1">
      <alignment horizontal="center" vertical="center"/>
    </xf>
    <xf numFmtId="189" fontId="42" fillId="3" borderId="17" xfId="0" applyNumberFormat="1" applyFont="1" applyFill="1" applyBorder="1" applyAlignment="1">
      <alignment horizontal="center" vertical="center"/>
    </xf>
    <xf numFmtId="179" fontId="42" fillId="3" borderId="17" xfId="0" applyNumberFormat="1" applyFont="1" applyFill="1" applyBorder="1" applyAlignment="1">
      <alignment horizontal="right" vertical="center"/>
    </xf>
    <xf numFmtId="10" fontId="42" fillId="3" borderId="17" xfId="0" applyNumberFormat="1" applyFont="1" applyFill="1" applyBorder="1" applyAlignment="1">
      <alignment horizontal="center" vertical="center"/>
    </xf>
    <xf numFmtId="179" fontId="42" fillId="3" borderId="22" xfId="0" applyNumberFormat="1" applyFont="1" applyFill="1" applyBorder="1" applyAlignment="1">
      <alignment horizontal="center" vertical="center"/>
    </xf>
    <xf numFmtId="0" fontId="32" fillId="0" borderId="17" xfId="0" applyFont="1" applyBorder="1" applyAlignment="1" applyProtection="1">
      <alignment vertical="center"/>
      <protection locked="0"/>
    </xf>
    <xf numFmtId="0" fontId="40" fillId="0" borderId="0" xfId="0" applyFont="1" applyAlignment="1" applyProtection="1">
      <alignment vertical="center"/>
      <protection locked="0"/>
    </xf>
    <xf numFmtId="43" fontId="40" fillId="0" borderId="0" xfId="1" applyFont="1" applyFill="1" applyAlignment="1">
      <alignment horizontal="right" vertical="center"/>
    </xf>
    <xf numFmtId="0" fontId="43" fillId="3" borderId="11" xfId="0" applyFont="1" applyFill="1" applyBorder="1" applyAlignment="1">
      <alignment horizontal="center" vertical="center" wrapText="1"/>
    </xf>
    <xf numFmtId="179" fontId="42" fillId="3" borderId="15" xfId="0" applyNumberFormat="1" applyFont="1" applyFill="1" applyBorder="1" applyAlignment="1">
      <alignment horizontal="center" vertical="center"/>
    </xf>
    <xf numFmtId="0" fontId="43" fillId="3" borderId="25" xfId="0" applyFont="1" applyFill="1" applyBorder="1" applyAlignment="1">
      <alignment horizontal="center" vertical="center" wrapText="1"/>
    </xf>
    <xf numFmtId="0" fontId="42" fillId="3" borderId="29" xfId="0" applyFont="1" applyFill="1" applyBorder="1" applyAlignment="1">
      <alignment horizontal="center" vertical="center"/>
    </xf>
    <xf numFmtId="181" fontId="40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3" borderId="11" xfId="0" applyFont="1" applyFill="1" applyBorder="1" applyAlignment="1">
      <alignment vertical="center"/>
    </xf>
    <xf numFmtId="0" fontId="40" fillId="3" borderId="15" xfId="0" applyFont="1" applyFill="1" applyBorder="1" applyAlignment="1">
      <alignment vertical="center"/>
    </xf>
    <xf numFmtId="0" fontId="44" fillId="3" borderId="16" xfId="0" applyFont="1" applyFill="1" applyBorder="1" applyAlignment="1">
      <alignment vertical="center"/>
    </xf>
    <xf numFmtId="0" fontId="40" fillId="3" borderId="22" xfId="0" applyFont="1" applyFill="1" applyBorder="1" applyAlignment="1">
      <alignment vertical="center"/>
    </xf>
    <xf numFmtId="0" fontId="44" fillId="3" borderId="25" xfId="0" applyFont="1" applyFill="1" applyBorder="1" applyAlignment="1">
      <alignment vertical="center"/>
    </xf>
    <xf numFmtId="0" fontId="40" fillId="3" borderId="29" xfId="0" applyFont="1" applyFill="1" applyBorder="1" applyAlignment="1">
      <alignment vertical="center"/>
    </xf>
    <xf numFmtId="0" fontId="12" fillId="6" borderId="0" xfId="0" applyFont="1" applyFill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 applyProtection="1">
      <alignment vertical="center" wrapText="1"/>
      <protection locked="0"/>
    </xf>
    <xf numFmtId="0" fontId="28" fillId="0" borderId="2" xfId="0" applyFont="1" applyBorder="1" applyAlignment="1" applyProtection="1">
      <alignment vertical="center"/>
      <protection locked="0"/>
    </xf>
    <xf numFmtId="0" fontId="35" fillId="0" borderId="2" xfId="0" applyFont="1" applyBorder="1" applyAlignment="1" applyProtection="1">
      <alignment horizontal="left" vertical="center"/>
      <protection locked="0"/>
    </xf>
    <xf numFmtId="0" fontId="35" fillId="0" borderId="2" xfId="0" applyFont="1" applyBorder="1" applyAlignment="1" applyProtection="1">
      <alignment horizontal="center" vertical="center"/>
      <protection locked="0"/>
    </xf>
    <xf numFmtId="178" fontId="28" fillId="10" borderId="2" xfId="0" applyNumberFormat="1" applyFont="1" applyFill="1" applyBorder="1" applyAlignment="1" applyProtection="1">
      <alignment vertical="center"/>
      <protection locked="0"/>
    </xf>
    <xf numFmtId="0" fontId="28" fillId="6" borderId="2" xfId="0" applyFont="1" applyFill="1" applyBorder="1" applyAlignment="1" applyProtection="1">
      <alignment vertical="center"/>
      <protection locked="0"/>
    </xf>
    <xf numFmtId="0" fontId="35" fillId="6" borderId="2" xfId="0" applyFont="1" applyFill="1" applyBorder="1" applyAlignment="1" applyProtection="1">
      <alignment vertical="center"/>
      <protection locked="0"/>
    </xf>
    <xf numFmtId="179" fontId="28" fillId="10" borderId="2" xfId="0" applyNumberFormat="1" applyFont="1" applyFill="1" applyBorder="1" applyAlignment="1" applyProtection="1">
      <alignment vertical="center"/>
      <protection locked="0"/>
    </xf>
    <xf numFmtId="0" fontId="28" fillId="3" borderId="2" xfId="0" applyFont="1" applyFill="1" applyBorder="1" applyAlignment="1">
      <alignment horizontal="center" vertical="center"/>
    </xf>
    <xf numFmtId="11" fontId="28" fillId="10" borderId="2" xfId="0" applyNumberFormat="1" applyFont="1" applyFill="1" applyBorder="1" applyAlignment="1" applyProtection="1">
      <alignment vertical="center"/>
      <protection locked="0"/>
    </xf>
    <xf numFmtId="9" fontId="28" fillId="7" borderId="2" xfId="0" applyNumberFormat="1" applyFont="1" applyFill="1" applyBorder="1" applyAlignment="1" applyProtection="1">
      <alignment horizontal="center" vertical="center"/>
      <protection locked="0"/>
    </xf>
    <xf numFmtId="0" fontId="28" fillId="5" borderId="2" xfId="0" applyFont="1" applyFill="1" applyBorder="1" applyAlignment="1" applyProtection="1">
      <alignment horizontal="center" vertical="center"/>
      <protection locked="0"/>
    </xf>
    <xf numFmtId="180" fontId="28" fillId="3" borderId="2" xfId="0" applyNumberFormat="1" applyFont="1" applyFill="1" applyBorder="1" applyAlignment="1">
      <alignment horizontal="center" vertical="center"/>
    </xf>
    <xf numFmtId="11" fontId="28" fillId="7" borderId="2" xfId="0" applyNumberFormat="1" applyFont="1" applyFill="1" applyBorder="1" applyAlignment="1" applyProtection="1">
      <alignment vertical="center"/>
      <protection locked="0"/>
    </xf>
    <xf numFmtId="0" fontId="28" fillId="3" borderId="2" xfId="0" applyFont="1" applyFill="1" applyBorder="1" applyAlignment="1">
      <alignment vertical="center"/>
    </xf>
    <xf numFmtId="178" fontId="28" fillId="3" borderId="2" xfId="0" applyNumberFormat="1" applyFont="1" applyFill="1" applyBorder="1" applyAlignment="1">
      <alignment horizontal="center" vertical="center"/>
    </xf>
    <xf numFmtId="43" fontId="12" fillId="5" borderId="0" xfId="1" applyFont="1" applyFill="1" applyAlignment="1" applyProtection="1">
      <alignment horizontal="center" vertical="center"/>
      <protection locked="0"/>
    </xf>
    <xf numFmtId="178" fontId="38" fillId="10" borderId="2" xfId="0" applyNumberFormat="1" applyFont="1" applyFill="1" applyBorder="1" applyAlignment="1" applyProtection="1">
      <alignment vertical="center"/>
      <protection locked="0"/>
    </xf>
    <xf numFmtId="0" fontId="38" fillId="6" borderId="2" xfId="0" applyFont="1" applyFill="1" applyBorder="1" applyAlignment="1" applyProtection="1">
      <alignment vertical="center"/>
      <protection locked="0"/>
    </xf>
    <xf numFmtId="0" fontId="34" fillId="6" borderId="2" xfId="0" applyFont="1" applyFill="1" applyBorder="1" applyAlignment="1" applyProtection="1">
      <alignment vertical="center"/>
      <protection locked="0"/>
    </xf>
    <xf numFmtId="0" fontId="38" fillId="3" borderId="2" xfId="0" applyFont="1" applyFill="1" applyBorder="1" applyAlignment="1">
      <alignment horizontal="center" vertical="center"/>
    </xf>
    <xf numFmtId="0" fontId="38" fillId="0" borderId="2" xfId="0" applyFont="1" applyBorder="1" applyAlignment="1" applyProtection="1">
      <alignment vertical="center"/>
      <protection locked="0"/>
    </xf>
    <xf numFmtId="9" fontId="38" fillId="7" borderId="2" xfId="0" applyNumberFormat="1" applyFont="1" applyFill="1" applyBorder="1" applyAlignment="1" applyProtection="1">
      <alignment horizontal="center" vertical="center"/>
      <protection locked="0"/>
    </xf>
    <xf numFmtId="0" fontId="38" fillId="5" borderId="2" xfId="0" applyFont="1" applyFill="1" applyBorder="1" applyAlignment="1" applyProtection="1">
      <alignment horizontal="center" vertical="center"/>
      <protection locked="0"/>
    </xf>
    <xf numFmtId="180" fontId="38" fillId="3" borderId="2" xfId="0" applyNumberFormat="1" applyFont="1" applyFill="1" applyBorder="1" applyAlignment="1">
      <alignment horizontal="right" vertical="center"/>
    </xf>
    <xf numFmtId="0" fontId="38" fillId="5" borderId="2" xfId="0" applyFont="1" applyFill="1" applyBorder="1" applyAlignment="1" applyProtection="1">
      <alignment horizontal="left" vertical="center"/>
      <protection locked="0"/>
    </xf>
    <xf numFmtId="11" fontId="38" fillId="7" borderId="2" xfId="0" applyNumberFormat="1" applyFont="1" applyFill="1" applyBorder="1" applyAlignment="1" applyProtection="1">
      <alignment vertical="center"/>
      <protection locked="0"/>
    </xf>
    <xf numFmtId="0" fontId="38" fillId="3" borderId="2" xfId="0" applyFont="1" applyFill="1" applyBorder="1" applyAlignment="1">
      <alignment vertical="center"/>
    </xf>
    <xf numFmtId="43" fontId="11" fillId="5" borderId="0" xfId="1" applyFont="1" applyFill="1" applyAlignment="1" applyProtection="1">
      <alignment vertical="center"/>
      <protection locked="0"/>
    </xf>
    <xf numFmtId="0" fontId="28" fillId="4" borderId="2" xfId="0" applyFont="1" applyFill="1" applyBorder="1" applyAlignment="1" applyProtection="1">
      <alignment vertical="center"/>
      <protection locked="0"/>
    </xf>
    <xf numFmtId="43" fontId="12" fillId="4" borderId="0" xfId="1" applyFont="1" applyFill="1" applyAlignment="1" applyProtection="1">
      <alignment horizontal="center" vertical="center"/>
      <protection locked="0"/>
    </xf>
    <xf numFmtId="0" fontId="35" fillId="0" borderId="17" xfId="0" applyFont="1" applyBorder="1" applyAlignment="1" applyProtection="1">
      <alignment vertical="center" wrapText="1"/>
      <protection locked="0"/>
    </xf>
    <xf numFmtId="0" fontId="35" fillId="0" borderId="2" xfId="0" applyFont="1" applyBorder="1" applyAlignment="1" applyProtection="1">
      <alignment vertical="center"/>
      <protection locked="0"/>
    </xf>
    <xf numFmtId="0" fontId="35" fillId="0" borderId="37" xfId="0" applyFont="1" applyBorder="1" applyAlignment="1" applyProtection="1">
      <alignment horizontal="left" vertical="center"/>
      <protection locked="0"/>
    </xf>
    <xf numFmtId="0" fontId="28" fillId="6" borderId="38" xfId="0" applyFont="1" applyFill="1" applyBorder="1" applyAlignment="1" applyProtection="1">
      <alignment vertical="center"/>
      <protection locked="0"/>
    </xf>
    <xf numFmtId="0" fontId="28" fillId="6" borderId="17" xfId="0" applyFont="1" applyFill="1" applyBorder="1" applyAlignment="1" applyProtection="1">
      <alignment vertical="center"/>
      <protection locked="0"/>
    </xf>
    <xf numFmtId="0" fontId="28" fillId="3" borderId="17" xfId="0" applyFont="1" applyFill="1" applyBorder="1" applyAlignment="1">
      <alignment horizontal="center" vertical="center"/>
    </xf>
    <xf numFmtId="9" fontId="28" fillId="7" borderId="36" xfId="0" applyNumberFormat="1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 vertical="center"/>
      <protection locked="0"/>
    </xf>
    <xf numFmtId="180" fontId="28" fillId="3" borderId="17" xfId="0" applyNumberFormat="1" applyFont="1" applyFill="1" applyBorder="1" applyAlignment="1">
      <alignment horizontal="center" vertical="center"/>
    </xf>
    <xf numFmtId="11" fontId="28" fillId="7" borderId="17" xfId="0" applyNumberFormat="1" applyFont="1" applyFill="1" applyBorder="1" applyAlignment="1" applyProtection="1">
      <alignment vertical="center"/>
      <protection locked="0"/>
    </xf>
    <xf numFmtId="0" fontId="28" fillId="3" borderId="17" xfId="0" applyFont="1" applyFill="1" applyBorder="1" applyAlignment="1">
      <alignment vertical="center"/>
    </xf>
    <xf numFmtId="0" fontId="35" fillId="4" borderId="2" xfId="0" applyFont="1" applyFill="1" applyBorder="1" applyAlignment="1" applyProtection="1">
      <alignment vertical="center"/>
      <protection locked="0"/>
    </xf>
    <xf numFmtId="0" fontId="45" fillId="0" borderId="2" xfId="0" applyFont="1" applyBorder="1" applyAlignment="1" applyProtection="1">
      <alignment vertical="center" wrapText="1"/>
      <protection locked="0"/>
    </xf>
    <xf numFmtId="0" fontId="45" fillId="0" borderId="2" xfId="0" applyFont="1" applyBorder="1" applyAlignment="1" applyProtection="1">
      <alignment vertical="center"/>
      <protection locked="0"/>
    </xf>
    <xf numFmtId="0" fontId="45" fillId="0" borderId="2" xfId="0" applyFont="1" applyBorder="1" applyAlignment="1" applyProtection="1">
      <alignment horizontal="center" vertical="center"/>
      <protection locked="0"/>
    </xf>
    <xf numFmtId="178" fontId="46" fillId="10" borderId="2" xfId="0" applyNumberFormat="1" applyFont="1" applyFill="1" applyBorder="1" applyAlignment="1" applyProtection="1">
      <alignment vertical="center"/>
      <protection locked="0"/>
    </xf>
    <xf numFmtId="0" fontId="46" fillId="6" borderId="2" xfId="0" applyFont="1" applyFill="1" applyBorder="1" applyAlignment="1" applyProtection="1">
      <alignment vertical="center"/>
      <protection locked="0"/>
    </xf>
    <xf numFmtId="0" fontId="46" fillId="3" borderId="2" xfId="0" applyFont="1" applyFill="1" applyBorder="1" applyAlignment="1">
      <alignment horizontal="center" vertical="center"/>
    </xf>
    <xf numFmtId="0" fontId="46" fillId="0" borderId="2" xfId="0" applyFont="1" applyBorder="1" applyAlignment="1" applyProtection="1">
      <alignment vertical="center"/>
      <protection locked="0"/>
    </xf>
    <xf numFmtId="9" fontId="46" fillId="7" borderId="2" xfId="0" applyNumberFormat="1" applyFont="1" applyFill="1" applyBorder="1" applyAlignment="1" applyProtection="1">
      <alignment horizontal="center" vertical="center"/>
      <protection locked="0"/>
    </xf>
    <xf numFmtId="0" fontId="46" fillId="5" borderId="2" xfId="0" applyFont="1" applyFill="1" applyBorder="1" applyAlignment="1" applyProtection="1">
      <alignment horizontal="center" vertical="center"/>
      <protection locked="0"/>
    </xf>
    <xf numFmtId="180" fontId="46" fillId="3" borderId="2" xfId="0" applyNumberFormat="1" applyFont="1" applyFill="1" applyBorder="1" applyAlignment="1">
      <alignment horizontal="right" vertical="center"/>
    </xf>
    <xf numFmtId="0" fontId="46" fillId="5" borderId="2" xfId="0" applyFont="1" applyFill="1" applyBorder="1" applyAlignment="1" applyProtection="1">
      <alignment horizontal="left" vertical="center"/>
      <protection locked="0"/>
    </xf>
    <xf numFmtId="11" fontId="46" fillId="7" borderId="2" xfId="0" applyNumberFormat="1" applyFont="1" applyFill="1" applyBorder="1" applyAlignment="1" applyProtection="1">
      <alignment vertical="center"/>
      <protection locked="0"/>
    </xf>
    <xf numFmtId="0" fontId="46" fillId="3" borderId="2" xfId="0" applyFont="1" applyFill="1" applyBorder="1" applyAlignment="1">
      <alignment vertical="center"/>
    </xf>
    <xf numFmtId="178" fontId="46" fillId="3" borderId="2" xfId="0" applyNumberFormat="1" applyFont="1" applyFill="1" applyBorder="1" applyAlignment="1">
      <alignment horizontal="center" vertical="center"/>
    </xf>
    <xf numFmtId="179" fontId="28" fillId="7" borderId="2" xfId="0" applyNumberFormat="1" applyFont="1" applyFill="1" applyBorder="1" applyAlignment="1" applyProtection="1">
      <alignment vertical="center"/>
      <protection locked="0"/>
    </xf>
    <xf numFmtId="190" fontId="28" fillId="10" borderId="2" xfId="0" applyNumberFormat="1" applyFont="1" applyFill="1" applyBorder="1" applyAlignment="1" applyProtection="1">
      <alignment horizontal="center" vertical="center"/>
      <protection locked="0"/>
    </xf>
    <xf numFmtId="180" fontId="28" fillId="3" borderId="2" xfId="0" applyNumberFormat="1" applyFont="1" applyFill="1" applyBorder="1" applyAlignment="1">
      <alignment horizontal="right" vertical="center"/>
    </xf>
    <xf numFmtId="0" fontId="28" fillId="6" borderId="2" xfId="0" applyFont="1" applyFill="1" applyBorder="1" applyAlignment="1" applyProtection="1">
      <alignment horizontal="left" vertical="center"/>
      <protection locked="0"/>
    </xf>
    <xf numFmtId="9" fontId="28" fillId="10" borderId="2" xfId="2" applyFont="1" applyFill="1" applyBorder="1" applyAlignment="1" applyProtection="1">
      <alignment vertical="center"/>
      <protection locked="0"/>
    </xf>
    <xf numFmtId="9" fontId="28" fillId="7" borderId="2" xfId="2" applyFont="1" applyFill="1" applyBorder="1" applyAlignment="1" applyProtection="1">
      <alignment vertical="center"/>
      <protection locked="0"/>
    </xf>
    <xf numFmtId="0" fontId="35" fillId="0" borderId="37" xfId="0" applyFont="1" applyBorder="1" applyAlignment="1" applyProtection="1">
      <alignment vertical="center" wrapText="1"/>
      <protection locked="0"/>
    </xf>
    <xf numFmtId="178" fontId="28" fillId="10" borderId="36" xfId="0" applyNumberFormat="1" applyFont="1" applyFill="1" applyBorder="1" applyAlignment="1" applyProtection="1">
      <alignment vertical="center"/>
      <protection locked="0"/>
    </xf>
    <xf numFmtId="9" fontId="28" fillId="7" borderId="36" xfId="2" applyFont="1" applyFill="1" applyBorder="1" applyAlignment="1" applyProtection="1">
      <alignment vertical="center"/>
      <protection locked="0"/>
    </xf>
    <xf numFmtId="11" fontId="28" fillId="10" borderId="17" xfId="0" applyNumberFormat="1" applyFont="1" applyFill="1" applyBorder="1" applyAlignment="1" applyProtection="1">
      <alignment vertical="center"/>
      <protection locked="0"/>
    </xf>
    <xf numFmtId="0" fontId="28" fillId="0" borderId="38" xfId="0" applyFont="1" applyBorder="1" applyAlignment="1" applyProtection="1">
      <alignment vertical="center"/>
      <protection locked="0"/>
    </xf>
    <xf numFmtId="0" fontId="46" fillId="5" borderId="17" xfId="0" applyFont="1" applyFill="1" applyBorder="1" applyAlignment="1" applyProtection="1">
      <alignment horizontal="center" vertical="center"/>
      <protection locked="0"/>
    </xf>
    <xf numFmtId="0" fontId="46" fillId="3" borderId="17" xfId="0" applyFont="1" applyFill="1" applyBorder="1" applyAlignment="1">
      <alignment horizontal="center" vertical="center"/>
    </xf>
    <xf numFmtId="0" fontId="35" fillId="0" borderId="2" xfId="0" applyFont="1" applyBorder="1" applyAlignment="1" applyProtection="1">
      <alignment vertical="center" wrapText="1"/>
      <protection locked="0"/>
    </xf>
    <xf numFmtId="0" fontId="45" fillId="0" borderId="2" xfId="0" applyFont="1" applyBorder="1" applyAlignment="1" applyProtection="1">
      <alignment horizontal="left" vertical="center"/>
      <protection locked="0"/>
    </xf>
    <xf numFmtId="179" fontId="46" fillId="10" borderId="2" xfId="0" applyNumberFormat="1" applyFont="1" applyFill="1" applyBorder="1" applyAlignment="1" applyProtection="1">
      <alignment vertical="center"/>
      <protection locked="0"/>
    </xf>
    <xf numFmtId="0" fontId="45" fillId="6" borderId="2" xfId="0" applyFont="1" applyFill="1" applyBorder="1" applyAlignment="1" applyProtection="1">
      <alignment vertical="center"/>
      <protection locked="0"/>
    </xf>
    <xf numFmtId="0" fontId="45" fillId="16" borderId="2" xfId="0" applyFont="1" applyFill="1" applyBorder="1" applyAlignment="1" applyProtection="1">
      <alignment vertical="center"/>
      <protection locked="0"/>
    </xf>
    <xf numFmtId="0" fontId="28" fillId="0" borderId="2" xfId="0" applyFont="1" applyBorder="1" applyAlignment="1" applyProtection="1">
      <alignment horizontal="left" vertical="center" wrapText="1"/>
      <protection locked="0"/>
    </xf>
    <xf numFmtId="191" fontId="28" fillId="10" borderId="2" xfId="0" applyNumberFormat="1" applyFont="1" applyFill="1" applyBorder="1" applyAlignment="1" applyProtection="1">
      <alignment vertical="center"/>
      <protection locked="0"/>
    </xf>
    <xf numFmtId="192" fontId="38" fillId="10" borderId="2" xfId="0" applyNumberFormat="1" applyFont="1" applyFill="1" applyBorder="1" applyAlignment="1" applyProtection="1">
      <alignment vertical="center"/>
      <protection locked="0"/>
    </xf>
    <xf numFmtId="43" fontId="12" fillId="0" borderId="0" xfId="1" applyFont="1" applyFill="1" applyAlignment="1" applyProtection="1">
      <alignment horizontal="center" vertical="center"/>
      <protection locked="0"/>
    </xf>
    <xf numFmtId="0" fontId="35" fillId="0" borderId="4" xfId="0" applyFont="1" applyBorder="1" applyAlignment="1" applyProtection="1">
      <alignment horizontal="left" vertical="center"/>
      <protection locked="0"/>
    </xf>
    <xf numFmtId="178" fontId="28" fillId="3" borderId="1" xfId="0" applyNumberFormat="1" applyFont="1" applyFill="1" applyBorder="1" applyAlignment="1">
      <alignment horizontal="center" vertical="center"/>
    </xf>
    <xf numFmtId="0" fontId="48" fillId="6" borderId="4" xfId="0" applyFont="1" applyFill="1" applyBorder="1" applyAlignment="1" applyProtection="1">
      <alignment horizontal="left" vertical="center"/>
      <protection locked="0"/>
    </xf>
    <xf numFmtId="178" fontId="46" fillId="6" borderId="0" xfId="0" applyNumberFormat="1" applyFont="1" applyFill="1" applyAlignment="1" applyProtection="1">
      <alignment vertical="center"/>
      <protection locked="0"/>
    </xf>
    <xf numFmtId="0" fontId="28" fillId="6" borderId="0" xfId="0" applyFont="1" applyFill="1" applyAlignment="1" applyProtection="1">
      <alignment vertical="center"/>
      <protection locked="0"/>
    </xf>
    <xf numFmtId="193" fontId="28" fillId="6" borderId="0" xfId="0" applyNumberFormat="1" applyFont="1" applyFill="1" applyAlignment="1" applyProtection="1">
      <alignment vertical="center"/>
      <protection locked="0"/>
    </xf>
    <xf numFmtId="0" fontId="28" fillId="6" borderId="0" xfId="0" applyFont="1" applyFill="1" applyAlignment="1">
      <alignment horizontal="center" vertical="center"/>
    </xf>
    <xf numFmtId="11" fontId="28" fillId="6" borderId="0" xfId="0" applyNumberFormat="1" applyFont="1" applyFill="1" applyAlignment="1" applyProtection="1">
      <alignment vertical="center"/>
      <protection locked="0"/>
    </xf>
    <xf numFmtId="178" fontId="49" fillId="16" borderId="7" xfId="0" applyNumberFormat="1" applyFont="1" applyFill="1" applyBorder="1" applyAlignment="1">
      <alignment horizontal="center" vertical="center"/>
    </xf>
    <xf numFmtId="178" fontId="49" fillId="16" borderId="0" xfId="0" applyNumberFormat="1" applyFont="1" applyFill="1" applyAlignment="1">
      <alignment horizontal="center" vertical="center"/>
    </xf>
    <xf numFmtId="0" fontId="48" fillId="6" borderId="2" xfId="0" applyFont="1" applyFill="1" applyBorder="1" applyAlignment="1" applyProtection="1">
      <alignment horizontal="left" vertical="center"/>
      <protection locked="0"/>
    </xf>
    <xf numFmtId="0" fontId="28" fillId="6" borderId="0" xfId="0" applyFont="1" applyFill="1" applyAlignment="1" applyProtection="1">
      <alignment vertical="center" wrapText="1"/>
      <protection locked="0"/>
    </xf>
    <xf numFmtId="0" fontId="28" fillId="6" borderId="0" xfId="0" applyFont="1" applyFill="1" applyAlignment="1" applyProtection="1">
      <alignment horizontal="left" vertical="center"/>
      <protection locked="0"/>
    </xf>
    <xf numFmtId="0" fontId="28" fillId="6" borderId="0" xfId="0" applyFont="1" applyFill="1" applyAlignment="1" applyProtection="1">
      <alignment horizontal="center" vertical="center"/>
      <protection locked="0"/>
    </xf>
    <xf numFmtId="178" fontId="8" fillId="0" borderId="0" xfId="0" applyNumberFormat="1" applyFont="1" applyAlignment="1">
      <alignment horizontal="left" vertical="center"/>
    </xf>
    <xf numFmtId="178" fontId="28" fillId="0" borderId="0" xfId="0" applyNumberFormat="1" applyFont="1" applyAlignment="1">
      <alignment horizontal="center" vertical="center"/>
    </xf>
    <xf numFmtId="0" fontId="30" fillId="2" borderId="2" xfId="0" applyFont="1" applyFill="1" applyBorder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78" fontId="12" fillId="0" borderId="0" xfId="0" applyNumberFormat="1" applyFont="1" applyAlignment="1" applyProtection="1">
      <alignment vertical="center"/>
      <protection locked="0"/>
    </xf>
    <xf numFmtId="0" fontId="26" fillId="2" borderId="2" xfId="0" applyFont="1" applyFill="1" applyBorder="1" applyAlignment="1" applyProtection="1">
      <alignment vertical="center"/>
      <protection locked="0"/>
    </xf>
    <xf numFmtId="0" fontId="26" fillId="2" borderId="2" xfId="0" applyFont="1" applyFill="1" applyBorder="1" applyAlignment="1" applyProtection="1">
      <alignment horizontal="center" vertical="center"/>
      <protection locked="0"/>
    </xf>
    <xf numFmtId="177" fontId="50" fillId="6" borderId="0" xfId="0" applyNumberFormat="1" applyFont="1" applyFill="1" applyAlignment="1" applyProtection="1">
      <alignment horizontal="center" vertical="center"/>
      <protection locked="0"/>
    </xf>
    <xf numFmtId="177" fontId="51" fillId="6" borderId="0" xfId="0" applyNumberFormat="1" applyFont="1" applyFill="1" applyAlignment="1">
      <alignment horizontal="center" vertical="center"/>
    </xf>
    <xf numFmtId="178" fontId="12" fillId="5" borderId="0" xfId="0" applyNumberFormat="1" applyFont="1" applyFill="1" applyAlignment="1" applyProtection="1">
      <alignment vertical="center"/>
      <protection locked="0"/>
    </xf>
    <xf numFmtId="0" fontId="6" fillId="3" borderId="2" xfId="0" applyFont="1" applyFill="1" applyBorder="1" applyAlignment="1">
      <alignment vertical="center"/>
    </xf>
    <xf numFmtId="177" fontId="50" fillId="6" borderId="2" xfId="0" applyNumberFormat="1" applyFont="1" applyFill="1" applyBorder="1" applyAlignment="1">
      <alignment horizontal="center" vertical="center"/>
    </xf>
    <xf numFmtId="177" fontId="50" fillId="4" borderId="0" xfId="0" applyNumberFormat="1" applyFont="1" applyFill="1" applyAlignment="1">
      <alignment horizontal="center" vertical="center"/>
    </xf>
    <xf numFmtId="0" fontId="37" fillId="2" borderId="2" xfId="0" applyFont="1" applyFill="1" applyBorder="1" applyAlignment="1" applyProtection="1">
      <alignment horizontal="center" vertical="center"/>
      <protection locked="0"/>
    </xf>
    <xf numFmtId="0" fontId="50" fillId="3" borderId="2" xfId="0" applyFont="1" applyFill="1" applyBorder="1" applyAlignment="1">
      <alignment vertical="center"/>
    </xf>
    <xf numFmtId="177" fontId="51" fillId="3" borderId="2" xfId="0" applyNumberFormat="1" applyFont="1" applyFill="1" applyBorder="1" applyAlignment="1">
      <alignment horizontal="center" vertical="center"/>
    </xf>
    <xf numFmtId="177" fontId="50" fillId="3" borderId="2" xfId="0" applyNumberFormat="1" applyFont="1" applyFill="1" applyBorder="1" applyAlignment="1">
      <alignment horizontal="center" vertical="center"/>
    </xf>
    <xf numFmtId="177" fontId="50" fillId="6" borderId="0" xfId="0" applyNumberFormat="1" applyFont="1" applyFill="1" applyAlignment="1">
      <alignment horizontal="center" vertical="center"/>
    </xf>
    <xf numFmtId="3" fontId="12" fillId="5" borderId="0" xfId="0" applyNumberFormat="1" applyFont="1" applyFill="1" applyAlignment="1" applyProtection="1">
      <alignment vertical="center"/>
      <protection locked="0"/>
    </xf>
    <xf numFmtId="184" fontId="12" fillId="5" borderId="0" xfId="0" applyNumberFormat="1" applyFont="1" applyFill="1" applyAlignment="1" applyProtection="1">
      <alignment vertical="center"/>
      <protection locked="0"/>
    </xf>
    <xf numFmtId="4" fontId="12" fillId="5" borderId="0" xfId="0" applyNumberFormat="1" applyFont="1" applyFill="1" applyAlignment="1" applyProtection="1">
      <alignment vertical="center"/>
      <protection locked="0"/>
    </xf>
    <xf numFmtId="0" fontId="30" fillId="19" borderId="2" xfId="0" applyFont="1" applyFill="1" applyBorder="1" applyAlignment="1" applyProtection="1">
      <alignment vertical="center"/>
      <protection locked="0"/>
    </xf>
    <xf numFmtId="0" fontId="26" fillId="19" borderId="2" xfId="0" applyFont="1" applyFill="1" applyBorder="1" applyAlignment="1" applyProtection="1">
      <alignment vertical="center"/>
      <protection locked="0"/>
    </xf>
    <xf numFmtId="0" fontId="26" fillId="19" borderId="2" xfId="0" applyFont="1" applyFill="1" applyBorder="1" applyAlignment="1" applyProtection="1">
      <alignment horizontal="center" vertical="center"/>
      <protection locked="0"/>
    </xf>
    <xf numFmtId="0" fontId="50" fillId="3" borderId="2" xfId="0" applyFont="1" applyFill="1" applyBorder="1" applyAlignment="1" applyProtection="1">
      <alignment vertical="center"/>
      <protection locked="0"/>
    </xf>
    <xf numFmtId="177" fontId="50" fillId="3" borderId="2" xfId="0" applyNumberFormat="1" applyFont="1" applyFill="1" applyBorder="1" applyAlignment="1" applyProtection="1">
      <alignment horizontal="center" vertical="center"/>
      <protection locked="0"/>
    </xf>
    <xf numFmtId="0" fontId="50" fillId="6" borderId="0" xfId="0" applyFont="1" applyFill="1" applyAlignment="1" applyProtection="1">
      <alignment vertical="center"/>
      <protection locked="0"/>
    </xf>
    <xf numFmtId="177" fontId="50" fillId="6" borderId="0" xfId="0" applyNumberFormat="1" applyFont="1" applyFill="1" applyAlignment="1" applyProtection="1">
      <alignment horizontal="left" vertical="center"/>
      <protection locked="0"/>
    </xf>
    <xf numFmtId="0" fontId="50" fillId="6" borderId="0" xfId="0" applyFont="1" applyFill="1" applyAlignment="1">
      <alignment vertical="center"/>
    </xf>
    <xf numFmtId="177" fontId="51" fillId="6" borderId="0" xfId="0" applyNumberFormat="1" applyFont="1" applyFill="1" applyAlignment="1" applyProtection="1">
      <alignment horizontal="left" vertical="center"/>
      <protection locked="0"/>
    </xf>
    <xf numFmtId="0" fontId="30" fillId="19" borderId="2" xfId="0" applyFont="1" applyFill="1" applyBorder="1" applyAlignment="1" applyProtection="1">
      <alignment horizontal="center" vertical="center"/>
      <protection locked="0"/>
    </xf>
    <xf numFmtId="0" fontId="52" fillId="5" borderId="0" xfId="0" applyFont="1" applyFill="1" applyAlignment="1" applyProtection="1">
      <alignment vertical="center"/>
      <protection locked="0"/>
    </xf>
    <xf numFmtId="10" fontId="50" fillId="3" borderId="2" xfId="0" applyNumberFormat="1" applyFont="1" applyFill="1" applyBorder="1" applyAlignment="1" applyProtection="1">
      <alignment horizontal="center" vertical="center"/>
      <protection locked="0"/>
    </xf>
    <xf numFmtId="9" fontId="50" fillId="6" borderId="2" xfId="2" applyFont="1" applyFill="1" applyBorder="1" applyAlignment="1">
      <alignment horizontal="center" vertical="center"/>
    </xf>
    <xf numFmtId="0" fontId="38" fillId="0" borderId="40" xfId="10" applyFont="1" applyBorder="1" applyAlignment="1">
      <alignment vertical="center"/>
    </xf>
    <xf numFmtId="0" fontId="53" fillId="0" borderId="40" xfId="10" applyFont="1" applyBorder="1" applyAlignment="1">
      <alignment vertical="center"/>
    </xf>
    <xf numFmtId="0" fontId="38" fillId="0" borderId="40" xfId="0" applyFont="1" applyBorder="1" applyAlignment="1">
      <alignment vertical="center"/>
    </xf>
    <xf numFmtId="0" fontId="38" fillId="6" borderId="40" xfId="0" applyFont="1" applyFill="1" applyBorder="1" applyAlignment="1">
      <alignment vertical="center"/>
    </xf>
    <xf numFmtId="0" fontId="38" fillId="0" borderId="41" xfId="10" applyFont="1" applyBorder="1"/>
    <xf numFmtId="0" fontId="38" fillId="6" borderId="0" xfId="10" applyFont="1" applyFill="1"/>
    <xf numFmtId="0" fontId="38" fillId="6" borderId="40" xfId="10" applyFont="1" applyFill="1" applyBorder="1"/>
    <xf numFmtId="0" fontId="38" fillId="0" borderId="40" xfId="10" applyFont="1" applyBorder="1"/>
    <xf numFmtId="0" fontId="38" fillId="0" borderId="40" xfId="10" applyFont="1" applyBorder="1" applyAlignment="1">
      <alignment wrapText="1"/>
    </xf>
    <xf numFmtId="194" fontId="38" fillId="0" borderId="40" xfId="10" applyNumberFormat="1" applyFont="1" applyBorder="1"/>
    <xf numFmtId="0" fontId="38" fillId="6" borderId="40" xfId="10" applyFont="1" applyFill="1" applyBorder="1" applyAlignment="1">
      <alignment vertical="center"/>
    </xf>
    <xf numFmtId="0" fontId="55" fillId="0" borderId="54" xfId="10" applyFont="1" applyBorder="1" applyAlignment="1">
      <alignment vertical="center"/>
    </xf>
    <xf numFmtId="0" fontId="56" fillId="0" borderId="54" xfId="10" applyFont="1" applyBorder="1" applyAlignment="1">
      <alignment vertical="center"/>
    </xf>
    <xf numFmtId="0" fontId="56" fillId="0" borderId="54" xfId="10" applyFont="1" applyBorder="1" applyAlignment="1">
      <alignment vertical="center" wrapText="1"/>
    </xf>
    <xf numFmtId="194" fontId="56" fillId="0" borderId="54" xfId="10" applyNumberFormat="1" applyFont="1" applyBorder="1" applyAlignment="1" applyProtection="1">
      <alignment vertical="center"/>
      <protection locked="0"/>
    </xf>
    <xf numFmtId="194" fontId="56" fillId="0" borderId="54" xfId="10" applyNumberFormat="1" applyFont="1" applyBorder="1" applyAlignment="1">
      <alignment vertical="center"/>
    </xf>
    <xf numFmtId="0" fontId="55" fillId="0" borderId="40" xfId="10" applyFont="1" applyBorder="1" applyAlignment="1">
      <alignment vertical="center"/>
    </xf>
    <xf numFmtId="0" fontId="56" fillId="6" borderId="40" xfId="10" applyFont="1" applyFill="1" applyBorder="1" applyAlignment="1">
      <alignment vertical="center"/>
    </xf>
    <xf numFmtId="0" fontId="56" fillId="0" borderId="40" xfId="10" applyFont="1" applyBorder="1" applyAlignment="1">
      <alignment vertical="center" wrapText="1"/>
    </xf>
    <xf numFmtId="194" fontId="38" fillId="0" borderId="40" xfId="10" applyNumberFormat="1" applyFont="1" applyBorder="1" applyAlignment="1">
      <alignment vertical="center"/>
    </xf>
    <xf numFmtId="194" fontId="57" fillId="0" borderId="40" xfId="10" applyNumberFormat="1" applyFont="1" applyBorder="1" applyAlignment="1">
      <alignment vertical="center"/>
    </xf>
    <xf numFmtId="194" fontId="56" fillId="0" borderId="40" xfId="10" applyNumberFormat="1" applyFont="1" applyBorder="1" applyAlignment="1">
      <alignment vertical="center"/>
    </xf>
    <xf numFmtId="0" fontId="40" fillId="0" borderId="40" xfId="10" applyFont="1" applyBorder="1" applyAlignment="1">
      <alignment vertical="center"/>
    </xf>
    <xf numFmtId="0" fontId="53" fillId="6" borderId="40" xfId="10" applyFont="1" applyFill="1" applyBorder="1" applyAlignment="1">
      <alignment vertical="center"/>
    </xf>
    <xf numFmtId="0" fontId="55" fillId="4" borderId="41" xfId="10" applyFont="1" applyFill="1" applyBorder="1" applyAlignment="1">
      <alignment horizontal="left" vertical="center"/>
    </xf>
    <xf numFmtId="0" fontId="8" fillId="4" borderId="42" xfId="10" applyFont="1" applyFill="1" applyBorder="1" applyAlignment="1">
      <alignment vertical="center"/>
    </xf>
    <xf numFmtId="0" fontId="6" fillId="6" borderId="44" xfId="10" applyFont="1" applyFill="1" applyBorder="1" applyAlignment="1">
      <alignment vertical="center" wrapText="1"/>
    </xf>
    <xf numFmtId="194" fontId="55" fillId="4" borderId="41" xfId="10" applyNumberFormat="1" applyFont="1" applyFill="1" applyBorder="1" applyAlignment="1">
      <alignment horizontal="left" vertical="center"/>
    </xf>
    <xf numFmtId="194" fontId="55" fillId="0" borderId="41" xfId="10" applyNumberFormat="1" applyFont="1" applyBorder="1" applyAlignment="1">
      <alignment horizontal="center" vertical="center"/>
    </xf>
    <xf numFmtId="194" fontId="57" fillId="0" borderId="41" xfId="10" applyNumberFormat="1" applyFont="1" applyBorder="1" applyAlignment="1">
      <alignment vertical="center"/>
    </xf>
    <xf numFmtId="0" fontId="53" fillId="0" borderId="41" xfId="10" applyFont="1" applyBorder="1" applyAlignment="1">
      <alignment vertical="center"/>
    </xf>
    <xf numFmtId="194" fontId="55" fillId="4" borderId="41" xfId="10" applyNumberFormat="1" applyFont="1" applyFill="1" applyBorder="1" applyAlignment="1">
      <alignment vertical="center"/>
    </xf>
    <xf numFmtId="0" fontId="53" fillId="6" borderId="55" xfId="10" applyFont="1" applyFill="1" applyBorder="1" applyAlignment="1">
      <alignment vertical="center"/>
    </xf>
    <xf numFmtId="0" fontId="57" fillId="6" borderId="0" xfId="10" applyFont="1" applyFill="1" applyAlignment="1">
      <alignment vertical="center"/>
    </xf>
    <xf numFmtId="0" fontId="57" fillId="0" borderId="0" xfId="10" applyFont="1" applyAlignment="1">
      <alignment vertical="center" wrapText="1"/>
    </xf>
    <xf numFmtId="0" fontId="58" fillId="6" borderId="0" xfId="10" applyFont="1" applyFill="1" applyAlignment="1">
      <alignment vertical="center"/>
    </xf>
    <xf numFmtId="43" fontId="57" fillId="6" borderId="0" xfId="10" applyNumberFormat="1" applyFont="1" applyFill="1" applyAlignment="1">
      <alignment vertical="center"/>
    </xf>
    <xf numFmtId="194" fontId="57" fillId="6" borderId="0" xfId="10" applyNumberFormat="1" applyFont="1" applyFill="1" applyAlignment="1">
      <alignment vertical="center"/>
    </xf>
    <xf numFmtId="0" fontId="38" fillId="6" borderId="0" xfId="10" applyFont="1" applyFill="1" applyAlignment="1">
      <alignment vertical="center"/>
    </xf>
    <xf numFmtId="0" fontId="53" fillId="0" borderId="56" xfId="10" applyFont="1" applyBorder="1" applyAlignment="1">
      <alignment vertical="center"/>
    </xf>
    <xf numFmtId="0" fontId="55" fillId="6" borderId="47" xfId="10" applyFont="1" applyFill="1" applyBorder="1" applyAlignment="1">
      <alignment horizontal="left" vertical="center"/>
    </xf>
    <xf numFmtId="0" fontId="8" fillId="6" borderId="47" xfId="10" applyFont="1" applyFill="1" applyBorder="1" applyAlignment="1">
      <alignment vertical="center"/>
    </xf>
    <xf numFmtId="0" fontId="6" fillId="6" borderId="48" xfId="10" applyFont="1" applyFill="1" applyBorder="1" applyAlignment="1">
      <alignment vertical="center" wrapText="1"/>
    </xf>
    <xf numFmtId="43" fontId="57" fillId="6" borderId="0" xfId="10" applyNumberFormat="1" applyFont="1" applyFill="1" applyAlignment="1">
      <alignment horizontal="left" vertical="center"/>
    </xf>
    <xf numFmtId="43" fontId="57" fillId="6" borderId="48" xfId="10" applyNumberFormat="1" applyFont="1" applyFill="1" applyBorder="1" applyAlignment="1">
      <alignment horizontal="left" vertical="center"/>
    </xf>
    <xf numFmtId="194" fontId="55" fillId="6" borderId="57" xfId="10" applyNumberFormat="1" applyFont="1" applyFill="1" applyBorder="1" applyAlignment="1">
      <alignment horizontal="center" vertical="center"/>
    </xf>
    <xf numFmtId="194" fontId="57" fillId="6" borderId="57" xfId="10" applyNumberFormat="1" applyFont="1" applyFill="1" applyBorder="1" applyAlignment="1">
      <alignment vertical="center"/>
    </xf>
    <xf numFmtId="0" fontId="53" fillId="6" borderId="57" xfId="10" applyFont="1" applyFill="1" applyBorder="1" applyAlignment="1">
      <alignment vertical="center"/>
    </xf>
    <xf numFmtId="194" fontId="55" fillId="6" borderId="57" xfId="10" applyNumberFormat="1" applyFont="1" applyFill="1" applyBorder="1" applyAlignment="1">
      <alignment vertical="center"/>
    </xf>
    <xf numFmtId="0" fontId="8" fillId="6" borderId="47" xfId="10" applyFont="1" applyFill="1" applyBorder="1" applyAlignment="1">
      <alignment horizontal="left" vertical="center"/>
    </xf>
    <xf numFmtId="0" fontId="6" fillId="6" borderId="48" xfId="10" applyFont="1" applyFill="1" applyBorder="1" applyAlignment="1">
      <alignment horizontal="left" vertical="center"/>
    </xf>
    <xf numFmtId="0" fontId="38" fillId="0" borderId="40" xfId="10" applyFont="1" applyBorder="1" applyAlignment="1">
      <alignment vertical="center" wrapText="1"/>
    </xf>
    <xf numFmtId="43" fontId="38" fillId="6" borderId="40" xfId="10" applyNumberFormat="1" applyFont="1" applyFill="1" applyBorder="1" applyAlignment="1">
      <alignment vertical="center"/>
    </xf>
    <xf numFmtId="0" fontId="55" fillId="0" borderId="57" xfId="10" applyFont="1" applyBorder="1" applyAlignment="1">
      <alignment vertical="center"/>
    </xf>
    <xf numFmtId="0" fontId="57" fillId="0" borderId="47" xfId="10" applyFont="1" applyBorder="1" applyAlignment="1">
      <alignment vertical="center"/>
    </xf>
    <xf numFmtId="0" fontId="57" fillId="0" borderId="57" xfId="10" applyFont="1" applyBorder="1" applyAlignment="1">
      <alignment vertical="center" wrapText="1"/>
    </xf>
    <xf numFmtId="43" fontId="57" fillId="6" borderId="57" xfId="10" applyNumberFormat="1" applyFont="1" applyFill="1" applyBorder="1" applyAlignment="1">
      <alignment vertical="center"/>
    </xf>
    <xf numFmtId="0" fontId="38" fillId="6" borderId="55" xfId="10" applyFont="1" applyFill="1" applyBorder="1" applyAlignment="1">
      <alignment vertical="center"/>
    </xf>
    <xf numFmtId="194" fontId="61" fillId="14" borderId="2" xfId="10" applyNumberFormat="1" applyFont="1" applyFill="1" applyBorder="1" applyAlignment="1">
      <alignment horizontal="center" vertical="center"/>
    </xf>
    <xf numFmtId="194" fontId="62" fillId="14" borderId="2" xfId="10" applyNumberFormat="1" applyFont="1" applyFill="1" applyBorder="1" applyAlignment="1">
      <alignment horizontal="center" vertical="center"/>
    </xf>
    <xf numFmtId="0" fontId="38" fillId="0" borderId="56" xfId="10" applyFont="1" applyBorder="1" applyAlignment="1">
      <alignment vertical="center"/>
    </xf>
    <xf numFmtId="0" fontId="63" fillId="20" borderId="58" xfId="10" applyFont="1" applyFill="1" applyBorder="1" applyAlignment="1">
      <alignment horizontal="left" vertical="center"/>
    </xf>
    <xf numFmtId="0" fontId="53" fillId="20" borderId="59" xfId="10" applyFont="1" applyFill="1" applyBorder="1" applyAlignment="1">
      <alignment vertical="center"/>
    </xf>
    <xf numFmtId="0" fontId="53" fillId="20" borderId="59" xfId="10" applyFont="1" applyFill="1" applyBorder="1" applyAlignment="1">
      <alignment vertical="center" wrapText="1"/>
    </xf>
    <xf numFmtId="194" fontId="53" fillId="20" borderId="59" xfId="10" applyNumberFormat="1" applyFont="1" applyFill="1" applyBorder="1" applyAlignment="1">
      <alignment horizontal="center" vertical="center"/>
    </xf>
    <xf numFmtId="0" fontId="38" fillId="10" borderId="60" xfId="10" applyFont="1" applyFill="1" applyBorder="1" applyAlignment="1">
      <alignment horizontal="left" vertical="center"/>
    </xf>
    <xf numFmtId="0" fontId="32" fillId="10" borderId="60" xfId="10" applyFont="1" applyFill="1" applyBorder="1" applyAlignment="1">
      <alignment vertical="center"/>
    </xf>
    <xf numFmtId="0" fontId="38" fillId="10" borderId="60" xfId="10" applyFont="1" applyFill="1" applyBorder="1" applyAlignment="1">
      <alignment vertical="center" wrapText="1"/>
    </xf>
    <xf numFmtId="0" fontId="38" fillId="10" borderId="60" xfId="10" applyFont="1" applyFill="1" applyBorder="1" applyAlignment="1">
      <alignment vertical="center"/>
    </xf>
    <xf numFmtId="194" fontId="38" fillId="10" borderId="40" xfId="10" applyNumberFormat="1" applyFont="1" applyFill="1" applyBorder="1" applyAlignment="1">
      <alignment horizontal="center" vertical="center"/>
    </xf>
    <xf numFmtId="194" fontId="38" fillId="10" borderId="60" xfId="10" applyNumberFormat="1" applyFont="1" applyFill="1" applyBorder="1" applyAlignment="1">
      <alignment horizontal="center" vertical="center"/>
    </xf>
    <xf numFmtId="0" fontId="38" fillId="4" borderId="40" xfId="10" applyFont="1" applyFill="1" applyBorder="1" applyAlignment="1">
      <alignment horizontal="left" vertical="center"/>
    </xf>
    <xf numFmtId="0" fontId="34" fillId="4" borderId="40" xfId="10" applyFont="1" applyFill="1" applyBorder="1" applyAlignment="1">
      <alignment vertical="center" wrapText="1"/>
    </xf>
    <xf numFmtId="194" fontId="38" fillId="21" borderId="40" xfId="10" applyNumberFormat="1" applyFont="1" applyFill="1" applyBorder="1" applyAlignment="1">
      <alignment horizontal="center" vertical="center"/>
    </xf>
    <xf numFmtId="0" fontId="38" fillId="10" borderId="40" xfId="10" applyFont="1" applyFill="1" applyBorder="1" applyAlignment="1">
      <alignment horizontal="left" vertical="center"/>
    </xf>
    <xf numFmtId="0" fontId="34" fillId="10" borderId="40" xfId="10" applyFont="1" applyFill="1" applyBorder="1" applyAlignment="1">
      <alignment vertical="center"/>
    </xf>
    <xf numFmtId="0" fontId="38" fillId="10" borderId="40" xfId="10" applyFont="1" applyFill="1" applyBorder="1" applyAlignment="1">
      <alignment vertical="center" wrapText="1"/>
    </xf>
    <xf numFmtId="0" fontId="38" fillId="10" borderId="40" xfId="10" applyFont="1" applyFill="1" applyBorder="1" applyAlignment="1">
      <alignment vertical="center"/>
    </xf>
    <xf numFmtId="0" fontId="38" fillId="22" borderId="64" xfId="10" applyFont="1" applyFill="1" applyBorder="1" applyAlignment="1">
      <alignment vertical="center"/>
    </xf>
    <xf numFmtId="194" fontId="53" fillId="22" borderId="64" xfId="10" applyNumberFormat="1" applyFont="1" applyFill="1" applyBorder="1" applyAlignment="1">
      <alignment horizontal="center" vertical="center"/>
    </xf>
    <xf numFmtId="0" fontId="38" fillId="4" borderId="57" xfId="10" applyFont="1" applyFill="1" applyBorder="1" applyAlignment="1">
      <alignment horizontal="left" vertical="center"/>
    </xf>
    <xf numFmtId="0" fontId="38" fillId="6" borderId="41" xfId="10" applyFont="1" applyFill="1" applyBorder="1" applyAlignment="1">
      <alignment vertical="center"/>
    </xf>
    <xf numFmtId="194" fontId="38" fillId="21" borderId="41" xfId="10" applyNumberFormat="1" applyFont="1" applyFill="1" applyBorder="1" applyAlignment="1">
      <alignment horizontal="center" vertical="center"/>
    </xf>
    <xf numFmtId="0" fontId="38" fillId="6" borderId="57" xfId="10" applyFont="1" applyFill="1" applyBorder="1" applyAlignment="1">
      <alignment vertical="center"/>
    </xf>
    <xf numFmtId="0" fontId="38" fillId="6" borderId="57" xfId="10" applyFont="1" applyFill="1" applyBorder="1" applyAlignment="1">
      <alignment horizontal="left" vertical="center"/>
    </xf>
    <xf numFmtId="0" fontId="38" fillId="6" borderId="60" xfId="10" applyFont="1" applyFill="1" applyBorder="1" applyAlignment="1">
      <alignment vertical="center" wrapText="1"/>
    </xf>
    <xf numFmtId="194" fontId="38" fillId="6" borderId="60" xfId="10" applyNumberFormat="1" applyFont="1" applyFill="1" applyBorder="1" applyAlignment="1">
      <alignment horizontal="center" vertical="center"/>
    </xf>
    <xf numFmtId="194" fontId="38" fillId="6" borderId="57" xfId="10" applyNumberFormat="1" applyFont="1" applyFill="1" applyBorder="1" applyAlignment="1">
      <alignment horizontal="center" vertical="center"/>
    </xf>
    <xf numFmtId="0" fontId="63" fillId="23" borderId="65" xfId="10" applyFont="1" applyFill="1" applyBorder="1" applyAlignment="1">
      <alignment vertical="center"/>
    </xf>
    <xf numFmtId="0" fontId="64" fillId="23" borderId="65" xfId="10" applyFont="1" applyFill="1" applyBorder="1" applyAlignment="1">
      <alignment vertical="center"/>
    </xf>
    <xf numFmtId="0" fontId="38" fillId="23" borderId="65" xfId="10" applyFont="1" applyFill="1" applyBorder="1" applyAlignment="1">
      <alignment vertical="center" wrapText="1"/>
    </xf>
    <xf numFmtId="0" fontId="38" fillId="23" borderId="65" xfId="10" applyFont="1" applyFill="1" applyBorder="1" applyAlignment="1">
      <alignment vertical="center"/>
    </xf>
    <xf numFmtId="194" fontId="53" fillId="22" borderId="66" xfId="10" applyNumberFormat="1" applyFont="1" applyFill="1" applyBorder="1" applyAlignment="1">
      <alignment horizontal="center" vertical="center"/>
    </xf>
    <xf numFmtId="0" fontId="38" fillId="4" borderId="60" xfId="0" applyFont="1" applyFill="1" applyBorder="1" applyAlignment="1">
      <alignment horizontal="left" vertical="center"/>
    </xf>
    <xf numFmtId="0" fontId="34" fillId="4" borderId="60" xfId="0" applyFont="1" applyFill="1" applyBorder="1" applyAlignment="1">
      <alignment vertical="center"/>
    </xf>
    <xf numFmtId="0" fontId="34" fillId="4" borderId="60" xfId="0" applyFont="1" applyFill="1" applyBorder="1" applyAlignment="1">
      <alignment vertical="center" wrapText="1"/>
    </xf>
    <xf numFmtId="0" fontId="38" fillId="6" borderId="60" xfId="0" applyFont="1" applyFill="1" applyBorder="1" applyAlignment="1">
      <alignment vertical="center"/>
    </xf>
    <xf numFmtId="0" fontId="38" fillId="6" borderId="60" xfId="0" applyFont="1" applyFill="1" applyBorder="1" applyAlignment="1">
      <alignment horizontal="left" vertical="center"/>
    </xf>
    <xf numFmtId="0" fontId="38" fillId="6" borderId="60" xfId="0" applyFont="1" applyFill="1" applyBorder="1" applyAlignment="1">
      <alignment vertical="center" wrapText="1"/>
    </xf>
    <xf numFmtId="194" fontId="38" fillId="6" borderId="60" xfId="0" applyNumberFormat="1" applyFont="1" applyFill="1" applyBorder="1" applyAlignment="1">
      <alignment horizontal="center" vertical="center"/>
    </xf>
    <xf numFmtId="0" fontId="64" fillId="23" borderId="65" xfId="10" applyFont="1" applyFill="1" applyBorder="1" applyAlignment="1">
      <alignment vertical="center" wrapText="1"/>
    </xf>
    <xf numFmtId="0" fontId="38" fillId="6" borderId="40" xfId="0" applyFont="1" applyFill="1" applyBorder="1" applyAlignment="1">
      <alignment horizontal="left" vertical="center"/>
    </xf>
    <xf numFmtId="0" fontId="38" fillId="6" borderId="40" xfId="0" applyFont="1" applyFill="1" applyBorder="1" applyAlignment="1">
      <alignment vertical="center" wrapText="1"/>
    </xf>
    <xf numFmtId="194" fontId="38" fillId="6" borderId="40" xfId="10" applyNumberFormat="1" applyFont="1" applyFill="1" applyBorder="1" applyAlignment="1">
      <alignment vertical="center"/>
    </xf>
    <xf numFmtId="0" fontId="63" fillId="23" borderId="67" xfId="10" applyFont="1" applyFill="1" applyBorder="1" applyAlignment="1">
      <alignment vertical="center"/>
    </xf>
    <xf numFmtId="0" fontId="64" fillId="23" borderId="67" xfId="10" applyFont="1" applyFill="1" applyBorder="1" applyAlignment="1">
      <alignment vertical="center"/>
    </xf>
    <xf numFmtId="0" fontId="38" fillId="23" borderId="67" xfId="10" applyFont="1" applyFill="1" applyBorder="1" applyAlignment="1">
      <alignment vertical="center" wrapText="1"/>
    </xf>
    <xf numFmtId="0" fontId="38" fillId="23" borderId="67" xfId="10" applyFont="1" applyFill="1" applyBorder="1" applyAlignment="1">
      <alignment vertical="center"/>
    </xf>
    <xf numFmtId="194" fontId="53" fillId="23" borderId="67" xfId="10" applyNumberFormat="1" applyFont="1" applyFill="1" applyBorder="1" applyAlignment="1">
      <alignment horizontal="center" vertical="center"/>
    </xf>
    <xf numFmtId="0" fontId="38" fillId="4" borderId="40" xfId="10" applyFont="1" applyFill="1" applyBorder="1" applyAlignment="1">
      <alignment vertical="center" wrapText="1"/>
    </xf>
    <xf numFmtId="0" fontId="38" fillId="0" borderId="40" xfId="0" applyFont="1" applyBorder="1" applyAlignment="1">
      <alignment horizontal="left" vertical="center"/>
    </xf>
    <xf numFmtId="0" fontId="38" fillId="0" borderId="40" xfId="0" applyFont="1" applyBorder="1" applyAlignment="1">
      <alignment vertical="center" wrapText="1"/>
    </xf>
    <xf numFmtId="194" fontId="38" fillId="0" borderId="56" xfId="10" applyNumberFormat="1" applyFont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63" fillId="23" borderId="68" xfId="10" applyFont="1" applyFill="1" applyBorder="1" applyAlignment="1">
      <alignment vertical="center"/>
    </xf>
    <xf numFmtId="0" fontId="64" fillId="23" borderId="68" xfId="10" applyFont="1" applyFill="1" applyBorder="1" applyAlignment="1">
      <alignment vertical="center"/>
    </xf>
    <xf numFmtId="0" fontId="38" fillId="23" borderId="68" xfId="10" applyFont="1" applyFill="1" applyBorder="1" applyAlignment="1">
      <alignment vertical="center" wrapText="1"/>
    </xf>
    <xf numFmtId="0" fontId="38" fillId="4" borderId="60" xfId="0" applyFont="1" applyFill="1" applyBorder="1" applyAlignment="1">
      <alignment vertical="center" wrapText="1"/>
    </xf>
    <xf numFmtId="0" fontId="38" fillId="6" borderId="56" xfId="0" applyFont="1" applyFill="1" applyBorder="1" applyAlignment="1">
      <alignment vertical="center"/>
    </xf>
    <xf numFmtId="0" fontId="38" fillId="6" borderId="44" xfId="0" applyFont="1" applyFill="1" applyBorder="1" applyAlignment="1">
      <alignment vertical="center"/>
    </xf>
    <xf numFmtId="0" fontId="38" fillId="6" borderId="46" xfId="10" applyFont="1" applyFill="1" applyBorder="1" applyAlignment="1">
      <alignment vertical="center"/>
    </xf>
    <xf numFmtId="0" fontId="38" fillId="0" borderId="41" xfId="0" applyFont="1" applyBorder="1" applyAlignment="1">
      <alignment horizontal="left" vertical="center"/>
    </xf>
    <xf numFmtId="0" fontId="38" fillId="0" borderId="41" xfId="0" applyFont="1" applyBorder="1" applyAlignment="1">
      <alignment vertical="center" wrapText="1"/>
    </xf>
    <xf numFmtId="0" fontId="38" fillId="0" borderId="41" xfId="0" applyFont="1" applyBorder="1" applyAlignment="1">
      <alignment vertical="center"/>
    </xf>
    <xf numFmtId="194" fontId="38" fillId="0" borderId="44" xfId="10" applyNumberFormat="1" applyFont="1" applyBorder="1" applyAlignment="1">
      <alignment vertical="center"/>
    </xf>
    <xf numFmtId="0" fontId="38" fillId="6" borderId="48" xfId="10" applyFont="1" applyFill="1" applyBorder="1" applyAlignment="1">
      <alignment vertical="center"/>
    </xf>
    <xf numFmtId="0" fontId="38" fillId="6" borderId="57" xfId="10" applyFont="1" applyFill="1" applyBorder="1" applyAlignment="1">
      <alignment vertical="center" wrapText="1"/>
    </xf>
    <xf numFmtId="0" fontId="38" fillId="6" borderId="60" xfId="10" applyFont="1" applyFill="1" applyBorder="1" applyAlignment="1">
      <alignment vertical="center"/>
    </xf>
    <xf numFmtId="0" fontId="38" fillId="6" borderId="41" xfId="10" applyFont="1" applyFill="1" applyBorder="1"/>
    <xf numFmtId="0" fontId="38" fillId="0" borderId="69" xfId="10" applyFont="1" applyBorder="1"/>
    <xf numFmtId="0" fontId="38" fillId="0" borderId="69" xfId="10" applyFont="1" applyBorder="1" applyAlignment="1">
      <alignment wrapText="1"/>
    </xf>
    <xf numFmtId="194" fontId="38" fillId="0" borderId="69" xfId="10" applyNumberFormat="1" applyFont="1" applyBorder="1"/>
    <xf numFmtId="0" fontId="38" fillId="0" borderId="57" xfId="10" applyFont="1" applyBorder="1"/>
    <xf numFmtId="0" fontId="38" fillId="0" borderId="57" xfId="10" applyFont="1" applyBorder="1" applyAlignment="1">
      <alignment wrapText="1"/>
    </xf>
    <xf numFmtId="194" fontId="38" fillId="0" borderId="57" xfId="10" applyNumberFormat="1" applyFont="1" applyBorder="1"/>
    <xf numFmtId="0" fontId="66" fillId="0" borderId="0" xfId="0" applyFont="1" applyAlignment="1">
      <alignment vertical="center"/>
    </xf>
    <xf numFmtId="0" fontId="66" fillId="24" borderId="0" xfId="0" applyFont="1" applyFill="1" applyAlignment="1">
      <alignment vertical="center"/>
    </xf>
    <xf numFmtId="31" fontId="66" fillId="0" borderId="0" xfId="0" applyNumberFormat="1" applyFont="1" applyAlignment="1">
      <alignment vertical="center"/>
    </xf>
    <xf numFmtId="31" fontId="66" fillId="0" borderId="0" xfId="0" applyNumberFormat="1" applyFont="1" applyAlignment="1">
      <alignment horizontal="left" vertical="center"/>
    </xf>
    <xf numFmtId="31" fontId="66" fillId="24" borderId="0" xfId="0" applyNumberFormat="1" applyFont="1" applyFill="1" applyAlignment="1">
      <alignment horizontal="left" vertical="center"/>
    </xf>
    <xf numFmtId="0" fontId="66" fillId="0" borderId="0" xfId="0" applyFont="1" applyAlignment="1">
      <alignment vertical="center" wrapText="1"/>
    </xf>
    <xf numFmtId="0" fontId="66" fillId="24" borderId="0" xfId="0" applyFont="1" applyFill="1" applyAlignment="1">
      <alignment vertical="center" wrapText="1"/>
    </xf>
    <xf numFmtId="0" fontId="66" fillId="0" borderId="0" xfId="0" applyFont="1" applyAlignment="1">
      <alignment horizontal="left" vertical="center"/>
    </xf>
    <xf numFmtId="0" fontId="66" fillId="24" borderId="0" xfId="0" applyFont="1" applyFill="1" applyAlignment="1">
      <alignment horizontal="left" vertical="center"/>
    </xf>
    <xf numFmtId="0" fontId="67" fillId="0" borderId="0" xfId="0" applyFont="1" applyAlignment="1">
      <alignment vertical="center"/>
    </xf>
    <xf numFmtId="0" fontId="67" fillId="0" borderId="2" xfId="0" applyFont="1" applyBorder="1" applyAlignment="1">
      <alignment vertical="center"/>
    </xf>
    <xf numFmtId="0" fontId="67" fillId="0" borderId="8" xfId="0" applyFont="1" applyBorder="1" applyAlignment="1">
      <alignment vertical="center"/>
    </xf>
    <xf numFmtId="0" fontId="56" fillId="0" borderId="40" xfId="10" applyFont="1" applyBorder="1" applyAlignment="1">
      <alignment vertical="center"/>
    </xf>
    <xf numFmtId="178" fontId="38" fillId="26" borderId="2" xfId="0" applyNumberFormat="1" applyFont="1" applyFill="1" applyBorder="1" applyAlignment="1" applyProtection="1">
      <alignment vertical="center"/>
      <protection locked="0"/>
    </xf>
    <xf numFmtId="0" fontId="35" fillId="6" borderId="2" xfId="0" applyFont="1" applyFill="1" applyBorder="1" applyAlignment="1" applyProtection="1">
      <alignment horizontal="left" vertical="center"/>
      <protection locked="0"/>
    </xf>
    <xf numFmtId="178" fontId="28" fillId="26" borderId="36" xfId="0" applyNumberFormat="1" applyFont="1" applyFill="1" applyBorder="1" applyAlignment="1" applyProtection="1">
      <alignment vertical="center"/>
      <protection locked="0"/>
    </xf>
    <xf numFmtId="0" fontId="90" fillId="26" borderId="2" xfId="0" applyFont="1" applyFill="1" applyBorder="1" applyAlignment="1" applyProtection="1">
      <alignment vertical="center"/>
      <protection locked="0"/>
    </xf>
    <xf numFmtId="0" fontId="34" fillId="26" borderId="2" xfId="0" applyFont="1" applyFill="1" applyBorder="1" applyAlignment="1" applyProtection="1">
      <alignment vertical="center"/>
      <protection locked="0"/>
    </xf>
    <xf numFmtId="0" fontId="28" fillId="26" borderId="2" xfId="0" applyFont="1" applyFill="1" applyBorder="1" applyAlignment="1" applyProtection="1">
      <alignment vertical="center"/>
      <protection locked="0"/>
    </xf>
    <xf numFmtId="0" fontId="35" fillId="26" borderId="2" xfId="0" applyFont="1" applyFill="1" applyBorder="1" applyAlignment="1" applyProtection="1">
      <alignment vertical="center"/>
      <protection locked="0"/>
    </xf>
    <xf numFmtId="0" fontId="35" fillId="6" borderId="36" xfId="0" applyFont="1" applyFill="1" applyBorder="1" applyAlignment="1" applyProtection="1">
      <alignment vertical="center"/>
      <protection locked="0"/>
    </xf>
    <xf numFmtId="0" fontId="91" fillId="6" borderId="2" xfId="0" applyFont="1" applyFill="1" applyBorder="1" applyAlignment="1" applyProtection="1">
      <alignment vertical="center"/>
      <protection locked="0"/>
    </xf>
    <xf numFmtId="0" fontId="92" fillId="6" borderId="2" xfId="0" applyFont="1" applyFill="1" applyBorder="1" applyAlignment="1" applyProtection="1">
      <alignment vertical="center"/>
      <protection locked="0"/>
    </xf>
    <xf numFmtId="0" fontId="3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29" fillId="0" borderId="71" xfId="0" applyFont="1" applyBorder="1" applyAlignment="1">
      <alignment horizontal="center" vertical="center"/>
    </xf>
    <xf numFmtId="0" fontId="34" fillId="0" borderId="71" xfId="0" applyFont="1" applyBorder="1" applyAlignment="1" applyProtection="1">
      <alignment vertical="center" wrapText="1"/>
      <protection locked="0"/>
    </xf>
    <xf numFmtId="0" fontId="34" fillId="0" borderId="71" xfId="0" applyFont="1" applyBorder="1" applyAlignment="1" applyProtection="1">
      <alignment vertical="center"/>
      <protection locked="0"/>
    </xf>
    <xf numFmtId="187" fontId="29" fillId="0" borderId="71" xfId="0" applyNumberFormat="1" applyFont="1" applyBorder="1" applyAlignment="1">
      <alignment horizontal="center" vertical="center"/>
    </xf>
    <xf numFmtId="0" fontId="38" fillId="0" borderId="71" xfId="0" applyFont="1" applyBorder="1" applyAlignment="1" applyProtection="1">
      <alignment horizontal="center" vertical="center"/>
      <protection locked="0"/>
    </xf>
    <xf numFmtId="184" fontId="29" fillId="0" borderId="71" xfId="0" applyNumberFormat="1" applyFont="1" applyBorder="1" applyAlignment="1">
      <alignment horizontal="center" vertical="center"/>
    </xf>
    <xf numFmtId="0" fontId="93" fillId="6" borderId="2" xfId="0" applyFont="1" applyFill="1" applyBorder="1" applyAlignment="1" applyProtection="1">
      <alignment vertical="center"/>
      <protection locked="0"/>
    </xf>
    <xf numFmtId="0" fontId="35" fillId="0" borderId="71" xfId="0" applyFont="1" applyBorder="1" applyAlignment="1" applyProtection="1">
      <alignment horizontal="left" vertical="center"/>
      <protection locked="0"/>
    </xf>
    <xf numFmtId="178" fontId="38" fillId="10" borderId="71" xfId="0" applyNumberFormat="1" applyFont="1" applyFill="1" applyBorder="1" applyAlignment="1" applyProtection="1">
      <alignment vertical="center"/>
      <protection locked="0"/>
    </xf>
    <xf numFmtId="0" fontId="38" fillId="6" borderId="71" xfId="0" applyFont="1" applyFill="1" applyBorder="1" applyAlignment="1" applyProtection="1">
      <alignment vertical="center"/>
      <protection locked="0"/>
    </xf>
    <xf numFmtId="0" fontId="38" fillId="3" borderId="71" xfId="0" applyFont="1" applyFill="1" applyBorder="1" applyAlignment="1">
      <alignment horizontal="center" vertical="center"/>
    </xf>
    <xf numFmtId="11" fontId="38" fillId="7" borderId="71" xfId="0" applyNumberFormat="1" applyFont="1" applyFill="1" applyBorder="1" applyAlignment="1" applyProtection="1">
      <alignment vertical="center"/>
      <protection locked="0"/>
    </xf>
    <xf numFmtId="0" fontId="38" fillId="0" borderId="71" xfId="0" applyFont="1" applyBorder="1" applyAlignment="1" applyProtection="1">
      <alignment vertical="center"/>
      <protection locked="0"/>
    </xf>
    <xf numFmtId="9" fontId="38" fillId="7" borderId="71" xfId="0" applyNumberFormat="1" applyFont="1" applyFill="1" applyBorder="1" applyAlignment="1" applyProtection="1">
      <alignment horizontal="center" vertical="center"/>
      <protection locked="0"/>
    </xf>
    <xf numFmtId="0" fontId="38" fillId="5" borderId="71" xfId="0" applyFont="1" applyFill="1" applyBorder="1" applyAlignment="1" applyProtection="1">
      <alignment horizontal="center" vertical="center"/>
      <protection locked="0"/>
    </xf>
    <xf numFmtId="180" fontId="38" fillId="3" borderId="71" xfId="0" applyNumberFormat="1" applyFont="1" applyFill="1" applyBorder="1" applyAlignment="1">
      <alignment horizontal="right" vertical="center"/>
    </xf>
    <xf numFmtId="0" fontId="38" fillId="5" borderId="71" xfId="0" applyFont="1" applyFill="1" applyBorder="1" applyAlignment="1" applyProtection="1">
      <alignment horizontal="left" vertical="center"/>
      <protection locked="0"/>
    </xf>
    <xf numFmtId="0" fontId="38" fillId="3" borderId="71" xfId="0" applyFont="1" applyFill="1" applyBorder="1" applyAlignment="1">
      <alignment vertical="center"/>
    </xf>
    <xf numFmtId="187" fontId="29" fillId="10" borderId="7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78" fontId="49" fillId="16" borderId="6" xfId="0" applyNumberFormat="1" applyFont="1" applyFill="1" applyBorder="1" applyAlignment="1">
      <alignment horizontal="center" vertical="center"/>
    </xf>
    <xf numFmtId="178" fontId="49" fillId="16" borderId="39" xfId="0" applyNumberFormat="1" applyFont="1" applyFill="1" applyBorder="1" applyAlignment="1">
      <alignment horizontal="center" vertical="center"/>
    </xf>
    <xf numFmtId="0" fontId="48" fillId="18" borderId="2" xfId="0" applyFont="1" applyFill="1" applyBorder="1" applyAlignment="1" applyProtection="1">
      <alignment horizontal="left" vertical="center" wrapText="1"/>
      <protection locked="0"/>
    </xf>
    <xf numFmtId="0" fontId="30" fillId="2" borderId="8" xfId="0" applyFont="1" applyFill="1" applyBorder="1" applyAlignment="1" applyProtection="1">
      <alignment horizontal="left" vertical="center"/>
      <protection locked="0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9" xfId="0" applyFont="1" applyFill="1" applyBorder="1" applyAlignment="1" applyProtection="1">
      <alignment horizontal="left" vertical="center"/>
      <protection locked="0"/>
    </xf>
    <xf numFmtId="0" fontId="14" fillId="5" borderId="5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6" fillId="2" borderId="34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0" fontId="47" fillId="18" borderId="2" xfId="0" applyFont="1" applyFill="1" applyBorder="1" applyAlignment="1">
      <alignment horizontal="center" vertical="center"/>
    </xf>
    <xf numFmtId="0" fontId="30" fillId="19" borderId="8" xfId="0" applyFont="1" applyFill="1" applyBorder="1" applyAlignment="1" applyProtection="1">
      <alignment horizontal="left" vertical="center"/>
      <protection locked="0"/>
    </xf>
    <xf numFmtId="0" fontId="30" fillId="19" borderId="9" xfId="0" applyFont="1" applyFill="1" applyBorder="1" applyAlignment="1" applyProtection="1">
      <alignment horizontal="left" vertical="center"/>
      <protection locked="0"/>
    </xf>
    <xf numFmtId="0" fontId="30" fillId="19" borderId="10" xfId="0" applyFont="1" applyFill="1" applyBorder="1" applyAlignment="1" applyProtection="1">
      <alignment horizontal="left" vertical="center"/>
      <protection locked="0"/>
    </xf>
    <xf numFmtId="0" fontId="30" fillId="19" borderId="2" xfId="0" applyFont="1" applyFill="1" applyBorder="1" applyAlignment="1" applyProtection="1">
      <alignment horizontal="left" vertical="center"/>
      <protection locked="0"/>
    </xf>
    <xf numFmtId="0" fontId="26" fillId="19" borderId="2" xfId="0" applyFont="1" applyFill="1" applyBorder="1" applyAlignment="1" applyProtection="1">
      <alignment horizontal="left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52" fillId="4" borderId="2" xfId="0" applyFont="1" applyFill="1" applyBorder="1" applyAlignment="1" applyProtection="1">
      <alignment horizontal="center" vertical="center"/>
      <protection locked="0"/>
    </xf>
    <xf numFmtId="0" fontId="34" fillId="0" borderId="45" xfId="3" applyFont="1" applyBorder="1" applyAlignment="1">
      <alignment horizontal="left" vertical="center"/>
    </xf>
    <xf numFmtId="0" fontId="38" fillId="0" borderId="46" xfId="3" applyFont="1" applyBorder="1" applyAlignment="1">
      <alignment horizontal="left" vertical="center"/>
    </xf>
    <xf numFmtId="0" fontId="38" fillId="0" borderId="45" xfId="3" applyFont="1" applyBorder="1" applyAlignment="1">
      <alignment horizontal="left" vertical="center"/>
    </xf>
    <xf numFmtId="194" fontId="34" fillId="0" borderId="52" xfId="10" applyNumberFormat="1" applyFont="1" applyBorder="1" applyAlignment="1">
      <alignment horizontal="left"/>
    </xf>
    <xf numFmtId="194" fontId="38" fillId="0" borderId="53" xfId="10" applyNumberFormat="1" applyFont="1" applyBorder="1" applyAlignment="1">
      <alignment horizontal="left"/>
    </xf>
    <xf numFmtId="0" fontId="8" fillId="4" borderId="42" xfId="10" applyFont="1" applyFill="1" applyBorder="1" applyAlignment="1">
      <alignment horizontal="left" vertical="center"/>
    </xf>
    <xf numFmtId="0" fontId="6" fillId="4" borderId="44" xfId="10" applyFont="1" applyFill="1" applyBorder="1" applyAlignment="1">
      <alignment horizontal="left" vertical="center"/>
    </xf>
    <xf numFmtId="0" fontId="54" fillId="0" borderId="42" xfId="10" applyFont="1" applyBorder="1" applyAlignment="1">
      <alignment horizontal="center" vertical="center"/>
    </xf>
    <xf numFmtId="0" fontId="54" fillId="0" borderId="43" xfId="10" applyFont="1" applyBorder="1" applyAlignment="1">
      <alignment horizontal="center" vertical="center"/>
    </xf>
    <xf numFmtId="0" fontId="54" fillId="0" borderId="44" xfId="10" applyFont="1" applyBorder="1" applyAlignment="1">
      <alignment horizontal="center" vertical="center"/>
    </xf>
    <xf numFmtId="0" fontId="54" fillId="0" borderId="47" xfId="10" applyFont="1" applyBorder="1" applyAlignment="1">
      <alignment horizontal="center" vertical="center"/>
    </xf>
    <xf numFmtId="0" fontId="54" fillId="0" borderId="0" xfId="10" applyFont="1" applyAlignment="1">
      <alignment horizontal="center" vertical="center"/>
    </xf>
    <xf numFmtId="0" fontId="54" fillId="0" borderId="48" xfId="10" applyFont="1" applyBorder="1" applyAlignment="1">
      <alignment horizontal="center" vertical="center"/>
    </xf>
    <xf numFmtId="0" fontId="54" fillId="0" borderId="49" xfId="10" applyFont="1" applyBorder="1" applyAlignment="1">
      <alignment horizontal="center" vertical="center"/>
    </xf>
    <xf numFmtId="0" fontId="54" fillId="0" borderId="50" xfId="10" applyFont="1" applyBorder="1" applyAlignment="1">
      <alignment horizontal="center" vertical="center"/>
    </xf>
    <xf numFmtId="0" fontId="54" fillId="0" borderId="51" xfId="10" applyFont="1" applyBorder="1" applyAlignment="1">
      <alignment horizontal="center" vertical="center"/>
    </xf>
    <xf numFmtId="194" fontId="62" fillId="14" borderId="2" xfId="10" applyNumberFormat="1" applyFont="1" applyFill="1" applyBorder="1" applyAlignment="1">
      <alignment horizontal="center" vertical="center"/>
    </xf>
    <xf numFmtId="0" fontId="64" fillId="22" borderId="61" xfId="10" applyFont="1" applyFill="1" applyBorder="1" applyAlignment="1">
      <alignment horizontal="left" vertical="center"/>
    </xf>
    <xf numFmtId="0" fontId="53" fillId="22" borderId="62" xfId="10" applyFont="1" applyFill="1" applyBorder="1" applyAlignment="1">
      <alignment horizontal="left" vertical="center"/>
    </xf>
    <xf numFmtId="0" fontId="53" fillId="22" borderId="63" xfId="10" applyFont="1" applyFill="1" applyBorder="1" applyAlignment="1">
      <alignment horizontal="left" vertical="center"/>
    </xf>
    <xf numFmtId="0" fontId="59" fillId="14" borderId="2" xfId="10" applyFont="1" applyFill="1" applyBorder="1" applyAlignment="1">
      <alignment horizontal="center" vertical="center"/>
    </xf>
    <xf numFmtId="0" fontId="60" fillId="14" borderId="2" xfId="10" applyFont="1" applyFill="1" applyBorder="1" applyAlignment="1">
      <alignment horizontal="center" vertical="center"/>
    </xf>
    <xf numFmtId="0" fontId="60" fillId="14" borderId="2" xfId="10" applyFont="1" applyFill="1" applyBorder="1" applyAlignment="1">
      <alignment horizontal="center" vertical="center" wrapText="1"/>
    </xf>
    <xf numFmtId="194" fontId="60" fillId="14" borderId="2" xfId="10" applyNumberFormat="1" applyFont="1" applyFill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0" fillId="14" borderId="2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26" fillId="14" borderId="8" xfId="0" applyFont="1" applyFill="1" applyBorder="1" applyAlignment="1">
      <alignment horizontal="center" vertical="center"/>
    </xf>
    <xf numFmtId="0" fontId="26" fillId="14" borderId="9" xfId="0" applyFont="1" applyFill="1" applyBorder="1" applyAlignment="1">
      <alignment horizontal="center" vertical="center"/>
    </xf>
    <xf numFmtId="0" fontId="39" fillId="14" borderId="2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 wrapText="1"/>
    </xf>
    <xf numFmtId="0" fontId="29" fillId="10" borderId="8" xfId="0" applyFont="1" applyFill="1" applyBorder="1" applyAlignment="1">
      <alignment horizontal="left" vertical="center"/>
    </xf>
    <xf numFmtId="0" fontId="36" fillId="10" borderId="10" xfId="0" applyFont="1" applyFill="1" applyBorder="1" applyAlignment="1">
      <alignment horizontal="left" vertical="center"/>
    </xf>
    <xf numFmtId="0" fontId="36" fillId="10" borderId="9" xfId="0" applyFont="1" applyFill="1" applyBorder="1" applyAlignment="1">
      <alignment horizontal="left" vertical="center"/>
    </xf>
    <xf numFmtId="179" fontId="28" fillId="11" borderId="8" xfId="23" applyNumberFormat="1" applyFont="1" applyFill="1" applyBorder="1" applyAlignment="1">
      <alignment horizontal="center" vertical="center"/>
    </xf>
    <xf numFmtId="179" fontId="28" fillId="11" borderId="9" xfId="23" applyNumberFormat="1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left" vertical="center"/>
    </xf>
    <xf numFmtId="0" fontId="13" fillId="5" borderId="5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34" fillId="6" borderId="71" xfId="0" applyFont="1" applyFill="1" applyBorder="1" applyAlignment="1" applyProtection="1">
      <alignment vertical="center"/>
      <protection locked="0"/>
    </xf>
  </cellXfs>
  <cellStyles count="24">
    <cellStyle name="Normal 2" xfId="3" xr:uid="{00000000-0005-0000-0000-000031000000}"/>
    <cellStyle name="SAPBEXaggData 2 4 3 2 2 5" xfId="4" xr:uid="{00000000-0005-0000-0000-000032000000}"/>
    <cellStyle name="百分比" xfId="2" builtinId="5"/>
    <cellStyle name="百分比 2" xfId="5" xr:uid="{00000000-0005-0000-0000-000033000000}"/>
    <cellStyle name="常规" xfId="0" builtinId="0"/>
    <cellStyle name="常规 2" xfId="6" xr:uid="{00000000-0005-0000-0000-000034000000}"/>
    <cellStyle name="常规 2 2" xfId="7" xr:uid="{00000000-0005-0000-0000-000035000000}"/>
    <cellStyle name="常规 2 3" xfId="8" xr:uid="{00000000-0005-0000-0000-000036000000}"/>
    <cellStyle name="常规 3" xfId="9" xr:uid="{00000000-0005-0000-0000-000037000000}"/>
    <cellStyle name="常规 4" xfId="10" xr:uid="{00000000-0005-0000-0000-000038000000}"/>
    <cellStyle name="常规 5" xfId="11" xr:uid="{00000000-0005-0000-0000-000039000000}"/>
    <cellStyle name="常规 6" xfId="12" xr:uid="{00000000-0005-0000-0000-00003A000000}"/>
    <cellStyle name="常规 8" xfId="13" xr:uid="{00000000-0005-0000-0000-00003B000000}"/>
    <cellStyle name="千分位 2 2" xfId="14" xr:uid="{00000000-0005-0000-0000-00003C000000}"/>
    <cellStyle name="千位分隔" xfId="1" builtinId="3"/>
    <cellStyle name="千位分隔 2" xfId="15" xr:uid="{00000000-0005-0000-0000-00003D000000}"/>
    <cellStyle name="千位分隔 2 2" xfId="16" xr:uid="{00000000-0005-0000-0000-00003E000000}"/>
    <cellStyle name="千位分隔 3" xfId="17" xr:uid="{00000000-0005-0000-0000-00003F000000}"/>
    <cellStyle name="千位分隔 4" xfId="18" xr:uid="{00000000-0005-0000-0000-000040000000}"/>
    <cellStyle name="一般 2" xfId="19" xr:uid="{00000000-0005-0000-0000-000041000000}"/>
    <cellStyle name="一般 2 2" xfId="20" xr:uid="{00000000-0005-0000-0000-000042000000}"/>
    <cellStyle name="一般 3" xfId="21" xr:uid="{00000000-0005-0000-0000-000043000000}"/>
    <cellStyle name="一般_Greenhouse Gas Inventory2009" xfId="22" xr:uid="{00000000-0005-0000-0000-000044000000}"/>
    <cellStyle name="一般_排放清冊-台中廠-1127_DDB103900溫室氣體盤查清冊管理表" xfId="23" xr:uid="{00000000-0005-0000-0000-000045000000}"/>
  </cellStyles>
  <dxfs count="0"/>
  <tableStyles count="0" defaultTableStyle="TableStyleMedium2" defaultPivotStyle="PivotStyleLight16"/>
  <colors>
    <mruColors>
      <color rgb="FFFF6600"/>
      <color rgb="FFFABF8F"/>
      <color rgb="FFFF0000"/>
      <color rgb="FFC00000"/>
      <color rgb="FFA6A6A6"/>
      <color rgb="FFFFCC99"/>
      <color rgb="FFC0C0C0"/>
      <color rgb="FFFFFFFF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24403" name="Line 507">
          <a:extLst>
            <a:ext uri="{FF2B5EF4-FFF2-40B4-BE49-F238E27FC236}">
              <a16:creationId xmlns:a16="http://schemas.microsoft.com/office/drawing/2014/main" id="{00000000-0008-0000-0500-0000535F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404" name="Line 508">
          <a:extLst>
            <a:ext uri="{FF2B5EF4-FFF2-40B4-BE49-F238E27FC236}">
              <a16:creationId xmlns:a16="http://schemas.microsoft.com/office/drawing/2014/main" id="{00000000-0008-0000-0500-0000545F0000}"/>
            </a:ext>
          </a:extLst>
        </xdr:cNvPr>
        <xdr:cNvSpPr/>
      </xdr:nvSpPr>
      <xdr:spPr>
        <a:xfrm>
          <a:off x="69246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4405" name="Line 509">
          <a:extLst>
            <a:ext uri="{FF2B5EF4-FFF2-40B4-BE49-F238E27FC236}">
              <a16:creationId xmlns:a16="http://schemas.microsoft.com/office/drawing/2014/main" id="{00000000-0008-0000-0500-0000555F0000}"/>
            </a:ext>
          </a:extLst>
        </xdr:cNvPr>
        <xdr:cNvSpPr/>
      </xdr:nvSpPr>
      <xdr:spPr>
        <a:xfrm>
          <a:off x="69246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28</xdr:col>
      <xdr:colOff>550769</xdr:colOff>
      <xdr:row>103</xdr:row>
      <xdr:rowOff>207868</xdr:rowOff>
    </xdr:from>
    <xdr:to>
      <xdr:col>37</xdr:col>
      <xdr:colOff>369793</xdr:colOff>
      <xdr:row>128</xdr:row>
      <xdr:rowOff>32203</xdr:rowOff>
    </xdr:to>
    <xdr:pic>
      <xdr:nvPicPr>
        <xdr:cNvPr id="24406" name="图片 2">
          <a:extLst>
            <a:ext uri="{FF2B5EF4-FFF2-40B4-BE49-F238E27FC236}">
              <a16:creationId xmlns:a16="http://schemas.microsoft.com/office/drawing/2014/main" id="{00000000-0008-0000-0500-0000565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82745" y="21292820"/>
          <a:ext cx="8410575" cy="414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412451</xdr:colOff>
      <xdr:row>120</xdr:row>
      <xdr:rowOff>174812</xdr:rowOff>
    </xdr:from>
    <xdr:to>
      <xdr:col>35</xdr:col>
      <xdr:colOff>481271</xdr:colOff>
      <xdr:row>126</xdr:row>
      <xdr:rowOff>157419</xdr:rowOff>
    </xdr:to>
    <xdr:pic>
      <xdr:nvPicPr>
        <xdr:cNvPr id="24407" name="图片 3">
          <a:extLst>
            <a:ext uri="{FF2B5EF4-FFF2-40B4-BE49-F238E27FC236}">
              <a16:creationId xmlns:a16="http://schemas.microsoft.com/office/drawing/2014/main" id="{00000000-0008-0000-0500-0000575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92015" y="25146000"/>
          <a:ext cx="5935980" cy="100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</xdr:row>
      <xdr:rowOff>40339</xdr:rowOff>
    </xdr:from>
    <xdr:to>
      <xdr:col>5</xdr:col>
      <xdr:colOff>657225</xdr:colOff>
      <xdr:row>105</xdr:row>
      <xdr:rowOff>95307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>
        <a:xfrm>
          <a:off x="0" y="22289135"/>
          <a:ext cx="7143750" cy="1857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FF66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备注：</a:t>
          </a:r>
          <a:endParaRPr lang="zh-CN" altLang="en-US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=(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活动数据得分</a:t>
          </a:r>
          <a:r>
            <a:rPr lang="en-GB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排放系数得分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校准频率得分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)/3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排放量占比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排放源排放量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总排放量</a:t>
          </a: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平均积分*排放占比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加权合计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el-GR" altLang="zh-CN" sz="1200" b="0" i="0" u="none" strike="noStrike" baseline="0">
              <a:solidFill>
                <a:srgbClr val="000000"/>
              </a:solidFill>
              <a:ea typeface="宋体" panose="02010600030101010101" pitchFamily="7" charset="-122"/>
            </a:rPr>
            <a:t>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数据品质分为五级。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级别评分对照表：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</xdr:row>
      <xdr:rowOff>40339</xdr:rowOff>
    </xdr:from>
    <xdr:to>
      <xdr:col>5</xdr:col>
      <xdr:colOff>657225</xdr:colOff>
      <xdr:row>105</xdr:row>
      <xdr:rowOff>95307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>
        <a:xfrm>
          <a:off x="0" y="22289135"/>
          <a:ext cx="8048625" cy="1857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FF6600"/>
              </a:solidFill>
              <a:latin typeface="宋体" panose="02010600030101010101" pitchFamily="7" charset="-122"/>
              <a:ea typeface="宋体" panose="02010600030101010101" pitchFamily="7" charset="-122"/>
            </a:rPr>
            <a:t>备注：</a:t>
          </a:r>
          <a:endParaRPr lang="zh-CN" altLang="en-US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=(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活动数据得分</a:t>
          </a:r>
          <a:r>
            <a:rPr lang="en-GB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排放系数得分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+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校准频率得分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)/3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排放量占比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排放源排放量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/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总排放量</a:t>
          </a: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平均积分*排放占比</a:t>
          </a: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加权合计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=</a:t>
          </a:r>
          <a:r>
            <a:rPr lang="el-GR" altLang="zh-CN" sz="1200" b="0" i="0" u="none" strike="noStrike" baseline="0">
              <a:solidFill>
                <a:srgbClr val="000000"/>
              </a:solidFill>
              <a:ea typeface="宋体" panose="02010600030101010101" pitchFamily="7" charset="-122"/>
            </a:rPr>
            <a:t>Σ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加权平均积分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数据品质分为五级。</a:t>
          </a:r>
        </a:p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4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级别评分对照表：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704215</xdr:colOff>
      <xdr:row>0</xdr:row>
      <xdr:rowOff>0</xdr:rowOff>
    </xdr:to>
    <xdr:sp macro="" textlink="">
      <xdr:nvSpPr>
        <xdr:cNvPr id="23194" name="Text Box 6">
          <a:extLst>
            <a:ext uri="{FF2B5EF4-FFF2-40B4-BE49-F238E27FC236}">
              <a16:creationId xmlns:a16="http://schemas.microsoft.com/office/drawing/2014/main" id="{00000000-0008-0000-0900-00009A5A0000}"/>
            </a:ext>
          </a:extLst>
        </xdr:cNvPr>
        <xdr:cNvSpPr txBox="1"/>
      </xdr:nvSpPr>
      <xdr:spPr>
        <a:xfrm>
          <a:off x="400050" y="0"/>
          <a:ext cx="1161415" cy="0"/>
        </a:xfrm>
        <a:prstGeom prst="rect">
          <a:avLst/>
        </a:prstGeom>
        <a:solidFill>
          <a:srgbClr val="FFFFFF">
            <a:alpha val="100000"/>
          </a:srgbClr>
        </a:solidFill>
        <a:ln w="9525">
          <a:noFill/>
        </a:ln>
      </xdr:spPr>
    </xdr:sp>
    <xdr:clientData/>
  </xdr:twoCellAnchor>
  <xdr:twoCellAnchor>
    <xdr:from>
      <xdr:col>1</xdr:col>
      <xdr:colOff>9525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23195" name="Line 2">
          <a:extLst>
            <a:ext uri="{FF2B5EF4-FFF2-40B4-BE49-F238E27FC236}">
              <a16:creationId xmlns:a16="http://schemas.microsoft.com/office/drawing/2014/main" id="{00000000-0008-0000-0900-00009B5A0000}"/>
            </a:ext>
          </a:extLst>
        </xdr:cNvPr>
        <xdr:cNvSpPr/>
      </xdr:nvSpPr>
      <xdr:spPr>
        <a:xfrm>
          <a:off x="4095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3196" name="Line 3">
          <a:extLst>
            <a:ext uri="{FF2B5EF4-FFF2-40B4-BE49-F238E27FC236}">
              <a16:creationId xmlns:a16="http://schemas.microsoft.com/office/drawing/2014/main" id="{00000000-0008-0000-0900-00009C5A0000}"/>
            </a:ext>
          </a:extLst>
        </xdr:cNvPr>
        <xdr:cNvSpPr/>
      </xdr:nvSpPr>
      <xdr:spPr>
        <a:xfrm>
          <a:off x="63912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23197" name="Line 4">
          <a:extLst>
            <a:ext uri="{FF2B5EF4-FFF2-40B4-BE49-F238E27FC236}">
              <a16:creationId xmlns:a16="http://schemas.microsoft.com/office/drawing/2014/main" id="{00000000-0008-0000-0900-00009D5A0000}"/>
            </a:ext>
          </a:extLst>
        </xdr:cNvPr>
        <xdr:cNvSpPr/>
      </xdr:nvSpPr>
      <xdr:spPr>
        <a:xfrm>
          <a:off x="639127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13</xdr:col>
      <xdr:colOff>0</xdr:colOff>
      <xdr:row>47</xdr:row>
      <xdr:rowOff>0</xdr:rowOff>
    </xdr:from>
    <xdr:to>
      <xdr:col>15</xdr:col>
      <xdr:colOff>781884</xdr:colOff>
      <xdr:row>68</xdr:row>
      <xdr:rowOff>122464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CAA938-C601-E641-F564-BE09A771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0" y="11321143"/>
          <a:ext cx="3925134" cy="4136571"/>
        </a:xfrm>
        <a:prstGeom prst="rect">
          <a:avLst/>
        </a:prstGeom>
      </xdr:spPr>
    </xdr:pic>
    <xdr:clientData/>
  </xdr:twoCellAnchor>
  <xdr:twoCellAnchor editAs="oneCell">
    <xdr:from>
      <xdr:col>15</xdr:col>
      <xdr:colOff>1088571</xdr:colOff>
      <xdr:row>46</xdr:row>
      <xdr:rowOff>81643</xdr:rowOff>
    </xdr:from>
    <xdr:to>
      <xdr:col>16</xdr:col>
      <xdr:colOff>298894</xdr:colOff>
      <xdr:row>68</xdr:row>
      <xdr:rowOff>122464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F323C79-BC47-3570-535A-BB95F6105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2321" y="11198679"/>
          <a:ext cx="5333537" cy="4259035"/>
        </a:xfrm>
        <a:prstGeom prst="rect">
          <a:avLst/>
        </a:prstGeom>
      </xdr:spPr>
    </xdr:pic>
    <xdr:clientData/>
  </xdr:twoCellAnchor>
  <xdr:twoCellAnchor editAs="oneCell">
    <xdr:from>
      <xdr:col>16</xdr:col>
      <xdr:colOff>421822</xdr:colOff>
      <xdr:row>46</xdr:row>
      <xdr:rowOff>40822</xdr:rowOff>
    </xdr:from>
    <xdr:to>
      <xdr:col>16</xdr:col>
      <xdr:colOff>2980902</xdr:colOff>
      <xdr:row>69</xdr:row>
      <xdr:rowOff>54429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067B167-E047-BCC7-32D4-9AFA498EC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58247" y="11080297"/>
          <a:ext cx="2559080" cy="4414157"/>
        </a:xfrm>
        <a:prstGeom prst="rect">
          <a:avLst/>
        </a:prstGeom>
      </xdr:spPr>
    </xdr:pic>
    <xdr:clientData/>
  </xdr:twoCellAnchor>
  <xdr:twoCellAnchor editAs="oneCell">
    <xdr:from>
      <xdr:col>16</xdr:col>
      <xdr:colOff>3279322</xdr:colOff>
      <xdr:row>46</xdr:row>
      <xdr:rowOff>40822</xdr:rowOff>
    </xdr:from>
    <xdr:to>
      <xdr:col>18</xdr:col>
      <xdr:colOff>607947</xdr:colOff>
      <xdr:row>54</xdr:row>
      <xdr:rowOff>86592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A06FD02-4F36-3CB7-9EF7-4F94D9A0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40413" y="11176413"/>
          <a:ext cx="3043625" cy="16044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15799" name="Line 507">
          <a:extLst>
            <a:ext uri="{FF2B5EF4-FFF2-40B4-BE49-F238E27FC236}">
              <a16:creationId xmlns:a16="http://schemas.microsoft.com/office/drawing/2014/main" id="{00000000-0008-0000-0B00-0000B73D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00" name="Line 508">
          <a:extLst>
            <a:ext uri="{FF2B5EF4-FFF2-40B4-BE49-F238E27FC236}">
              <a16:creationId xmlns:a16="http://schemas.microsoft.com/office/drawing/2014/main" id="{00000000-0008-0000-0B00-0000B83D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5801" name="Line 509">
          <a:extLst>
            <a:ext uri="{FF2B5EF4-FFF2-40B4-BE49-F238E27FC236}">
              <a16:creationId xmlns:a16="http://schemas.microsoft.com/office/drawing/2014/main" id="{00000000-0008-0000-0B00-0000B93D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0</xdr:rowOff>
    </xdr:to>
    <xdr:sp macro="" textlink="">
      <xdr:nvSpPr>
        <xdr:cNvPr id="2" name="Line 50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9525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" name="Line 508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" name="Line 509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2324100" y="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opLeftCell="A70" zoomScalePageLayoutView="130" workbookViewId="0">
      <selection activeCell="O53" sqref="O53"/>
    </sheetView>
  </sheetViews>
  <sheetFormatPr defaultColWidth="11" defaultRowHeight="12.75"/>
  <cols>
    <col min="1" max="1" width="3.375" style="397" customWidth="1"/>
    <col min="2" max="2" width="9.875" style="398" customWidth="1"/>
    <col min="3" max="3" width="22.625" style="398" customWidth="1"/>
    <col min="4" max="4" width="9.875" style="399" hidden="1" customWidth="1"/>
    <col min="5" max="5" width="31.5" style="398" hidden="1" customWidth="1"/>
    <col min="6" max="6" width="14.5" style="400" customWidth="1"/>
    <col min="7" max="7" width="10.25" style="400" customWidth="1"/>
    <col min="8" max="8" width="6.875" style="400" customWidth="1"/>
    <col min="9" max="9" width="8.625" style="400" customWidth="1"/>
    <col min="10" max="12" width="6.875" style="400" customWidth="1"/>
    <col min="13" max="13" width="7.5" style="400" customWidth="1"/>
    <col min="14" max="16384" width="11" style="398"/>
  </cols>
  <sheetData>
    <row r="1" spans="1:14" ht="15" customHeight="1">
      <c r="B1" s="599" t="s">
        <v>0</v>
      </c>
      <c r="C1" s="600"/>
      <c r="D1" s="600"/>
      <c r="E1" s="600"/>
      <c r="F1" s="600"/>
      <c r="G1" s="600"/>
      <c r="H1" s="600"/>
      <c r="I1" s="600"/>
      <c r="J1" s="600"/>
      <c r="K1" s="601"/>
      <c r="L1" s="592" t="s">
        <v>1</v>
      </c>
      <c r="M1" s="593"/>
    </row>
    <row r="2" spans="1:14" ht="15" customHeight="1">
      <c r="B2" s="602"/>
      <c r="C2" s="603"/>
      <c r="D2" s="603"/>
      <c r="E2" s="603"/>
      <c r="F2" s="603"/>
      <c r="G2" s="603"/>
      <c r="H2" s="603"/>
      <c r="I2" s="603"/>
      <c r="J2" s="603"/>
      <c r="K2" s="604"/>
      <c r="L2" s="594" t="s">
        <v>2</v>
      </c>
      <c r="M2" s="593"/>
    </row>
    <row r="3" spans="1:14" ht="15" customHeight="1">
      <c r="B3" s="605"/>
      <c r="C3" s="606"/>
      <c r="D3" s="606"/>
      <c r="E3" s="606"/>
      <c r="F3" s="606"/>
      <c r="G3" s="606"/>
      <c r="H3" s="606"/>
      <c r="I3" s="606"/>
      <c r="J3" s="606"/>
      <c r="K3" s="607"/>
      <c r="L3" s="595" t="s">
        <v>3</v>
      </c>
      <c r="M3" s="596"/>
    </row>
    <row r="4" spans="1:14" s="391" customFormat="1" ht="25.15" customHeight="1">
      <c r="A4" s="401"/>
      <c r="B4" s="402" t="s">
        <v>4</v>
      </c>
      <c r="C4" s="403" t="s">
        <v>5</v>
      </c>
      <c r="D4" s="404"/>
      <c r="E4" s="405"/>
      <c r="F4" s="406"/>
      <c r="G4" s="406"/>
      <c r="H4" s="406"/>
      <c r="I4" s="406"/>
      <c r="J4" s="406"/>
      <c r="K4" s="406"/>
      <c r="L4" s="406"/>
      <c r="M4" s="406"/>
    </row>
    <row r="5" spans="1:14" s="391" customFormat="1" ht="25.15" customHeight="1">
      <c r="A5" s="401"/>
      <c r="B5" s="407" t="s">
        <v>6</v>
      </c>
      <c r="C5" s="408" t="s">
        <v>7</v>
      </c>
      <c r="D5" s="409"/>
      <c r="E5" s="410"/>
      <c r="F5" s="411"/>
      <c r="G5" s="412"/>
      <c r="H5" s="412"/>
      <c r="I5" s="412"/>
      <c r="J5" s="412"/>
      <c r="K5" s="412"/>
      <c r="L5" s="412"/>
    </row>
    <row r="6" spans="1:14" s="391" customFormat="1" ht="25.15" customHeight="1">
      <c r="A6" s="401"/>
      <c r="B6" s="407" t="s">
        <v>8</v>
      </c>
      <c r="C6" s="538" t="s">
        <v>9</v>
      </c>
      <c r="D6" s="409"/>
      <c r="E6" s="412"/>
      <c r="F6" s="412"/>
      <c r="G6" s="412"/>
      <c r="H6" s="412"/>
      <c r="I6" s="412"/>
      <c r="J6" s="412"/>
      <c r="K6" s="412"/>
      <c r="L6" s="412"/>
    </row>
    <row r="7" spans="1:14" s="392" customFormat="1" ht="25.15" customHeight="1">
      <c r="A7" s="414"/>
      <c r="B7" s="415" t="s">
        <v>10</v>
      </c>
      <c r="C7" s="416"/>
      <c r="D7" s="417"/>
      <c r="E7" s="418" t="s">
        <v>11</v>
      </c>
      <c r="F7" s="597"/>
      <c r="G7" s="598"/>
      <c r="H7" s="419"/>
      <c r="I7" s="420"/>
      <c r="J7" s="421"/>
      <c r="K7" s="422" t="s">
        <v>12</v>
      </c>
      <c r="L7" s="597"/>
      <c r="M7" s="598"/>
    </row>
    <row r="8" spans="1:14" s="392" customFormat="1" ht="25.15" customHeight="1">
      <c r="A8" s="423"/>
      <c r="B8" s="424" t="s">
        <v>13</v>
      </c>
      <c r="C8" s="424" t="s">
        <v>14</v>
      </c>
      <c r="D8" s="425"/>
      <c r="E8" s="426" t="s">
        <v>15</v>
      </c>
      <c r="F8" s="427" t="e">
        <f>F14</f>
        <v>#REF!</v>
      </c>
      <c r="G8" s="427"/>
      <c r="H8" s="428"/>
      <c r="I8" s="428"/>
      <c r="J8" s="429"/>
      <c r="K8" s="428" t="s">
        <v>16</v>
      </c>
      <c r="L8" s="428"/>
      <c r="M8" s="428"/>
      <c r="N8" s="430"/>
    </row>
    <row r="9" spans="1:14" s="392" customFormat="1" ht="25.15" customHeight="1">
      <c r="A9" s="414"/>
      <c r="B9" s="431"/>
      <c r="C9" s="432"/>
      <c r="D9" s="433"/>
      <c r="E9" s="426" t="s">
        <v>17</v>
      </c>
      <c r="F9" s="434">
        <f>F47</f>
        <v>1043611.0503979999</v>
      </c>
      <c r="G9" s="435"/>
      <c r="H9" s="436"/>
      <c r="I9" s="437"/>
      <c r="J9" s="438"/>
      <c r="K9" s="439"/>
      <c r="L9" s="440"/>
      <c r="M9" s="441"/>
    </row>
    <row r="10" spans="1:14" s="391" customFormat="1" ht="25.15" customHeight="1">
      <c r="A10" s="401"/>
      <c r="D10" s="442"/>
      <c r="E10" s="426" t="s">
        <v>18</v>
      </c>
      <c r="F10" s="434">
        <f>F48</f>
        <v>1186800.2659680001</v>
      </c>
      <c r="G10" s="443"/>
      <c r="H10" s="401"/>
      <c r="I10" s="401"/>
      <c r="J10" s="401"/>
      <c r="K10" s="401"/>
      <c r="L10" s="401"/>
      <c r="M10" s="401"/>
    </row>
    <row r="11" spans="1:14" s="391" customFormat="1" ht="25.15" customHeight="1">
      <c r="A11" s="401"/>
      <c r="B11" s="444" t="s">
        <v>19</v>
      </c>
      <c r="C11" s="445"/>
      <c r="D11" s="446"/>
      <c r="E11" s="426" t="s">
        <v>20</v>
      </c>
      <c r="F11" s="434" t="e">
        <f>SUM(F50,F76,F89,F101,F106,F113,F118,F124,F130,F136)</f>
        <v>#REF!</v>
      </c>
      <c r="G11" s="447"/>
      <c r="H11" s="437"/>
      <c r="I11" s="437"/>
      <c r="J11" s="437"/>
      <c r="K11" s="437"/>
      <c r="L11" s="437"/>
      <c r="M11" s="437"/>
    </row>
    <row r="12" spans="1:14" s="391" customFormat="1" ht="25.15" customHeight="1">
      <c r="A12" s="448"/>
      <c r="B12" s="612" t="s">
        <v>21</v>
      </c>
      <c r="C12" s="613" t="s">
        <v>22</v>
      </c>
      <c r="D12" s="614" t="s">
        <v>23</v>
      </c>
      <c r="E12" s="612" t="s">
        <v>24</v>
      </c>
      <c r="F12" s="615" t="s">
        <v>25</v>
      </c>
      <c r="G12" s="449" t="s">
        <v>26</v>
      </c>
      <c r="H12" s="450" t="s">
        <v>27</v>
      </c>
      <c r="I12" s="450" t="s">
        <v>28</v>
      </c>
      <c r="J12" s="450" t="s">
        <v>29</v>
      </c>
      <c r="K12" s="450" t="s">
        <v>30</v>
      </c>
      <c r="L12" s="450" t="s">
        <v>31</v>
      </c>
      <c r="M12" s="450" t="s">
        <v>32</v>
      </c>
      <c r="N12" s="451"/>
    </row>
    <row r="13" spans="1:14" s="391" customFormat="1" ht="25.15" customHeight="1">
      <c r="A13" s="448"/>
      <c r="B13" s="612"/>
      <c r="C13" s="613"/>
      <c r="D13" s="614"/>
      <c r="E13" s="612"/>
      <c r="F13" s="615"/>
      <c r="G13" s="608" t="s">
        <v>33</v>
      </c>
      <c r="H13" s="608"/>
      <c r="I13" s="608"/>
      <c r="J13" s="608"/>
      <c r="K13" s="608"/>
      <c r="L13" s="608"/>
      <c r="M13" s="608"/>
      <c r="N13" s="451"/>
    </row>
    <row r="14" spans="1:14" s="392" customFormat="1" ht="25.15" hidden="1" customHeight="1">
      <c r="A14" s="414"/>
      <c r="B14" s="452" t="s">
        <v>34</v>
      </c>
      <c r="C14" s="453"/>
      <c r="D14" s="454"/>
      <c r="E14" s="453"/>
      <c r="F14" s="455" t="e">
        <f t="shared" ref="F14:M14" si="0">F15+F24+F27+F33</f>
        <v>#REF!</v>
      </c>
      <c r="G14" s="455" t="e">
        <f t="shared" si="0"/>
        <v>#REF!</v>
      </c>
      <c r="H14" s="455" t="e">
        <f t="shared" si="0"/>
        <v>#REF!</v>
      </c>
      <c r="I14" s="455" t="e">
        <f t="shared" si="0"/>
        <v>#REF!</v>
      </c>
      <c r="J14" s="455" t="e">
        <f t="shared" si="0"/>
        <v>#REF!</v>
      </c>
      <c r="K14" s="455" t="e">
        <f t="shared" si="0"/>
        <v>#REF!</v>
      </c>
      <c r="L14" s="455" t="e">
        <f t="shared" si="0"/>
        <v>#REF!</v>
      </c>
      <c r="M14" s="455" t="e">
        <f t="shared" si="0"/>
        <v>#REF!</v>
      </c>
    </row>
    <row r="15" spans="1:14" s="391" customFormat="1" ht="25.15" hidden="1" customHeight="1">
      <c r="A15" s="401"/>
      <c r="B15" s="456">
        <v>1.1000000000000001</v>
      </c>
      <c r="C15" s="457" t="s">
        <v>35</v>
      </c>
      <c r="D15" s="458"/>
      <c r="E15" s="459"/>
      <c r="F15" s="460" t="e">
        <f>SUM(G15:M15)</f>
        <v>#REF!</v>
      </c>
      <c r="G15" s="461" t="e">
        <f>SUM(G16:G23)</f>
        <v>#REF!</v>
      </c>
      <c r="H15" s="461" t="e">
        <f t="shared" ref="H15:M15" si="1">SUM(H16:H23)</f>
        <v>#REF!</v>
      </c>
      <c r="I15" s="461" t="e">
        <f t="shared" si="1"/>
        <v>#REF!</v>
      </c>
      <c r="J15" s="461" t="e">
        <f t="shared" si="1"/>
        <v>#REF!</v>
      </c>
      <c r="K15" s="461" t="e">
        <f t="shared" si="1"/>
        <v>#REF!</v>
      </c>
      <c r="L15" s="461" t="e">
        <f t="shared" si="1"/>
        <v>#REF!</v>
      </c>
      <c r="M15" s="461" t="e">
        <f t="shared" si="1"/>
        <v>#REF!</v>
      </c>
    </row>
    <row r="16" spans="1:14" s="391" customFormat="1" ht="25.15" hidden="1" customHeight="1">
      <c r="A16" s="401"/>
      <c r="B16" s="462" t="s">
        <v>36</v>
      </c>
      <c r="C16" s="463" t="str">
        <f>表1温室气体盘查表!C5</f>
        <v>天然气燃烧</v>
      </c>
      <c r="D16" s="463" t="str">
        <f>表1温室气体盘查表!D5</f>
        <v>热处理炉（加热炉）</v>
      </c>
      <c r="F16" s="464">
        <f>SUM(G16:M16)</f>
        <v>31469.159151587519</v>
      </c>
      <c r="G16" s="464">
        <f>表1温室气体盘查表!AF5</f>
        <v>31438.225282859999</v>
      </c>
      <c r="H16" s="464">
        <f>表1温室气体盘查表!AG5</f>
        <v>15.635053215539997</v>
      </c>
      <c r="I16" s="464">
        <f>表1温室气体盘查表!AH5</f>
        <v>15.298815511980003</v>
      </c>
      <c r="J16" s="464">
        <f>表1温室气体盘查表!AI5</f>
        <v>0</v>
      </c>
      <c r="K16" s="464">
        <f>表1温室气体盘查表!AJ5</f>
        <v>0</v>
      </c>
      <c r="L16" s="464">
        <f>表1温室气体盘查表!AK5</f>
        <v>0</v>
      </c>
      <c r="M16" s="464">
        <f>表1温室气体盘查表!AL5</f>
        <v>0</v>
      </c>
    </row>
    <row r="17" spans="1:13" s="391" customFormat="1" ht="25.15" hidden="1" customHeight="1">
      <c r="A17" s="401"/>
      <c r="B17" s="462" t="s">
        <v>37</v>
      </c>
      <c r="C17" s="463" t="str">
        <f>表1温室气体盘查表!C6</f>
        <v>液化石油气燃烧</v>
      </c>
      <c r="D17" s="463" t="str">
        <f>表1温室气体盘查表!D6</f>
        <v>冶钢宾馆</v>
      </c>
      <c r="F17" s="464">
        <f t="shared" ref="F17:F45" si="2">SUM(G17:M17)</f>
        <v>29.286595265285126</v>
      </c>
      <c r="G17" s="464">
        <f>表1温室气体盘查表!AF6</f>
        <v>29.260997688860005</v>
      </c>
      <c r="H17" s="464">
        <f>表1温室气体盘查表!AG6</f>
        <v>1.2937905475739997E-2</v>
      </c>
      <c r="I17" s="464">
        <f>表1温室气体盘查表!AH6</f>
        <v>1.2659670949380001E-2</v>
      </c>
      <c r="J17" s="464">
        <f>表1温室气体盘查表!AI6</f>
        <v>0</v>
      </c>
      <c r="K17" s="464">
        <f>表1温室气体盘查表!AJ6</f>
        <v>0</v>
      </c>
      <c r="L17" s="464">
        <f>表1温室气体盘查表!AK6</f>
        <v>0</v>
      </c>
      <c r="M17" s="464">
        <f>表1温室气体盘查表!AL6</f>
        <v>0</v>
      </c>
    </row>
    <row r="18" spans="1:13" s="391" customFormat="1" ht="25.15" hidden="1" customHeight="1">
      <c r="A18" s="401"/>
      <c r="B18" s="462" t="s">
        <v>38</v>
      </c>
      <c r="C18" s="463" t="str">
        <f>表1温室气体盘查表!C7</f>
        <v>烟煤燃烧</v>
      </c>
      <c r="D18" s="463" t="str">
        <f>表1温室气体盘查表!D7</f>
        <v>高炉</v>
      </c>
      <c r="F18" s="464">
        <f t="shared" si="2"/>
        <v>749580.33294359304</v>
      </c>
      <c r="G18" s="464">
        <f>表1温室气体盘查表!AF7</f>
        <v>746259.74279609555</v>
      </c>
      <c r="H18" s="464">
        <f>表1温室气体盘查表!AG7</f>
        <v>211.80719047824078</v>
      </c>
      <c r="I18" s="464">
        <f>表1温室气体盘查表!AH7</f>
        <v>3108.7829570193403</v>
      </c>
      <c r="J18" s="464">
        <f>表1温室气体盘查表!AI7</f>
        <v>0</v>
      </c>
      <c r="K18" s="464">
        <f>表1温室气体盘查表!AJ7</f>
        <v>0</v>
      </c>
      <c r="L18" s="464">
        <f>表1温室气体盘查表!AK7</f>
        <v>0</v>
      </c>
      <c r="M18" s="464">
        <f>表1温室气体盘查表!AL7</f>
        <v>0</v>
      </c>
    </row>
    <row r="19" spans="1:13" s="391" customFormat="1" ht="25.15" hidden="1" customHeight="1">
      <c r="A19" s="401"/>
      <c r="B19" s="462" t="s">
        <v>39</v>
      </c>
      <c r="C19" s="463" t="str">
        <f>表1温室气体盘查表!C8</f>
        <v>无烟煤燃烧</v>
      </c>
      <c r="D19" s="463" t="str">
        <f>表1温室气体盘查表!D8</f>
        <v>高炉、烧结</v>
      </c>
      <c r="F19" s="464">
        <f t="shared" si="2"/>
        <v>820622.20375653554</v>
      </c>
      <c r="G19" s="464">
        <f>表1温室气体盘查表!AF8</f>
        <v>816986.90292905667</v>
      </c>
      <c r="H19" s="464">
        <f>表1温室气体盘查表!AG8</f>
        <v>231.88132850173631</v>
      </c>
      <c r="I19" s="464">
        <f>表1温室气体盘查表!AH8</f>
        <v>3403.4194989770981</v>
      </c>
      <c r="J19" s="464">
        <f>表1温室气体盘查表!AI8</f>
        <v>0</v>
      </c>
      <c r="K19" s="464">
        <f>表1温室气体盘查表!AJ8</f>
        <v>0</v>
      </c>
      <c r="L19" s="464">
        <f>表1温室气体盘查表!AK8</f>
        <v>0</v>
      </c>
      <c r="M19" s="464">
        <f>表1温室气体盘查表!AL8</f>
        <v>0</v>
      </c>
    </row>
    <row r="20" spans="1:13" s="391" customFormat="1" ht="25.15" hidden="1" customHeight="1">
      <c r="A20" s="401"/>
      <c r="B20" s="462" t="s">
        <v>40</v>
      </c>
      <c r="C20" s="463" t="str">
        <f>表1温室气体盘查表!C9</f>
        <v>洗精煤燃烧</v>
      </c>
      <c r="D20" s="463" t="str">
        <f>表1温室气体盘查表!D9</f>
        <v>焦炉</v>
      </c>
      <c r="F20" s="464">
        <f t="shared" si="2"/>
        <v>5189313.3024330754</v>
      </c>
      <c r="G20" s="464">
        <f>表1温室气体盘查表!AF9</f>
        <v>5165430.0139752235</v>
      </c>
      <c r="H20" s="464">
        <f>表1温室气体盘查表!AG9</f>
        <v>1523.4196341427985</v>
      </c>
      <c r="I20" s="464">
        <f>表1温室气体盘查表!AH9</f>
        <v>22359.868823708817</v>
      </c>
      <c r="J20" s="464">
        <f>表1温室气体盘查表!AI9</f>
        <v>0</v>
      </c>
      <c r="K20" s="464">
        <f>表1温室气体盘查表!AJ9</f>
        <v>0</v>
      </c>
      <c r="L20" s="464">
        <f>表1温室气体盘查表!AK9</f>
        <v>0</v>
      </c>
      <c r="M20" s="464">
        <f>表1温室气体盘查表!AL9</f>
        <v>0</v>
      </c>
    </row>
    <row r="21" spans="1:13" s="391" customFormat="1" ht="25.15" hidden="1" customHeight="1">
      <c r="A21" s="401"/>
      <c r="B21" s="462" t="s">
        <v>41</v>
      </c>
      <c r="C21" s="463" t="str">
        <f>表1温室气体盘查表!C10</f>
        <v>焦炭燃烧</v>
      </c>
      <c r="D21" s="463" t="str">
        <f>表1温室气体盘查表!D10</f>
        <v>高炉</v>
      </c>
      <c r="F21" s="464">
        <f t="shared" si="2"/>
        <v>669939.56476201338</v>
      </c>
      <c r="G21" s="464">
        <f>表1温室气体盘查表!AF10</f>
        <v>667212.1014612735</v>
      </c>
      <c r="H21" s="464">
        <f>表1温室气体盘查表!AG10</f>
        <v>173.97399654924791</v>
      </c>
      <c r="I21" s="464">
        <f>表1温室气体盘查表!AH10</f>
        <v>2553.4893041905743</v>
      </c>
      <c r="J21" s="464">
        <f>表1温室气体盘查表!AI10</f>
        <v>0</v>
      </c>
      <c r="K21" s="464">
        <f>表1温室气体盘查表!AJ10</f>
        <v>0</v>
      </c>
      <c r="L21" s="464">
        <f>表1温室气体盘查表!AK10</f>
        <v>0</v>
      </c>
      <c r="M21" s="464">
        <f>表1温室气体盘查表!AL10</f>
        <v>0</v>
      </c>
    </row>
    <row r="22" spans="1:13" s="391" customFormat="1" ht="25.15" hidden="1" customHeight="1">
      <c r="A22" s="401"/>
      <c r="B22" s="462" t="s">
        <v>42</v>
      </c>
      <c r="C22" s="463" t="e">
        <f>表1温室气体盘查表!#REF!</f>
        <v>#REF!</v>
      </c>
      <c r="D22" s="463" t="e">
        <f>表1温室气体盘查表!#REF!</f>
        <v>#REF!</v>
      </c>
      <c r="F22" s="464" t="e">
        <f t="shared" si="2"/>
        <v>#REF!</v>
      </c>
      <c r="G22" s="464" t="e">
        <f>表1温室气体盘查表!#REF!</f>
        <v>#REF!</v>
      </c>
      <c r="H22" s="464" t="e">
        <f>表1温室气体盘查表!#REF!</f>
        <v>#REF!</v>
      </c>
      <c r="I22" s="464" t="e">
        <f>表1温室气体盘查表!#REF!</f>
        <v>#REF!</v>
      </c>
      <c r="J22" s="464" t="e">
        <f>表1温室气体盘查表!#REF!</f>
        <v>#REF!</v>
      </c>
      <c r="K22" s="464" t="e">
        <f>表1温室气体盘查表!#REF!</f>
        <v>#REF!</v>
      </c>
      <c r="L22" s="464" t="e">
        <f>表1温室气体盘查表!#REF!</f>
        <v>#REF!</v>
      </c>
      <c r="M22" s="464" t="e">
        <f>表1温室气体盘查表!#REF!</f>
        <v>#REF!</v>
      </c>
    </row>
    <row r="23" spans="1:13" s="391" customFormat="1" ht="25.15" hidden="1" customHeight="1">
      <c r="A23" s="401"/>
      <c r="B23" s="462" t="s">
        <v>43</v>
      </c>
      <c r="C23" s="463" t="str">
        <f>表1温室气体盘查表!C11</f>
        <v>焦炉煤气燃烧</v>
      </c>
      <c r="D23" s="463" t="str">
        <f>表1温室气体盘查表!D11</f>
        <v>外售</v>
      </c>
      <c r="F23" s="464">
        <f t="shared" si="2"/>
        <v>-6034.9101733989937</v>
      </c>
      <c r="G23" s="464">
        <f>表1温室气体盘查表!AF11</f>
        <v>-6027.4166284015209</v>
      </c>
      <c r="H23" s="464">
        <f>表1温室气体盘查表!AG11</f>
        <v>-3.7874982867658202</v>
      </c>
      <c r="I23" s="464">
        <f>表1温室气体盘查表!AH11</f>
        <v>-3.7060467107063406</v>
      </c>
      <c r="J23" s="464">
        <f>表1温室气体盘查表!AI11</f>
        <v>0</v>
      </c>
      <c r="K23" s="464">
        <f>表1温室气体盘查表!AJ11</f>
        <v>0</v>
      </c>
      <c r="L23" s="464">
        <f>表1温室气体盘查表!AK11</f>
        <v>0</v>
      </c>
      <c r="M23" s="464">
        <f>表1温室气体盘查表!AL11</f>
        <v>0</v>
      </c>
    </row>
    <row r="24" spans="1:13" s="391" customFormat="1" ht="25.15" hidden="1" customHeight="1">
      <c r="A24" s="401"/>
      <c r="B24" s="465">
        <v>1.2</v>
      </c>
      <c r="C24" s="466" t="s">
        <v>44</v>
      </c>
      <c r="D24" s="467"/>
      <c r="E24" s="468"/>
      <c r="F24" s="460">
        <f t="shared" si="2"/>
        <v>4620.5168231496864</v>
      </c>
      <c r="G24" s="461">
        <f>SUM(G25:G26)</f>
        <v>4544.9740641110402</v>
      </c>
      <c r="H24" s="461">
        <f t="shared" ref="H24:M24" si="3">SUM(H25:H26)</f>
        <v>7.8643133779951437</v>
      </c>
      <c r="I24" s="461">
        <f t="shared" si="3"/>
        <v>67.678445660651278</v>
      </c>
      <c r="J24" s="461">
        <f t="shared" si="3"/>
        <v>0</v>
      </c>
      <c r="K24" s="461">
        <f t="shared" si="3"/>
        <v>0</v>
      </c>
      <c r="L24" s="461">
        <f t="shared" si="3"/>
        <v>0</v>
      </c>
      <c r="M24" s="461">
        <f t="shared" si="3"/>
        <v>0</v>
      </c>
    </row>
    <row r="25" spans="1:13" s="391" customFormat="1" ht="25.15" hidden="1" customHeight="1">
      <c r="A25" s="401"/>
      <c r="B25" s="462" t="s">
        <v>45</v>
      </c>
      <c r="C25" s="500" t="str">
        <f>表1温室气体盘查表!C12</f>
        <v>柴油燃烧</v>
      </c>
      <c r="D25" s="463" t="str">
        <f>表1温室气体盘查表!D12</f>
        <v>场内运输</v>
      </c>
      <c r="F25" s="464">
        <f t="shared" si="2"/>
        <v>4476.2869890666807</v>
      </c>
      <c r="G25" s="464">
        <f>表1温室气体盘查表!AF12</f>
        <v>4406.5019140178401</v>
      </c>
      <c r="H25" s="464">
        <f>表1温室气体盘查表!AG12</f>
        <v>6.4706001790051442</v>
      </c>
      <c r="I25" s="464">
        <f>表1温室气体盘查表!AH12</f>
        <v>63.31447486983528</v>
      </c>
      <c r="J25" s="464">
        <f>表1温室气体盘查表!AI12</f>
        <v>0</v>
      </c>
      <c r="K25" s="464">
        <f>表1温室气体盘查表!AJ12</f>
        <v>0</v>
      </c>
      <c r="L25" s="464">
        <f>表1温室气体盘查表!AK12</f>
        <v>0</v>
      </c>
      <c r="M25" s="464">
        <f>表1温室气体盘查表!AL12</f>
        <v>0</v>
      </c>
    </row>
    <row r="26" spans="1:13" s="391" customFormat="1" ht="25.15" hidden="1" customHeight="1">
      <c r="A26" s="401"/>
      <c r="B26" s="462" t="s">
        <v>46</v>
      </c>
      <c r="C26" s="500" t="str">
        <f>表1温室气体盘查表!C13</f>
        <v>汽油燃烧</v>
      </c>
      <c r="D26" s="463" t="str">
        <f>表1温室气体盘查表!D13</f>
        <v>公务车</v>
      </c>
      <c r="F26" s="464">
        <f t="shared" si="2"/>
        <v>144.22983408300601</v>
      </c>
      <c r="G26" s="464">
        <f>表1温室气体盘查表!AF13</f>
        <v>138.47215009319999</v>
      </c>
      <c r="H26" s="464">
        <f>表1温室气体盘查表!AG13</f>
        <v>1.39371319899</v>
      </c>
      <c r="I26" s="464">
        <f>表1温室气体盘查表!AH13</f>
        <v>4.3639707908159995</v>
      </c>
      <c r="J26" s="464">
        <f>表1温室气体盘查表!AI13</f>
        <v>0</v>
      </c>
      <c r="K26" s="464">
        <f>表1温室气体盘查表!AJ13</f>
        <v>0</v>
      </c>
      <c r="L26" s="464">
        <f>表1温室气体盘查表!AK13</f>
        <v>0</v>
      </c>
      <c r="M26" s="464">
        <f>表1温室气体盘查表!AL13</f>
        <v>0</v>
      </c>
    </row>
    <row r="27" spans="1:13" s="391" customFormat="1" ht="25.15" hidden="1" customHeight="1">
      <c r="A27" s="401"/>
      <c r="B27" s="465">
        <v>1.3</v>
      </c>
      <c r="C27" s="466" t="s">
        <v>47</v>
      </c>
      <c r="D27" s="467"/>
      <c r="E27" s="468"/>
      <c r="F27" s="460" t="e">
        <f t="shared" si="2"/>
        <v>#REF!</v>
      </c>
      <c r="G27" s="460" t="e">
        <f t="shared" ref="G27:M27" si="4">SUM(G28:G32)</f>
        <v>#REF!</v>
      </c>
      <c r="H27" s="460" t="e">
        <f t="shared" si="4"/>
        <v>#REF!</v>
      </c>
      <c r="I27" s="460" t="e">
        <f t="shared" si="4"/>
        <v>#REF!</v>
      </c>
      <c r="J27" s="460" t="e">
        <f t="shared" si="4"/>
        <v>#REF!</v>
      </c>
      <c r="K27" s="460" t="e">
        <f t="shared" si="4"/>
        <v>#REF!</v>
      </c>
      <c r="L27" s="460" t="e">
        <f t="shared" si="4"/>
        <v>#REF!</v>
      </c>
      <c r="M27" s="460" t="e">
        <f t="shared" si="4"/>
        <v>#REF!</v>
      </c>
    </row>
    <row r="28" spans="1:13" s="391" customFormat="1" ht="25.15" hidden="1" customHeight="1">
      <c r="A28" s="401"/>
      <c r="B28" s="462" t="s">
        <v>48</v>
      </c>
      <c r="C28" s="463" t="str">
        <f>表1温室气体盘查表!C14</f>
        <v>制冷剂逸散（R32）</v>
      </c>
      <c r="D28" s="463" t="str">
        <f>表1温室气体盘查表!D14</f>
        <v>分体式空调</v>
      </c>
      <c r="F28" s="464">
        <f t="shared" si="2"/>
        <v>570.54</v>
      </c>
      <c r="G28" s="464">
        <f>表1温室气体盘查表!AF14</f>
        <v>0</v>
      </c>
      <c r="H28" s="464">
        <f>表1温室气体盘查表!AG14</f>
        <v>0</v>
      </c>
      <c r="I28" s="464">
        <f>表1温室气体盘查表!AH14</f>
        <v>0</v>
      </c>
      <c r="J28" s="464">
        <f>表1温室气体盘查表!AI14</f>
        <v>570.54</v>
      </c>
      <c r="K28" s="464">
        <f>表1温室气体盘查表!AJ14</f>
        <v>0</v>
      </c>
      <c r="L28" s="464">
        <f>表1温室气体盘查表!AK14</f>
        <v>0</v>
      </c>
      <c r="M28" s="464">
        <f>表1温室气体盘查表!AL14</f>
        <v>0</v>
      </c>
    </row>
    <row r="29" spans="1:13" s="391" customFormat="1" ht="25.15" hidden="1" customHeight="1">
      <c r="A29" s="401"/>
      <c r="B29" s="462" t="s">
        <v>49</v>
      </c>
      <c r="C29" s="463" t="str">
        <f>表1温室气体盘查表!C15</f>
        <v>CO2逸散</v>
      </c>
      <c r="D29" s="463" t="str">
        <f>表1温室气体盘查表!D15</f>
        <v>二氧化碳灭火器</v>
      </c>
      <c r="F29" s="464">
        <f t="shared" si="2"/>
        <v>0.56000000000000005</v>
      </c>
      <c r="G29" s="464">
        <f>表1温室气体盘查表!AF15</f>
        <v>0.56000000000000005</v>
      </c>
      <c r="H29" s="464">
        <f>表1温室气体盘查表!AG15</f>
        <v>0</v>
      </c>
      <c r="I29" s="464">
        <f>表1温室气体盘查表!AH15</f>
        <v>0</v>
      </c>
      <c r="J29" s="464">
        <f>表1温室气体盘查表!AI15</f>
        <v>0</v>
      </c>
      <c r="K29" s="464">
        <f>表1温室气体盘查表!AJ15</f>
        <v>0</v>
      </c>
      <c r="L29" s="464">
        <f>表1温室气体盘查表!AK15</f>
        <v>0</v>
      </c>
      <c r="M29" s="464">
        <f>表1温室气体盘查表!AL15</f>
        <v>0</v>
      </c>
    </row>
    <row r="30" spans="1:13" s="391" customFormat="1" ht="25.15" hidden="1" customHeight="1">
      <c r="A30" s="401"/>
      <c r="B30" s="462" t="s">
        <v>50</v>
      </c>
      <c r="C30" s="463" t="str">
        <f>表1温室气体盘查表!C16</f>
        <v>CH4逸散</v>
      </c>
      <c r="D30" s="463" t="str">
        <f>表1温室气体盘查表!D16</f>
        <v>化粪池</v>
      </c>
      <c r="F30" s="464">
        <f t="shared" si="2"/>
        <v>116.30951999999999</v>
      </c>
      <c r="G30" s="464">
        <f>表1温室气体盘查表!AF16</f>
        <v>0</v>
      </c>
      <c r="H30" s="464">
        <f>表1温室气体盘查表!AG16</f>
        <v>116.30951999999999</v>
      </c>
      <c r="I30" s="464">
        <f>表1温室气体盘查表!AH16</f>
        <v>0</v>
      </c>
      <c r="J30" s="464">
        <f>表1温室气体盘查表!AI16</f>
        <v>0</v>
      </c>
      <c r="K30" s="464">
        <f>表1温室气体盘查表!AJ16</f>
        <v>0</v>
      </c>
      <c r="L30" s="464">
        <f>表1温室气体盘查表!AK16</f>
        <v>0</v>
      </c>
      <c r="M30" s="464">
        <f>表1温室气体盘查表!AL16</f>
        <v>0</v>
      </c>
    </row>
    <row r="31" spans="1:13" s="391" customFormat="1" ht="25.15" hidden="1" customHeight="1">
      <c r="A31" s="401"/>
      <c r="B31" s="462" t="s">
        <v>51</v>
      </c>
      <c r="C31" s="463" t="str">
        <f>表1温室气体盘查表!C17</f>
        <v>CH4逸散</v>
      </c>
      <c r="D31" s="463" t="str">
        <f>表1温室气体盘查表!D17</f>
        <v>耗氧池</v>
      </c>
      <c r="F31" s="464">
        <f t="shared" si="2"/>
        <v>8408.8577249999998</v>
      </c>
      <c r="G31" s="464">
        <f>表1温室气体盘查表!AF17</f>
        <v>0</v>
      </c>
      <c r="H31" s="464">
        <f>表1温室气体盘查表!AG17</f>
        <v>8408.8577249999998</v>
      </c>
      <c r="I31" s="464">
        <f>表1温室气体盘查表!AH17</f>
        <v>0</v>
      </c>
      <c r="J31" s="464">
        <f>表1温室气体盘查表!AI17</f>
        <v>0</v>
      </c>
      <c r="K31" s="464">
        <f>表1温室气体盘查表!AJ17</f>
        <v>0</v>
      </c>
      <c r="L31" s="464">
        <f>表1温室气体盘查表!AK17</f>
        <v>0</v>
      </c>
      <c r="M31" s="464">
        <f>表1温室气体盘查表!AL17</f>
        <v>0</v>
      </c>
    </row>
    <row r="32" spans="1:13" s="391" customFormat="1" ht="25.15" hidden="1" customHeight="1">
      <c r="A32" s="401"/>
      <c r="B32" s="462" t="s">
        <v>52</v>
      </c>
      <c r="C32" s="463" t="e">
        <f>表1温室气体盘查表!#REF!</f>
        <v>#REF!</v>
      </c>
      <c r="D32" s="463" t="e">
        <f>表1温室气体盘查表!#REF!</f>
        <v>#REF!</v>
      </c>
      <c r="F32" s="464" t="e">
        <f t="shared" si="2"/>
        <v>#REF!</v>
      </c>
      <c r="G32" s="464" t="e">
        <f>表1温室气体盘查表!#REF!</f>
        <v>#REF!</v>
      </c>
      <c r="H32" s="464" t="e">
        <f>表1温室气体盘查表!#REF!</f>
        <v>#REF!</v>
      </c>
      <c r="I32" s="464" t="e">
        <f>表1温室气体盘查表!#REF!</f>
        <v>#REF!</v>
      </c>
      <c r="J32" s="464" t="e">
        <f>表1温室气体盘查表!#REF!</f>
        <v>#REF!</v>
      </c>
      <c r="K32" s="464" t="e">
        <f>表1温室气体盘查表!#REF!</f>
        <v>#REF!</v>
      </c>
      <c r="L32" s="464" t="e">
        <f>表1温室气体盘查表!#REF!</f>
        <v>#REF!</v>
      </c>
      <c r="M32" s="464" t="e">
        <f>表1温室气体盘查表!#REF!</f>
        <v>#REF!</v>
      </c>
    </row>
    <row r="33" spans="1:14" s="391" customFormat="1" ht="25.15" hidden="1" customHeight="1">
      <c r="A33" s="401"/>
      <c r="B33" s="465">
        <v>1.4</v>
      </c>
      <c r="C33" s="466" t="s">
        <v>53</v>
      </c>
      <c r="D33" s="467"/>
      <c r="E33" s="468"/>
      <c r="F33" s="460" t="e">
        <f t="shared" si="2"/>
        <v>#REF!</v>
      </c>
      <c r="G33" s="460" t="e">
        <f t="shared" ref="G33:M33" si="5">SUM(G34:G45)</f>
        <v>#REF!</v>
      </c>
      <c r="H33" s="460" t="e">
        <f t="shared" si="5"/>
        <v>#REF!</v>
      </c>
      <c r="I33" s="460" t="e">
        <f t="shared" si="5"/>
        <v>#REF!</v>
      </c>
      <c r="J33" s="460" t="e">
        <f t="shared" si="5"/>
        <v>#REF!</v>
      </c>
      <c r="K33" s="460" t="e">
        <f t="shared" si="5"/>
        <v>#REF!</v>
      </c>
      <c r="L33" s="460" t="e">
        <f t="shared" si="5"/>
        <v>#REF!</v>
      </c>
      <c r="M33" s="460" t="e">
        <f t="shared" si="5"/>
        <v>#REF!</v>
      </c>
    </row>
    <row r="34" spans="1:14" s="391" customFormat="1" ht="25.15" hidden="1" customHeight="1">
      <c r="A34" s="401"/>
      <c r="B34" s="462" t="s">
        <v>54</v>
      </c>
      <c r="C34" s="463" t="e">
        <f>表1温室气体盘查表!#REF!</f>
        <v>#REF!</v>
      </c>
      <c r="D34" s="463" t="e">
        <f>表1温室气体盘查表!#REF!</f>
        <v>#REF!</v>
      </c>
      <c r="F34" s="464" t="e">
        <f t="shared" si="2"/>
        <v>#REF!</v>
      </c>
      <c r="G34" s="464" t="e">
        <f>表1温室气体盘查表!#REF!</f>
        <v>#REF!</v>
      </c>
      <c r="H34" s="464" t="e">
        <f>表1温室气体盘查表!#REF!</f>
        <v>#REF!</v>
      </c>
      <c r="I34" s="464" t="e">
        <f>表1温室气体盘查表!#REF!</f>
        <v>#REF!</v>
      </c>
      <c r="J34" s="464" t="e">
        <f>表1温室气体盘查表!#REF!</f>
        <v>#REF!</v>
      </c>
      <c r="K34" s="464" t="e">
        <f>表1温室气体盘查表!#REF!</f>
        <v>#REF!</v>
      </c>
      <c r="L34" s="464" t="e">
        <f>表1温室气体盘查表!#REF!</f>
        <v>#REF!</v>
      </c>
      <c r="M34" s="464" t="e">
        <f>表1温室气体盘查表!#REF!</f>
        <v>#REF!</v>
      </c>
    </row>
    <row r="35" spans="1:14" s="391" customFormat="1" ht="25.15" hidden="1" customHeight="1">
      <c r="A35" s="401"/>
      <c r="B35" s="462" t="s">
        <v>55</v>
      </c>
      <c r="C35" s="463" t="str">
        <f>表1温室气体盘查表!C18</f>
        <v>白云石</v>
      </c>
      <c r="D35" s="463" t="str">
        <f>表1温室气体盘查表!D18</f>
        <v>高炉</v>
      </c>
      <c r="F35" s="464">
        <f t="shared" si="2"/>
        <v>18406.658199999998</v>
      </c>
      <c r="G35" s="464">
        <f>表1温室气体盘查表!AF18</f>
        <v>18406.658199999998</v>
      </c>
      <c r="H35" s="464">
        <f>表1温室气体盘查表!AG18</f>
        <v>0</v>
      </c>
      <c r="I35" s="464">
        <f>表1温室气体盘查表!AH18</f>
        <v>0</v>
      </c>
      <c r="J35" s="464">
        <f>表1温室气体盘查表!AI18</f>
        <v>0</v>
      </c>
      <c r="K35" s="464">
        <f>表1温室气体盘查表!AJ18</f>
        <v>0</v>
      </c>
      <c r="L35" s="464">
        <f>表1温室气体盘查表!AK18</f>
        <v>0</v>
      </c>
      <c r="M35" s="464">
        <f>表1温室气体盘查表!AL18</f>
        <v>0</v>
      </c>
    </row>
    <row r="36" spans="1:14" s="391" customFormat="1" ht="25.15" hidden="1" customHeight="1">
      <c r="A36" s="401"/>
      <c r="B36" s="462" t="s">
        <v>56</v>
      </c>
      <c r="C36" s="463" t="str">
        <f>表1温室气体盘查表!C19</f>
        <v>电极</v>
      </c>
      <c r="D36" s="463" t="str">
        <f>表1温室气体盘查表!D19</f>
        <v>炼钢</v>
      </c>
      <c r="F36" s="464">
        <f t="shared" si="2"/>
        <v>18334.963349999998</v>
      </c>
      <c r="G36" s="464">
        <f>表1温室气体盘查表!AF19</f>
        <v>18334.963349999998</v>
      </c>
      <c r="H36" s="464">
        <f>表1温室气体盘查表!AG19</f>
        <v>0</v>
      </c>
      <c r="I36" s="464">
        <f>表1温室气体盘查表!AH19</f>
        <v>0</v>
      </c>
      <c r="J36" s="464">
        <f>表1温室气体盘查表!AI19</f>
        <v>0</v>
      </c>
      <c r="K36" s="464">
        <f>表1温室气体盘查表!AJ19</f>
        <v>0</v>
      </c>
      <c r="L36" s="464">
        <f>表1温室气体盘查表!AK19</f>
        <v>0</v>
      </c>
      <c r="M36" s="464">
        <f>表1温室气体盘查表!AL19</f>
        <v>0</v>
      </c>
    </row>
    <row r="37" spans="1:14" s="391" customFormat="1" ht="25.15" hidden="1" customHeight="1">
      <c r="A37" s="401"/>
      <c r="B37" s="462" t="s">
        <v>57</v>
      </c>
      <c r="C37" s="463" t="str">
        <f>表1温室气体盘查表!C20</f>
        <v>废钢</v>
      </c>
      <c r="D37" s="463" t="str">
        <f>表1温室气体盘查表!D20</f>
        <v>炼钢</v>
      </c>
      <c r="F37" s="464">
        <f t="shared" si="2"/>
        <v>41425.779419999992</v>
      </c>
      <c r="G37" s="464">
        <f>表1温室气体盘查表!AF20</f>
        <v>41425.779419999992</v>
      </c>
      <c r="H37" s="464">
        <f>表1温室气体盘查表!AG20</f>
        <v>0</v>
      </c>
      <c r="I37" s="464">
        <f>表1温室气体盘查表!AH20</f>
        <v>0</v>
      </c>
      <c r="J37" s="464">
        <f>表1温室气体盘查表!AI20</f>
        <v>0</v>
      </c>
      <c r="K37" s="464">
        <f>表1温室气体盘查表!AJ20</f>
        <v>0</v>
      </c>
      <c r="L37" s="464">
        <f>表1温室气体盘查表!AK20</f>
        <v>0</v>
      </c>
      <c r="M37" s="464">
        <f>表1温室气体盘查表!AL20</f>
        <v>0</v>
      </c>
    </row>
    <row r="38" spans="1:14" s="391" customFormat="1" ht="25.15" hidden="1" customHeight="1">
      <c r="A38" s="401"/>
      <c r="B38" s="462" t="s">
        <v>58</v>
      </c>
      <c r="C38" s="463" t="str">
        <f>表1温室气体盘查表!C21</f>
        <v>高碳锰铁</v>
      </c>
      <c r="D38" s="463" t="str">
        <f>表1温室气体盘查表!D21</f>
        <v>炼钢</v>
      </c>
      <c r="F38" s="464">
        <f t="shared" si="2"/>
        <v>11407.87175</v>
      </c>
      <c r="G38" s="464">
        <f>表1温室气体盘查表!AF21</f>
        <v>11407.87175</v>
      </c>
      <c r="H38" s="464">
        <f>表1温室气体盘查表!AG21</f>
        <v>0</v>
      </c>
      <c r="I38" s="464">
        <f>表1温室气体盘查表!AH21</f>
        <v>0</v>
      </c>
      <c r="J38" s="464">
        <f>表1温室气体盘查表!AI21</f>
        <v>0</v>
      </c>
      <c r="K38" s="464">
        <f>表1温室气体盘查表!AJ21</f>
        <v>0</v>
      </c>
      <c r="L38" s="464">
        <f>表1温室气体盘查表!AK21</f>
        <v>0</v>
      </c>
      <c r="M38" s="464">
        <f>表1温室气体盘查表!AL21</f>
        <v>0</v>
      </c>
    </row>
    <row r="39" spans="1:14" s="391" customFormat="1" ht="25.15" hidden="1" customHeight="1">
      <c r="A39" s="401"/>
      <c r="B39" s="462" t="s">
        <v>59</v>
      </c>
      <c r="C39" s="463" t="str">
        <f>表1温室气体盘查表!C23</f>
        <v>镍铁</v>
      </c>
      <c r="D39" s="463" t="str">
        <f>表1温室气体盘查表!D23</f>
        <v>炼钢</v>
      </c>
      <c r="F39" s="464">
        <f t="shared" si="2"/>
        <v>367.89839999999998</v>
      </c>
      <c r="G39" s="464">
        <f>表1温室气体盘查表!AF23</f>
        <v>367.89839999999998</v>
      </c>
      <c r="H39" s="464">
        <f>表1温室气体盘查表!AG23</f>
        <v>0</v>
      </c>
      <c r="I39" s="464">
        <f>表1温室气体盘查表!AH23</f>
        <v>0</v>
      </c>
      <c r="J39" s="464">
        <f>表1温室气体盘查表!AI23</f>
        <v>0</v>
      </c>
      <c r="K39" s="464">
        <f>表1温室气体盘查表!AJ23</f>
        <v>0</v>
      </c>
      <c r="L39" s="464">
        <f>表1温室气体盘查表!AK23</f>
        <v>0</v>
      </c>
      <c r="M39" s="464">
        <f>表1温室气体盘查表!AL23</f>
        <v>0</v>
      </c>
    </row>
    <row r="40" spans="1:14" s="391" customFormat="1" ht="25.15" hidden="1" customHeight="1">
      <c r="A40" s="401"/>
      <c r="B40" s="462" t="s">
        <v>60</v>
      </c>
      <c r="C40" s="463" t="str">
        <f>表1温室气体盘查表!C24</f>
        <v>高碳铬铁</v>
      </c>
      <c r="D40" s="463" t="str">
        <f>表1温室气体盘查表!D24</f>
        <v>炼钢</v>
      </c>
      <c r="F40" s="464">
        <f t="shared" si="2"/>
        <v>13992.429239999998</v>
      </c>
      <c r="G40" s="464">
        <f>表1温室气体盘查表!AF24</f>
        <v>13992.429239999998</v>
      </c>
      <c r="H40" s="464">
        <f>表1温室气体盘查表!AG24</f>
        <v>0</v>
      </c>
      <c r="I40" s="464">
        <f>表1温室气体盘查表!AH24</f>
        <v>0</v>
      </c>
      <c r="J40" s="464">
        <f>表1温室气体盘查表!AI24</f>
        <v>0</v>
      </c>
      <c r="K40" s="464">
        <f>表1温室气体盘查表!AJ24</f>
        <v>0</v>
      </c>
      <c r="L40" s="464">
        <f>表1温室气体盘查表!AK24</f>
        <v>0</v>
      </c>
      <c r="M40" s="464">
        <f>表1温室气体盘查表!AL24</f>
        <v>0</v>
      </c>
    </row>
    <row r="41" spans="1:14" s="391" customFormat="1" ht="25.15" hidden="1" customHeight="1">
      <c r="A41" s="401"/>
      <c r="B41" s="462" t="s">
        <v>61</v>
      </c>
      <c r="C41" s="463" t="str">
        <f>表1温室气体盘查表!C25</f>
        <v>硅铁</v>
      </c>
      <c r="D41" s="463" t="str">
        <f>表1温室气体盘查表!D25</f>
        <v>炼钢</v>
      </c>
      <c r="F41" s="464">
        <f t="shared" si="2"/>
        <v>82.656559999999999</v>
      </c>
      <c r="G41" s="464">
        <f>表1温室气体盘查表!AF25</f>
        <v>82.656559999999999</v>
      </c>
      <c r="H41" s="464">
        <f>表1温室气体盘查表!AG25</f>
        <v>0</v>
      </c>
      <c r="I41" s="464">
        <f>表1温室气体盘查表!AH25</f>
        <v>0</v>
      </c>
      <c r="J41" s="464">
        <f>表1温室气体盘查表!AI25</f>
        <v>0</v>
      </c>
      <c r="K41" s="464">
        <f>表1温室气体盘查表!AJ25</f>
        <v>0</v>
      </c>
      <c r="L41" s="464">
        <f>表1温室气体盘查表!AK25</f>
        <v>0</v>
      </c>
      <c r="M41" s="464">
        <f>表1温室气体盘查表!AL25</f>
        <v>0</v>
      </c>
    </row>
    <row r="42" spans="1:14" s="391" customFormat="1" ht="25.15" hidden="1" customHeight="1">
      <c r="A42" s="401"/>
      <c r="B42" s="462" t="s">
        <v>62</v>
      </c>
      <c r="C42" s="463" t="str">
        <f>表1温室气体盘查表!C26</f>
        <v>钼铁</v>
      </c>
      <c r="D42" s="463" t="str">
        <f>表1温室气体盘查表!D26</f>
        <v>炼钢</v>
      </c>
      <c r="F42" s="464">
        <f t="shared" si="2"/>
        <v>130.83696</v>
      </c>
      <c r="G42" s="464">
        <f>表1温室气体盘查表!AF26</f>
        <v>130.83696</v>
      </c>
      <c r="H42" s="464">
        <f>表1温室气体盘查表!AG26</f>
        <v>0</v>
      </c>
      <c r="I42" s="464">
        <f>表1温室气体盘查表!AH26</f>
        <v>0</v>
      </c>
      <c r="J42" s="464">
        <f>表1温室气体盘查表!AI26</f>
        <v>0</v>
      </c>
      <c r="K42" s="464">
        <f>表1温室气体盘查表!AJ26</f>
        <v>0</v>
      </c>
      <c r="L42" s="464">
        <f>表1温室气体盘查表!AK26</f>
        <v>0</v>
      </c>
      <c r="M42" s="464">
        <f>表1温室气体盘查表!AL26</f>
        <v>0</v>
      </c>
    </row>
    <row r="43" spans="1:14" s="391" customFormat="1" ht="25.15" hidden="1" customHeight="1">
      <c r="A43" s="401"/>
      <c r="B43" s="462" t="s">
        <v>63</v>
      </c>
      <c r="C43" s="463" t="str">
        <f>表1温室气体盘查表!C27</f>
        <v>粗钢</v>
      </c>
      <c r="D43" s="463" t="str">
        <f>表1温室气体盘查表!D27</f>
        <v>固碳产品</v>
      </c>
      <c r="F43" s="464">
        <f t="shared" si="2"/>
        <v>-165928.07805000001</v>
      </c>
      <c r="G43" s="464">
        <f>表1温室气体盘查表!AF27</f>
        <v>-165928.07805000001</v>
      </c>
      <c r="H43" s="464">
        <f>表1温室气体盘查表!AG27</f>
        <v>0</v>
      </c>
      <c r="I43" s="464">
        <f>表1温室气体盘查表!AH27</f>
        <v>0</v>
      </c>
      <c r="J43" s="464">
        <f>表1温室气体盘查表!AI27</f>
        <v>0</v>
      </c>
      <c r="K43" s="464">
        <f>表1温室气体盘查表!AJ27</f>
        <v>0</v>
      </c>
      <c r="L43" s="464">
        <f>表1温室气体盘查表!AK27</f>
        <v>0</v>
      </c>
      <c r="M43" s="464">
        <f>表1温室气体盘查表!AL27</f>
        <v>0</v>
      </c>
    </row>
    <row r="44" spans="1:14" s="391" customFormat="1" ht="25.15" hidden="1" customHeight="1">
      <c r="A44" s="401"/>
      <c r="B44" s="462" t="s">
        <v>64</v>
      </c>
      <c r="C44" s="463" t="str">
        <f>表1温室气体盘查表!C28</f>
        <v>粗苯</v>
      </c>
      <c r="D44" s="463" t="str">
        <f>表1温室气体盘查表!D28</f>
        <v>外售</v>
      </c>
      <c r="F44" s="464">
        <f t="shared" si="2"/>
        <v>-68970.884640000004</v>
      </c>
      <c r="G44" s="464">
        <f>表1温室气体盘查表!AF28</f>
        <v>-68970.884640000004</v>
      </c>
      <c r="H44" s="464">
        <f>表1温室气体盘查表!AG28</f>
        <v>0</v>
      </c>
      <c r="I44" s="464">
        <f>表1温室气体盘查表!AH28</f>
        <v>0</v>
      </c>
      <c r="J44" s="464">
        <f>表1温室气体盘查表!AI28</f>
        <v>0</v>
      </c>
      <c r="K44" s="464">
        <f>表1温室气体盘查表!AJ28</f>
        <v>0</v>
      </c>
      <c r="L44" s="464">
        <f>表1温室气体盘查表!AK28</f>
        <v>0</v>
      </c>
      <c r="M44" s="464">
        <f>表1温室气体盘查表!AL28</f>
        <v>0</v>
      </c>
    </row>
    <row r="45" spans="1:14" s="391" customFormat="1" ht="25.15" hidden="1" customHeight="1">
      <c r="A45" s="401"/>
      <c r="B45" s="462" t="s">
        <v>65</v>
      </c>
      <c r="C45" s="463" t="str">
        <f>表1温室气体盘查表!C29</f>
        <v>焦油</v>
      </c>
      <c r="D45" s="463" t="str">
        <f>表1温室气体盘查表!D29</f>
        <v>危废处置</v>
      </c>
      <c r="F45" s="464">
        <f t="shared" si="2"/>
        <v>-163466.55439999999</v>
      </c>
      <c r="G45" s="464">
        <f>表1温室气体盘查表!AF29</f>
        <v>-163466.55439999999</v>
      </c>
      <c r="H45" s="464">
        <f>表1温室气体盘查表!AG29</f>
        <v>0</v>
      </c>
      <c r="I45" s="464">
        <f>表1温室气体盘查表!AH29</f>
        <v>0</v>
      </c>
      <c r="J45" s="464">
        <f>表1温室气体盘查表!AI29</f>
        <v>0</v>
      </c>
      <c r="K45" s="464">
        <f>表1温室气体盘查表!AJ29</f>
        <v>0</v>
      </c>
      <c r="L45" s="464">
        <f>表1温室气体盘查表!AK29</f>
        <v>0</v>
      </c>
      <c r="M45" s="464">
        <f>表1温室气体盘查表!AL29</f>
        <v>0</v>
      </c>
    </row>
    <row r="46" spans="1:14" s="391" customFormat="1" ht="25.15" hidden="1" customHeight="1">
      <c r="A46" s="401"/>
      <c r="B46" s="609" t="s">
        <v>66</v>
      </c>
      <c r="C46" s="610"/>
      <c r="D46" s="611"/>
      <c r="E46" s="469"/>
      <c r="F46" s="470"/>
      <c r="G46" s="470"/>
      <c r="H46" s="470"/>
      <c r="I46" s="470"/>
      <c r="J46" s="470"/>
      <c r="K46" s="470"/>
      <c r="L46" s="470"/>
      <c r="M46" s="470"/>
    </row>
    <row r="47" spans="1:14" s="391" customFormat="1" ht="25.15" hidden="1" customHeight="1">
      <c r="A47" s="401"/>
      <c r="B47" s="471">
        <v>2.1</v>
      </c>
      <c r="C47" s="463" t="str">
        <f>表1温室气体盘查表!C30</f>
        <v>外购电力（基于位置）</v>
      </c>
      <c r="D47" s="463" t="str">
        <f>表1温室气体盘查表!D30</f>
        <v>用电设备</v>
      </c>
      <c r="E47" s="472"/>
      <c r="F47" s="464">
        <f>SUM(G47:M47)</f>
        <v>1043611.0503979999</v>
      </c>
      <c r="G47" s="473">
        <f>表1温室气体盘查表!AF30</f>
        <v>1043611.0503979999</v>
      </c>
      <c r="H47" s="473">
        <f>表1温室气体盘查表!AG30</f>
        <v>0</v>
      </c>
      <c r="I47" s="473">
        <f>表1温室气体盘查表!AH30</f>
        <v>0</v>
      </c>
      <c r="J47" s="473">
        <f>表1温室气体盘查表!AI30</f>
        <v>0</v>
      </c>
      <c r="K47" s="473">
        <f>表1温室气体盘查表!AJ30</f>
        <v>0</v>
      </c>
      <c r="L47" s="473">
        <f>表1温室气体盘查表!AK30</f>
        <v>0</v>
      </c>
      <c r="M47" s="473">
        <f>表1温室气体盘查表!AL30</f>
        <v>0</v>
      </c>
    </row>
    <row r="48" spans="1:14" s="391" customFormat="1" ht="25.15" hidden="1" customHeight="1">
      <c r="A48" s="448"/>
      <c r="B48" s="471">
        <v>2.2000000000000002</v>
      </c>
      <c r="C48" s="463" t="str">
        <f>表1温室气体盘查表!C31</f>
        <v>外购电力（基于市场）</v>
      </c>
      <c r="D48" s="463" t="str">
        <f>表1温室气体盘查表!D31</f>
        <v>用电设备</v>
      </c>
      <c r="E48" s="474"/>
      <c r="F48" s="464">
        <f>SUM(G48:M48)</f>
        <v>1186800.2659680001</v>
      </c>
      <c r="G48" s="473">
        <f>表1温室气体盘查表!AF31</f>
        <v>1186800.2659680001</v>
      </c>
      <c r="H48" s="473">
        <f>表1温室气体盘查表!AG31</f>
        <v>0</v>
      </c>
      <c r="I48" s="473">
        <f>表1温室气体盘查表!AH31</f>
        <v>0</v>
      </c>
      <c r="J48" s="473">
        <f>表1温室气体盘查表!AI31</f>
        <v>0</v>
      </c>
      <c r="K48" s="473">
        <f>表1温室气体盘查表!AJ31</f>
        <v>0</v>
      </c>
      <c r="L48" s="473">
        <f>表1温室气体盘查表!AK31</f>
        <v>0</v>
      </c>
      <c r="M48" s="473">
        <f>表1温室气体盘查表!AL31</f>
        <v>0</v>
      </c>
      <c r="N48" s="451"/>
    </row>
    <row r="49" spans="1:14" s="391" customFormat="1" ht="25.15" hidden="1" customHeight="1">
      <c r="A49" s="448"/>
      <c r="B49" s="475"/>
      <c r="C49" s="476"/>
      <c r="D49" s="476"/>
      <c r="E49" s="474"/>
      <c r="F49" s="477"/>
      <c r="G49" s="478"/>
      <c r="H49" s="478"/>
      <c r="I49" s="478"/>
      <c r="J49" s="478"/>
      <c r="K49" s="478"/>
      <c r="L49" s="478"/>
      <c r="M49" s="478"/>
      <c r="N49" s="451"/>
    </row>
    <row r="50" spans="1:14" s="391" customFormat="1" ht="25.15" customHeight="1">
      <c r="A50" s="448"/>
      <c r="B50" s="479" t="s">
        <v>67</v>
      </c>
      <c r="C50" s="480" t="s">
        <v>68</v>
      </c>
      <c r="D50" s="481"/>
      <c r="E50" s="482"/>
      <c r="F50" s="483" t="e">
        <f>SUM(G50:M50)</f>
        <v>#REF!</v>
      </c>
      <c r="G50" s="483" t="e">
        <f>SUM(G51:G74)</f>
        <v>#REF!</v>
      </c>
      <c r="H50" s="483" t="e">
        <f t="shared" ref="H50:M50" si="6">SUM(H51:H69)</f>
        <v>#REF!</v>
      </c>
      <c r="I50" s="483" t="e">
        <f t="shared" si="6"/>
        <v>#REF!</v>
      </c>
      <c r="J50" s="483" t="e">
        <f t="shared" si="6"/>
        <v>#REF!</v>
      </c>
      <c r="K50" s="483" t="e">
        <f t="shared" si="6"/>
        <v>#REF!</v>
      </c>
      <c r="L50" s="483" t="e">
        <f t="shared" si="6"/>
        <v>#REF!</v>
      </c>
      <c r="M50" s="483" t="e">
        <f t="shared" si="6"/>
        <v>#REF!</v>
      </c>
      <c r="N50" s="451"/>
    </row>
    <row r="51" spans="1:14" s="393" customFormat="1" ht="25.15" customHeight="1">
      <c r="A51" s="394"/>
      <c r="B51" s="484" t="s">
        <v>69</v>
      </c>
      <c r="C51" s="485" t="str">
        <f>表1温室气体盘查表!C32</f>
        <v>铁矿石生产</v>
      </c>
      <c r="D51" s="486" t="str">
        <f>表1温室气体盘查表!D32</f>
        <v>烧结</v>
      </c>
      <c r="E51" s="487"/>
      <c r="F51" s="464">
        <f>表1温室气体盘查表!AM32</f>
        <v>479835.37134729006</v>
      </c>
      <c r="G51" s="473">
        <f>表1温室气体盘查表!AF32</f>
        <v>479835.37134729006</v>
      </c>
      <c r="H51" s="473">
        <f>表1温室气体盘查表!AG32</f>
        <v>0</v>
      </c>
      <c r="I51" s="473">
        <f>表1温室气体盘查表!AH32</f>
        <v>0</v>
      </c>
      <c r="J51" s="473">
        <f>表1温室气体盘查表!AI32</f>
        <v>0</v>
      </c>
      <c r="K51" s="473">
        <f>表1温室气体盘查表!AJ32</f>
        <v>0</v>
      </c>
      <c r="L51" s="473">
        <f>表1温室气体盘查表!AK32</f>
        <v>0</v>
      </c>
      <c r="M51" s="473">
        <f>表1温室气体盘查表!AL32</f>
        <v>0</v>
      </c>
      <c r="N51" s="394"/>
    </row>
    <row r="52" spans="1:14" s="393" customFormat="1" ht="25.15" customHeight="1">
      <c r="A52" s="394"/>
      <c r="B52" s="484" t="s">
        <v>70</v>
      </c>
      <c r="C52" s="485" t="str">
        <f>表1温室气体盘查表!C33</f>
        <v>生石灰生产</v>
      </c>
      <c r="D52" s="486" t="str">
        <f>表1温室气体盘查表!D33</f>
        <v>烧结、转炉、电炉</v>
      </c>
      <c r="E52" s="394"/>
      <c r="F52" s="464">
        <f>表1温室气体盘查表!AM33</f>
        <v>236961.26162730961</v>
      </c>
      <c r="G52" s="473">
        <f>表1温室气体盘查表!AF33</f>
        <v>236961.26162730961</v>
      </c>
      <c r="H52" s="473">
        <f>表1温室气体盘查表!AG33</f>
        <v>0</v>
      </c>
      <c r="I52" s="473">
        <f>表1温室气体盘查表!AH33</f>
        <v>0</v>
      </c>
      <c r="J52" s="473">
        <f>表1温室气体盘查表!AI33</f>
        <v>0</v>
      </c>
      <c r="K52" s="473">
        <f>表1温室气体盘查表!AJ33</f>
        <v>0</v>
      </c>
      <c r="L52" s="473">
        <f>表1温室气体盘查表!AK33</f>
        <v>0</v>
      </c>
      <c r="M52" s="473">
        <f>表1温室气体盘查表!AL33</f>
        <v>0</v>
      </c>
      <c r="N52" s="394"/>
    </row>
    <row r="53" spans="1:14" s="393" customFormat="1" ht="25.15" customHeight="1">
      <c r="A53" s="394"/>
      <c r="B53" s="484" t="s">
        <v>71</v>
      </c>
      <c r="C53" s="485" t="e">
        <f>表1温室气体盘查表!#REF!</f>
        <v>#REF!</v>
      </c>
      <c r="D53" s="486" t="e">
        <f>表1温室气体盘查表!#REF!</f>
        <v>#REF!</v>
      </c>
      <c r="E53" s="394"/>
      <c r="F53" s="464" t="e">
        <f>表1温室气体盘查表!#REF!</f>
        <v>#REF!</v>
      </c>
      <c r="G53" s="473" t="e">
        <f>表1温室气体盘查表!#REF!</f>
        <v>#REF!</v>
      </c>
      <c r="H53" s="473" t="e">
        <f>表1温室气体盘查表!#REF!</f>
        <v>#REF!</v>
      </c>
      <c r="I53" s="473" t="e">
        <f>表1温室气体盘查表!#REF!</f>
        <v>#REF!</v>
      </c>
      <c r="J53" s="473" t="e">
        <f>表1温室气体盘查表!#REF!</f>
        <v>#REF!</v>
      </c>
      <c r="K53" s="473" t="e">
        <f>表1温室气体盘查表!#REF!</f>
        <v>#REF!</v>
      </c>
      <c r="L53" s="473" t="e">
        <f>表1温室气体盘查表!#REF!</f>
        <v>#REF!</v>
      </c>
      <c r="M53" s="473" t="e">
        <f>表1温室气体盘查表!#REF!</f>
        <v>#REF!</v>
      </c>
      <c r="N53" s="394"/>
    </row>
    <row r="54" spans="1:14" s="393" customFormat="1" ht="25.15" customHeight="1">
      <c r="A54" s="394"/>
      <c r="B54" s="484" t="s">
        <v>72</v>
      </c>
      <c r="C54" s="485" t="str">
        <f>表1温室气体盘查表!C34</f>
        <v>白云石生产</v>
      </c>
      <c r="D54" s="486" t="str">
        <f>表1温室气体盘查表!D34</f>
        <v>烧结、转炉、电炉</v>
      </c>
      <c r="E54" s="394"/>
      <c r="F54" s="464">
        <f>表1温室气体盘查表!AM34</f>
        <v>5039.7894184999996</v>
      </c>
      <c r="G54" s="473">
        <f>表1温室气体盘查表!AF34</f>
        <v>5039.7894184999996</v>
      </c>
      <c r="H54" s="473">
        <f>表1温室气体盘查表!AG34</f>
        <v>0</v>
      </c>
      <c r="I54" s="473">
        <f>表1温室气体盘查表!AH34</f>
        <v>0</v>
      </c>
      <c r="J54" s="473">
        <f>表1温室气体盘查表!AI34</f>
        <v>0</v>
      </c>
      <c r="K54" s="473">
        <f>表1温室气体盘查表!AJ34</f>
        <v>0</v>
      </c>
      <c r="L54" s="473">
        <f>表1温室气体盘查表!AK34</f>
        <v>0</v>
      </c>
      <c r="M54" s="473">
        <f>表1温室气体盘查表!AL34</f>
        <v>0</v>
      </c>
      <c r="N54" s="394"/>
    </row>
    <row r="55" spans="1:14" s="393" customFormat="1" ht="25.15" customHeight="1">
      <c r="A55" s="394"/>
      <c r="B55" s="484" t="s">
        <v>73</v>
      </c>
      <c r="C55" s="485" t="e">
        <f>表1温室气体盘查表!#REF!</f>
        <v>#REF!</v>
      </c>
      <c r="D55" s="486" t="str">
        <f>表1温室气体盘查表!D35</f>
        <v>高炉、转炉</v>
      </c>
      <c r="E55" s="487"/>
      <c r="F55" s="464" t="e">
        <f>表1温室气体盘查表!#REF!</f>
        <v>#REF!</v>
      </c>
      <c r="G55" s="473" t="e">
        <f>表1温室气体盘查表!#REF!</f>
        <v>#REF!</v>
      </c>
      <c r="H55" s="473" t="e">
        <f>表1温室气体盘查表!#REF!</f>
        <v>#REF!</v>
      </c>
      <c r="I55" s="473" t="e">
        <f>表1温室气体盘查表!#REF!</f>
        <v>#REF!</v>
      </c>
      <c r="J55" s="473" t="e">
        <f>表1温室气体盘查表!#REF!</f>
        <v>#REF!</v>
      </c>
      <c r="K55" s="473" t="e">
        <f>表1温室气体盘查表!#REF!</f>
        <v>#REF!</v>
      </c>
      <c r="L55" s="473" t="e">
        <f>表1温室气体盘查表!#REF!</f>
        <v>#REF!</v>
      </c>
      <c r="M55" s="473" t="e">
        <f>表1温室气体盘查表!#REF!</f>
        <v>#REF!</v>
      </c>
      <c r="N55" s="394"/>
    </row>
    <row r="56" spans="1:14" s="393" customFormat="1" ht="25.15" customHeight="1">
      <c r="A56" s="394"/>
      <c r="B56" s="484" t="s">
        <v>74</v>
      </c>
      <c r="C56" s="485" t="str">
        <f>表1温室气体盘查表!C35</f>
        <v>球团生产</v>
      </c>
      <c r="D56" s="486" t="str">
        <f>表1温室气体盘查表!D36</f>
        <v>转炉、电炉</v>
      </c>
      <c r="E56" s="487"/>
      <c r="F56" s="464">
        <f>表1温室气体盘查表!AM35</f>
        <v>71241.081749399993</v>
      </c>
      <c r="G56" s="473">
        <f>表1温室气体盘查表!AF35</f>
        <v>71241.081749399993</v>
      </c>
      <c r="H56" s="473">
        <f>表1温室气体盘查表!AG35</f>
        <v>0</v>
      </c>
      <c r="I56" s="473">
        <f>表1温室气体盘查表!AH35</f>
        <v>0</v>
      </c>
      <c r="J56" s="473">
        <f>表1温室气体盘查表!AI35</f>
        <v>0</v>
      </c>
      <c r="K56" s="473">
        <f>表1温室气体盘查表!AJ35</f>
        <v>0</v>
      </c>
      <c r="L56" s="473">
        <f>表1温室气体盘查表!AK35</f>
        <v>0</v>
      </c>
      <c r="M56" s="473">
        <f>表1温室气体盘查表!AL35</f>
        <v>0</v>
      </c>
      <c r="N56" s="394"/>
    </row>
    <row r="57" spans="1:14" s="393" customFormat="1" ht="25.15" customHeight="1">
      <c r="A57" s="394"/>
      <c r="B57" s="484" t="s">
        <v>75</v>
      </c>
      <c r="C57" s="485" t="str">
        <f>表1温室气体盘查表!C36</f>
        <v>废钢生产</v>
      </c>
      <c r="D57" s="486" t="str">
        <f>表1温室气体盘查表!D37</f>
        <v>转炉、电炉</v>
      </c>
      <c r="E57" s="487"/>
      <c r="F57" s="464">
        <f>表1温室气体盘查表!AM36</f>
        <v>83051.970043139983</v>
      </c>
      <c r="G57" s="473">
        <f>表1温室气体盘查表!AF36</f>
        <v>83051.970043139983</v>
      </c>
      <c r="H57" s="473">
        <f>表1温室气体盘查表!AG36</f>
        <v>0</v>
      </c>
      <c r="I57" s="473">
        <f>表1温室气体盘查表!AH36</f>
        <v>0</v>
      </c>
      <c r="J57" s="473">
        <f>表1温室气体盘查表!AI36</f>
        <v>0</v>
      </c>
      <c r="K57" s="473">
        <f>表1温室气体盘查表!AJ36</f>
        <v>0</v>
      </c>
      <c r="L57" s="473">
        <f>表1温室气体盘查表!AK36</f>
        <v>0</v>
      </c>
      <c r="M57" s="473">
        <f>表1温室气体盘查表!AL36</f>
        <v>0</v>
      </c>
      <c r="N57" s="394"/>
    </row>
    <row r="58" spans="1:14" s="393" customFormat="1" ht="25.15" customHeight="1">
      <c r="A58" s="394"/>
      <c r="B58" s="484" t="s">
        <v>76</v>
      </c>
      <c r="C58" s="485" t="str">
        <f>表1温室气体盘查表!C37</f>
        <v>电极生产</v>
      </c>
      <c r="D58" s="486" t="str">
        <f>表1温室气体盘查表!D38</f>
        <v>转炉、电炉</v>
      </c>
      <c r="E58" s="487"/>
      <c r="F58" s="464">
        <f>表1温室气体盘查表!AM37</f>
        <v>60962.024357421578</v>
      </c>
      <c r="G58" s="473">
        <f>表1温室气体盘查表!AF37</f>
        <v>60962.024357421578</v>
      </c>
      <c r="H58" s="473">
        <f>表1温室气体盘查表!AG37</f>
        <v>0</v>
      </c>
      <c r="I58" s="473">
        <f>表1温室气体盘查表!AH37</f>
        <v>0</v>
      </c>
      <c r="J58" s="473">
        <f>表1温室气体盘查表!AI37</f>
        <v>0</v>
      </c>
      <c r="K58" s="473">
        <f>表1温室气体盘查表!AJ37</f>
        <v>0</v>
      </c>
      <c r="L58" s="473">
        <f>表1温室气体盘查表!AK37</f>
        <v>0</v>
      </c>
      <c r="M58" s="473">
        <f>表1温室气体盘查表!AL37</f>
        <v>0</v>
      </c>
      <c r="N58" s="394"/>
    </row>
    <row r="59" spans="1:14" s="393" customFormat="1" ht="25.15" customHeight="1">
      <c r="A59" s="394"/>
      <c r="B59" s="484" t="s">
        <v>77</v>
      </c>
      <c r="C59" s="485" t="str">
        <f>表1温室气体盘查表!C38</f>
        <v>锰铁生产</v>
      </c>
      <c r="D59" s="486" t="str">
        <f>表1温室气体盘查表!D39</f>
        <v>转炉、电炉</v>
      </c>
      <c r="E59" s="487"/>
      <c r="F59" s="464">
        <f>表1温室气体盘查表!AM38</f>
        <v>123503.69372399998</v>
      </c>
      <c r="G59" s="473">
        <f>表1温室气体盘查表!AF38</f>
        <v>123503.69372399998</v>
      </c>
      <c r="H59" s="473">
        <f>表1温室气体盘查表!AG38</f>
        <v>0</v>
      </c>
      <c r="I59" s="473">
        <f>表1温室气体盘查表!AH38</f>
        <v>0</v>
      </c>
      <c r="J59" s="473">
        <f>表1温室气体盘查表!AI38</f>
        <v>0</v>
      </c>
      <c r="K59" s="473">
        <f>表1温室气体盘查表!AJ38</f>
        <v>0</v>
      </c>
      <c r="L59" s="473">
        <f>表1温室气体盘查表!AK38</f>
        <v>0</v>
      </c>
      <c r="M59" s="473">
        <f>表1温室气体盘查表!AL38</f>
        <v>0</v>
      </c>
      <c r="N59" s="394"/>
    </row>
    <row r="60" spans="1:14" s="393" customFormat="1" ht="25.15" customHeight="1">
      <c r="A60" s="394"/>
      <c r="B60" s="484" t="s">
        <v>78</v>
      </c>
      <c r="C60" s="485" t="str">
        <f>表1温室气体盘查表!C39</f>
        <v>镍铁生产</v>
      </c>
      <c r="D60" s="486" t="str">
        <f>表1温室气体盘查表!D40</f>
        <v>转炉、电炉</v>
      </c>
      <c r="E60" s="487"/>
      <c r="F60" s="464">
        <f>表1温室气体盘查表!AM39</f>
        <v>87049.733040000006</v>
      </c>
      <c r="G60" s="473">
        <f>表1温室气体盘查表!AF39</f>
        <v>87049.733040000006</v>
      </c>
      <c r="H60" s="473">
        <f>表1温室气体盘查表!AG39</f>
        <v>0</v>
      </c>
      <c r="I60" s="473">
        <f>表1温室气体盘查表!AH39</f>
        <v>0</v>
      </c>
      <c r="J60" s="473">
        <f>表1温室气体盘查表!AI39</f>
        <v>0</v>
      </c>
      <c r="K60" s="473">
        <f>表1温室气体盘查表!AJ39</f>
        <v>0</v>
      </c>
      <c r="L60" s="473">
        <f>表1温室气体盘查表!AK39</f>
        <v>0</v>
      </c>
      <c r="M60" s="473">
        <f>表1温室气体盘查表!AL39</f>
        <v>0</v>
      </c>
      <c r="N60" s="394"/>
    </row>
    <row r="61" spans="1:14" s="393" customFormat="1" ht="25.15" customHeight="1">
      <c r="A61" s="394"/>
      <c r="B61" s="484" t="s">
        <v>79</v>
      </c>
      <c r="C61" s="485" t="str">
        <f>表1温室气体盘查表!C40</f>
        <v>铬铁生产</v>
      </c>
      <c r="D61" s="486" t="str">
        <f>表1温室气体盘查表!D41</f>
        <v>转炉、电炉</v>
      </c>
      <c r="E61" s="487"/>
      <c r="F61" s="464">
        <f>表1温室气体盘查表!AM40</f>
        <v>204743.81877300001</v>
      </c>
      <c r="G61" s="473">
        <f>表1温室气体盘查表!AF40</f>
        <v>204743.81877300001</v>
      </c>
      <c r="H61" s="473">
        <f>表1温室气体盘查表!AG40</f>
        <v>0</v>
      </c>
      <c r="I61" s="473">
        <f>表1温室气体盘查表!AH40</f>
        <v>0</v>
      </c>
      <c r="J61" s="473">
        <f>表1温室气体盘查表!AI40</f>
        <v>0</v>
      </c>
      <c r="K61" s="473">
        <f>表1温室气体盘查表!AJ40</f>
        <v>0</v>
      </c>
      <c r="L61" s="473">
        <f>表1温室气体盘查表!AK40</f>
        <v>0</v>
      </c>
      <c r="M61" s="473">
        <f>表1温室气体盘查表!AL40</f>
        <v>0</v>
      </c>
      <c r="N61" s="394"/>
    </row>
    <row r="62" spans="1:14" s="393" customFormat="1" ht="25.15" customHeight="1">
      <c r="A62" s="394"/>
      <c r="B62" s="484" t="s">
        <v>80</v>
      </c>
      <c r="C62" s="485" t="str">
        <f>表1温室气体盘查表!C41</f>
        <v>萤石生产</v>
      </c>
      <c r="D62" s="486" t="str">
        <f>表1温室气体盘查表!D42</f>
        <v>转炉、电炉</v>
      </c>
      <c r="E62" s="487"/>
      <c r="F62" s="464">
        <f>表1温室气体盘查表!AM41</f>
        <v>88473.440132599993</v>
      </c>
      <c r="G62" s="473">
        <f>表1温室气体盘查表!AF41</f>
        <v>88473.440132599993</v>
      </c>
      <c r="H62" s="473">
        <f>表1温室气体盘查表!AG41</f>
        <v>0</v>
      </c>
      <c r="I62" s="473">
        <f>表1温室气体盘查表!AH41</f>
        <v>0</v>
      </c>
      <c r="J62" s="473">
        <f>表1温室气体盘查表!AI41</f>
        <v>0</v>
      </c>
      <c r="K62" s="473">
        <f>表1温室气体盘查表!AJ41</f>
        <v>0</v>
      </c>
      <c r="L62" s="473">
        <f>表1温室气体盘查表!AK41</f>
        <v>0</v>
      </c>
      <c r="M62" s="473">
        <f>表1温室气体盘查表!AL41</f>
        <v>0</v>
      </c>
      <c r="N62" s="394"/>
    </row>
    <row r="63" spans="1:14" s="393" customFormat="1" ht="25.15" customHeight="1">
      <c r="A63" s="394"/>
      <c r="B63" s="484" t="s">
        <v>81</v>
      </c>
      <c r="C63" s="485" t="str">
        <f>表1温室气体盘查表!C42</f>
        <v>硅铁生产</v>
      </c>
      <c r="D63" s="486" t="str">
        <f>表1温室气体盘查表!D43</f>
        <v>转炉、电炉</v>
      </c>
      <c r="E63" s="487"/>
      <c r="F63" s="464">
        <f>表1温室气体盘查表!AM42</f>
        <v>149088.58665000001</v>
      </c>
      <c r="G63" s="473">
        <f>表1温室气体盘查表!AF42</f>
        <v>149088.58665000001</v>
      </c>
      <c r="H63" s="473">
        <f>表1温室气体盘查表!AG42</f>
        <v>0</v>
      </c>
      <c r="I63" s="473">
        <f>表1温室气体盘查表!AH42</f>
        <v>0</v>
      </c>
      <c r="J63" s="473">
        <f>表1温室气体盘查表!AI42</f>
        <v>0</v>
      </c>
      <c r="K63" s="473">
        <f>表1温室气体盘查表!AJ42</f>
        <v>0</v>
      </c>
      <c r="L63" s="473">
        <f>表1温室气体盘查表!AK42</f>
        <v>0</v>
      </c>
      <c r="M63" s="473">
        <f>表1温室气体盘查表!AL42</f>
        <v>0</v>
      </c>
      <c r="N63" s="394"/>
    </row>
    <row r="64" spans="1:14" s="393" customFormat="1" ht="25.15" customHeight="1">
      <c r="A64" s="394"/>
      <c r="B64" s="484" t="s">
        <v>82</v>
      </c>
      <c r="C64" s="485" t="str">
        <f>表1温室气体盘查表!C43</f>
        <v>钼铁生产</v>
      </c>
      <c r="D64" s="486" t="str">
        <f>表1温室气体盘查表!D44</f>
        <v>转炉、电炉</v>
      </c>
      <c r="E64" s="487"/>
      <c r="F64" s="464">
        <f>表1温室气体盘查表!AM43</f>
        <v>58876.631999999998</v>
      </c>
      <c r="G64" s="473">
        <f>表1温室气体盘查表!AF43</f>
        <v>58876.631999999998</v>
      </c>
      <c r="H64" s="473">
        <f>表1温室气体盘查表!AG43</f>
        <v>0</v>
      </c>
      <c r="I64" s="473">
        <f>表1温室气体盘查表!AH43</f>
        <v>0</v>
      </c>
      <c r="J64" s="473">
        <f>表1温室气体盘查表!AI43</f>
        <v>0</v>
      </c>
      <c r="K64" s="473">
        <f>表1温室气体盘查表!AJ43</f>
        <v>0</v>
      </c>
      <c r="L64" s="473">
        <f>表1温室气体盘查表!AK43</f>
        <v>0</v>
      </c>
      <c r="M64" s="473">
        <f>表1温室气体盘查表!AL43</f>
        <v>0</v>
      </c>
      <c r="N64" s="394"/>
    </row>
    <row r="65" spans="1:14" s="393" customFormat="1" ht="25.15" customHeight="1">
      <c r="A65" s="394"/>
      <c r="B65" s="484" t="s">
        <v>83</v>
      </c>
      <c r="C65" s="485" t="str">
        <f>表1温室气体盘查表!C44</f>
        <v>铝铁生产</v>
      </c>
      <c r="D65" s="486" t="str">
        <f>表1温室气体盘查表!D45</f>
        <v>转炉、电炉</v>
      </c>
      <c r="E65" s="487"/>
      <c r="F65" s="464">
        <f>表1温室气体盘查表!AM44</f>
        <v>13585.604688791962</v>
      </c>
      <c r="G65" s="473">
        <f>表1温室气体盘查表!AF44</f>
        <v>13585.604688791962</v>
      </c>
      <c r="H65" s="473">
        <f>表1温室气体盘查表!AG44</f>
        <v>0</v>
      </c>
      <c r="I65" s="473">
        <f>表1温室气体盘查表!AH44</f>
        <v>0</v>
      </c>
      <c r="J65" s="473">
        <f>表1温室气体盘查表!AI44</f>
        <v>0</v>
      </c>
      <c r="K65" s="473">
        <f>表1温室气体盘查表!AJ44</f>
        <v>0</v>
      </c>
      <c r="L65" s="473">
        <f>表1温室气体盘查表!AK44</f>
        <v>0</v>
      </c>
      <c r="M65" s="473">
        <f>表1温室气体盘查表!AL44</f>
        <v>0</v>
      </c>
      <c r="N65" s="394"/>
    </row>
    <row r="66" spans="1:14" s="393" customFormat="1" ht="25.15" customHeight="1">
      <c r="A66" s="394"/>
      <c r="B66" s="484" t="s">
        <v>84</v>
      </c>
      <c r="C66" s="485" t="str">
        <f>表1温室气体盘查表!C45</f>
        <v>铝生产</v>
      </c>
      <c r="D66" s="486" t="str">
        <f>表1温室气体盘查表!D46</f>
        <v>转炉、电炉</v>
      </c>
      <c r="E66" s="487"/>
      <c r="F66" s="464">
        <f>表1温室气体盘查表!AM45</f>
        <v>165810.56564347973</v>
      </c>
      <c r="G66" s="473">
        <f>表1温室气体盘查表!AF45</f>
        <v>165810.56564347973</v>
      </c>
      <c r="H66" s="473">
        <f>表1温室气体盘查表!AG45</f>
        <v>0</v>
      </c>
      <c r="I66" s="473">
        <f>表1温室气体盘查表!AH45</f>
        <v>0</v>
      </c>
      <c r="J66" s="473">
        <f>表1温室气体盘查表!AI45</f>
        <v>0</v>
      </c>
      <c r="K66" s="473">
        <f>表1温室气体盘查表!AJ45</f>
        <v>0</v>
      </c>
      <c r="L66" s="473">
        <f>表1温室气体盘查表!AK45</f>
        <v>0</v>
      </c>
      <c r="M66" s="473">
        <f>表1温室气体盘查表!AL45</f>
        <v>0</v>
      </c>
      <c r="N66" s="394"/>
    </row>
    <row r="67" spans="1:14" s="393" customFormat="1" ht="25.15" customHeight="1">
      <c r="A67" s="394"/>
      <c r="B67" s="484" t="s">
        <v>85</v>
      </c>
      <c r="C67" s="485" t="str">
        <f>表1温室气体盘查表!C46</f>
        <v>增碳剂生产</v>
      </c>
      <c r="D67" s="486" t="str">
        <f>表1温室气体盘查表!D46</f>
        <v>转炉、电炉</v>
      </c>
      <c r="E67" s="487"/>
      <c r="F67" s="464">
        <f>表1温室气体盘查表!AM46</f>
        <v>14447.768081031645</v>
      </c>
      <c r="G67" s="473">
        <f>表1温室气体盘查表!AF46</f>
        <v>14447.768081031645</v>
      </c>
      <c r="H67" s="473">
        <f>表1温室气体盘查表!AG46</f>
        <v>0</v>
      </c>
      <c r="I67" s="473">
        <f>表1温室气体盘查表!AH46</f>
        <v>0</v>
      </c>
      <c r="J67" s="473">
        <f>表1温室气体盘查表!AI46</f>
        <v>0</v>
      </c>
      <c r="K67" s="473">
        <f>表1温室气体盘查表!AJ46</f>
        <v>0</v>
      </c>
      <c r="L67" s="473">
        <f>表1温室气体盘查表!AK46</f>
        <v>0</v>
      </c>
      <c r="M67" s="473">
        <f>表1温室气体盘查表!AL46</f>
        <v>0</v>
      </c>
      <c r="N67" s="394"/>
    </row>
    <row r="68" spans="1:14" s="393" customFormat="1" ht="25.15" customHeight="1">
      <c r="A68" s="394"/>
      <c r="B68" s="484" t="s">
        <v>86</v>
      </c>
      <c r="C68" s="485" t="str">
        <f>表1温室气体盘查表!C47</f>
        <v>铁鳞生产</v>
      </c>
      <c r="D68" s="486" t="str">
        <f>表1温室气体盘查表!D47</f>
        <v>炼钢</v>
      </c>
      <c r="E68" s="487"/>
      <c r="F68" s="464">
        <f>表1温室气体盘查表!AM47</f>
        <v>29.192523942209355</v>
      </c>
      <c r="G68" s="473">
        <f>表1温室气体盘查表!AF47</f>
        <v>29.192523942209355</v>
      </c>
      <c r="H68" s="473">
        <f>表1温室气体盘查表!AG47</f>
        <v>0</v>
      </c>
      <c r="I68" s="473">
        <f>表1温室气体盘查表!AH47</f>
        <v>0</v>
      </c>
      <c r="J68" s="473">
        <f>表1温室气体盘查表!AI47</f>
        <v>0</v>
      </c>
      <c r="K68" s="473">
        <f>表1温室气体盘查表!AJ47</f>
        <v>0</v>
      </c>
      <c r="L68" s="473">
        <f>表1温室气体盘查表!AK47</f>
        <v>0</v>
      </c>
      <c r="M68" s="473">
        <f>表1温室气体盘查表!AL47</f>
        <v>0</v>
      </c>
      <c r="N68" s="394"/>
    </row>
    <row r="69" spans="1:14" s="393" customFormat="1" ht="25.15" customHeight="1">
      <c r="A69" s="394"/>
      <c r="B69" s="484" t="s">
        <v>87</v>
      </c>
      <c r="C69" s="485" t="str">
        <f>表1温室气体盘查表!C48</f>
        <v>氨水生产</v>
      </c>
      <c r="D69" s="486" t="str">
        <f>表1温室气体盘查表!D48</f>
        <v>烧结</v>
      </c>
      <c r="E69" s="487"/>
      <c r="F69" s="464">
        <f>表1温室气体盘查表!AM48</f>
        <v>26510.816290815455</v>
      </c>
      <c r="G69" s="473">
        <f>表1温室气体盘查表!AF48</f>
        <v>26510.816290815455</v>
      </c>
      <c r="H69" s="473">
        <f>表1温室气体盘查表!AG48</f>
        <v>0</v>
      </c>
      <c r="I69" s="473">
        <f>表1温室气体盘查表!AH48</f>
        <v>0</v>
      </c>
      <c r="J69" s="473">
        <f>表1温室气体盘查表!AI48</f>
        <v>0</v>
      </c>
      <c r="K69" s="473">
        <f>表1温室气体盘查表!AJ48</f>
        <v>0</v>
      </c>
      <c r="L69" s="473">
        <f>表1温室气体盘查表!AK48</f>
        <v>0</v>
      </c>
      <c r="M69" s="473">
        <f>表1温室气体盘查表!AL48</f>
        <v>0</v>
      </c>
      <c r="N69" s="394"/>
    </row>
    <row r="70" spans="1:14" s="393" customFormat="1" ht="25.15" customHeight="1">
      <c r="A70" s="394"/>
      <c r="B70" s="484" t="s">
        <v>88</v>
      </c>
      <c r="C70" s="485" t="str">
        <f>表1温室气体盘查表!C51</f>
        <v>碳化硅生产</v>
      </c>
      <c r="D70" s="486" t="str">
        <f>表1温室气体盘查表!D51</f>
        <v>-</v>
      </c>
      <c r="E70" s="487"/>
      <c r="F70" s="464">
        <f>表1温室气体盘查表!AM51</f>
        <v>26760.682458681189</v>
      </c>
      <c r="G70" s="473">
        <f>表1温室气体盘查表!AF51</f>
        <v>26760.682458681189</v>
      </c>
      <c r="H70" s="473">
        <f>表1温室气体盘查表!AG51</f>
        <v>0</v>
      </c>
      <c r="I70" s="473">
        <f>表1温室气体盘查表!AH51</f>
        <v>0</v>
      </c>
      <c r="J70" s="473">
        <f>表1温室气体盘查表!AI51</f>
        <v>0</v>
      </c>
      <c r="K70" s="473">
        <f>表1温室气体盘查表!AJ51</f>
        <v>0</v>
      </c>
      <c r="L70" s="473">
        <f>表1温室气体盘查表!AK51</f>
        <v>0</v>
      </c>
      <c r="M70" s="473">
        <f>表1温室气体盘查表!AL51</f>
        <v>0</v>
      </c>
      <c r="N70" s="394"/>
    </row>
    <row r="71" spans="1:14" s="393" customFormat="1" ht="25.15" customHeight="1">
      <c r="A71" s="394"/>
      <c r="B71" s="484" t="s">
        <v>89</v>
      </c>
      <c r="C71" s="485" t="str">
        <f>表1温室气体盘查表!C52</f>
        <v>镁生产</v>
      </c>
      <c r="D71" s="486" t="str">
        <f>表1温室气体盘查表!D52</f>
        <v>-</v>
      </c>
      <c r="E71" s="487"/>
      <c r="F71" s="464">
        <f>表1温室气体盘查表!AM52</f>
        <v>256865.11189706987</v>
      </c>
      <c r="G71" s="473">
        <f>表1温室气体盘查表!AF52</f>
        <v>256865.11189706987</v>
      </c>
      <c r="H71" s="473">
        <f>表1温室气体盘查表!AG52</f>
        <v>0</v>
      </c>
      <c r="I71" s="473">
        <f>表1温室气体盘查表!AH52</f>
        <v>0</v>
      </c>
      <c r="J71" s="473">
        <f>表1温室气体盘查表!AI52</f>
        <v>0</v>
      </c>
      <c r="K71" s="473">
        <f>表1温室气体盘查表!AJ52</f>
        <v>0</v>
      </c>
      <c r="L71" s="473">
        <f>表1温室气体盘查表!AK52</f>
        <v>0</v>
      </c>
      <c r="M71" s="473">
        <f>表1温室气体盘查表!AL52</f>
        <v>0</v>
      </c>
      <c r="N71" s="394"/>
    </row>
    <row r="72" spans="1:14" s="393" customFormat="1" ht="25.15" customHeight="1">
      <c r="A72" s="394"/>
      <c r="B72" s="484" t="s">
        <v>90</v>
      </c>
      <c r="C72" s="485" t="str">
        <f>表1温室气体盘查表!C53</f>
        <v>所有其他纸制品加工制造</v>
      </c>
      <c r="D72" s="486" t="str">
        <f>表1温室气体盘查表!D53</f>
        <v>办公室</v>
      </c>
      <c r="E72" s="487"/>
      <c r="F72" s="464">
        <f>表1温室气体盘查表!AM53</f>
        <v>5.2434718699999996</v>
      </c>
      <c r="G72" s="473">
        <f>表1温室气体盘查表!AF53</f>
        <v>5.2434718699999996</v>
      </c>
      <c r="H72" s="473">
        <f>表1温室气体盘查表!AG53</f>
        <v>0</v>
      </c>
      <c r="I72" s="473">
        <f>表1温室气体盘查表!AH53</f>
        <v>0</v>
      </c>
      <c r="J72" s="473">
        <f>表1温室气体盘查表!AI53</f>
        <v>0</v>
      </c>
      <c r="K72" s="473">
        <f>表1温室气体盘查表!AJ53</f>
        <v>0</v>
      </c>
      <c r="L72" s="473">
        <f>表1温室气体盘查表!AK53</f>
        <v>0</v>
      </c>
      <c r="M72" s="473">
        <f>表1温室气体盘查表!AL53</f>
        <v>0</v>
      </c>
      <c r="N72" s="394"/>
    </row>
    <row r="73" spans="1:14" s="393" customFormat="1" ht="25.15" customHeight="1">
      <c r="A73" s="394"/>
      <c r="B73" s="484" t="s">
        <v>91</v>
      </c>
      <c r="C73" s="485" t="str">
        <f>表1温室气体盘查表!C54</f>
        <v>办公用品(纸张除外)制造</v>
      </c>
      <c r="D73" s="486" t="str">
        <f>表1温室气体盘查表!D54</f>
        <v>办公室</v>
      </c>
      <c r="E73" s="487"/>
      <c r="F73" s="464">
        <f>表1温室气体盘查表!AM54</f>
        <v>72.312582549999988</v>
      </c>
      <c r="G73" s="473">
        <f>表1温室气体盘查表!AF54</f>
        <v>72.312582549999988</v>
      </c>
      <c r="H73" s="473">
        <f>表1温室气体盘查表!AG54</f>
        <v>0</v>
      </c>
      <c r="I73" s="473">
        <f>表1温室气体盘查表!AH54</f>
        <v>0</v>
      </c>
      <c r="J73" s="473">
        <f>表1温室气体盘查表!AI54</f>
        <v>0</v>
      </c>
      <c r="K73" s="473">
        <f>表1温室气体盘查表!AJ54</f>
        <v>0</v>
      </c>
      <c r="L73" s="473">
        <f>表1温室气体盘查表!AK54</f>
        <v>0</v>
      </c>
      <c r="M73" s="473">
        <f>表1温室气体盘查表!AL54</f>
        <v>0</v>
      </c>
      <c r="N73" s="394"/>
    </row>
    <row r="74" spans="1:14" s="393" customFormat="1" ht="25.15" customHeight="1">
      <c r="A74" s="394"/>
      <c r="B74" s="484" t="s">
        <v>92</v>
      </c>
      <c r="C74" s="485" t="str">
        <f>表1温室气体盘查表!C55</f>
        <v>源水</v>
      </c>
      <c r="D74" s="486" t="str">
        <f>表1温室气体盘查表!D55</f>
        <v>水处理工序</v>
      </c>
      <c r="E74" s="487"/>
      <c r="F74" s="464">
        <f>表1温室气体盘查表!AM55</f>
        <v>26397.411515179178</v>
      </c>
      <c r="G74" s="473">
        <f>表1温室气体盘查表!AF55</f>
        <v>26397.411515179178</v>
      </c>
      <c r="H74" s="473">
        <f>表1温室气体盘查表!AG55</f>
        <v>0</v>
      </c>
      <c r="I74" s="473">
        <f>表1温室气体盘查表!AH55</f>
        <v>0</v>
      </c>
      <c r="J74" s="473">
        <f>表1温室气体盘查表!AI55</f>
        <v>0</v>
      </c>
      <c r="K74" s="473">
        <f>表1温室气体盘查表!AJ55</f>
        <v>0</v>
      </c>
      <c r="L74" s="473">
        <f>表1温室气体盘查表!AK55</f>
        <v>0</v>
      </c>
      <c r="M74" s="473">
        <f>表1温室气体盘查表!AL55</f>
        <v>0</v>
      </c>
      <c r="N74" s="394"/>
    </row>
    <row r="75" spans="1:14" s="394" customFormat="1" ht="25.15" customHeight="1">
      <c r="B75" s="488"/>
      <c r="C75" s="487"/>
      <c r="D75" s="489"/>
      <c r="E75" s="487"/>
      <c r="F75" s="477"/>
      <c r="G75" s="478"/>
      <c r="H75" s="478"/>
      <c r="I75" s="478"/>
      <c r="J75" s="478"/>
      <c r="K75" s="478"/>
      <c r="L75" s="478"/>
      <c r="M75" s="478"/>
    </row>
    <row r="76" spans="1:14" s="393" customFormat="1" ht="25.15" customHeight="1">
      <c r="A76" s="394"/>
      <c r="B76" s="479" t="s">
        <v>93</v>
      </c>
      <c r="C76" s="480" t="str">
        <f>表1温室气体盘查表!B56</f>
        <v>资本货物</v>
      </c>
      <c r="D76" s="481"/>
      <c r="E76" s="482"/>
      <c r="F76" s="470" t="e">
        <f>SUM(G76:M76)</f>
        <v>#REF!</v>
      </c>
      <c r="G76" s="470" t="e">
        <f>SUM(G77:G87)</f>
        <v>#REF!</v>
      </c>
      <c r="H76" s="470" t="e">
        <f t="shared" ref="H76:M76" si="7">SUM(H77:H87)</f>
        <v>#REF!</v>
      </c>
      <c r="I76" s="470" t="e">
        <f t="shared" si="7"/>
        <v>#REF!</v>
      </c>
      <c r="J76" s="470" t="e">
        <f t="shared" si="7"/>
        <v>#REF!</v>
      </c>
      <c r="K76" s="470" t="e">
        <f t="shared" si="7"/>
        <v>#REF!</v>
      </c>
      <c r="L76" s="470" t="e">
        <f t="shared" si="7"/>
        <v>#REF!</v>
      </c>
      <c r="M76" s="470" t="e">
        <f t="shared" si="7"/>
        <v>#REF!</v>
      </c>
      <c r="N76" s="394"/>
    </row>
    <row r="77" spans="1:14" s="393" customFormat="1" ht="32.1" customHeight="1">
      <c r="A77" s="394"/>
      <c r="B77" s="484" t="s">
        <v>94</v>
      </c>
      <c r="C77" s="486" t="str">
        <f>表1温室气体盘查表!C56</f>
        <v>采购产品空调和暖空气加热设备和商业和工业制冷设备制造</v>
      </c>
      <c r="D77" s="486" t="str">
        <f>表1温室气体盘查表!D56</f>
        <v>办公室、各工序</v>
      </c>
      <c r="E77" s="487"/>
      <c r="F77" s="464">
        <f>表1温室气体盘查表!AM56</f>
        <v>120.11822208</v>
      </c>
      <c r="G77" s="464">
        <f>表1温室气体盘查表!AF56</f>
        <v>120.11822208</v>
      </c>
      <c r="H77" s="464">
        <f>表1温室气体盘查表!AG56</f>
        <v>0</v>
      </c>
      <c r="I77" s="464">
        <f>表1温室气体盘查表!AH56</f>
        <v>0</v>
      </c>
      <c r="J77" s="464">
        <f>表1温室气体盘查表!AI56</f>
        <v>0</v>
      </c>
      <c r="K77" s="464">
        <f>表1温室气体盘查表!AJ56</f>
        <v>0</v>
      </c>
      <c r="L77" s="464">
        <f>表1温室气体盘查表!AK56</f>
        <v>0</v>
      </c>
      <c r="M77" s="464">
        <f>表1温室气体盘查表!AL56</f>
        <v>0</v>
      </c>
      <c r="N77" s="394"/>
    </row>
    <row r="78" spans="1:14" s="393" customFormat="1" ht="25.15" customHeight="1">
      <c r="A78" s="394"/>
      <c r="B78" s="484" t="s">
        <v>95</v>
      </c>
      <c r="C78" s="486" t="str">
        <f>表1温室气体盘查表!C57</f>
        <v>电子计算机制造</v>
      </c>
      <c r="D78" s="486" t="str">
        <f>表1温室气体盘查表!D57</f>
        <v>办公室、各工序</v>
      </c>
      <c r="E78" s="487"/>
      <c r="F78" s="464">
        <f>表1温室气体盘查表!AM57</f>
        <v>25.839091060000001</v>
      </c>
      <c r="G78" s="464">
        <f>表1温室气体盘查表!AF57</f>
        <v>25.839091060000001</v>
      </c>
      <c r="H78" s="464">
        <f>表1温室气体盘查表!AG57</f>
        <v>0</v>
      </c>
      <c r="I78" s="464">
        <f>表1温室气体盘查表!AH57</f>
        <v>0</v>
      </c>
      <c r="J78" s="464">
        <f>表1温室气体盘查表!AI57</f>
        <v>0</v>
      </c>
      <c r="K78" s="464">
        <f>表1温室气体盘查表!AJ57</f>
        <v>0</v>
      </c>
      <c r="L78" s="464">
        <f>表1温室气体盘查表!AK57</f>
        <v>0</v>
      </c>
      <c r="M78" s="464">
        <f>表1温室气体盘查表!AL57</f>
        <v>0</v>
      </c>
      <c r="N78" s="394"/>
    </row>
    <row r="79" spans="1:14" s="393" customFormat="1" ht="25.15" customHeight="1">
      <c r="A79" s="394"/>
      <c r="B79" s="484" t="s">
        <v>96</v>
      </c>
      <c r="C79" s="486" t="e">
        <f>表1温室气体盘查表!#REF!</f>
        <v>#REF!</v>
      </c>
      <c r="D79" s="486" t="e">
        <f>表1温室气体盘查表!#REF!</f>
        <v>#REF!</v>
      </c>
      <c r="E79" s="487"/>
      <c r="F79" s="464" t="e">
        <f>表1温室气体盘查表!#REF!</f>
        <v>#REF!</v>
      </c>
      <c r="G79" s="464" t="e">
        <f>表1温室气体盘查表!#REF!</f>
        <v>#REF!</v>
      </c>
      <c r="H79" s="464" t="e">
        <f>表1温室气体盘查表!#REF!</f>
        <v>#REF!</v>
      </c>
      <c r="I79" s="464" t="e">
        <f>表1温室气体盘查表!#REF!</f>
        <v>#REF!</v>
      </c>
      <c r="J79" s="464" t="e">
        <f>表1温室气体盘查表!#REF!</f>
        <v>#REF!</v>
      </c>
      <c r="K79" s="464" t="e">
        <f>表1温室气体盘查表!#REF!</f>
        <v>#REF!</v>
      </c>
      <c r="L79" s="464" t="e">
        <f>表1温室气体盘查表!#REF!</f>
        <v>#REF!</v>
      </c>
      <c r="M79" s="464" t="e">
        <f>表1温室气体盘查表!#REF!</f>
        <v>#REF!</v>
      </c>
      <c r="N79" s="394"/>
    </row>
    <row r="80" spans="1:14" s="393" customFormat="1" ht="25.15" customHeight="1">
      <c r="A80" s="394"/>
      <c r="B80" s="484" t="s">
        <v>97</v>
      </c>
      <c r="C80" s="486" t="str">
        <f>表1温室气体盘查表!C58</f>
        <v>其他工业设备制造</v>
      </c>
      <c r="D80" s="486" t="str">
        <f>表1温室气体盘查表!D58</f>
        <v>各工序</v>
      </c>
      <c r="E80" s="487"/>
      <c r="F80" s="464">
        <f>表1温室气体盘查表!AM58</f>
        <v>518.69925190000004</v>
      </c>
      <c r="G80" s="464">
        <f>表1温室气体盘查表!AF58</f>
        <v>518.69925190000004</v>
      </c>
      <c r="H80" s="464">
        <f>表1温室气体盘查表!AG58</f>
        <v>0</v>
      </c>
      <c r="I80" s="464">
        <f>表1温室气体盘查表!AH58</f>
        <v>0</v>
      </c>
      <c r="J80" s="464">
        <f>表1温室气体盘查表!AI58</f>
        <v>0</v>
      </c>
      <c r="K80" s="464">
        <f>表1温室气体盘查表!AJ58</f>
        <v>0</v>
      </c>
      <c r="L80" s="464">
        <f>表1温室气体盘查表!AK58</f>
        <v>0</v>
      </c>
      <c r="M80" s="464">
        <f>表1温室气体盘查表!AL58</f>
        <v>0</v>
      </c>
      <c r="N80" s="394"/>
    </row>
    <row r="81" spans="1:14" s="393" customFormat="1" ht="25.15" customHeight="1">
      <c r="A81" s="394"/>
      <c r="B81" s="484" t="s">
        <v>98</v>
      </c>
      <c r="C81" s="486" t="str">
        <f>表1温室气体盘查表!C59</f>
        <v>测量和测试电力和电气信号的仪器制造</v>
      </c>
      <c r="D81" s="486" t="str">
        <f>表1温室气体盘查表!D59</f>
        <v>各工序</v>
      </c>
      <c r="E81" s="487"/>
      <c r="F81" s="464">
        <f>表1温室气体盘查表!AM59</f>
        <v>220.30499240999998</v>
      </c>
      <c r="G81" s="464">
        <f>表1温室气体盘查表!AF59</f>
        <v>220.30499240999998</v>
      </c>
      <c r="H81" s="464">
        <f>表1温室气体盘查表!AG59</f>
        <v>0</v>
      </c>
      <c r="I81" s="464">
        <f>表1温室气体盘查表!AH59</f>
        <v>0</v>
      </c>
      <c r="J81" s="464">
        <f>表1温室气体盘查表!AI59</f>
        <v>0</v>
      </c>
      <c r="K81" s="464">
        <f>表1温室气体盘查表!AJ59</f>
        <v>0</v>
      </c>
      <c r="L81" s="464">
        <f>表1温室气体盘查表!AK59</f>
        <v>0</v>
      </c>
      <c r="M81" s="464">
        <f>表1温室气体盘查表!AL59</f>
        <v>0</v>
      </c>
      <c r="N81" s="394"/>
    </row>
    <row r="82" spans="1:14" s="393" customFormat="1" ht="25.15" customHeight="1">
      <c r="A82" s="394"/>
      <c r="B82" s="484" t="s">
        <v>99</v>
      </c>
      <c r="C82" s="486" t="e">
        <f>表1温室气体盘查表!#REF!</f>
        <v>#REF!</v>
      </c>
      <c r="D82" s="486" t="e">
        <f>表1温室气体盘查表!#REF!</f>
        <v>#REF!</v>
      </c>
      <c r="E82" s="487"/>
      <c r="F82" s="464" t="e">
        <f>表1温室气体盘查表!#REF!</f>
        <v>#REF!</v>
      </c>
      <c r="G82" s="464" t="e">
        <f>表1温室气体盘查表!#REF!</f>
        <v>#REF!</v>
      </c>
      <c r="H82" s="464" t="e">
        <f>表1温室气体盘查表!#REF!</f>
        <v>#REF!</v>
      </c>
      <c r="I82" s="464" t="e">
        <f>表1温室气体盘查表!#REF!</f>
        <v>#REF!</v>
      </c>
      <c r="J82" s="464" t="e">
        <f>表1温室气体盘查表!#REF!</f>
        <v>#REF!</v>
      </c>
      <c r="K82" s="464" t="e">
        <f>表1温室气体盘查表!#REF!</f>
        <v>#REF!</v>
      </c>
      <c r="L82" s="464" t="e">
        <f>表1温室气体盘查表!#REF!</f>
        <v>#REF!</v>
      </c>
      <c r="M82" s="464" t="e">
        <f>表1温室气体盘查表!#REF!</f>
        <v>#REF!</v>
      </c>
      <c r="N82" s="394"/>
    </row>
    <row r="83" spans="1:14" s="393" customFormat="1" ht="25.15" customHeight="1">
      <c r="A83" s="394"/>
      <c r="B83" s="484" t="s">
        <v>100</v>
      </c>
      <c r="C83" s="486" t="str">
        <f>表1温室气体盘查表!C60</f>
        <v>机械动力传动设备制造</v>
      </c>
      <c r="D83" s="486" t="str">
        <f>表1温室气体盘查表!D60</f>
        <v>各工序</v>
      </c>
      <c r="E83" s="487"/>
      <c r="F83" s="464">
        <f>表1温室气体盘查表!AM60</f>
        <v>1122.1194533999999</v>
      </c>
      <c r="G83" s="464">
        <f>表1温室气体盘查表!AF60</f>
        <v>1122.1194533999999</v>
      </c>
      <c r="H83" s="464">
        <f>表1温室气体盘查表!AG60</f>
        <v>0</v>
      </c>
      <c r="I83" s="464">
        <f>表1温室气体盘查表!AH60</f>
        <v>0</v>
      </c>
      <c r="J83" s="464">
        <f>表1温室气体盘查表!AI60</f>
        <v>0</v>
      </c>
      <c r="K83" s="464">
        <f>表1温室气体盘查表!AJ60</f>
        <v>0</v>
      </c>
      <c r="L83" s="464">
        <f>表1温室气体盘查表!AK60</f>
        <v>0</v>
      </c>
      <c r="M83" s="464">
        <f>表1温室气体盘查表!AL60</f>
        <v>0</v>
      </c>
      <c r="N83" s="394"/>
    </row>
    <row r="84" spans="1:14" s="393" customFormat="1" ht="25.15" customHeight="1">
      <c r="A84" s="394"/>
      <c r="B84" s="484" t="s">
        <v>101</v>
      </c>
      <c r="C84" s="486" t="str">
        <f>表1温室气体盘查表!C61</f>
        <v>测量、分配及其他泵类设备制造</v>
      </c>
      <c r="D84" s="486" t="str">
        <f>表1温室气体盘查表!D61</f>
        <v>各工序</v>
      </c>
      <c r="E84" s="487"/>
      <c r="F84" s="464">
        <f>表1温室气体盘查表!AM61</f>
        <v>604.19940005000001</v>
      </c>
      <c r="G84" s="464">
        <f>表1温室气体盘查表!AF61</f>
        <v>604.19940005000001</v>
      </c>
      <c r="H84" s="464">
        <f>表1温室气体盘查表!AG61</f>
        <v>0</v>
      </c>
      <c r="I84" s="464">
        <f>表1温室气体盘查表!AH61</f>
        <v>0</v>
      </c>
      <c r="J84" s="464">
        <f>表1温室气体盘查表!AI61</f>
        <v>0</v>
      </c>
      <c r="K84" s="464">
        <f>表1温室气体盘查表!AJ61</f>
        <v>0</v>
      </c>
      <c r="L84" s="464">
        <f>表1温室气体盘查表!AK61</f>
        <v>0</v>
      </c>
      <c r="M84" s="464">
        <f>表1温室气体盘查表!AL61</f>
        <v>0</v>
      </c>
      <c r="N84" s="394"/>
    </row>
    <row r="85" spans="1:14" s="393" customFormat="1" ht="25.15" customHeight="1">
      <c r="A85" s="394"/>
      <c r="B85" s="484" t="s">
        <v>102</v>
      </c>
      <c r="C85" s="486" t="str">
        <f>表1温室气体盘查表!C62</f>
        <v>用于测量、显示和控制工业过程变量的仪器及相关产品制造</v>
      </c>
      <c r="D85" s="486" t="str">
        <f>表1温室气体盘查表!D62</f>
        <v>各工序</v>
      </c>
      <c r="E85" s="487"/>
      <c r="F85" s="464">
        <f>表1温室气体盘查表!AM62</f>
        <v>140.41626984000001</v>
      </c>
      <c r="G85" s="464">
        <f>表1温室气体盘查表!AF62</f>
        <v>140.41626984000001</v>
      </c>
      <c r="H85" s="464">
        <f>表1温室气体盘查表!AG62</f>
        <v>0</v>
      </c>
      <c r="I85" s="464">
        <f>表1温室气体盘查表!AH62</f>
        <v>0</v>
      </c>
      <c r="J85" s="464">
        <f>表1温室气体盘查表!AI62</f>
        <v>0</v>
      </c>
      <c r="K85" s="464">
        <f>表1温室气体盘查表!AJ62</f>
        <v>0</v>
      </c>
      <c r="L85" s="464">
        <f>表1温室气体盘查表!AK62</f>
        <v>0</v>
      </c>
      <c r="M85" s="464">
        <f>表1温室气体盘查表!AL62</f>
        <v>0</v>
      </c>
      <c r="N85" s="394"/>
    </row>
    <row r="86" spans="1:14" s="393" customFormat="1" ht="25.15" customHeight="1">
      <c r="A86" s="394"/>
      <c r="B86" s="484" t="s">
        <v>103</v>
      </c>
      <c r="C86" s="486" t="str">
        <f>表1温室气体盘查表!C63</f>
        <v>所有其他杂项电气设备及元件制造</v>
      </c>
      <c r="D86" s="486" t="str">
        <f>表1温室气体盘查表!D63</f>
        <v>各工序</v>
      </c>
      <c r="E86" s="487"/>
      <c r="F86" s="464">
        <f>表1温室气体盘查表!AM63</f>
        <v>1091.32670592</v>
      </c>
      <c r="G86" s="464">
        <f>表1温室气体盘查表!AF63</f>
        <v>1091.32670592</v>
      </c>
      <c r="H86" s="464">
        <f>表1温室气体盘查表!AG63</f>
        <v>0</v>
      </c>
      <c r="I86" s="464">
        <f>表1温室气体盘查表!AH63</f>
        <v>0</v>
      </c>
      <c r="J86" s="464">
        <f>表1温室气体盘查表!AI63</f>
        <v>0</v>
      </c>
      <c r="K86" s="464">
        <f>表1温室气体盘查表!AJ63</f>
        <v>0</v>
      </c>
      <c r="L86" s="464">
        <f>表1温室气体盘查表!AK63</f>
        <v>0</v>
      </c>
      <c r="M86" s="464">
        <f>表1温室气体盘查表!AL63</f>
        <v>0</v>
      </c>
      <c r="N86" s="394"/>
    </row>
    <row r="87" spans="1:14" s="393" customFormat="1" ht="25.15" customHeight="1">
      <c r="A87" s="394"/>
      <c r="B87" s="484" t="s">
        <v>104</v>
      </c>
      <c r="C87" s="486" t="str">
        <f>表1温室气体盘查表!C64</f>
        <v>所有其他杂项制造</v>
      </c>
      <c r="D87" s="486" t="str">
        <f>表1温室气体盘查表!D64</f>
        <v>各工序</v>
      </c>
      <c r="E87" s="487"/>
      <c r="F87" s="464">
        <f>表1温室气体盘查表!AM64</f>
        <v>43034.195589840005</v>
      </c>
      <c r="G87" s="464">
        <f>表1温室气体盘查表!AF64</f>
        <v>43034.195589840005</v>
      </c>
      <c r="H87" s="464">
        <f>表1温室气体盘查表!AG64</f>
        <v>0</v>
      </c>
      <c r="I87" s="464">
        <f>表1温室气体盘查表!AH64</f>
        <v>0</v>
      </c>
      <c r="J87" s="464">
        <f>表1温室气体盘查表!AI64</f>
        <v>0</v>
      </c>
      <c r="K87" s="464">
        <f>表1温室气体盘查表!AJ64</f>
        <v>0</v>
      </c>
      <c r="L87" s="464">
        <f>表1温室气体盘查表!AK64</f>
        <v>0</v>
      </c>
      <c r="M87" s="464">
        <f>表1温室气体盘查表!AL64</f>
        <v>0</v>
      </c>
      <c r="N87" s="394"/>
    </row>
    <row r="88" spans="1:14" s="393" customFormat="1" ht="25.15" customHeight="1">
      <c r="A88" s="394"/>
      <c r="B88" s="488"/>
      <c r="C88" s="487"/>
      <c r="D88" s="489"/>
      <c r="E88" s="487"/>
      <c r="F88" s="490"/>
      <c r="G88" s="490"/>
      <c r="H88" s="490"/>
      <c r="I88" s="490"/>
      <c r="J88" s="490"/>
      <c r="K88" s="490"/>
      <c r="L88" s="490"/>
      <c r="M88" s="490"/>
      <c r="N88" s="394"/>
    </row>
    <row r="89" spans="1:14" s="391" customFormat="1" ht="25.15" customHeight="1">
      <c r="A89" s="401"/>
      <c r="B89" s="479" t="s">
        <v>105</v>
      </c>
      <c r="C89" s="491" t="str">
        <f>表1温室气体盘查表!B66</f>
        <v>范围一、二相关燃料和能源相关的活动产生的排放</v>
      </c>
      <c r="D89" s="481"/>
      <c r="E89" s="482"/>
      <c r="F89" s="470" t="e">
        <f>SUM(G89:M89)</f>
        <v>#REF!</v>
      </c>
      <c r="G89" s="470" t="e">
        <f>SUM(G90:G99)</f>
        <v>#REF!</v>
      </c>
      <c r="H89" s="470" t="e">
        <f t="shared" ref="H89:M89" si="8">SUM(H91:H98)</f>
        <v>#REF!</v>
      </c>
      <c r="I89" s="470" t="e">
        <f t="shared" si="8"/>
        <v>#REF!</v>
      </c>
      <c r="J89" s="470" t="e">
        <f t="shared" si="8"/>
        <v>#REF!</v>
      </c>
      <c r="K89" s="470" t="e">
        <f t="shared" si="8"/>
        <v>#REF!</v>
      </c>
      <c r="L89" s="470" t="e">
        <f t="shared" si="8"/>
        <v>#REF!</v>
      </c>
      <c r="M89" s="470" t="e">
        <f t="shared" si="8"/>
        <v>#REF!</v>
      </c>
    </row>
    <row r="90" spans="1:14" s="391" customFormat="1" ht="25.15" customHeight="1">
      <c r="A90" s="401"/>
      <c r="B90" s="484" t="s">
        <v>106</v>
      </c>
      <c r="C90" s="485" t="str">
        <f>表1温室气体盘查表!C65</f>
        <v>液化石油气生产</v>
      </c>
      <c r="D90" s="486" t="str">
        <f>表1温室气体盘查表!D65</f>
        <v>冶钢宾馆</v>
      </c>
      <c r="E90" s="474"/>
      <c r="F90" s="464">
        <f>表1温室气体盘查表!AM65</f>
        <v>9.4887070688452404</v>
      </c>
      <c r="G90" s="464">
        <f>表1温室气体盘查表!AF65</f>
        <v>9.4887070688452404</v>
      </c>
      <c r="H90" s="464">
        <f>表1温室气体盘查表!AG65</f>
        <v>0</v>
      </c>
      <c r="I90" s="464">
        <f>表1温室气体盘查表!AH65</f>
        <v>0</v>
      </c>
      <c r="J90" s="464">
        <f>表1温室气体盘查表!AI65</f>
        <v>0</v>
      </c>
      <c r="K90" s="464">
        <f>表1温室气体盘查表!AJ65</f>
        <v>0</v>
      </c>
      <c r="L90" s="464">
        <f>表1温室气体盘查表!AK65</f>
        <v>0</v>
      </c>
      <c r="M90" s="464">
        <f>表1温室气体盘查表!AL65</f>
        <v>0</v>
      </c>
    </row>
    <row r="91" spans="1:14" s="391" customFormat="1" ht="25.15" customHeight="1">
      <c r="A91" s="401"/>
      <c r="B91" s="484" t="s">
        <v>107</v>
      </c>
      <c r="C91" s="485" t="str">
        <f>表1温室气体盘查表!C66</f>
        <v>洗精煤生产</v>
      </c>
      <c r="D91" s="486" t="str">
        <f>表1温室气体盘查表!D66</f>
        <v>焦化</v>
      </c>
      <c r="E91" s="487"/>
      <c r="F91" s="464">
        <f>表1温室气体盘查表!AM66</f>
        <v>1204984.5852735001</v>
      </c>
      <c r="G91" s="464">
        <f>表1温室气体盘查表!AF66</f>
        <v>1204984.5852735001</v>
      </c>
      <c r="H91" s="464">
        <f>表1温室气体盘查表!AG66</f>
        <v>0</v>
      </c>
      <c r="I91" s="464">
        <f>表1温室气体盘查表!AH66</f>
        <v>0</v>
      </c>
      <c r="J91" s="464">
        <f>表1温室气体盘查表!AI66</f>
        <v>0</v>
      </c>
      <c r="K91" s="464">
        <f>表1温室气体盘查表!AJ66</f>
        <v>0</v>
      </c>
      <c r="L91" s="464">
        <f>表1温室气体盘查表!AK66</f>
        <v>0</v>
      </c>
      <c r="M91" s="464">
        <f>表1温室气体盘查表!AL66</f>
        <v>0</v>
      </c>
    </row>
    <row r="92" spans="1:14" s="391" customFormat="1" ht="25.15" customHeight="1">
      <c r="A92" s="401"/>
      <c r="B92" s="484" t="s">
        <v>108</v>
      </c>
      <c r="C92" s="485" t="str">
        <f>表1温室气体盘查表!C67</f>
        <v>柴油生产</v>
      </c>
      <c r="D92" s="486" t="str">
        <f>表1温室气体盘查表!D67</f>
        <v>各工序</v>
      </c>
      <c r="E92" s="394"/>
      <c r="F92" s="464">
        <f>表1温室气体盘查表!AM67</f>
        <v>1198.0757028</v>
      </c>
      <c r="G92" s="464">
        <f>表1温室气体盘查表!AF67</f>
        <v>1198.0757028</v>
      </c>
      <c r="H92" s="464">
        <f>表1温室气体盘查表!AG67</f>
        <v>0</v>
      </c>
      <c r="I92" s="464">
        <f>表1温室气体盘查表!AH67</f>
        <v>0</v>
      </c>
      <c r="J92" s="464">
        <f>表1温室气体盘查表!AI67</f>
        <v>0</v>
      </c>
      <c r="K92" s="464">
        <f>表1温室气体盘查表!AJ67</f>
        <v>0</v>
      </c>
      <c r="L92" s="464">
        <f>表1温室气体盘查表!AK67</f>
        <v>0</v>
      </c>
      <c r="M92" s="464">
        <f>表1温室气体盘查表!AL67</f>
        <v>0</v>
      </c>
    </row>
    <row r="93" spans="1:14" s="391" customFormat="1" ht="25.15" customHeight="1">
      <c r="A93" s="401"/>
      <c r="B93" s="484" t="s">
        <v>109</v>
      </c>
      <c r="C93" s="485" t="str">
        <f>表1温室气体盘查表!C68</f>
        <v>汽油生产</v>
      </c>
      <c r="D93" s="486" t="str">
        <f>表1温室气体盘查表!D68</f>
        <v>车队</v>
      </c>
      <c r="E93" s="394"/>
      <c r="F93" s="464">
        <f>表1温室气体盘查表!AM68</f>
        <v>46.740216649323479</v>
      </c>
      <c r="G93" s="464">
        <f>表1温室气体盘查表!AF68</f>
        <v>46.740216649323479</v>
      </c>
      <c r="H93" s="464">
        <f>表1温室气体盘查表!AG68</f>
        <v>0</v>
      </c>
      <c r="I93" s="464">
        <f>表1温室气体盘查表!AH68</f>
        <v>0</v>
      </c>
      <c r="J93" s="464">
        <f>表1温室气体盘查表!AI68</f>
        <v>0</v>
      </c>
      <c r="K93" s="464">
        <f>表1温室气体盘查表!AJ68</f>
        <v>0</v>
      </c>
      <c r="L93" s="464">
        <f>表1温室气体盘查表!AK68</f>
        <v>0</v>
      </c>
      <c r="M93" s="464">
        <f>表1温室气体盘查表!AL68</f>
        <v>0</v>
      </c>
    </row>
    <row r="94" spans="1:14" s="391" customFormat="1" ht="25.15" customHeight="1">
      <c r="A94" s="401"/>
      <c r="B94" s="484" t="s">
        <v>110</v>
      </c>
      <c r="C94" s="485" t="str">
        <f>表1温室气体盘查表!C69</f>
        <v>焦炭生产</v>
      </c>
      <c r="D94" s="486" t="str">
        <f>表1温室气体盘查表!D69</f>
        <v>烧结、高炉</v>
      </c>
      <c r="E94" s="394"/>
      <c r="F94" s="464">
        <f>表1温室气体盘查表!AM69</f>
        <v>77306.700329999992</v>
      </c>
      <c r="G94" s="464">
        <f>表1温室气体盘查表!AF69</f>
        <v>77306.700329999992</v>
      </c>
      <c r="H94" s="464">
        <f>表1温室气体盘查表!AG69</f>
        <v>0</v>
      </c>
      <c r="I94" s="464">
        <f>表1温室气体盘查表!AH69</f>
        <v>0</v>
      </c>
      <c r="J94" s="464">
        <f>表1温室气体盘查表!AI69</f>
        <v>0</v>
      </c>
      <c r="K94" s="464">
        <f>表1温室气体盘查表!AJ69</f>
        <v>0</v>
      </c>
      <c r="L94" s="464">
        <f>表1温室气体盘查表!AK69</f>
        <v>0</v>
      </c>
      <c r="M94" s="464">
        <f>表1温室气体盘查表!AL69</f>
        <v>0</v>
      </c>
    </row>
    <row r="95" spans="1:14" s="391" customFormat="1" ht="25.15" customHeight="1">
      <c r="A95" s="401"/>
      <c r="B95" s="484" t="s">
        <v>111</v>
      </c>
      <c r="C95" s="485" t="e">
        <f>表1温室气体盘查表!#REF!</f>
        <v>#REF!</v>
      </c>
      <c r="D95" s="486" t="e">
        <f>表1温室气体盘查表!#REF!</f>
        <v>#REF!</v>
      </c>
      <c r="E95" s="394"/>
      <c r="F95" s="464" t="e">
        <f>表1温室气体盘查表!#REF!</f>
        <v>#REF!</v>
      </c>
      <c r="G95" s="464" t="e">
        <f>表1温室气体盘查表!#REF!</f>
        <v>#REF!</v>
      </c>
      <c r="H95" s="464" t="e">
        <f>表1温室气体盘查表!#REF!</f>
        <v>#REF!</v>
      </c>
      <c r="I95" s="464" t="e">
        <f>表1温室气体盘查表!#REF!</f>
        <v>#REF!</v>
      </c>
      <c r="J95" s="464" t="e">
        <f>表1温室气体盘查表!#REF!</f>
        <v>#REF!</v>
      </c>
      <c r="K95" s="464" t="e">
        <f>表1温室气体盘查表!#REF!</f>
        <v>#REF!</v>
      </c>
      <c r="L95" s="464" t="e">
        <f>表1温室气体盘查表!#REF!</f>
        <v>#REF!</v>
      </c>
      <c r="M95" s="464" t="e">
        <f>表1温室气体盘查表!#REF!</f>
        <v>#REF!</v>
      </c>
    </row>
    <row r="96" spans="1:14" s="391" customFormat="1" ht="25.15" customHeight="1">
      <c r="A96" s="401"/>
      <c r="B96" s="484" t="s">
        <v>112</v>
      </c>
      <c r="C96" s="485" t="str">
        <f>表1温室气体盘查表!C70</f>
        <v>烟煤生产</v>
      </c>
      <c r="D96" s="486" t="str">
        <f>表1温室气体盘查表!D70</f>
        <v>高炉</v>
      </c>
      <c r="E96" s="487"/>
      <c r="F96" s="464">
        <f>表1温室气体盘查表!AM70</f>
        <v>57829.148730000008</v>
      </c>
      <c r="G96" s="464">
        <f>表1温室气体盘查表!AF70</f>
        <v>57829.148730000008</v>
      </c>
      <c r="H96" s="464">
        <f>表1温室气体盘查表!AG70</f>
        <v>0</v>
      </c>
      <c r="I96" s="464">
        <f>表1温室气体盘查表!AH70</f>
        <v>0</v>
      </c>
      <c r="J96" s="464">
        <f>表1温室气体盘查表!AI70</f>
        <v>0</v>
      </c>
      <c r="K96" s="464">
        <f>表1温室气体盘查表!AJ70</f>
        <v>0</v>
      </c>
      <c r="L96" s="464">
        <f>表1温室气体盘查表!AK70</f>
        <v>0</v>
      </c>
      <c r="M96" s="464">
        <f>表1温室气体盘查表!AL70</f>
        <v>0</v>
      </c>
    </row>
    <row r="97" spans="1:13" s="391" customFormat="1" ht="25.15" customHeight="1">
      <c r="A97" s="401"/>
      <c r="B97" s="484" t="s">
        <v>113</v>
      </c>
      <c r="C97" s="485" t="str">
        <f>表1温室气体盘查表!C71</f>
        <v>无烟煤生产</v>
      </c>
      <c r="D97" s="486" t="str">
        <f>表1温室气体盘查表!D71</f>
        <v>烧结、高炉</v>
      </c>
      <c r="E97" s="487"/>
      <c r="F97" s="464">
        <f>表1温室气体盘查表!AM71</f>
        <v>229469.91372000004</v>
      </c>
      <c r="G97" s="464">
        <f>表1温室气体盘查表!AF71</f>
        <v>229469.91372000004</v>
      </c>
      <c r="H97" s="464">
        <f>表1温室气体盘查表!AG71</f>
        <v>0</v>
      </c>
      <c r="I97" s="464">
        <f>表1温室气体盘查表!AH71</f>
        <v>0</v>
      </c>
      <c r="J97" s="464">
        <f>表1温室气体盘查表!AI71</f>
        <v>0</v>
      </c>
      <c r="K97" s="464">
        <f>表1温室气体盘查表!AJ71</f>
        <v>0</v>
      </c>
      <c r="L97" s="464">
        <f>表1温室气体盘查表!AK71</f>
        <v>0</v>
      </c>
      <c r="M97" s="464">
        <f>表1温室气体盘查表!AL71</f>
        <v>0</v>
      </c>
    </row>
    <row r="98" spans="1:13" s="391" customFormat="1" ht="25.15" customHeight="1">
      <c r="A98" s="401"/>
      <c r="B98" s="484" t="s">
        <v>114</v>
      </c>
      <c r="C98" s="485" t="str">
        <f>表1温室气体盘查表!C72</f>
        <v>天然气生产</v>
      </c>
      <c r="D98" s="486" t="str">
        <f>表1温室气体盘查表!D72</f>
        <v>转炉、电炉、锻造、热处理</v>
      </c>
      <c r="E98" s="487"/>
      <c r="F98" s="464">
        <f>表1温室气体盘查表!AM72</f>
        <v>9000.26</v>
      </c>
      <c r="G98" s="464">
        <f>表1温室气体盘查表!AF72</f>
        <v>9000.26</v>
      </c>
      <c r="H98" s="464">
        <f>表1温室气体盘查表!AG72</f>
        <v>0</v>
      </c>
      <c r="I98" s="464">
        <f>表1温室气体盘查表!AH72</f>
        <v>0</v>
      </c>
      <c r="J98" s="464">
        <f>表1温室气体盘查表!AI72</f>
        <v>0</v>
      </c>
      <c r="K98" s="464">
        <f>表1温室气体盘查表!AJ72</f>
        <v>0</v>
      </c>
      <c r="L98" s="464">
        <f>表1温室气体盘查表!AK72</f>
        <v>0</v>
      </c>
      <c r="M98" s="464">
        <f>表1温室气体盘查表!AL72</f>
        <v>0</v>
      </c>
    </row>
    <row r="99" spans="1:13" s="391" customFormat="1" ht="25.15" customHeight="1">
      <c r="A99" s="401"/>
      <c r="B99" s="484" t="s">
        <v>115</v>
      </c>
      <c r="C99" s="485" t="str">
        <f>表1温室气体盘查表!C73</f>
        <v>外购电力上游排放</v>
      </c>
      <c r="D99" s="486" t="str">
        <f>表1温室气体盘查表!D73</f>
        <v>各工序</v>
      </c>
      <c r="E99" s="487"/>
      <c r="F99" s="464">
        <f>表1温室气体盘查表!AM73</f>
        <v>176819.88961700018</v>
      </c>
      <c r="G99" s="464">
        <f>表1温室气体盘查表!AF73</f>
        <v>176819.88961700018</v>
      </c>
      <c r="H99" s="464">
        <f>表1温室气体盘查表!AG73</f>
        <v>0</v>
      </c>
      <c r="I99" s="464">
        <f>表1温室气体盘查表!AH73</f>
        <v>0</v>
      </c>
      <c r="J99" s="464">
        <f>表1温室气体盘查表!AI73</f>
        <v>0</v>
      </c>
      <c r="K99" s="464">
        <f>表1温室气体盘查表!AJ73</f>
        <v>0</v>
      </c>
      <c r="L99" s="464">
        <f>表1温室气体盘查表!AK73</f>
        <v>0</v>
      </c>
      <c r="M99" s="464">
        <f>表1温室气体盘查表!AL73</f>
        <v>0</v>
      </c>
    </row>
    <row r="100" spans="1:13" s="391" customFormat="1" ht="25.15" customHeight="1">
      <c r="A100" s="401"/>
      <c r="B100" s="492"/>
      <c r="C100" s="493"/>
      <c r="D100" s="493"/>
      <c r="E100" s="394"/>
      <c r="F100" s="394"/>
      <c r="G100" s="494"/>
      <c r="H100" s="494"/>
      <c r="I100" s="494"/>
      <c r="J100" s="494"/>
      <c r="K100" s="494"/>
      <c r="L100" s="494"/>
      <c r="M100" s="494"/>
    </row>
    <row r="101" spans="1:13" s="391" customFormat="1" ht="25.15" customHeight="1">
      <c r="A101" s="401"/>
      <c r="B101" s="495" t="s">
        <v>116</v>
      </c>
      <c r="C101" s="496" t="str">
        <f>表1温室气体盘查表!B74</f>
        <v>上游运输配送产生的排放</v>
      </c>
      <c r="D101" s="497"/>
      <c r="E101" s="498"/>
      <c r="F101" s="499">
        <f>SUM(G101:M101)</f>
        <v>400727.02820844552</v>
      </c>
      <c r="G101" s="499">
        <f>SUM(G102:G104)</f>
        <v>400727.02820844552</v>
      </c>
      <c r="H101" s="499">
        <f t="shared" ref="H101:M101" si="9">SUM(H102:H104)</f>
        <v>0</v>
      </c>
      <c r="I101" s="499">
        <f t="shared" si="9"/>
        <v>0</v>
      </c>
      <c r="J101" s="499">
        <f t="shared" si="9"/>
        <v>0</v>
      </c>
      <c r="K101" s="499">
        <f t="shared" si="9"/>
        <v>0</v>
      </c>
      <c r="L101" s="499">
        <f t="shared" si="9"/>
        <v>0</v>
      </c>
      <c r="M101" s="499">
        <f t="shared" si="9"/>
        <v>0</v>
      </c>
    </row>
    <row r="102" spans="1:13" s="391" customFormat="1" ht="25.15" customHeight="1">
      <c r="A102" s="401"/>
      <c r="B102" s="462" t="s">
        <v>117</v>
      </c>
      <c r="C102" s="463" t="str">
        <f>表1温室气体盘查表!C74</f>
        <v>船运</v>
      </c>
      <c r="D102" s="500" t="str">
        <f>表1温室气体盘查表!D74</f>
        <v>-</v>
      </c>
      <c r="F102" s="464">
        <f>表1温室气体盘查表!AM74</f>
        <v>250587.64380757129</v>
      </c>
      <c r="G102" s="464">
        <f>表1温室气体盘查表!AF74</f>
        <v>250587.64380757129</v>
      </c>
      <c r="H102" s="464">
        <f>表1温室气体盘查表!AG74</f>
        <v>0</v>
      </c>
      <c r="I102" s="464">
        <f>表1温室气体盘查表!AH74</f>
        <v>0</v>
      </c>
      <c r="J102" s="464">
        <f>表1温室气体盘查表!AI74</f>
        <v>0</v>
      </c>
      <c r="K102" s="464">
        <f>表1温室气体盘查表!AJ74</f>
        <v>0</v>
      </c>
      <c r="L102" s="464">
        <f>表1温室气体盘查表!AK74</f>
        <v>0</v>
      </c>
      <c r="M102" s="464">
        <f>表1温室气体盘查表!AL74</f>
        <v>0</v>
      </c>
    </row>
    <row r="103" spans="1:13" s="391" customFormat="1" ht="25.15" customHeight="1">
      <c r="A103" s="401"/>
      <c r="B103" s="462" t="s">
        <v>118</v>
      </c>
      <c r="C103" s="463" t="str">
        <f>表1温室气体盘查表!C75</f>
        <v>汽运</v>
      </c>
      <c r="D103" s="500" t="str">
        <f>表1温室气体盘查表!D75</f>
        <v>-</v>
      </c>
      <c r="F103" s="464">
        <f>表1温室气体盘查表!AM75</f>
        <v>74635.120596859735</v>
      </c>
      <c r="G103" s="464">
        <f>表1温室气体盘查表!AF75</f>
        <v>74635.120596859735</v>
      </c>
      <c r="H103" s="464">
        <f>表1温室气体盘查表!AG75</f>
        <v>0</v>
      </c>
      <c r="I103" s="464">
        <f>表1温室气体盘查表!AH75</f>
        <v>0</v>
      </c>
      <c r="J103" s="464">
        <f>表1温室气体盘查表!AI75</f>
        <v>0</v>
      </c>
      <c r="K103" s="464">
        <f>表1温室气体盘查表!AJ75</f>
        <v>0</v>
      </c>
      <c r="L103" s="464">
        <f>表1温室气体盘查表!AK75</f>
        <v>0</v>
      </c>
      <c r="M103" s="464">
        <f>表1温室气体盘查表!AL75</f>
        <v>0</v>
      </c>
    </row>
    <row r="104" spans="1:13" s="391" customFormat="1" ht="25.15" customHeight="1">
      <c r="A104" s="401"/>
      <c r="B104" s="462" t="s">
        <v>119</v>
      </c>
      <c r="C104" s="463" t="str">
        <f>表1温室气体盘查表!C76</f>
        <v>铁路运输</v>
      </c>
      <c r="D104" s="500" t="str">
        <f>表1温室气体盘查表!D76</f>
        <v>-</v>
      </c>
      <c r="F104" s="464">
        <f>表1温室气体盘查表!AM76</f>
        <v>75504.263804014496</v>
      </c>
      <c r="G104" s="464">
        <f>表1温室气体盘查表!AF76</f>
        <v>75504.263804014496</v>
      </c>
      <c r="H104" s="464">
        <f>表1温室气体盘查表!AG76</f>
        <v>0</v>
      </c>
      <c r="I104" s="464">
        <f>表1温室气体盘查表!AH76</f>
        <v>0</v>
      </c>
      <c r="J104" s="464">
        <f>表1温室气体盘查表!AI76</f>
        <v>0</v>
      </c>
      <c r="K104" s="464">
        <f>表1温室气体盘查表!AJ76</f>
        <v>0</v>
      </c>
      <c r="L104" s="464">
        <f>表1温室气体盘查表!AK76</f>
        <v>0</v>
      </c>
      <c r="M104" s="464">
        <f>表1温室气体盘查表!AL76</f>
        <v>0</v>
      </c>
    </row>
    <row r="105" spans="1:13" s="391" customFormat="1" ht="25.15" customHeight="1">
      <c r="A105" s="401"/>
      <c r="B105" s="501"/>
      <c r="C105" s="502"/>
      <c r="D105" s="502"/>
      <c r="E105" s="393"/>
      <c r="F105" s="503"/>
      <c r="G105" s="503"/>
      <c r="H105" s="503"/>
      <c r="I105" s="503"/>
      <c r="J105" s="503"/>
      <c r="K105" s="503"/>
      <c r="L105" s="503"/>
      <c r="M105" s="503"/>
    </row>
    <row r="106" spans="1:13" s="391" customFormat="1" ht="25.15" customHeight="1">
      <c r="A106" s="401"/>
      <c r="B106" s="495" t="s">
        <v>120</v>
      </c>
      <c r="C106" s="496" t="str">
        <f>表1温室气体盘查表!B77</f>
        <v>运营中产生的废物排放</v>
      </c>
      <c r="D106" s="497"/>
      <c r="E106" s="498"/>
      <c r="F106" s="470" t="e">
        <f>SUM(G106:M106)</f>
        <v>#REF!</v>
      </c>
      <c r="G106" s="470" t="e">
        <f>SUM(G107:G111)</f>
        <v>#REF!</v>
      </c>
      <c r="H106" s="470">
        <f t="shared" ref="H106:M106" si="10">SUM(H107)</f>
        <v>0</v>
      </c>
      <c r="I106" s="470">
        <f t="shared" si="10"/>
        <v>0</v>
      </c>
      <c r="J106" s="470">
        <f t="shared" si="10"/>
        <v>0</v>
      </c>
      <c r="K106" s="470">
        <f t="shared" si="10"/>
        <v>0</v>
      </c>
      <c r="L106" s="470">
        <f t="shared" si="10"/>
        <v>0</v>
      </c>
      <c r="M106" s="470">
        <f t="shared" si="10"/>
        <v>0</v>
      </c>
    </row>
    <row r="107" spans="1:13" s="391" customFormat="1" ht="25.15" customHeight="1">
      <c r="A107" s="401"/>
      <c r="B107" s="462" t="s">
        <v>121</v>
      </c>
      <c r="C107" s="463" t="str">
        <f>表1温室气体盘查表!C77</f>
        <v>生活垃圾和厨余垃圾</v>
      </c>
      <c r="D107" s="463" t="str">
        <f>表1温室气体盘查表!D77</f>
        <v>垃圾站</v>
      </c>
      <c r="F107" s="464">
        <f>表1温室气体盘查表!AM77</f>
        <v>1040.2559007235884</v>
      </c>
      <c r="G107" s="464">
        <f>表1温室气体盘查表!AF77</f>
        <v>1040.2559007235884</v>
      </c>
      <c r="H107" s="464">
        <f>表1温室气体盘查表!AG77</f>
        <v>0</v>
      </c>
      <c r="I107" s="464">
        <f>表1温室气体盘查表!AH77</f>
        <v>0</v>
      </c>
      <c r="J107" s="464">
        <f>表1温室气体盘查表!AI77</f>
        <v>0</v>
      </c>
      <c r="K107" s="464">
        <f>表1温室气体盘查表!AJ77</f>
        <v>0</v>
      </c>
      <c r="L107" s="464">
        <f>表1温室气体盘查表!AK77</f>
        <v>0</v>
      </c>
      <c r="M107" s="464">
        <f>表1温室气体盘查表!AL77</f>
        <v>0</v>
      </c>
    </row>
    <row r="108" spans="1:13" s="391" customFormat="1" ht="25.15" customHeight="1">
      <c r="A108" s="401"/>
      <c r="B108" s="462" t="s">
        <v>122</v>
      </c>
      <c r="C108" s="463" t="str">
        <f>表1温室气体盘查表!C78</f>
        <v>废油</v>
      </c>
      <c r="D108" s="463" t="str">
        <f>表1温室气体盘查表!D78</f>
        <v>-</v>
      </c>
      <c r="F108" s="464">
        <f>表1温室气体盘查表!AM78</f>
        <v>4897.6714742239055</v>
      </c>
      <c r="G108" s="464">
        <f>表1温室气体盘查表!AF78</f>
        <v>4897.6714742239055</v>
      </c>
      <c r="H108" s="464">
        <f>表1温室气体盘查表!AG78</f>
        <v>0</v>
      </c>
      <c r="I108" s="464">
        <f>表1温室气体盘查表!AH78</f>
        <v>0</v>
      </c>
      <c r="J108" s="464">
        <f>表1温室气体盘查表!AI78</f>
        <v>0</v>
      </c>
      <c r="K108" s="464">
        <f>表1温室气体盘查表!AJ78</f>
        <v>0</v>
      </c>
      <c r="L108" s="464">
        <f>表1温室气体盘查表!AK78</f>
        <v>0</v>
      </c>
      <c r="M108" s="464">
        <f>表1温室气体盘查表!AL78</f>
        <v>0</v>
      </c>
    </row>
    <row r="109" spans="1:13" s="391" customFormat="1" ht="25.15" customHeight="1">
      <c r="A109" s="401"/>
      <c r="B109" s="462" t="s">
        <v>123</v>
      </c>
      <c r="C109" s="463" t="str">
        <f>表1温室气体盘查表!C79</f>
        <v>废油水</v>
      </c>
      <c r="D109" s="463" t="str">
        <f>表1温室气体盘查表!D79</f>
        <v>-</v>
      </c>
      <c r="F109" s="464">
        <f>表1温室气体盘查表!AM79</f>
        <v>14824.498404251912</v>
      </c>
      <c r="G109" s="464">
        <f>表1温室气体盘查表!AF79</f>
        <v>14824.498404251912</v>
      </c>
      <c r="H109" s="464">
        <f>表1温室气体盘查表!AG79</f>
        <v>0</v>
      </c>
      <c r="I109" s="464">
        <f>表1温室气体盘查表!AH79</f>
        <v>0</v>
      </c>
      <c r="J109" s="464">
        <f>表1温室气体盘查表!AI79</f>
        <v>0</v>
      </c>
      <c r="K109" s="464">
        <f>表1温室气体盘查表!AJ79</f>
        <v>0</v>
      </c>
      <c r="L109" s="464">
        <f>表1温室气体盘查表!AK79</f>
        <v>0</v>
      </c>
      <c r="M109" s="464">
        <f>表1温室气体盘查表!AL79</f>
        <v>0</v>
      </c>
    </row>
    <row r="110" spans="1:13" s="391" customFormat="1" ht="25.15" customHeight="1">
      <c r="A110" s="401"/>
      <c r="B110" s="462" t="s">
        <v>124</v>
      </c>
      <c r="C110" s="463" t="e">
        <f>表1温室气体盘查表!#REF!</f>
        <v>#REF!</v>
      </c>
      <c r="D110" s="463" t="e">
        <f>表1温室气体盘查表!#REF!</f>
        <v>#REF!</v>
      </c>
      <c r="F110" s="464" t="e">
        <f>表1温室气体盘查表!#REF!</f>
        <v>#REF!</v>
      </c>
      <c r="G110" s="464" t="e">
        <f>表1温室气体盘查表!#REF!</f>
        <v>#REF!</v>
      </c>
      <c r="H110" s="464" t="e">
        <f>表1温室气体盘查表!#REF!</f>
        <v>#REF!</v>
      </c>
      <c r="I110" s="464" t="e">
        <f>表1温室气体盘查表!#REF!</f>
        <v>#REF!</v>
      </c>
      <c r="J110" s="464" t="e">
        <f>表1温室气体盘查表!#REF!</f>
        <v>#REF!</v>
      </c>
      <c r="K110" s="464" t="e">
        <f>表1温室气体盘查表!#REF!</f>
        <v>#REF!</v>
      </c>
      <c r="L110" s="464" t="e">
        <f>表1温室气体盘查表!#REF!</f>
        <v>#REF!</v>
      </c>
      <c r="M110" s="464" t="e">
        <f>表1温室气体盘查表!#REF!</f>
        <v>#REF!</v>
      </c>
    </row>
    <row r="111" spans="1:13" s="391" customFormat="1" ht="25.15" customHeight="1">
      <c r="A111" s="401"/>
      <c r="B111" s="462" t="s">
        <v>125</v>
      </c>
      <c r="C111" s="463" t="str">
        <f>表1温室气体盘查表!C80</f>
        <v>废弃物运输</v>
      </c>
      <c r="D111" s="463" t="str">
        <f>表1温室气体盘查表!D80</f>
        <v>-</v>
      </c>
      <c r="F111" s="464">
        <f>表1温室气体盘查表!AM80</f>
        <v>10189.592640916659</v>
      </c>
      <c r="G111" s="464">
        <f>表1温室气体盘查表!AF80</f>
        <v>10189.592640916659</v>
      </c>
      <c r="H111" s="464">
        <f>表1温室气体盘查表!AG80</f>
        <v>0</v>
      </c>
      <c r="I111" s="464">
        <f>表1温室气体盘查表!AH80</f>
        <v>0</v>
      </c>
      <c r="J111" s="464">
        <f>表1温室气体盘查表!AI80</f>
        <v>0</v>
      </c>
      <c r="K111" s="464">
        <f>表1温室气体盘查表!AJ80</f>
        <v>0</v>
      </c>
      <c r="L111" s="464">
        <f>表1温室气体盘查表!AK80</f>
        <v>0</v>
      </c>
      <c r="M111" s="464">
        <f>表1温室气体盘查表!AL80</f>
        <v>0</v>
      </c>
    </row>
    <row r="112" spans="1:13" s="391" customFormat="1" ht="25.15" customHeight="1">
      <c r="A112" s="401"/>
      <c r="B112" s="501"/>
      <c r="C112" s="502"/>
      <c r="D112" s="502"/>
      <c r="E112" s="393"/>
      <c r="F112" s="503"/>
      <c r="G112" s="503"/>
      <c r="H112" s="503"/>
      <c r="I112" s="503"/>
      <c r="J112" s="503"/>
      <c r="K112" s="503"/>
      <c r="L112" s="503"/>
      <c r="M112" s="503"/>
    </row>
    <row r="113" spans="1:13" s="391" customFormat="1" ht="25.15" customHeight="1">
      <c r="A113" s="401"/>
      <c r="B113" s="495" t="s">
        <v>126</v>
      </c>
      <c r="C113" s="496" t="str">
        <f>表1温室气体盘查表!B81</f>
        <v>商务旅行产生的排放</v>
      </c>
      <c r="D113" s="497"/>
      <c r="E113" s="498"/>
      <c r="F113" s="470">
        <f>SUM(G113:M113)</f>
        <v>1804.7455494943988</v>
      </c>
      <c r="G113" s="470">
        <f>SUM(G114:G116)</f>
        <v>1804.7455494943988</v>
      </c>
      <c r="H113" s="470">
        <f t="shared" ref="H113:M113" si="11">SUM(H114:H115)</f>
        <v>0</v>
      </c>
      <c r="I113" s="470">
        <f t="shared" si="11"/>
        <v>0</v>
      </c>
      <c r="J113" s="470">
        <f t="shared" si="11"/>
        <v>0</v>
      </c>
      <c r="K113" s="470">
        <f t="shared" si="11"/>
        <v>0</v>
      </c>
      <c r="L113" s="470">
        <f t="shared" si="11"/>
        <v>0</v>
      </c>
      <c r="M113" s="470">
        <f t="shared" si="11"/>
        <v>0</v>
      </c>
    </row>
    <row r="114" spans="1:13" s="391" customFormat="1" ht="25.15" customHeight="1">
      <c r="A114" s="401"/>
      <c r="B114" s="484" t="s">
        <v>127</v>
      </c>
      <c r="C114" s="485" t="str">
        <f>表1温室气体盘查表!C81</f>
        <v>航运</v>
      </c>
      <c r="D114" s="504" t="str">
        <f>表1温室气体盘查表!D81</f>
        <v>-</v>
      </c>
      <c r="E114" s="394"/>
      <c r="F114" s="464">
        <f>表1温室气体盘查表!AM81</f>
        <v>311.60514000000001</v>
      </c>
      <c r="G114" s="464">
        <f>表1温室气体盘查表!AF81</f>
        <v>311.60514000000001</v>
      </c>
      <c r="H114" s="464">
        <f>表1温室气体盘查表!AG81</f>
        <v>0</v>
      </c>
      <c r="I114" s="464">
        <f>表1温室气体盘查表!AH81</f>
        <v>0</v>
      </c>
      <c r="J114" s="464">
        <f>表1温室气体盘查表!AI81</f>
        <v>0</v>
      </c>
      <c r="K114" s="464">
        <f>表1温室气体盘查表!AJ81</f>
        <v>0</v>
      </c>
      <c r="L114" s="464">
        <f>表1温室气体盘查表!AK81</f>
        <v>0</v>
      </c>
      <c r="M114" s="464">
        <f>表1温室气体盘查表!AL81</f>
        <v>0</v>
      </c>
    </row>
    <row r="115" spans="1:13" s="391" customFormat="1" ht="25.15" customHeight="1">
      <c r="A115" s="401"/>
      <c r="B115" s="484" t="s">
        <v>128</v>
      </c>
      <c r="C115" s="485" t="str">
        <f>表1温室气体盘查表!C82</f>
        <v>铁路运输</v>
      </c>
      <c r="D115" s="504" t="str">
        <f>表1温室气体盘查表!D82</f>
        <v>-</v>
      </c>
      <c r="E115" s="394"/>
      <c r="F115" s="464">
        <f>表1温室气体盘查表!AM82</f>
        <v>725.30840949439869</v>
      </c>
      <c r="G115" s="464">
        <f>表1温室气体盘查表!AF82</f>
        <v>725.30840949439869</v>
      </c>
      <c r="H115" s="464">
        <f>表1温室气体盘查表!AG82</f>
        <v>0</v>
      </c>
      <c r="I115" s="464">
        <f>表1温室气体盘查表!AH82</f>
        <v>0</v>
      </c>
      <c r="J115" s="464">
        <f>表1温室气体盘查表!AI82</f>
        <v>0</v>
      </c>
      <c r="K115" s="464">
        <f>表1温室气体盘查表!AJ82</f>
        <v>0</v>
      </c>
      <c r="L115" s="464">
        <f>表1温室气体盘查表!AK82</f>
        <v>0</v>
      </c>
      <c r="M115" s="464">
        <f>表1温室气体盘查表!AL82</f>
        <v>0</v>
      </c>
    </row>
    <row r="116" spans="1:13" s="391" customFormat="1" ht="25.15" customHeight="1">
      <c r="A116" s="401"/>
      <c r="B116" s="484" t="s">
        <v>129</v>
      </c>
      <c r="C116" s="485" t="str">
        <f>表1温室气体盘查表!C83</f>
        <v>员工差旅住宿</v>
      </c>
      <c r="D116" s="504" t="str">
        <f>表1温室气体盘查表!D83</f>
        <v>-</v>
      </c>
      <c r="E116" s="394"/>
      <c r="F116" s="464">
        <f>表1温室气体盘查表!AM83</f>
        <v>767.83199999999999</v>
      </c>
      <c r="G116" s="464">
        <f>表1温室气体盘查表!AF83</f>
        <v>767.83199999999999</v>
      </c>
      <c r="H116" s="464">
        <f>表1温室气体盘查表!AG83</f>
        <v>0</v>
      </c>
      <c r="I116" s="464">
        <f>表1温室气体盘查表!AH83</f>
        <v>0</v>
      </c>
      <c r="J116" s="464">
        <f>表1温室气体盘查表!AI83</f>
        <v>0</v>
      </c>
      <c r="K116" s="464">
        <f>表1温室气体盘查表!AJ83</f>
        <v>0</v>
      </c>
      <c r="L116" s="464">
        <f>表1温室气体盘查表!AK83</f>
        <v>0</v>
      </c>
      <c r="M116" s="464">
        <f>表1温室气体盘查表!AL83</f>
        <v>0</v>
      </c>
    </row>
    <row r="117" spans="1:13" s="391" customFormat="1" ht="25.15" customHeight="1">
      <c r="A117" s="401"/>
      <c r="B117" s="501"/>
      <c r="C117" s="502"/>
      <c r="D117" s="502"/>
      <c r="E117" s="393"/>
      <c r="F117" s="503"/>
      <c r="G117" s="503"/>
      <c r="H117" s="503"/>
      <c r="I117" s="503"/>
      <c r="J117" s="503"/>
      <c r="K117" s="503"/>
      <c r="L117" s="503"/>
      <c r="M117" s="503"/>
    </row>
    <row r="118" spans="1:13" s="391" customFormat="1" ht="25.15" customHeight="1">
      <c r="A118" s="401"/>
      <c r="B118" s="505" t="s">
        <v>130</v>
      </c>
      <c r="C118" s="506" t="str">
        <f>表1温室气体盘查表!B84</f>
        <v>员工通勤产生的排放</v>
      </c>
      <c r="D118" s="507"/>
      <c r="E118" s="498"/>
      <c r="F118" s="470">
        <f>SUM(G118:M118)</f>
        <v>5444.6907564203239</v>
      </c>
      <c r="G118" s="470">
        <f t="shared" ref="G118:M118" si="12">SUM(G119:G122)</f>
        <v>5444.6907564203239</v>
      </c>
      <c r="H118" s="470">
        <f t="shared" si="12"/>
        <v>0</v>
      </c>
      <c r="I118" s="470">
        <f t="shared" si="12"/>
        <v>0</v>
      </c>
      <c r="J118" s="470">
        <f t="shared" si="12"/>
        <v>0</v>
      </c>
      <c r="K118" s="470">
        <f t="shared" si="12"/>
        <v>0</v>
      </c>
      <c r="L118" s="470">
        <f t="shared" si="12"/>
        <v>0</v>
      </c>
      <c r="M118" s="470">
        <f t="shared" si="12"/>
        <v>0</v>
      </c>
    </row>
    <row r="119" spans="1:13" s="391" customFormat="1" ht="25.15" customHeight="1">
      <c r="A119" s="401"/>
      <c r="B119" s="504" t="s">
        <v>131</v>
      </c>
      <c r="C119" s="486" t="str">
        <f>表1温室气体盘查表!C84</f>
        <v>通勤车</v>
      </c>
      <c r="D119" s="508" t="str">
        <f>表1温室气体盘查表!D84</f>
        <v>-</v>
      </c>
      <c r="E119" s="509"/>
      <c r="F119" s="464">
        <f>表1温室气体盘查表!AM84</f>
        <v>59.915075134693886</v>
      </c>
      <c r="G119" s="464">
        <f>表1温室气体盘查表!AF84</f>
        <v>59.915075134693886</v>
      </c>
      <c r="H119" s="464">
        <f>表1温室气体盘查表!AG84</f>
        <v>0</v>
      </c>
      <c r="I119" s="464">
        <f>表1温室气体盘查表!AH84</f>
        <v>0</v>
      </c>
      <c r="J119" s="464">
        <f>表1温室气体盘查表!AI84</f>
        <v>0</v>
      </c>
      <c r="K119" s="464">
        <f>表1温室气体盘查表!AJ84</f>
        <v>0</v>
      </c>
      <c r="L119" s="464">
        <f>表1温室气体盘查表!AK84</f>
        <v>0</v>
      </c>
      <c r="M119" s="464">
        <f>表1温室气体盘查表!AL84</f>
        <v>0</v>
      </c>
    </row>
    <row r="120" spans="1:13" s="391" customFormat="1" ht="25.15" customHeight="1">
      <c r="A120" s="401"/>
      <c r="B120" s="504" t="s">
        <v>132</v>
      </c>
      <c r="C120" s="486" t="str">
        <f>表1温室气体盘查表!C86</f>
        <v>电瓶车</v>
      </c>
      <c r="D120" s="508" t="str">
        <f>表1温室气体盘查表!D86</f>
        <v>-</v>
      </c>
      <c r="E120" s="509"/>
      <c r="F120" s="464">
        <f>表1温室气体盘查表!AM86</f>
        <v>286.29993180666088</v>
      </c>
      <c r="G120" s="464">
        <f>表1温室气体盘查表!AF86</f>
        <v>286.29993180666088</v>
      </c>
      <c r="H120" s="464">
        <f>表1温室气体盘查表!AG86</f>
        <v>0</v>
      </c>
      <c r="I120" s="464">
        <f>表1温室气体盘查表!AH86</f>
        <v>0</v>
      </c>
      <c r="J120" s="464">
        <f>表1温室气体盘查表!AI86</f>
        <v>0</v>
      </c>
      <c r="K120" s="464">
        <f>表1温室气体盘查表!AJ86</f>
        <v>0</v>
      </c>
      <c r="L120" s="464">
        <f>表1温室气体盘查表!AK86</f>
        <v>0</v>
      </c>
      <c r="M120" s="464">
        <f>表1温室气体盘查表!AL86</f>
        <v>0</v>
      </c>
    </row>
    <row r="121" spans="1:13" s="391" customFormat="1" ht="25.15" customHeight="1">
      <c r="A121" s="401"/>
      <c r="B121" s="504" t="s">
        <v>133</v>
      </c>
      <c r="C121" s="486" t="str">
        <f>表1温室气体盘查表!C87</f>
        <v>自驾油车</v>
      </c>
      <c r="D121" s="508" t="str">
        <f>表1温室气体盘查表!D87</f>
        <v>-</v>
      </c>
      <c r="E121" s="510"/>
      <c r="F121" s="464">
        <f>表1温室气体盘查表!AM87</f>
        <v>4531.2742832535278</v>
      </c>
      <c r="G121" s="464">
        <f>表1温室气体盘查表!AF87</f>
        <v>4531.2742832535278</v>
      </c>
      <c r="H121" s="464">
        <f>表1温室气体盘查表!AG87</f>
        <v>0</v>
      </c>
      <c r="I121" s="464">
        <f>表1温室气体盘查表!AH87</f>
        <v>0</v>
      </c>
      <c r="J121" s="464">
        <f>表1温室气体盘查表!AI87</f>
        <v>0</v>
      </c>
      <c r="K121" s="464">
        <f>表1温室气体盘查表!AJ87</f>
        <v>0</v>
      </c>
      <c r="L121" s="464">
        <f>表1温室气体盘查表!AK87</f>
        <v>0</v>
      </c>
      <c r="M121" s="464">
        <f>表1温室气体盘查表!AL87</f>
        <v>0</v>
      </c>
    </row>
    <row r="122" spans="1:13" s="391" customFormat="1" ht="25.15" customHeight="1">
      <c r="A122" s="401"/>
      <c r="B122" s="504" t="s">
        <v>134</v>
      </c>
      <c r="C122" s="486" t="str">
        <f>表1温室气体盘查表!C88</f>
        <v>自驾电车</v>
      </c>
      <c r="D122" s="508" t="str">
        <f>表1温室气体盘查表!D88</f>
        <v>-</v>
      </c>
      <c r="E122" s="511"/>
      <c r="F122" s="464">
        <f>表1温室气体盘查表!AM88</f>
        <v>567.20146622544166</v>
      </c>
      <c r="G122" s="464">
        <f>表1温室气体盘查表!AF88</f>
        <v>567.20146622544166</v>
      </c>
      <c r="H122" s="464">
        <f>表1温室气体盘查表!AG88</f>
        <v>0</v>
      </c>
      <c r="I122" s="464">
        <f>表1温室气体盘查表!AH88</f>
        <v>0</v>
      </c>
      <c r="J122" s="464">
        <f>表1温室气体盘查表!AI88</f>
        <v>0</v>
      </c>
      <c r="K122" s="464">
        <f>表1温室气体盘查表!AJ88</f>
        <v>0</v>
      </c>
      <c r="L122" s="464">
        <f>表1温室气体盘查表!AK88</f>
        <v>0</v>
      </c>
      <c r="M122" s="464">
        <f>表1温室气体盘查表!AL88</f>
        <v>0</v>
      </c>
    </row>
    <row r="123" spans="1:13" s="391" customFormat="1" ht="25.15" customHeight="1">
      <c r="A123" s="401"/>
      <c r="B123" s="512"/>
      <c r="C123" s="513"/>
      <c r="D123" s="513"/>
      <c r="E123" s="514"/>
      <c r="F123" s="515"/>
      <c r="G123" s="515"/>
      <c r="H123" s="515"/>
      <c r="I123" s="515"/>
      <c r="J123" s="515"/>
      <c r="K123" s="515"/>
      <c r="L123" s="515"/>
      <c r="M123" s="515"/>
    </row>
    <row r="124" spans="1:13" s="391" customFormat="1" ht="25.15" customHeight="1">
      <c r="A124" s="401"/>
      <c r="B124" s="505" t="s">
        <v>135</v>
      </c>
      <c r="C124" s="506" t="str">
        <f>表1温室气体盘查表!B89</f>
        <v>下游运输配送产生的排放</v>
      </c>
      <c r="D124" s="507"/>
      <c r="E124" s="498"/>
      <c r="F124" s="470">
        <f>SUM(G124:M124)</f>
        <v>281081.73888085666</v>
      </c>
      <c r="G124" s="470">
        <f>SUM(G125:G128)</f>
        <v>281081.73888085666</v>
      </c>
      <c r="H124" s="470">
        <f t="shared" ref="H124:M124" si="13">SUM(H125:H127)</f>
        <v>0</v>
      </c>
      <c r="I124" s="470">
        <f t="shared" si="13"/>
        <v>0</v>
      </c>
      <c r="J124" s="470">
        <f t="shared" si="13"/>
        <v>0</v>
      </c>
      <c r="K124" s="470">
        <f t="shared" si="13"/>
        <v>0</v>
      </c>
      <c r="L124" s="470">
        <f t="shared" si="13"/>
        <v>0</v>
      </c>
      <c r="M124" s="470">
        <f t="shared" si="13"/>
        <v>0</v>
      </c>
    </row>
    <row r="125" spans="1:13" s="391" customFormat="1" ht="25.15" customHeight="1">
      <c r="A125" s="401"/>
      <c r="B125" s="504" t="s">
        <v>136</v>
      </c>
      <c r="C125" s="486" t="str">
        <f>表1温室气体盘查表!C89</f>
        <v>船运</v>
      </c>
      <c r="D125" s="508" t="str">
        <f>表1温室气体盘查表!D89</f>
        <v>-</v>
      </c>
      <c r="E125" s="509"/>
      <c r="F125" s="464">
        <f>表1温室气体盘查表!AM89</f>
        <v>50174.491306491567</v>
      </c>
      <c r="G125" s="464">
        <f>表1温室气体盘查表!AF89</f>
        <v>50174.491306491567</v>
      </c>
      <c r="H125" s="464">
        <f>表1温室气体盘查表!AG89</f>
        <v>0</v>
      </c>
      <c r="I125" s="464">
        <f>表1温室气体盘查表!AH89</f>
        <v>0</v>
      </c>
      <c r="J125" s="464">
        <f>表1温室气体盘查表!AI89</f>
        <v>0</v>
      </c>
      <c r="K125" s="464">
        <f>表1温室气体盘查表!AJ89</f>
        <v>0</v>
      </c>
      <c r="L125" s="464">
        <f>表1温室气体盘查表!AK89</f>
        <v>0</v>
      </c>
      <c r="M125" s="464">
        <f>表1温室气体盘查表!AL89</f>
        <v>0</v>
      </c>
    </row>
    <row r="126" spans="1:13" s="391" customFormat="1" ht="25.15" customHeight="1">
      <c r="A126" s="401"/>
      <c r="B126" s="504" t="s">
        <v>137</v>
      </c>
      <c r="C126" s="486" t="str">
        <f>表1温室气体盘查表!C90</f>
        <v>汽运</v>
      </c>
      <c r="D126" s="508" t="str">
        <f>表1温室气体盘查表!D90</f>
        <v>-</v>
      </c>
      <c r="E126" s="509"/>
      <c r="F126" s="464">
        <f>表1温室气体盘查表!AM90</f>
        <v>207696.57744565431</v>
      </c>
      <c r="G126" s="464">
        <f>表1温室气体盘查表!AF90</f>
        <v>207696.57744565431</v>
      </c>
      <c r="H126" s="464">
        <f>表1温室气体盘查表!AG90</f>
        <v>0</v>
      </c>
      <c r="I126" s="464">
        <f>表1温室气体盘查表!AH90</f>
        <v>0</v>
      </c>
      <c r="J126" s="464">
        <f>表1温室气体盘查表!AI90</f>
        <v>0</v>
      </c>
      <c r="K126" s="464">
        <f>表1温室气体盘查表!AJ90</f>
        <v>0</v>
      </c>
      <c r="L126" s="464">
        <f>表1温室气体盘查表!AK90</f>
        <v>0</v>
      </c>
      <c r="M126" s="464">
        <f>表1温室气体盘查表!AL90</f>
        <v>0</v>
      </c>
    </row>
    <row r="127" spans="1:13" s="391" customFormat="1" ht="25.15" customHeight="1">
      <c r="A127" s="401"/>
      <c r="B127" s="504" t="s">
        <v>138</v>
      </c>
      <c r="C127" s="486" t="str">
        <f>表1温室气体盘查表!C91</f>
        <v>铁路运输</v>
      </c>
      <c r="D127" s="508" t="str">
        <f>表1温室气体盘查表!D91</f>
        <v>-</v>
      </c>
      <c r="E127" s="510"/>
      <c r="F127" s="464">
        <f>表1温室气体盘查表!AM91</f>
        <v>16671.614413395077</v>
      </c>
      <c r="G127" s="464">
        <f>表1温室气体盘查表!AF91</f>
        <v>16671.614413395077</v>
      </c>
      <c r="H127" s="464">
        <f>表1温室气体盘查表!AG91</f>
        <v>0</v>
      </c>
      <c r="I127" s="464">
        <f>表1温室气体盘查表!AH91</f>
        <v>0</v>
      </c>
      <c r="J127" s="464">
        <f>表1温室气体盘查表!AI91</f>
        <v>0</v>
      </c>
      <c r="K127" s="464">
        <f>表1温室气体盘查表!AJ91</f>
        <v>0</v>
      </c>
      <c r="L127" s="464">
        <f>表1温室气体盘查表!AK91</f>
        <v>0</v>
      </c>
      <c r="M127" s="464">
        <f>表1温室气体盘查表!AL91</f>
        <v>0</v>
      </c>
    </row>
    <row r="128" spans="1:13" s="391" customFormat="1" ht="25.15" customHeight="1">
      <c r="A128" s="401"/>
      <c r="B128" s="504" t="s">
        <v>139</v>
      </c>
      <c r="C128" s="486" t="str">
        <f>表1温室气体盘查表!C92</f>
        <v>汽运-副产品</v>
      </c>
      <c r="D128" s="508" t="str">
        <f>表1温室气体盘查表!D92</f>
        <v>-</v>
      </c>
      <c r="E128" s="510"/>
      <c r="F128" s="464">
        <f>表1温室气体盘查表!AM92</f>
        <v>6539.0557153156715</v>
      </c>
      <c r="G128" s="464">
        <f>表1温室气体盘查表!AF92</f>
        <v>6539.0557153156715</v>
      </c>
      <c r="H128" s="464">
        <f>表1温室气体盘查表!AG92</f>
        <v>0</v>
      </c>
      <c r="I128" s="464">
        <f>表1温室气体盘查表!AH92</f>
        <v>0</v>
      </c>
      <c r="J128" s="464">
        <f>表1温室气体盘查表!AI92</f>
        <v>0</v>
      </c>
      <c r="K128" s="464">
        <f>表1温室气体盘查表!AJ92</f>
        <v>0</v>
      </c>
      <c r="L128" s="464">
        <f>表1温室气体盘查表!AK92</f>
        <v>0</v>
      </c>
      <c r="M128" s="464">
        <f>表1温室气体盘查表!AL92</f>
        <v>0</v>
      </c>
    </row>
    <row r="129" spans="1:13" s="391" customFormat="1" ht="25.15" customHeight="1">
      <c r="A129" s="401"/>
      <c r="B129" s="512"/>
      <c r="C129" s="513"/>
      <c r="D129" s="513"/>
      <c r="E129" s="514"/>
      <c r="F129" s="515"/>
      <c r="G129" s="515"/>
      <c r="H129" s="515"/>
      <c r="I129" s="515"/>
      <c r="J129" s="515"/>
      <c r="K129" s="515"/>
      <c r="L129" s="515"/>
      <c r="M129" s="515"/>
    </row>
    <row r="130" spans="1:13" s="391" customFormat="1" ht="26.25" customHeight="1">
      <c r="A130" s="401"/>
      <c r="B130" s="505" t="s">
        <v>140</v>
      </c>
      <c r="C130" s="506" t="str">
        <f>表1温室气体盘查表!B93</f>
        <v>外销产品加工产生的排放</v>
      </c>
      <c r="D130" s="507"/>
      <c r="E130" s="498"/>
      <c r="F130" s="470">
        <f>SUM(G130:M130)</f>
        <v>2449392.9070232175</v>
      </c>
      <c r="G130" s="470">
        <f>SUM(G131:G134)</f>
        <v>2449392.9070232175</v>
      </c>
      <c r="H130" s="470">
        <f>SUM(H131:H132)</f>
        <v>0</v>
      </c>
      <c r="I130" s="470">
        <f>SUM(I131:I132)</f>
        <v>0</v>
      </c>
      <c r="J130" s="470">
        <f>SUM(J131:J132)</f>
        <v>0</v>
      </c>
      <c r="K130" s="470">
        <f>SUM(K131:K132)</f>
        <v>0</v>
      </c>
      <c r="L130" s="470">
        <f>SUM(L131:L132)</f>
        <v>0</v>
      </c>
      <c r="M130" s="470">
        <f>SUM(M131:M133)</f>
        <v>0</v>
      </c>
    </row>
    <row r="131" spans="1:13" s="391" customFormat="1" ht="26.25" customHeight="1">
      <c r="A131" s="401"/>
      <c r="B131" s="504" t="s">
        <v>141</v>
      </c>
      <c r="C131" s="486" t="str">
        <f>表1温室气体盘查表!C93</f>
        <v>锻材加工</v>
      </c>
      <c r="D131" s="486" t="str">
        <f>表1温室气体盘查表!D93</f>
        <v>下游钢铁厂</v>
      </c>
      <c r="E131" s="509"/>
      <c r="F131" s="464">
        <f>表1温室气体盘查表!AM93</f>
        <v>135333.26981830696</v>
      </c>
      <c r="G131" s="464">
        <f>表1温室气体盘查表!AF93</f>
        <v>135333.26981830696</v>
      </c>
      <c r="H131" s="464">
        <f>表1温室气体盘查表!AG93</f>
        <v>0</v>
      </c>
      <c r="I131" s="464">
        <f>表1温室气体盘查表!AH93</f>
        <v>0</v>
      </c>
      <c r="J131" s="464">
        <f>表1温室气体盘查表!AI93</f>
        <v>0</v>
      </c>
      <c r="K131" s="464">
        <f>表1温室气体盘查表!AJ93</f>
        <v>0</v>
      </c>
      <c r="L131" s="464">
        <f>表1温室气体盘查表!AK93</f>
        <v>0</v>
      </c>
      <c r="M131" s="464">
        <f>表1温室气体盘查表!AL93</f>
        <v>0</v>
      </c>
    </row>
    <row r="132" spans="1:13" s="391" customFormat="1" ht="26.25" customHeight="1">
      <c r="A132" s="401"/>
      <c r="B132" s="504" t="s">
        <v>142</v>
      </c>
      <c r="C132" s="486" t="str">
        <f>表1温室气体盘查表!C94</f>
        <v>棒材加工</v>
      </c>
      <c r="D132" s="486" t="str">
        <f>表1温室气体盘查表!D94</f>
        <v>下游钢铁厂</v>
      </c>
      <c r="E132" s="510"/>
      <c r="F132" s="464">
        <f>表1温室气体盘查表!AM94</f>
        <v>2075519.7277605545</v>
      </c>
      <c r="G132" s="464">
        <f>表1温室气体盘查表!AF94</f>
        <v>2075519.7277605545</v>
      </c>
      <c r="H132" s="464">
        <f>表1温室气体盘查表!AG94</f>
        <v>0</v>
      </c>
      <c r="I132" s="464">
        <f>表1温室气体盘查表!AH94</f>
        <v>0</v>
      </c>
      <c r="J132" s="464">
        <f>表1温室气体盘查表!AI94</f>
        <v>0</v>
      </c>
      <c r="K132" s="464">
        <f>表1温室气体盘查表!AJ94</f>
        <v>0</v>
      </c>
      <c r="L132" s="464">
        <f>表1温室气体盘查表!AK94</f>
        <v>0</v>
      </c>
      <c r="M132" s="464">
        <f>表1温室气体盘查表!AL94</f>
        <v>0</v>
      </c>
    </row>
    <row r="133" spans="1:13" s="391" customFormat="1" ht="26.25" customHeight="1">
      <c r="A133" s="401"/>
      <c r="B133" s="504" t="s">
        <v>143</v>
      </c>
      <c r="C133" s="486" t="str">
        <f>表1温室气体盘查表!C95</f>
        <v>钢管加工</v>
      </c>
      <c r="D133" s="486" t="str">
        <f>表1温室气体盘查表!D95</f>
        <v>下游钢铁厂</v>
      </c>
      <c r="E133" s="516"/>
      <c r="F133" s="464">
        <f>表1温室气体盘查表!AM95</f>
        <v>61948.696404295377</v>
      </c>
      <c r="G133" s="464">
        <f>表1温室气体盘查表!AF95</f>
        <v>61948.696404295377</v>
      </c>
      <c r="H133" s="464">
        <f>表1温室气体盘查表!AG95</f>
        <v>0</v>
      </c>
      <c r="I133" s="464">
        <f>表1温室气体盘查表!AH95</f>
        <v>0</v>
      </c>
      <c r="J133" s="464">
        <f>表1温室气体盘查表!AI95</f>
        <v>0</v>
      </c>
      <c r="K133" s="464">
        <f>表1温室气体盘查表!AJ95</f>
        <v>0</v>
      </c>
      <c r="L133" s="464">
        <f>表1温室气体盘查表!AK95</f>
        <v>0</v>
      </c>
      <c r="M133" s="464">
        <f>表1温室气体盘查表!AL95</f>
        <v>0</v>
      </c>
    </row>
    <row r="134" spans="1:13" s="391" customFormat="1" ht="26.25" customHeight="1">
      <c r="A134" s="401"/>
      <c r="B134" s="504" t="s">
        <v>144</v>
      </c>
      <c r="C134" s="486" t="str">
        <f>表1温室气体盘查表!C96</f>
        <v>钢坯加工</v>
      </c>
      <c r="D134" s="486" t="str">
        <f>表1温室气体盘查表!D96</f>
        <v>下游钢铁厂</v>
      </c>
      <c r="E134" s="516"/>
      <c r="F134" s="464">
        <f>表1温室气体盘查表!AM96</f>
        <v>176591.21304006039</v>
      </c>
      <c r="G134" s="464">
        <f>表1温室气体盘查表!AF96</f>
        <v>176591.21304006039</v>
      </c>
      <c r="H134" s="464">
        <f>表1温室气体盘查表!AG96</f>
        <v>0</v>
      </c>
      <c r="I134" s="464">
        <f>表1温室气体盘查表!AH96</f>
        <v>0</v>
      </c>
      <c r="J134" s="464">
        <f>表1温室气体盘查表!AI96</f>
        <v>0</v>
      </c>
      <c r="K134" s="464">
        <f>表1温室气体盘查表!AJ96</f>
        <v>0</v>
      </c>
      <c r="L134" s="464">
        <f>表1温室气体盘查表!AK96</f>
        <v>0</v>
      </c>
      <c r="M134" s="464">
        <f>表1温室气体盘查表!AL96</f>
        <v>0</v>
      </c>
    </row>
    <row r="135" spans="1:13" s="391" customFormat="1" ht="26.25" customHeight="1">
      <c r="A135" s="401"/>
      <c r="D135" s="442"/>
    </row>
    <row r="136" spans="1:13" s="391" customFormat="1" ht="26.25" customHeight="1">
      <c r="A136" s="401"/>
      <c r="B136" s="505" t="s">
        <v>145</v>
      </c>
      <c r="C136" s="506" t="str">
        <f>表1温室气体盘查表!B98</f>
        <v>外售产品报废产生的排放</v>
      </c>
      <c r="D136" s="507"/>
      <c r="E136" s="498"/>
      <c r="F136" s="470">
        <f>SUM(G136:M136)</f>
        <v>3589.1150200565844</v>
      </c>
      <c r="G136" s="470">
        <f>SUM(G137)</f>
        <v>3589.1150200565844</v>
      </c>
      <c r="H136" s="470">
        <f t="shared" ref="H136:M136" si="14">SUM(H137:H138)</f>
        <v>0</v>
      </c>
      <c r="I136" s="470">
        <f t="shared" si="14"/>
        <v>0</v>
      </c>
      <c r="J136" s="470">
        <f t="shared" si="14"/>
        <v>0</v>
      </c>
      <c r="K136" s="470">
        <f t="shared" si="14"/>
        <v>0</v>
      </c>
      <c r="L136" s="470">
        <f t="shared" si="14"/>
        <v>0</v>
      </c>
      <c r="M136" s="470">
        <f t="shared" si="14"/>
        <v>0</v>
      </c>
    </row>
    <row r="137" spans="1:13" s="391" customFormat="1" ht="26.25" customHeight="1">
      <c r="A137" s="401"/>
      <c r="B137" s="504" t="s">
        <v>146</v>
      </c>
      <c r="C137" s="486" t="str">
        <f>表1温室气体盘查表!C98</f>
        <v>产品报废</v>
      </c>
      <c r="D137" s="486" t="str">
        <f>表1温室气体盘查表!D98</f>
        <v>下游钢铁厂</v>
      </c>
      <c r="E137" s="509"/>
      <c r="F137" s="464">
        <f>表1温室气体盘查表!AM98</f>
        <v>3589.1150200565844</v>
      </c>
      <c r="G137" s="464">
        <f>表1温室气体盘查表!AF98</f>
        <v>3589.1150200565844</v>
      </c>
      <c r="H137" s="464">
        <f>表1温室气体盘查表!AG98</f>
        <v>0</v>
      </c>
      <c r="I137" s="464">
        <f>表1温室气体盘查表!AH98</f>
        <v>0</v>
      </c>
      <c r="J137" s="464">
        <f>表1温室气体盘查表!AI98</f>
        <v>0</v>
      </c>
      <c r="K137" s="464">
        <f>表1温室气体盘查表!AJ98</f>
        <v>0</v>
      </c>
      <c r="L137" s="464">
        <f>表1温室气体盘查表!AK98</f>
        <v>0</v>
      </c>
      <c r="M137" s="464">
        <f>表1温室气体盘查表!AL98</f>
        <v>0</v>
      </c>
    </row>
    <row r="138" spans="1:13" ht="26.25" customHeight="1"/>
    <row r="139" spans="1:13" s="395" customFormat="1">
      <c r="A139" s="519"/>
      <c r="B139" s="520"/>
      <c r="C139" s="520"/>
      <c r="D139" s="521"/>
      <c r="E139" s="520"/>
      <c r="F139" s="522"/>
      <c r="G139" s="522"/>
      <c r="H139" s="522"/>
      <c r="I139" s="522"/>
      <c r="J139" s="522"/>
      <c r="K139" s="522"/>
      <c r="L139" s="522"/>
      <c r="M139" s="522"/>
    </row>
    <row r="140" spans="1:13" s="396" customFormat="1">
      <c r="B140" s="523"/>
      <c r="C140" s="523"/>
      <c r="D140" s="524"/>
      <c r="E140" s="523"/>
      <c r="F140" s="525"/>
      <c r="G140" s="525"/>
      <c r="H140" s="525"/>
      <c r="I140" s="525"/>
      <c r="J140" s="525"/>
      <c r="K140" s="525"/>
      <c r="L140" s="525"/>
      <c r="M140" s="525"/>
    </row>
    <row r="147" spans="8:8">
      <c r="H147" s="398"/>
    </row>
  </sheetData>
  <mergeCells count="13">
    <mergeCell ref="G13:M13"/>
    <mergeCell ref="B46:D46"/>
    <mergeCell ref="B12:B13"/>
    <mergeCell ref="C12:C13"/>
    <mergeCell ref="D12:D13"/>
    <mergeCell ref="E12:E13"/>
    <mergeCell ref="F12:F13"/>
    <mergeCell ref="L1:M1"/>
    <mergeCell ref="L2:M2"/>
    <mergeCell ref="L3:M3"/>
    <mergeCell ref="F7:G7"/>
    <mergeCell ref="L7:M7"/>
    <mergeCell ref="B1:K3"/>
  </mergeCells>
  <phoneticPr fontId="89" type="noConversion"/>
  <printOptions horizontalCentered="1"/>
  <pageMargins left="0.59055118110236204" right="0.59055118110236204" top="0.70866141732283505" bottom="0.59055118110236204" header="0.31496062992126" footer="0.31496062992126"/>
  <pageSetup paperSize="9" fitToHeight="0" orientation="landscape" horizontalDpi="300" verticalDpi="300"/>
  <headerFooter>
    <oddHeader>&amp;L&amp;"-,常规"&amp;10南侨版本/修改号NC Edition/Rev.Code：A/0
吉好版本/修改号YY Edition/Rev.Code：A/0
&amp;R&amp;"-,常规"&amp;10记录标识/Identification Code:7.2 GYGZ/GHG.R015.02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D35" sqref="D35"/>
    </sheetView>
  </sheetViews>
  <sheetFormatPr defaultColWidth="9" defaultRowHeight="14.25"/>
  <cols>
    <col min="1" max="1" width="9" style="535"/>
    <col min="2" max="2" width="10.5" style="535" customWidth="1"/>
    <col min="3" max="3" width="50.5" style="535" customWidth="1"/>
    <col min="4" max="4" width="45" style="535" customWidth="1"/>
    <col min="5" max="16384" width="9" style="535"/>
  </cols>
  <sheetData>
    <row r="2" spans="2:4">
      <c r="C2" s="536" t="s">
        <v>147</v>
      </c>
      <c r="D2" s="536" t="s">
        <v>148</v>
      </c>
    </row>
    <row r="3" spans="2:4">
      <c r="B3" s="537" t="s">
        <v>149</v>
      </c>
      <c r="C3" s="536" t="s">
        <v>150</v>
      </c>
      <c r="D3" s="536"/>
    </row>
    <row r="4" spans="2:4">
      <c r="B4" s="537" t="s">
        <v>151</v>
      </c>
      <c r="C4" s="536" t="s">
        <v>152</v>
      </c>
      <c r="D4" s="536" t="s">
        <v>153</v>
      </c>
    </row>
  </sheetData>
  <phoneticPr fontId="8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C13" sqref="C13"/>
    </sheetView>
  </sheetViews>
  <sheetFormatPr defaultColWidth="9" defaultRowHeight="15"/>
  <cols>
    <col min="1" max="1" width="9" style="526"/>
    <col min="2" max="2" width="36.625" style="526" customWidth="1"/>
    <col min="3" max="3" width="86.125" style="526" customWidth="1"/>
    <col min="6" max="16384" width="9" style="526"/>
  </cols>
  <sheetData>
    <row r="1" spans="1:3">
      <c r="A1" s="526" t="s">
        <v>154</v>
      </c>
      <c r="B1" s="526" t="s">
        <v>154</v>
      </c>
      <c r="C1" s="526" t="s">
        <v>155</v>
      </c>
    </row>
    <row r="2" spans="1:3">
      <c r="A2" s="526" t="s">
        <v>156</v>
      </c>
      <c r="B2" s="526" t="s">
        <v>157</v>
      </c>
      <c r="C2" s="527" t="s">
        <v>158</v>
      </c>
    </row>
    <row r="3" spans="1:3">
      <c r="A3" s="526" t="s">
        <v>159</v>
      </c>
      <c r="B3" s="526" t="s">
        <v>160</v>
      </c>
      <c r="C3" s="526" t="s">
        <v>161</v>
      </c>
    </row>
    <row r="4" spans="1:3">
      <c r="A4" s="526" t="s">
        <v>162</v>
      </c>
      <c r="B4" s="526" t="s">
        <v>163</v>
      </c>
      <c r="C4" s="526" t="s">
        <v>164</v>
      </c>
    </row>
    <row r="5" spans="1:3">
      <c r="A5" s="528" t="s">
        <v>165</v>
      </c>
      <c r="B5" s="526" t="s">
        <v>166</v>
      </c>
      <c r="C5" s="529">
        <v>46206</v>
      </c>
    </row>
    <row r="6" spans="1:3">
      <c r="A6" s="526" t="s">
        <v>167</v>
      </c>
      <c r="B6" s="526" t="s">
        <v>168</v>
      </c>
      <c r="C6" s="527" t="s">
        <v>169</v>
      </c>
    </row>
    <row r="7" spans="1:3">
      <c r="A7" s="526" t="s">
        <v>170</v>
      </c>
      <c r="B7" s="526" t="s">
        <v>171</v>
      </c>
      <c r="C7" s="527" t="s">
        <v>172</v>
      </c>
    </row>
    <row r="8" spans="1:3">
      <c r="A8" s="526" t="s">
        <v>173</v>
      </c>
      <c r="B8" s="526" t="s">
        <v>174</v>
      </c>
      <c r="C8" s="527" t="s">
        <v>175</v>
      </c>
    </row>
    <row r="9" spans="1:3">
      <c r="A9" s="528" t="s">
        <v>176</v>
      </c>
      <c r="B9" s="526" t="s">
        <v>177</v>
      </c>
      <c r="C9" s="530">
        <v>39150</v>
      </c>
    </row>
    <row r="10" spans="1:3">
      <c r="A10" s="526" t="s">
        <v>178</v>
      </c>
      <c r="B10" s="526" t="s">
        <v>179</v>
      </c>
      <c r="C10" s="527" t="s">
        <v>180</v>
      </c>
    </row>
    <row r="11" spans="1:3">
      <c r="A11" s="526" t="s">
        <v>181</v>
      </c>
      <c r="B11" s="526" t="s">
        <v>182</v>
      </c>
      <c r="C11" s="527" t="s">
        <v>180</v>
      </c>
    </row>
    <row r="12" spans="1:3" ht="94.5">
      <c r="A12" s="531" t="s">
        <v>183</v>
      </c>
      <c r="B12" s="526" t="s">
        <v>184</v>
      </c>
      <c r="C12" s="532" t="s">
        <v>185</v>
      </c>
    </row>
    <row r="13" spans="1:3" ht="324">
      <c r="A13" s="531" t="s">
        <v>186</v>
      </c>
      <c r="B13" s="526" t="s">
        <v>187</v>
      </c>
      <c r="C13" s="532" t="s">
        <v>188</v>
      </c>
    </row>
    <row r="14" spans="1:3">
      <c r="A14" s="526" t="s">
        <v>189</v>
      </c>
      <c r="B14" s="526" t="s">
        <v>190</v>
      </c>
      <c r="C14" s="526" t="s">
        <v>191</v>
      </c>
    </row>
    <row r="15" spans="1:3">
      <c r="A15" s="526" t="s">
        <v>192</v>
      </c>
      <c r="B15" s="526" t="s">
        <v>193</v>
      </c>
      <c r="C15" s="526" t="s">
        <v>194</v>
      </c>
    </row>
    <row r="16" spans="1:3">
      <c r="A16" s="526" t="s">
        <v>195</v>
      </c>
      <c r="B16" s="526" t="s">
        <v>196</v>
      </c>
      <c r="C16" s="526" t="s">
        <v>197</v>
      </c>
    </row>
    <row r="17" spans="1:3">
      <c r="B17" s="526" t="s">
        <v>198</v>
      </c>
      <c r="C17" s="526" t="s">
        <v>199</v>
      </c>
    </row>
    <row r="18" spans="1:3">
      <c r="A18" s="526" t="s">
        <v>200</v>
      </c>
      <c r="B18" s="526" t="s">
        <v>201</v>
      </c>
      <c r="C18" s="526" t="s">
        <v>202</v>
      </c>
    </row>
    <row r="19" spans="1:3">
      <c r="A19" s="526" t="s">
        <v>203</v>
      </c>
      <c r="B19" s="526" t="s">
        <v>204</v>
      </c>
    </row>
    <row r="20" spans="1:3">
      <c r="A20" s="526" t="s">
        <v>205</v>
      </c>
      <c r="B20" s="526" t="s">
        <v>206</v>
      </c>
    </row>
    <row r="21" spans="1:3">
      <c r="A21" s="526" t="s">
        <v>207</v>
      </c>
      <c r="B21" s="526" t="s">
        <v>208</v>
      </c>
      <c r="C21" s="533">
        <v>2025</v>
      </c>
    </row>
    <row r="22" spans="1:3">
      <c r="A22" s="526" t="s">
        <v>209</v>
      </c>
      <c r="B22" s="526" t="s">
        <v>210</v>
      </c>
      <c r="C22" s="534">
        <f>C21+1</f>
        <v>2026</v>
      </c>
    </row>
  </sheetData>
  <phoneticPr fontId="8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5"/>
  <sheetViews>
    <sheetView zoomScale="85" zoomScaleNormal="85" zoomScalePageLayoutView="130" workbookViewId="0">
      <selection activeCell="F23" sqref="F23"/>
    </sheetView>
  </sheetViews>
  <sheetFormatPr defaultColWidth="11" defaultRowHeight="12.75"/>
  <cols>
    <col min="1" max="1" width="3.375" style="397" customWidth="1"/>
    <col min="2" max="2" width="9.875" style="398" customWidth="1"/>
    <col min="3" max="3" width="22.625" style="398" customWidth="1"/>
    <col min="4" max="4" width="9.875" style="399" customWidth="1"/>
    <col min="5" max="5" width="31.5" style="398" customWidth="1"/>
    <col min="6" max="6" width="14.5" style="400" customWidth="1"/>
    <col min="7" max="7" width="10.25" style="400" customWidth="1"/>
    <col min="8" max="8" width="8.125" style="400" customWidth="1"/>
    <col min="9" max="9" width="8.625" style="400" customWidth="1"/>
    <col min="10" max="10" width="8.125" style="400" customWidth="1"/>
    <col min="11" max="12" width="6.875" style="400" customWidth="1"/>
    <col min="13" max="13" width="7.5" style="400" customWidth="1"/>
    <col min="14" max="16384" width="11" style="398"/>
  </cols>
  <sheetData>
    <row r="1" spans="1:14" ht="15" customHeight="1">
      <c r="B1" s="599" t="s">
        <v>0</v>
      </c>
      <c r="C1" s="600"/>
      <c r="D1" s="600"/>
      <c r="E1" s="600"/>
      <c r="F1" s="600"/>
      <c r="G1" s="600"/>
      <c r="H1" s="600"/>
      <c r="I1" s="600"/>
      <c r="J1" s="600"/>
      <c r="K1" s="601"/>
      <c r="L1" s="592" t="s">
        <v>1</v>
      </c>
      <c r="M1" s="593"/>
    </row>
    <row r="2" spans="1:14" ht="15" customHeight="1">
      <c r="B2" s="602"/>
      <c r="C2" s="603"/>
      <c r="D2" s="603"/>
      <c r="E2" s="603"/>
      <c r="F2" s="603"/>
      <c r="G2" s="603"/>
      <c r="H2" s="603"/>
      <c r="I2" s="603"/>
      <c r="J2" s="603"/>
      <c r="K2" s="604"/>
      <c r="L2" s="594" t="s">
        <v>2</v>
      </c>
      <c r="M2" s="593"/>
    </row>
    <row r="3" spans="1:14" ht="15" customHeight="1">
      <c r="B3" s="605"/>
      <c r="C3" s="606"/>
      <c r="D3" s="606"/>
      <c r="E3" s="606"/>
      <c r="F3" s="606"/>
      <c r="G3" s="606"/>
      <c r="H3" s="606"/>
      <c r="I3" s="606"/>
      <c r="J3" s="606"/>
      <c r="K3" s="607"/>
      <c r="L3" s="595" t="s">
        <v>211</v>
      </c>
      <c r="M3" s="596"/>
    </row>
    <row r="4" spans="1:14" s="391" customFormat="1" ht="25.15" customHeight="1">
      <c r="A4" s="401"/>
      <c r="B4" s="402" t="s">
        <v>4</v>
      </c>
      <c r="C4" s="403" t="s">
        <v>5</v>
      </c>
      <c r="D4" s="404"/>
      <c r="E4" s="405"/>
      <c r="F4" s="406"/>
      <c r="G4" s="406"/>
      <c r="H4" s="406"/>
      <c r="I4" s="406"/>
      <c r="J4" s="406"/>
      <c r="K4" s="406"/>
      <c r="L4" s="406"/>
      <c r="M4" s="406"/>
    </row>
    <row r="5" spans="1:14" s="391" customFormat="1" ht="25.15" customHeight="1">
      <c r="A5" s="401"/>
      <c r="B5" s="407" t="s">
        <v>6</v>
      </c>
      <c r="C5" s="408" t="s">
        <v>7</v>
      </c>
      <c r="D5" s="409"/>
      <c r="E5" s="410"/>
      <c r="F5" s="411"/>
      <c r="G5" s="412"/>
      <c r="H5" s="412"/>
      <c r="I5" s="412"/>
      <c r="J5" s="412"/>
      <c r="K5" s="412"/>
      <c r="L5" s="412"/>
    </row>
    <row r="6" spans="1:14" s="391" customFormat="1" ht="25.15" customHeight="1">
      <c r="A6" s="401"/>
      <c r="B6" s="407" t="s">
        <v>8</v>
      </c>
      <c r="C6" s="413" t="s">
        <v>212</v>
      </c>
      <c r="D6" s="409"/>
      <c r="E6" s="412"/>
      <c r="F6" s="412"/>
      <c r="G6" s="412"/>
      <c r="H6" s="412"/>
      <c r="I6" s="412"/>
      <c r="J6" s="412"/>
      <c r="K6" s="412"/>
      <c r="L6" s="412"/>
    </row>
    <row r="7" spans="1:14" s="392" customFormat="1" ht="25.15" customHeight="1">
      <c r="A7" s="414"/>
      <c r="B7" s="415" t="s">
        <v>10</v>
      </c>
      <c r="C7" s="416"/>
      <c r="D7" s="417"/>
      <c r="E7" s="418" t="s">
        <v>11</v>
      </c>
      <c r="F7" s="597"/>
      <c r="G7" s="598"/>
      <c r="H7" s="419"/>
      <c r="I7" s="420"/>
      <c r="J7" s="421"/>
      <c r="K7" s="422" t="s">
        <v>12</v>
      </c>
      <c r="L7" s="597"/>
      <c r="M7" s="598"/>
    </row>
    <row r="8" spans="1:14" s="392" customFormat="1" ht="25.15" customHeight="1">
      <c r="A8" s="423"/>
      <c r="B8" s="424" t="s">
        <v>13</v>
      </c>
      <c r="C8" s="424" t="s">
        <v>14</v>
      </c>
      <c r="D8" s="425"/>
      <c r="E8" s="426" t="s">
        <v>15</v>
      </c>
      <c r="F8" s="427">
        <f>F14</f>
        <v>7174684.9678068198</v>
      </c>
      <c r="G8" s="427"/>
      <c r="H8" s="428"/>
      <c r="I8" s="428"/>
      <c r="J8" s="429"/>
      <c r="K8" s="428" t="s">
        <v>16</v>
      </c>
      <c r="L8" s="428"/>
      <c r="M8" s="428"/>
      <c r="N8" s="430"/>
    </row>
    <row r="9" spans="1:14" s="392" customFormat="1" ht="25.15" customHeight="1">
      <c r="A9" s="414"/>
      <c r="B9" s="431"/>
      <c r="C9" s="432"/>
      <c r="D9" s="433"/>
      <c r="E9" s="426" t="s">
        <v>17</v>
      </c>
      <c r="F9" s="434">
        <f>F45</f>
        <v>1043611.0503979999</v>
      </c>
      <c r="G9" s="435"/>
      <c r="H9" s="436"/>
      <c r="I9" s="437"/>
      <c r="J9" s="438"/>
      <c r="K9" s="439"/>
      <c r="L9" s="440"/>
      <c r="M9" s="441"/>
    </row>
    <row r="10" spans="1:14" s="391" customFormat="1" ht="25.15" customHeight="1">
      <c r="A10" s="401"/>
      <c r="D10" s="442"/>
      <c r="E10" s="426" t="s">
        <v>18</v>
      </c>
      <c r="F10" s="434">
        <f>F46</f>
        <v>1186800.2659680001</v>
      </c>
      <c r="G10" s="443"/>
      <c r="H10" s="401"/>
      <c r="I10" s="401"/>
      <c r="J10" s="401"/>
      <c r="K10" s="401"/>
      <c r="L10" s="401"/>
      <c r="M10" s="401"/>
    </row>
    <row r="11" spans="1:14" s="391" customFormat="1" ht="25.15" customHeight="1">
      <c r="A11" s="401"/>
      <c r="B11" s="444" t="s">
        <v>19</v>
      </c>
      <c r="C11" s="445"/>
      <c r="D11" s="446"/>
      <c r="E11" s="426" t="s">
        <v>20</v>
      </c>
      <c r="F11" s="434">
        <f>SUM(F48,F74,F85,F96,F101,F107,F112,F119,F125,F134,F131)</f>
        <v>7161889.4668638408</v>
      </c>
      <c r="G11" s="447"/>
      <c r="H11" s="437"/>
      <c r="I11" s="437"/>
      <c r="J11" s="437"/>
      <c r="K11" s="437"/>
      <c r="L11" s="437"/>
      <c r="M11" s="437"/>
    </row>
    <row r="12" spans="1:14" s="391" customFormat="1" ht="25.15" customHeight="1">
      <c r="A12" s="448"/>
      <c r="B12" s="612" t="s">
        <v>21</v>
      </c>
      <c r="C12" s="613" t="s">
        <v>22</v>
      </c>
      <c r="D12" s="614" t="s">
        <v>23</v>
      </c>
      <c r="E12" s="612" t="s">
        <v>24</v>
      </c>
      <c r="F12" s="615" t="s">
        <v>25</v>
      </c>
      <c r="G12" s="449" t="s">
        <v>26</v>
      </c>
      <c r="H12" s="450" t="s">
        <v>27</v>
      </c>
      <c r="I12" s="450" t="s">
        <v>28</v>
      </c>
      <c r="J12" s="450" t="s">
        <v>29</v>
      </c>
      <c r="K12" s="450" t="s">
        <v>30</v>
      </c>
      <c r="L12" s="450" t="s">
        <v>31</v>
      </c>
      <c r="M12" s="450" t="s">
        <v>32</v>
      </c>
      <c r="N12" s="451"/>
    </row>
    <row r="13" spans="1:14" s="391" customFormat="1" ht="25.15" customHeight="1">
      <c r="A13" s="448"/>
      <c r="B13" s="612"/>
      <c r="C13" s="613"/>
      <c r="D13" s="614"/>
      <c r="E13" s="612"/>
      <c r="F13" s="615"/>
      <c r="G13" s="608" t="s">
        <v>33</v>
      </c>
      <c r="H13" s="608"/>
      <c r="I13" s="608"/>
      <c r="J13" s="608"/>
      <c r="K13" s="608"/>
      <c r="L13" s="608"/>
      <c r="M13" s="608"/>
      <c r="N13" s="451"/>
    </row>
    <row r="14" spans="1:14" s="392" customFormat="1" ht="25.15" customHeight="1">
      <c r="A14" s="414"/>
      <c r="B14" s="452" t="s">
        <v>34</v>
      </c>
      <c r="C14" s="453"/>
      <c r="D14" s="454"/>
      <c r="E14" s="453"/>
      <c r="F14" s="455">
        <f t="shared" ref="F14:M14" si="0">F15+F23+F26+F31</f>
        <v>7174684.9678068198</v>
      </c>
      <c r="G14" s="455">
        <f t="shared" si="0"/>
        <v>7131923.6091479063</v>
      </c>
      <c r="H14" s="455">
        <f t="shared" si="0"/>
        <v>10685.97420088427</v>
      </c>
      <c r="I14" s="455">
        <f t="shared" si="0"/>
        <v>31504.844458028703</v>
      </c>
      <c r="J14" s="455">
        <f t="shared" si="0"/>
        <v>570.54</v>
      </c>
      <c r="K14" s="455">
        <f t="shared" si="0"/>
        <v>0</v>
      </c>
      <c r="L14" s="455">
        <f t="shared" si="0"/>
        <v>0</v>
      </c>
      <c r="M14" s="455">
        <f t="shared" si="0"/>
        <v>0</v>
      </c>
    </row>
    <row r="15" spans="1:14" s="391" customFormat="1" ht="25.15" customHeight="1">
      <c r="A15" s="401"/>
      <c r="B15" s="456">
        <v>1.1000000000000001</v>
      </c>
      <c r="C15" s="457" t="s">
        <v>35</v>
      </c>
      <c r="D15" s="458"/>
      <c r="E15" s="459"/>
      <c r="F15" s="460">
        <f>SUM(G15:M15)</f>
        <v>7454918.9394686706</v>
      </c>
      <c r="G15" s="461">
        <f t="shared" ref="G15:M15" si="1">SUM(G16:G22)</f>
        <v>7421328.8308137963</v>
      </c>
      <c r="H15" s="461">
        <f t="shared" si="1"/>
        <v>2152.9426425062738</v>
      </c>
      <c r="I15" s="461">
        <f t="shared" si="1"/>
        <v>31437.166012368052</v>
      </c>
      <c r="J15" s="461">
        <f t="shared" si="1"/>
        <v>0</v>
      </c>
      <c r="K15" s="461">
        <f t="shared" si="1"/>
        <v>0</v>
      </c>
      <c r="L15" s="461">
        <f t="shared" si="1"/>
        <v>0</v>
      </c>
      <c r="M15" s="461">
        <f t="shared" si="1"/>
        <v>0</v>
      </c>
    </row>
    <row r="16" spans="1:14" s="391" customFormat="1" ht="25.15" customHeight="1">
      <c r="A16" s="401"/>
      <c r="B16" s="462" t="s">
        <v>36</v>
      </c>
      <c r="C16" s="463" t="str">
        <f>表1温室气体盘查表!C5</f>
        <v>天然气燃烧</v>
      </c>
      <c r="D16" s="463" t="str">
        <f>表1温室气体盘查表!D5</f>
        <v>热处理炉（加热炉）</v>
      </c>
      <c r="F16" s="464">
        <f>SUM(G16:M16)</f>
        <v>31469.159151587519</v>
      </c>
      <c r="G16" s="464">
        <f>表1温室气体盘查表!AF5</f>
        <v>31438.225282859999</v>
      </c>
      <c r="H16" s="464">
        <f>表1温室气体盘查表!AG5</f>
        <v>15.635053215539997</v>
      </c>
      <c r="I16" s="464">
        <f>表1温室气体盘查表!AH5</f>
        <v>15.298815511980003</v>
      </c>
      <c r="J16" s="464">
        <f>表1温室气体盘查表!AI5</f>
        <v>0</v>
      </c>
      <c r="K16" s="464">
        <f>表1温室气体盘查表!AJ5</f>
        <v>0</v>
      </c>
      <c r="L16" s="464">
        <f>表1温室气体盘查表!AK5</f>
        <v>0</v>
      </c>
      <c r="M16" s="464">
        <f>表1温室气体盘查表!AL5</f>
        <v>0</v>
      </c>
    </row>
    <row r="17" spans="1:13" s="391" customFormat="1" ht="25.15" customHeight="1">
      <c r="A17" s="401"/>
      <c r="B17" s="462" t="s">
        <v>37</v>
      </c>
      <c r="C17" s="463" t="str">
        <f>表1温室气体盘查表!C6</f>
        <v>液化石油气燃烧</v>
      </c>
      <c r="D17" s="463" t="str">
        <f>表1温室气体盘查表!D6</f>
        <v>冶钢宾馆</v>
      </c>
      <c r="F17" s="464">
        <f t="shared" ref="F17:F26" si="2">SUM(G17:M17)</f>
        <v>29.286595265285126</v>
      </c>
      <c r="G17" s="464">
        <f>表1温室气体盘查表!AF6</f>
        <v>29.260997688860005</v>
      </c>
      <c r="H17" s="464">
        <f>表1温室气体盘查表!AG6</f>
        <v>1.2937905475739997E-2</v>
      </c>
      <c r="I17" s="464">
        <f>表1温室气体盘查表!AH6</f>
        <v>1.2659670949380001E-2</v>
      </c>
      <c r="J17" s="464">
        <f>表1温室气体盘查表!AI6</f>
        <v>0</v>
      </c>
      <c r="K17" s="464">
        <f>表1温室气体盘查表!AJ6</f>
        <v>0</v>
      </c>
      <c r="L17" s="464">
        <f>表1温室气体盘查表!AK6</f>
        <v>0</v>
      </c>
      <c r="M17" s="464">
        <f>表1温室气体盘查表!AL6</f>
        <v>0</v>
      </c>
    </row>
    <row r="18" spans="1:13" s="391" customFormat="1" ht="25.15" customHeight="1">
      <c r="A18" s="401"/>
      <c r="B18" s="462" t="s">
        <v>38</v>
      </c>
      <c r="C18" s="463" t="str">
        <f>表1温室气体盘查表!C7</f>
        <v>烟煤燃烧</v>
      </c>
      <c r="D18" s="463" t="str">
        <f>表1温室气体盘查表!D7</f>
        <v>高炉</v>
      </c>
      <c r="F18" s="464">
        <f t="shared" si="2"/>
        <v>749580.33294359304</v>
      </c>
      <c r="G18" s="464">
        <f>表1温室气体盘查表!AF7</f>
        <v>746259.74279609555</v>
      </c>
      <c r="H18" s="464">
        <f>表1温室气体盘查表!AG7</f>
        <v>211.80719047824078</v>
      </c>
      <c r="I18" s="464">
        <f>表1温室气体盘查表!AH7</f>
        <v>3108.7829570193403</v>
      </c>
      <c r="J18" s="464">
        <f>表1温室气体盘查表!AI7</f>
        <v>0</v>
      </c>
      <c r="K18" s="464">
        <f>表1温室气体盘查表!AJ7</f>
        <v>0</v>
      </c>
      <c r="L18" s="464">
        <f>表1温室气体盘查表!AK7</f>
        <v>0</v>
      </c>
      <c r="M18" s="464">
        <f>表1温室气体盘查表!AL7</f>
        <v>0</v>
      </c>
    </row>
    <row r="19" spans="1:13" s="391" customFormat="1" ht="25.15" customHeight="1">
      <c r="A19" s="401"/>
      <c r="B19" s="462" t="s">
        <v>39</v>
      </c>
      <c r="C19" s="463" t="str">
        <f>表1温室气体盘查表!C8</f>
        <v>无烟煤燃烧</v>
      </c>
      <c r="D19" s="463" t="str">
        <f>表1温室气体盘查表!D8</f>
        <v>高炉、烧结</v>
      </c>
      <c r="F19" s="464">
        <f t="shared" si="2"/>
        <v>820622.20375653554</v>
      </c>
      <c r="G19" s="464">
        <f>表1温室气体盘查表!AF8</f>
        <v>816986.90292905667</v>
      </c>
      <c r="H19" s="464">
        <f>表1温室气体盘查表!AG8</f>
        <v>231.88132850173631</v>
      </c>
      <c r="I19" s="464">
        <f>表1温室气体盘查表!AH8</f>
        <v>3403.4194989770981</v>
      </c>
      <c r="J19" s="464">
        <f>表1温室气体盘查表!AI8</f>
        <v>0</v>
      </c>
      <c r="K19" s="464">
        <f>表1温室气体盘查表!AJ8</f>
        <v>0</v>
      </c>
      <c r="L19" s="464">
        <f>表1温室气体盘查表!AK8</f>
        <v>0</v>
      </c>
      <c r="M19" s="464">
        <f>表1温室气体盘查表!AL8</f>
        <v>0</v>
      </c>
    </row>
    <row r="20" spans="1:13" s="391" customFormat="1" ht="25.15" customHeight="1">
      <c r="A20" s="401"/>
      <c r="B20" s="462" t="s">
        <v>40</v>
      </c>
      <c r="C20" s="463" t="str">
        <f>表1温室气体盘查表!C9</f>
        <v>洗精煤燃烧</v>
      </c>
      <c r="D20" s="463" t="str">
        <f>表1温室气体盘查表!D9</f>
        <v>焦炉</v>
      </c>
      <c r="F20" s="464">
        <f t="shared" si="2"/>
        <v>5189313.3024330754</v>
      </c>
      <c r="G20" s="464">
        <f>表1温室气体盘查表!AF9</f>
        <v>5165430.0139752235</v>
      </c>
      <c r="H20" s="464">
        <f>表1温室气体盘查表!AG9</f>
        <v>1523.4196341427985</v>
      </c>
      <c r="I20" s="464">
        <f>表1温室气体盘查表!AH9</f>
        <v>22359.868823708817</v>
      </c>
      <c r="J20" s="464">
        <f>表1温室气体盘查表!AI9</f>
        <v>0</v>
      </c>
      <c r="K20" s="464">
        <f>表1温室气体盘查表!AJ9</f>
        <v>0</v>
      </c>
      <c r="L20" s="464">
        <f>表1温室气体盘查表!AK9</f>
        <v>0</v>
      </c>
      <c r="M20" s="464">
        <f>表1温室气体盘查表!AL9</f>
        <v>0</v>
      </c>
    </row>
    <row r="21" spans="1:13" s="391" customFormat="1" ht="25.15" customHeight="1">
      <c r="A21" s="401"/>
      <c r="B21" s="462" t="s">
        <v>41</v>
      </c>
      <c r="C21" s="463" t="str">
        <f>表1温室气体盘查表!C10</f>
        <v>焦炭燃烧</v>
      </c>
      <c r="D21" s="463" t="str">
        <f>表1温室气体盘查表!D10</f>
        <v>高炉</v>
      </c>
      <c r="F21" s="464">
        <f t="shared" si="2"/>
        <v>669939.56476201338</v>
      </c>
      <c r="G21" s="464">
        <f>表1温室气体盘查表!AF10</f>
        <v>667212.1014612735</v>
      </c>
      <c r="H21" s="464">
        <f>表1温室气体盘查表!AG10</f>
        <v>173.97399654924791</v>
      </c>
      <c r="I21" s="464">
        <f>表1温室气体盘查表!AH10</f>
        <v>2553.4893041905743</v>
      </c>
      <c r="J21" s="464">
        <f>表1温室气体盘查表!AI10</f>
        <v>0</v>
      </c>
      <c r="K21" s="464">
        <f>表1温室气体盘查表!AJ10</f>
        <v>0</v>
      </c>
      <c r="L21" s="464">
        <f>表1温室气体盘查表!AK10</f>
        <v>0</v>
      </c>
      <c r="M21" s="464">
        <f>表1温室气体盘查表!AL10</f>
        <v>0</v>
      </c>
    </row>
    <row r="22" spans="1:13" s="391" customFormat="1" ht="25.15" customHeight="1">
      <c r="A22" s="401"/>
      <c r="B22" s="462" t="s">
        <v>42</v>
      </c>
      <c r="C22" s="463" t="str">
        <f>表1温室气体盘查表!C11</f>
        <v>焦炉煤气燃烧</v>
      </c>
      <c r="D22" s="463" t="str">
        <f>表1温室气体盘查表!D11</f>
        <v>外售</v>
      </c>
      <c r="F22" s="464">
        <f t="shared" si="2"/>
        <v>-6034.9101733989937</v>
      </c>
      <c r="G22" s="464">
        <f>表1温室气体盘查表!AF11</f>
        <v>-6027.4166284015209</v>
      </c>
      <c r="H22" s="464">
        <f>表1温室气体盘查表!AG11</f>
        <v>-3.7874982867658202</v>
      </c>
      <c r="I22" s="464">
        <f>表1温室气体盘查表!AH11</f>
        <v>-3.7060467107063406</v>
      </c>
      <c r="J22" s="464">
        <f>表1温室气体盘查表!AI11</f>
        <v>0</v>
      </c>
      <c r="K22" s="464">
        <f>表1温室气体盘查表!AJ11</f>
        <v>0</v>
      </c>
      <c r="L22" s="464">
        <f>表1温室气体盘查表!AK11</f>
        <v>0</v>
      </c>
      <c r="M22" s="464">
        <f>表1温室气体盘查表!AL11</f>
        <v>0</v>
      </c>
    </row>
    <row r="23" spans="1:13" s="391" customFormat="1" ht="25.15" customHeight="1">
      <c r="A23" s="401"/>
      <c r="B23" s="465">
        <v>1.2</v>
      </c>
      <c r="C23" s="466" t="s">
        <v>44</v>
      </c>
      <c r="D23" s="467"/>
      <c r="E23" s="468"/>
      <c r="F23" s="460">
        <f t="shared" si="2"/>
        <v>4620.5168231496864</v>
      </c>
      <c r="G23" s="461">
        <f>SUM(G24:G25)</f>
        <v>4544.9740641110402</v>
      </c>
      <c r="H23" s="461">
        <f t="shared" ref="H23:M23" si="3">SUM(H24:H25)</f>
        <v>7.8643133779951437</v>
      </c>
      <c r="I23" s="461">
        <f t="shared" si="3"/>
        <v>67.678445660651278</v>
      </c>
      <c r="J23" s="461">
        <f t="shared" si="3"/>
        <v>0</v>
      </c>
      <c r="K23" s="461">
        <f t="shared" si="3"/>
        <v>0</v>
      </c>
      <c r="L23" s="461">
        <f t="shared" si="3"/>
        <v>0</v>
      </c>
      <c r="M23" s="461">
        <f t="shared" si="3"/>
        <v>0</v>
      </c>
    </row>
    <row r="24" spans="1:13" s="391" customFormat="1" ht="25.15" customHeight="1">
      <c r="A24" s="401"/>
      <c r="B24" s="462" t="s">
        <v>45</v>
      </c>
      <c r="C24" s="463" t="str">
        <f>表1温室气体盘查表!C12</f>
        <v>柴油燃烧</v>
      </c>
      <c r="D24" s="463" t="str">
        <f>表1温室气体盘查表!D12</f>
        <v>场内运输</v>
      </c>
      <c r="F24" s="464">
        <f t="shared" si="2"/>
        <v>4476.2869890666807</v>
      </c>
      <c r="G24" s="464">
        <f>表1温室气体盘查表!AF12</f>
        <v>4406.5019140178401</v>
      </c>
      <c r="H24" s="464">
        <f>表1温室气体盘查表!AG12</f>
        <v>6.4706001790051442</v>
      </c>
      <c r="I24" s="464">
        <f>表1温室气体盘查表!AH12</f>
        <v>63.31447486983528</v>
      </c>
      <c r="J24" s="464">
        <f>表1温室气体盘查表!AI12</f>
        <v>0</v>
      </c>
      <c r="K24" s="464">
        <f>表1温室气体盘查表!AJ12</f>
        <v>0</v>
      </c>
      <c r="L24" s="464">
        <f>表1温室气体盘查表!AK12</f>
        <v>0</v>
      </c>
      <c r="M24" s="464">
        <f>表1温室气体盘查表!AL12</f>
        <v>0</v>
      </c>
    </row>
    <row r="25" spans="1:13" s="391" customFormat="1" ht="25.15" customHeight="1">
      <c r="A25" s="401"/>
      <c r="B25" s="462" t="s">
        <v>46</v>
      </c>
      <c r="C25" s="463" t="str">
        <f>表1温室气体盘查表!C13</f>
        <v>汽油燃烧</v>
      </c>
      <c r="D25" s="463" t="str">
        <f>表1温室气体盘查表!D13</f>
        <v>公务车</v>
      </c>
      <c r="F25" s="464">
        <f t="shared" si="2"/>
        <v>144.22983408300601</v>
      </c>
      <c r="G25" s="464">
        <f>表1温室气体盘查表!AF13</f>
        <v>138.47215009319999</v>
      </c>
      <c r="H25" s="464">
        <f>表1温室气体盘查表!AG13</f>
        <v>1.39371319899</v>
      </c>
      <c r="I25" s="464">
        <f>表1温室气体盘查表!AH13</f>
        <v>4.3639707908159995</v>
      </c>
      <c r="J25" s="464">
        <f>表1温室气体盘查表!AI13</f>
        <v>0</v>
      </c>
      <c r="K25" s="464">
        <f>表1温室气体盘查表!AJ13</f>
        <v>0</v>
      </c>
      <c r="L25" s="464">
        <f>表1温室气体盘查表!AK13</f>
        <v>0</v>
      </c>
      <c r="M25" s="464">
        <f>表1温室气体盘查表!AL13</f>
        <v>0</v>
      </c>
    </row>
    <row r="26" spans="1:13" s="391" customFormat="1" ht="25.15" customHeight="1">
      <c r="A26" s="401"/>
      <c r="B26" s="465">
        <v>1.3</v>
      </c>
      <c r="C26" s="466" t="s">
        <v>47</v>
      </c>
      <c r="D26" s="467"/>
      <c r="E26" s="468"/>
      <c r="F26" s="460">
        <f t="shared" si="2"/>
        <v>9096.2672449999991</v>
      </c>
      <c r="G26" s="460">
        <f t="shared" ref="G26:M26" si="4">SUM(G27:G30)</f>
        <v>0.56000000000000005</v>
      </c>
      <c r="H26" s="460">
        <f t="shared" si="4"/>
        <v>8525.1672450000005</v>
      </c>
      <c r="I26" s="460">
        <f t="shared" si="4"/>
        <v>0</v>
      </c>
      <c r="J26" s="460">
        <f t="shared" si="4"/>
        <v>570.54</v>
      </c>
      <c r="K26" s="460">
        <f t="shared" si="4"/>
        <v>0</v>
      </c>
      <c r="L26" s="460">
        <f t="shared" si="4"/>
        <v>0</v>
      </c>
      <c r="M26" s="460">
        <f t="shared" si="4"/>
        <v>0</v>
      </c>
    </row>
    <row r="27" spans="1:13" s="391" customFormat="1" ht="25.15" customHeight="1">
      <c r="A27" s="401"/>
      <c r="B27" s="462" t="s">
        <v>48</v>
      </c>
      <c r="C27" s="463" t="str">
        <f>表1温室气体盘查表!C14</f>
        <v>制冷剂逸散（R32）</v>
      </c>
      <c r="D27" s="463" t="str">
        <f>表1温室气体盘查表!D14</f>
        <v>分体式空调</v>
      </c>
      <c r="F27" s="464">
        <f t="shared" ref="F27:F31" si="5">SUM(G27:M27)</f>
        <v>570.54</v>
      </c>
      <c r="G27" s="464">
        <f>表1温室气体盘查表!AF14</f>
        <v>0</v>
      </c>
      <c r="H27" s="464">
        <f>表1温室气体盘查表!AG14</f>
        <v>0</v>
      </c>
      <c r="I27" s="464">
        <f>表1温室气体盘查表!AH14</f>
        <v>0</v>
      </c>
      <c r="J27" s="464">
        <f>表1温室气体盘查表!AI14</f>
        <v>570.54</v>
      </c>
      <c r="K27" s="464">
        <f>表1温室气体盘查表!AJ14</f>
        <v>0</v>
      </c>
      <c r="L27" s="464">
        <f>表1温室气体盘查表!AK14</f>
        <v>0</v>
      </c>
      <c r="M27" s="464">
        <f>表1温室气体盘查表!AL14</f>
        <v>0</v>
      </c>
    </row>
    <row r="28" spans="1:13" s="391" customFormat="1" ht="25.15" customHeight="1">
      <c r="A28" s="401"/>
      <c r="B28" s="462" t="s">
        <v>49</v>
      </c>
      <c r="C28" s="463" t="str">
        <f>表1温室气体盘查表!C15</f>
        <v>CO2逸散</v>
      </c>
      <c r="D28" s="463" t="str">
        <f>表1温室气体盘查表!D15</f>
        <v>二氧化碳灭火器</v>
      </c>
      <c r="F28" s="464">
        <f t="shared" si="5"/>
        <v>0.56000000000000005</v>
      </c>
      <c r="G28" s="464">
        <f>表1温室气体盘查表!AF15</f>
        <v>0.56000000000000005</v>
      </c>
      <c r="H28" s="464">
        <f>表1温室气体盘查表!AG15</f>
        <v>0</v>
      </c>
      <c r="I28" s="464">
        <f>表1温室气体盘查表!AH15</f>
        <v>0</v>
      </c>
      <c r="J28" s="464">
        <f>表1温室气体盘查表!AI15</f>
        <v>0</v>
      </c>
      <c r="K28" s="464">
        <f>表1温室气体盘查表!AJ15</f>
        <v>0</v>
      </c>
      <c r="L28" s="464">
        <f>表1温室气体盘查表!AK15</f>
        <v>0</v>
      </c>
      <c r="M28" s="464">
        <f>表1温室气体盘查表!AL15</f>
        <v>0</v>
      </c>
    </row>
    <row r="29" spans="1:13" s="391" customFormat="1" ht="25.15" customHeight="1">
      <c r="A29" s="401"/>
      <c r="B29" s="462" t="s">
        <v>50</v>
      </c>
      <c r="C29" s="463" t="str">
        <f>表1温室气体盘查表!C16</f>
        <v>CH4逸散</v>
      </c>
      <c r="D29" s="463" t="str">
        <f>表1温室气体盘查表!D16</f>
        <v>化粪池</v>
      </c>
      <c r="F29" s="464">
        <f t="shared" si="5"/>
        <v>116.30951999999999</v>
      </c>
      <c r="G29" s="464">
        <f>表1温室气体盘查表!AF16</f>
        <v>0</v>
      </c>
      <c r="H29" s="464">
        <f>表1温室气体盘查表!AG16</f>
        <v>116.30951999999999</v>
      </c>
      <c r="I29" s="464">
        <f>表1温室气体盘查表!AH16</f>
        <v>0</v>
      </c>
      <c r="J29" s="464">
        <f>表1温室气体盘查表!AI16</f>
        <v>0</v>
      </c>
      <c r="K29" s="464">
        <f>表1温室气体盘查表!AJ16</f>
        <v>0</v>
      </c>
      <c r="L29" s="464">
        <f>表1温室气体盘查表!AK16</f>
        <v>0</v>
      </c>
      <c r="M29" s="464">
        <f>表1温室气体盘查表!AL16</f>
        <v>0</v>
      </c>
    </row>
    <row r="30" spans="1:13" s="391" customFormat="1" ht="25.15" customHeight="1">
      <c r="A30" s="401"/>
      <c r="B30" s="462" t="s">
        <v>51</v>
      </c>
      <c r="C30" s="463" t="str">
        <f>表1温室气体盘查表!C17</f>
        <v>CH4逸散</v>
      </c>
      <c r="D30" s="463" t="str">
        <f>表1温室气体盘查表!D17</f>
        <v>耗氧池</v>
      </c>
      <c r="F30" s="464">
        <f t="shared" si="5"/>
        <v>8408.8577249999998</v>
      </c>
      <c r="G30" s="464">
        <f>表1温室气体盘查表!AF17</f>
        <v>0</v>
      </c>
      <c r="H30" s="464">
        <f>表1温室气体盘查表!AG17</f>
        <v>8408.8577249999998</v>
      </c>
      <c r="I30" s="464">
        <f>表1温室气体盘查表!AH17</f>
        <v>0</v>
      </c>
      <c r="J30" s="464">
        <f>表1温室气体盘查表!AI17</f>
        <v>0</v>
      </c>
      <c r="K30" s="464">
        <f>表1温室气体盘查表!AJ17</f>
        <v>0</v>
      </c>
      <c r="L30" s="464">
        <f>表1温室气体盘查表!AK17</f>
        <v>0</v>
      </c>
      <c r="M30" s="464">
        <f>表1温室气体盘查表!AL17</f>
        <v>0</v>
      </c>
    </row>
    <row r="31" spans="1:13" s="391" customFormat="1" ht="25.15" customHeight="1">
      <c r="A31" s="401"/>
      <c r="B31" s="465">
        <v>1.4</v>
      </c>
      <c r="C31" s="466" t="s">
        <v>53</v>
      </c>
      <c r="D31" s="467"/>
      <c r="E31" s="468"/>
      <c r="F31" s="460">
        <f t="shared" si="5"/>
        <v>-293950.75572999998</v>
      </c>
      <c r="G31" s="460">
        <f t="shared" ref="G31:M31" si="6">SUM(G32:G43)</f>
        <v>-293950.75572999998</v>
      </c>
      <c r="H31" s="460">
        <f t="shared" si="6"/>
        <v>0</v>
      </c>
      <c r="I31" s="460">
        <f t="shared" si="6"/>
        <v>0</v>
      </c>
      <c r="J31" s="460">
        <f t="shared" si="6"/>
        <v>0</v>
      </c>
      <c r="K31" s="460">
        <f t="shared" si="6"/>
        <v>0</v>
      </c>
      <c r="L31" s="460">
        <f t="shared" si="6"/>
        <v>0</v>
      </c>
      <c r="M31" s="460">
        <f t="shared" si="6"/>
        <v>0</v>
      </c>
    </row>
    <row r="32" spans="1:13" s="391" customFormat="1" ht="25.15" customHeight="1">
      <c r="A32" s="401"/>
      <c r="B32" s="462" t="s">
        <v>54</v>
      </c>
      <c r="C32" s="463" t="str">
        <f>表1温室气体盘查表!C18</f>
        <v>白云石</v>
      </c>
      <c r="D32" s="463" t="str">
        <f>表1温室气体盘查表!D18</f>
        <v>高炉</v>
      </c>
      <c r="F32" s="464">
        <f t="shared" ref="F32" si="7">SUM(G32:M32)</f>
        <v>18406.658199999998</v>
      </c>
      <c r="G32" s="464">
        <f>表1温室气体盘查表!AF18</f>
        <v>18406.658199999998</v>
      </c>
      <c r="H32" s="464">
        <f>表1温室气体盘查表!AG18</f>
        <v>0</v>
      </c>
      <c r="I32" s="464">
        <f>表1温室气体盘查表!AH18</f>
        <v>0</v>
      </c>
      <c r="J32" s="464">
        <f>表1温室气体盘查表!AI18</f>
        <v>0</v>
      </c>
      <c r="K32" s="464">
        <f>表1温室气体盘查表!AJ18</f>
        <v>0</v>
      </c>
      <c r="L32" s="464">
        <f>表1温室气体盘查表!AK18</f>
        <v>0</v>
      </c>
      <c r="M32" s="464">
        <f>表1温室气体盘查表!AL18</f>
        <v>0</v>
      </c>
    </row>
    <row r="33" spans="1:14" s="391" customFormat="1" ht="25.15" customHeight="1">
      <c r="A33" s="401"/>
      <c r="B33" s="462" t="s">
        <v>55</v>
      </c>
      <c r="C33" s="463" t="str">
        <f>表1温室气体盘查表!C19</f>
        <v>电极</v>
      </c>
      <c r="D33" s="463" t="str">
        <f>表1温室气体盘查表!D19</f>
        <v>炼钢</v>
      </c>
      <c r="F33" s="464">
        <f t="shared" ref="F33:F43" si="8">SUM(G33:M33)</f>
        <v>18334.963349999998</v>
      </c>
      <c r="G33" s="464">
        <f>表1温室气体盘查表!AF19</f>
        <v>18334.963349999998</v>
      </c>
      <c r="H33" s="464">
        <f>表1温室气体盘查表!AG19</f>
        <v>0</v>
      </c>
      <c r="I33" s="464">
        <f>表1温室气体盘查表!AH19</f>
        <v>0</v>
      </c>
      <c r="J33" s="464">
        <f>表1温室气体盘查表!AI19</f>
        <v>0</v>
      </c>
      <c r="K33" s="464">
        <f>表1温室气体盘查表!AJ19</f>
        <v>0</v>
      </c>
      <c r="L33" s="464">
        <f>表1温室气体盘查表!AK19</f>
        <v>0</v>
      </c>
      <c r="M33" s="464">
        <f>表1温室气体盘查表!AL19</f>
        <v>0</v>
      </c>
    </row>
    <row r="34" spans="1:14" s="391" customFormat="1" ht="25.15" customHeight="1">
      <c r="A34" s="401"/>
      <c r="B34" s="462" t="s">
        <v>56</v>
      </c>
      <c r="C34" s="463" t="str">
        <f>表1温室气体盘查表!C20</f>
        <v>废钢</v>
      </c>
      <c r="D34" s="463" t="str">
        <f>表1温室气体盘查表!D20</f>
        <v>炼钢</v>
      </c>
      <c r="F34" s="464">
        <f t="shared" si="8"/>
        <v>41425.779419999992</v>
      </c>
      <c r="G34" s="464">
        <f>表1温室气体盘查表!AF20</f>
        <v>41425.779419999992</v>
      </c>
      <c r="H34" s="464">
        <f>表1温室气体盘查表!AG20</f>
        <v>0</v>
      </c>
      <c r="I34" s="464">
        <f>表1温室气体盘查表!AH20</f>
        <v>0</v>
      </c>
      <c r="J34" s="464">
        <f>表1温室气体盘查表!AI20</f>
        <v>0</v>
      </c>
      <c r="K34" s="464">
        <f>表1温室气体盘查表!AJ20</f>
        <v>0</v>
      </c>
      <c r="L34" s="464">
        <f>表1温室气体盘查表!AK20</f>
        <v>0</v>
      </c>
      <c r="M34" s="464">
        <f>表1温室气体盘查表!AL20</f>
        <v>0</v>
      </c>
    </row>
    <row r="35" spans="1:14" s="391" customFormat="1" ht="25.15" customHeight="1">
      <c r="A35" s="401"/>
      <c r="B35" s="462" t="s">
        <v>57</v>
      </c>
      <c r="C35" s="463" t="str">
        <f>表1温室气体盘查表!C21</f>
        <v>高碳锰铁</v>
      </c>
      <c r="D35" s="463" t="str">
        <f>表1温室气体盘查表!D21</f>
        <v>炼钢</v>
      </c>
      <c r="F35" s="464">
        <f t="shared" si="8"/>
        <v>11407.87175</v>
      </c>
      <c r="G35" s="464">
        <f>表1温室气体盘查表!AF21</f>
        <v>11407.87175</v>
      </c>
      <c r="H35" s="464">
        <f>表1温室气体盘查表!AG21</f>
        <v>0</v>
      </c>
      <c r="I35" s="464">
        <f>表1温室气体盘查表!AH21</f>
        <v>0</v>
      </c>
      <c r="J35" s="464">
        <f>表1温室气体盘查表!AI21</f>
        <v>0</v>
      </c>
      <c r="K35" s="464">
        <f>表1温室气体盘查表!AJ21</f>
        <v>0</v>
      </c>
      <c r="L35" s="464">
        <f>表1温室气体盘查表!AK21</f>
        <v>0</v>
      </c>
      <c r="M35" s="464">
        <f>表1温室气体盘查表!AL21</f>
        <v>0</v>
      </c>
    </row>
    <row r="36" spans="1:14" s="391" customFormat="1" ht="25.15" customHeight="1">
      <c r="A36" s="401"/>
      <c r="B36" s="462" t="s">
        <v>58</v>
      </c>
      <c r="C36" s="463" t="str">
        <f>表1温室气体盘查表!C22</f>
        <v>锰硅合金</v>
      </c>
      <c r="D36" s="463" t="str">
        <f>表1温室气体盘查表!D22</f>
        <v>炼钢</v>
      </c>
      <c r="F36" s="464">
        <f t="shared" si="8"/>
        <v>265.66748000000001</v>
      </c>
      <c r="G36" s="464">
        <f>表1温室气体盘查表!AF22</f>
        <v>265.66748000000001</v>
      </c>
      <c r="H36" s="464">
        <f>表1温室气体盘查表!AG22</f>
        <v>0</v>
      </c>
      <c r="I36" s="464">
        <f>表1温室气体盘查表!AH22</f>
        <v>0</v>
      </c>
      <c r="J36" s="464">
        <f>表1温室气体盘查表!AI22</f>
        <v>0</v>
      </c>
      <c r="K36" s="464">
        <f>表1温室气体盘查表!AJ22</f>
        <v>0</v>
      </c>
      <c r="L36" s="464">
        <f>表1温室气体盘查表!AK22</f>
        <v>0</v>
      </c>
      <c r="M36" s="464">
        <f>表1温室气体盘查表!AL22</f>
        <v>0</v>
      </c>
    </row>
    <row r="37" spans="1:14" s="391" customFormat="1" ht="25.15" customHeight="1">
      <c r="A37" s="401"/>
      <c r="B37" s="462" t="s">
        <v>59</v>
      </c>
      <c r="C37" s="463" t="str">
        <f>表1温室气体盘查表!C23</f>
        <v>镍铁</v>
      </c>
      <c r="D37" s="463" t="str">
        <f>表1温室气体盘查表!D23</f>
        <v>炼钢</v>
      </c>
      <c r="F37" s="464">
        <f t="shared" si="8"/>
        <v>367.89839999999998</v>
      </c>
      <c r="G37" s="464">
        <f>表1温室气体盘查表!AF23</f>
        <v>367.89839999999998</v>
      </c>
      <c r="H37" s="464">
        <f>表1温室气体盘查表!AG23</f>
        <v>0</v>
      </c>
      <c r="I37" s="464">
        <f>表1温室气体盘查表!AH23</f>
        <v>0</v>
      </c>
      <c r="J37" s="464">
        <f>表1温室气体盘查表!AI23</f>
        <v>0</v>
      </c>
      <c r="K37" s="464">
        <f>表1温室气体盘查表!AJ23</f>
        <v>0</v>
      </c>
      <c r="L37" s="464">
        <f>表1温室气体盘查表!AK23</f>
        <v>0</v>
      </c>
      <c r="M37" s="464">
        <f>表1温室气体盘查表!AL23</f>
        <v>0</v>
      </c>
    </row>
    <row r="38" spans="1:14" s="391" customFormat="1" ht="25.15" customHeight="1">
      <c r="A38" s="401"/>
      <c r="B38" s="462" t="s">
        <v>60</v>
      </c>
      <c r="C38" s="463" t="str">
        <f>表1温室气体盘查表!C24</f>
        <v>高碳铬铁</v>
      </c>
      <c r="D38" s="463" t="str">
        <f>表1温室气体盘查表!D24</f>
        <v>炼钢</v>
      </c>
      <c r="F38" s="464">
        <f t="shared" si="8"/>
        <v>13992.429239999998</v>
      </c>
      <c r="G38" s="464">
        <f>表1温室气体盘查表!AF24</f>
        <v>13992.429239999998</v>
      </c>
      <c r="H38" s="464">
        <f>表1温室气体盘查表!AG24</f>
        <v>0</v>
      </c>
      <c r="I38" s="464">
        <f>表1温室气体盘查表!AH24</f>
        <v>0</v>
      </c>
      <c r="J38" s="464">
        <f>表1温室气体盘查表!AI24</f>
        <v>0</v>
      </c>
      <c r="K38" s="464">
        <f>表1温室气体盘查表!AJ24</f>
        <v>0</v>
      </c>
      <c r="L38" s="464">
        <f>表1温室气体盘查表!AK24</f>
        <v>0</v>
      </c>
      <c r="M38" s="464">
        <f>表1温室气体盘查表!AL24</f>
        <v>0</v>
      </c>
    </row>
    <row r="39" spans="1:14" s="391" customFormat="1" ht="25.15" customHeight="1">
      <c r="A39" s="401"/>
      <c r="B39" s="462" t="s">
        <v>61</v>
      </c>
      <c r="C39" s="463" t="str">
        <f>表1温室气体盘查表!C25</f>
        <v>硅铁</v>
      </c>
      <c r="D39" s="463" t="str">
        <f>表1温室气体盘查表!D25</f>
        <v>炼钢</v>
      </c>
      <c r="F39" s="464">
        <f t="shared" si="8"/>
        <v>82.656559999999999</v>
      </c>
      <c r="G39" s="464">
        <f>表1温室气体盘查表!AF25</f>
        <v>82.656559999999999</v>
      </c>
      <c r="H39" s="464">
        <f>表1温室气体盘查表!AG25</f>
        <v>0</v>
      </c>
      <c r="I39" s="464">
        <f>表1温室气体盘查表!AH25</f>
        <v>0</v>
      </c>
      <c r="J39" s="464">
        <f>表1温室气体盘查表!AI25</f>
        <v>0</v>
      </c>
      <c r="K39" s="464">
        <f>表1温室气体盘查表!AJ25</f>
        <v>0</v>
      </c>
      <c r="L39" s="464">
        <f>表1温室气体盘查表!AK25</f>
        <v>0</v>
      </c>
      <c r="M39" s="464">
        <f>表1温室气体盘查表!AL25</f>
        <v>0</v>
      </c>
    </row>
    <row r="40" spans="1:14" s="391" customFormat="1" ht="25.15" customHeight="1">
      <c r="A40" s="401"/>
      <c r="B40" s="462" t="s">
        <v>62</v>
      </c>
      <c r="C40" s="463" t="str">
        <f>表1温室气体盘查表!C26</f>
        <v>钼铁</v>
      </c>
      <c r="D40" s="463" t="str">
        <f>表1温室气体盘查表!D26</f>
        <v>炼钢</v>
      </c>
      <c r="F40" s="464">
        <f t="shared" si="8"/>
        <v>130.83696</v>
      </c>
      <c r="G40" s="464">
        <f>表1温室气体盘查表!AF26</f>
        <v>130.83696</v>
      </c>
      <c r="H40" s="464">
        <f>表1温室气体盘查表!AG26</f>
        <v>0</v>
      </c>
      <c r="I40" s="464">
        <f>表1温室气体盘查表!AH26</f>
        <v>0</v>
      </c>
      <c r="J40" s="464">
        <f>表1温室气体盘查表!AI26</f>
        <v>0</v>
      </c>
      <c r="K40" s="464">
        <f>表1温室气体盘查表!AJ26</f>
        <v>0</v>
      </c>
      <c r="L40" s="464">
        <f>表1温室气体盘查表!AK26</f>
        <v>0</v>
      </c>
      <c r="M40" s="464">
        <f>表1温室气体盘查表!AL26</f>
        <v>0</v>
      </c>
    </row>
    <row r="41" spans="1:14" s="391" customFormat="1" ht="25.15" customHeight="1">
      <c r="A41" s="401"/>
      <c r="B41" s="462" t="s">
        <v>63</v>
      </c>
      <c r="C41" s="463" t="str">
        <f>表1温室气体盘查表!C27</f>
        <v>粗钢</v>
      </c>
      <c r="D41" s="463" t="str">
        <f>表1温室气体盘查表!D27</f>
        <v>固碳产品</v>
      </c>
      <c r="F41" s="464">
        <f t="shared" si="8"/>
        <v>-165928.07805000001</v>
      </c>
      <c r="G41" s="464">
        <f>表1温室气体盘查表!AF27</f>
        <v>-165928.07805000001</v>
      </c>
      <c r="H41" s="464">
        <f>表1温室气体盘查表!AG27</f>
        <v>0</v>
      </c>
      <c r="I41" s="464">
        <f>表1温室气体盘查表!AH27</f>
        <v>0</v>
      </c>
      <c r="J41" s="464">
        <f>表1温室气体盘查表!AI27</f>
        <v>0</v>
      </c>
      <c r="K41" s="464">
        <f>表1温室气体盘查表!AJ27</f>
        <v>0</v>
      </c>
      <c r="L41" s="464">
        <f>表1温室气体盘查表!AK27</f>
        <v>0</v>
      </c>
      <c r="M41" s="464">
        <f>表1温室气体盘查表!AL27</f>
        <v>0</v>
      </c>
    </row>
    <row r="42" spans="1:14" s="391" customFormat="1" ht="25.15" customHeight="1">
      <c r="A42" s="401"/>
      <c r="B42" s="462" t="s">
        <v>64</v>
      </c>
      <c r="C42" s="463" t="str">
        <f>表1温室气体盘查表!C28</f>
        <v>粗苯</v>
      </c>
      <c r="D42" s="463" t="str">
        <f>表1温室气体盘查表!D28</f>
        <v>外售</v>
      </c>
      <c r="F42" s="464">
        <f t="shared" si="8"/>
        <v>-68970.884640000004</v>
      </c>
      <c r="G42" s="464">
        <f>表1温室气体盘查表!AF28</f>
        <v>-68970.884640000004</v>
      </c>
      <c r="H42" s="464">
        <f>表1温室气体盘查表!AG28</f>
        <v>0</v>
      </c>
      <c r="I42" s="464">
        <f>表1温室气体盘查表!AH28</f>
        <v>0</v>
      </c>
      <c r="J42" s="464">
        <f>表1温室气体盘查表!AI28</f>
        <v>0</v>
      </c>
      <c r="K42" s="464">
        <f>表1温室气体盘查表!AJ28</f>
        <v>0</v>
      </c>
      <c r="L42" s="464">
        <f>表1温室气体盘查表!AK28</f>
        <v>0</v>
      </c>
      <c r="M42" s="464">
        <f>表1温室气体盘查表!AL28</f>
        <v>0</v>
      </c>
    </row>
    <row r="43" spans="1:14" s="391" customFormat="1" ht="25.15" customHeight="1">
      <c r="A43" s="401"/>
      <c r="B43" s="462" t="s">
        <v>65</v>
      </c>
      <c r="C43" s="463" t="str">
        <f>表1温室气体盘查表!C29</f>
        <v>焦油</v>
      </c>
      <c r="D43" s="463" t="str">
        <f>表1温室气体盘查表!D29</f>
        <v>危废处置</v>
      </c>
      <c r="F43" s="464">
        <f t="shared" si="8"/>
        <v>-163466.55439999999</v>
      </c>
      <c r="G43" s="464">
        <f>表1温室气体盘查表!AF29</f>
        <v>-163466.55439999999</v>
      </c>
      <c r="H43" s="464">
        <f>表1温室气体盘查表!AG29</f>
        <v>0</v>
      </c>
      <c r="I43" s="464">
        <f>表1温室气体盘查表!AH29</f>
        <v>0</v>
      </c>
      <c r="J43" s="464">
        <f>表1温室气体盘查表!AI29</f>
        <v>0</v>
      </c>
      <c r="K43" s="464">
        <f>表1温室气体盘查表!AJ29</f>
        <v>0</v>
      </c>
      <c r="L43" s="464">
        <f>表1温室气体盘查表!AK29</f>
        <v>0</v>
      </c>
      <c r="M43" s="464">
        <f>表1温室气体盘查表!AL29</f>
        <v>0</v>
      </c>
    </row>
    <row r="44" spans="1:14" s="391" customFormat="1" ht="25.15" customHeight="1">
      <c r="A44" s="401"/>
      <c r="B44" s="609" t="s">
        <v>66</v>
      </c>
      <c r="C44" s="610"/>
      <c r="D44" s="611"/>
      <c r="E44" s="469"/>
      <c r="F44" s="470"/>
      <c r="G44" s="470"/>
      <c r="H44" s="470"/>
      <c r="I44" s="470"/>
      <c r="J44" s="470"/>
      <c r="K44" s="470"/>
      <c r="L44" s="470"/>
      <c r="M44" s="470"/>
    </row>
    <row r="45" spans="1:14" s="391" customFormat="1" ht="25.15" customHeight="1">
      <c r="A45" s="401"/>
      <c r="B45" s="471">
        <v>2.1</v>
      </c>
      <c r="C45" s="463" t="str">
        <f>表1温室气体盘查表!C30</f>
        <v>外购电力（基于位置）</v>
      </c>
      <c r="D45" s="463" t="str">
        <f>表1温室气体盘查表!D30</f>
        <v>用电设备</v>
      </c>
      <c r="E45" s="472"/>
      <c r="F45" s="464">
        <f>SUM(G45:M45)</f>
        <v>1043611.0503979999</v>
      </c>
      <c r="G45" s="473">
        <f>表1温室气体盘查表!AF30</f>
        <v>1043611.0503979999</v>
      </c>
      <c r="H45" s="473">
        <f>表1温室气体盘查表!AG30</f>
        <v>0</v>
      </c>
      <c r="I45" s="473">
        <f>表1温室气体盘查表!AH30</f>
        <v>0</v>
      </c>
      <c r="J45" s="473">
        <f>表1温室气体盘查表!AI30</f>
        <v>0</v>
      </c>
      <c r="K45" s="473">
        <f>表1温室气体盘查表!AJ30</f>
        <v>0</v>
      </c>
      <c r="L45" s="473">
        <f>表1温室气体盘查表!AK30</f>
        <v>0</v>
      </c>
      <c r="M45" s="473">
        <f>表1温室气体盘查表!AL30</f>
        <v>0</v>
      </c>
    </row>
    <row r="46" spans="1:14" s="391" customFormat="1" ht="25.15" customHeight="1">
      <c r="A46" s="448"/>
      <c r="B46" s="471">
        <v>2.2000000000000002</v>
      </c>
      <c r="C46" s="463" t="str">
        <f>表1温室气体盘查表!C31</f>
        <v>外购电力（基于市场）</v>
      </c>
      <c r="D46" s="463" t="str">
        <f>表1温室气体盘查表!D31</f>
        <v>用电设备</v>
      </c>
      <c r="E46" s="474"/>
      <c r="F46" s="464">
        <f>SUM(G46:M46)</f>
        <v>1186800.2659680001</v>
      </c>
      <c r="G46" s="473">
        <f>表1温室气体盘查表!AF31</f>
        <v>1186800.2659680001</v>
      </c>
      <c r="H46" s="473">
        <f>表1温室气体盘查表!AG31</f>
        <v>0</v>
      </c>
      <c r="I46" s="473">
        <f>表1温室气体盘查表!AH31</f>
        <v>0</v>
      </c>
      <c r="J46" s="473">
        <f>表1温室气体盘查表!AI31</f>
        <v>0</v>
      </c>
      <c r="K46" s="473">
        <f>表1温室气体盘查表!AJ31</f>
        <v>0</v>
      </c>
      <c r="L46" s="473">
        <f>表1温室气体盘查表!AK31</f>
        <v>0</v>
      </c>
      <c r="M46" s="473">
        <f>表1温室气体盘查表!AL31</f>
        <v>0</v>
      </c>
      <c r="N46" s="451"/>
    </row>
    <row r="47" spans="1:14" s="391" customFormat="1" ht="25.15" customHeight="1">
      <c r="A47" s="448"/>
      <c r="B47" s="475"/>
      <c r="C47" s="476"/>
      <c r="D47" s="476"/>
      <c r="E47" s="474"/>
      <c r="F47" s="477"/>
      <c r="G47" s="478"/>
      <c r="H47" s="478"/>
      <c r="I47" s="478"/>
      <c r="J47" s="478"/>
      <c r="K47" s="478"/>
      <c r="L47" s="478"/>
      <c r="M47" s="478"/>
      <c r="N47" s="451"/>
    </row>
    <row r="48" spans="1:14" s="391" customFormat="1" ht="25.15" customHeight="1">
      <c r="A48" s="448"/>
      <c r="B48" s="479" t="s">
        <v>67</v>
      </c>
      <c r="C48" s="480" t="s">
        <v>68</v>
      </c>
      <c r="D48" s="481"/>
      <c r="E48" s="482"/>
      <c r="F48" s="483">
        <f>SUM(G48:M48)</f>
        <v>2179317.5099891252</v>
      </c>
      <c r="G48" s="483">
        <f>SUM(G49:G72)</f>
        <v>2179317.5099891252</v>
      </c>
      <c r="H48" s="483">
        <f t="shared" ref="H48:M48" si="9">SUM(H49:H65)</f>
        <v>0</v>
      </c>
      <c r="I48" s="483">
        <f t="shared" si="9"/>
        <v>0</v>
      </c>
      <c r="J48" s="483">
        <f t="shared" si="9"/>
        <v>0</v>
      </c>
      <c r="K48" s="483">
        <f t="shared" si="9"/>
        <v>0</v>
      </c>
      <c r="L48" s="483">
        <f t="shared" si="9"/>
        <v>0</v>
      </c>
      <c r="M48" s="483">
        <f t="shared" si="9"/>
        <v>0</v>
      </c>
      <c r="N48" s="451"/>
    </row>
    <row r="49" spans="1:14" s="393" customFormat="1" ht="25.15" customHeight="1">
      <c r="A49" s="394"/>
      <c r="B49" s="484" t="s">
        <v>69</v>
      </c>
      <c r="C49" s="485" t="str">
        <f>表1温室气体盘查表!C32</f>
        <v>铁矿石生产</v>
      </c>
      <c r="D49" s="486" t="str">
        <f>表1温室气体盘查表!D32</f>
        <v>烧结</v>
      </c>
      <c r="E49" s="487"/>
      <c r="F49" s="464">
        <f>表1温室气体盘查表!AM32</f>
        <v>479835.37134729006</v>
      </c>
      <c r="G49" s="473">
        <f>表1温室气体盘查表!AF32</f>
        <v>479835.37134729006</v>
      </c>
      <c r="H49" s="473">
        <f>表1温室气体盘查表!AG32</f>
        <v>0</v>
      </c>
      <c r="I49" s="473">
        <f>表1温室气体盘查表!AH32</f>
        <v>0</v>
      </c>
      <c r="J49" s="473">
        <f>表1温室气体盘查表!AI32</f>
        <v>0</v>
      </c>
      <c r="K49" s="473">
        <f>表1温室气体盘查表!AJ32</f>
        <v>0</v>
      </c>
      <c r="L49" s="473">
        <f>表1温室气体盘查表!AK32</f>
        <v>0</v>
      </c>
      <c r="M49" s="473">
        <f>表1温室气体盘查表!AL32</f>
        <v>0</v>
      </c>
      <c r="N49" s="394"/>
    </row>
    <row r="50" spans="1:14" s="393" customFormat="1" ht="25.15" customHeight="1">
      <c r="A50" s="394"/>
      <c r="B50" s="484" t="s">
        <v>70</v>
      </c>
      <c r="C50" s="485" t="str">
        <f>表1温室气体盘查表!C33</f>
        <v>生石灰生产</v>
      </c>
      <c r="D50" s="486" t="str">
        <f>表1温室气体盘查表!D33</f>
        <v>烧结、转炉、电炉</v>
      </c>
      <c r="E50" s="394"/>
      <c r="F50" s="464">
        <f>表1温室气体盘查表!AM33</f>
        <v>236961.26162730961</v>
      </c>
      <c r="G50" s="473">
        <f>表1温室气体盘查表!AF33</f>
        <v>236961.26162730961</v>
      </c>
      <c r="H50" s="473">
        <f>表1温室气体盘查表!AG33</f>
        <v>0</v>
      </c>
      <c r="I50" s="473">
        <f>表1温室气体盘查表!AH33</f>
        <v>0</v>
      </c>
      <c r="J50" s="473">
        <f>表1温室气体盘查表!AI33</f>
        <v>0</v>
      </c>
      <c r="K50" s="473">
        <f>表1温室气体盘查表!AJ33</f>
        <v>0</v>
      </c>
      <c r="L50" s="473">
        <f>表1温室气体盘查表!AK33</f>
        <v>0</v>
      </c>
      <c r="M50" s="473">
        <f>表1温室气体盘查表!AL33</f>
        <v>0</v>
      </c>
      <c r="N50" s="394"/>
    </row>
    <row r="51" spans="1:14" s="393" customFormat="1" ht="25.15" customHeight="1">
      <c r="A51" s="394"/>
      <c r="B51" s="484" t="s">
        <v>71</v>
      </c>
      <c r="C51" s="485" t="str">
        <f>表1温室气体盘查表!C34</f>
        <v>白云石生产</v>
      </c>
      <c r="D51" s="486" t="str">
        <f>表1温室气体盘查表!D34</f>
        <v>烧结、转炉、电炉</v>
      </c>
      <c r="E51" s="394"/>
      <c r="F51" s="464">
        <f>表1温室气体盘查表!AM34</f>
        <v>5039.7894184999996</v>
      </c>
      <c r="G51" s="473">
        <f>表1温室气体盘查表!AF34</f>
        <v>5039.7894184999996</v>
      </c>
      <c r="H51" s="473">
        <f>表1温室气体盘查表!AG34</f>
        <v>0</v>
      </c>
      <c r="I51" s="473">
        <f>表1温室气体盘查表!AH34</f>
        <v>0</v>
      </c>
      <c r="J51" s="473">
        <f>表1温室气体盘查表!AI34</f>
        <v>0</v>
      </c>
      <c r="K51" s="473">
        <f>表1温室气体盘查表!AJ34</f>
        <v>0</v>
      </c>
      <c r="L51" s="473">
        <f>表1温室气体盘查表!AK34</f>
        <v>0</v>
      </c>
      <c r="M51" s="473">
        <f>表1温室气体盘查表!AL34</f>
        <v>0</v>
      </c>
      <c r="N51" s="394"/>
    </row>
    <row r="52" spans="1:14" s="393" customFormat="1" ht="25.15" customHeight="1">
      <c r="A52" s="394"/>
      <c r="B52" s="484" t="s">
        <v>72</v>
      </c>
      <c r="C52" s="485" t="str">
        <f>表1温室气体盘查表!C35</f>
        <v>球团生产</v>
      </c>
      <c r="D52" s="486" t="str">
        <f>表1温室气体盘查表!D36</f>
        <v>转炉、电炉</v>
      </c>
      <c r="E52" s="487"/>
      <c r="F52" s="464">
        <f>表1温室气体盘查表!AM35</f>
        <v>71241.081749399993</v>
      </c>
      <c r="G52" s="473">
        <f>表1温室气体盘查表!AF35</f>
        <v>71241.081749399993</v>
      </c>
      <c r="H52" s="473">
        <f>表1温室气体盘查表!AG35</f>
        <v>0</v>
      </c>
      <c r="I52" s="473">
        <f>表1温室气体盘查表!AH35</f>
        <v>0</v>
      </c>
      <c r="J52" s="473">
        <f>表1温室气体盘查表!AI35</f>
        <v>0</v>
      </c>
      <c r="K52" s="473">
        <f>表1温室气体盘查表!AJ35</f>
        <v>0</v>
      </c>
      <c r="L52" s="473">
        <f>表1温室气体盘查表!AK35</f>
        <v>0</v>
      </c>
      <c r="M52" s="473">
        <f>表1温室气体盘查表!AL35</f>
        <v>0</v>
      </c>
      <c r="N52" s="394"/>
    </row>
    <row r="53" spans="1:14" s="393" customFormat="1" ht="25.15" customHeight="1">
      <c r="A53" s="394"/>
      <c r="B53" s="484" t="s">
        <v>73</v>
      </c>
      <c r="C53" s="485" t="str">
        <f>表1温室气体盘查表!C36</f>
        <v>废钢生产</v>
      </c>
      <c r="D53" s="486" t="str">
        <f>表1温室气体盘查表!D37</f>
        <v>转炉、电炉</v>
      </c>
      <c r="E53" s="487"/>
      <c r="F53" s="464">
        <f>表1温室气体盘查表!AM36</f>
        <v>83051.970043139983</v>
      </c>
      <c r="G53" s="473">
        <f>表1温室气体盘查表!AF36</f>
        <v>83051.970043139983</v>
      </c>
      <c r="H53" s="473">
        <f>表1温室气体盘查表!AG36</f>
        <v>0</v>
      </c>
      <c r="I53" s="473">
        <f>表1温室气体盘查表!AH36</f>
        <v>0</v>
      </c>
      <c r="J53" s="473">
        <f>表1温室气体盘查表!AI36</f>
        <v>0</v>
      </c>
      <c r="K53" s="473">
        <f>表1温室气体盘查表!AJ36</f>
        <v>0</v>
      </c>
      <c r="L53" s="473">
        <f>表1温室气体盘查表!AK36</f>
        <v>0</v>
      </c>
      <c r="M53" s="473">
        <f>表1温室气体盘查表!AL36</f>
        <v>0</v>
      </c>
      <c r="N53" s="394"/>
    </row>
    <row r="54" spans="1:14" s="393" customFormat="1" ht="25.15" customHeight="1">
      <c r="A54" s="394"/>
      <c r="B54" s="484" t="s">
        <v>74</v>
      </c>
      <c r="C54" s="485" t="str">
        <f>表1温室气体盘查表!C37</f>
        <v>电极生产</v>
      </c>
      <c r="D54" s="486" t="str">
        <f>表1温室气体盘查表!D38</f>
        <v>转炉、电炉</v>
      </c>
      <c r="E54" s="487"/>
      <c r="F54" s="464">
        <f>表1温室气体盘查表!AM37</f>
        <v>60962.024357421578</v>
      </c>
      <c r="G54" s="473">
        <f>表1温室气体盘查表!AF37</f>
        <v>60962.024357421578</v>
      </c>
      <c r="H54" s="473">
        <f>表1温室气体盘查表!AG37</f>
        <v>0</v>
      </c>
      <c r="I54" s="473">
        <f>表1温室气体盘查表!AH37</f>
        <v>0</v>
      </c>
      <c r="J54" s="473">
        <f>表1温室气体盘查表!AI37</f>
        <v>0</v>
      </c>
      <c r="K54" s="473">
        <f>表1温室气体盘查表!AJ37</f>
        <v>0</v>
      </c>
      <c r="L54" s="473">
        <f>表1温室气体盘查表!AK37</f>
        <v>0</v>
      </c>
      <c r="M54" s="473">
        <f>表1温室气体盘查表!AL37</f>
        <v>0</v>
      </c>
      <c r="N54" s="394"/>
    </row>
    <row r="55" spans="1:14" s="393" customFormat="1" ht="25.15" customHeight="1">
      <c r="A55" s="394"/>
      <c r="B55" s="484" t="s">
        <v>75</v>
      </c>
      <c r="C55" s="485" t="str">
        <f>表1温室气体盘查表!C38</f>
        <v>锰铁生产</v>
      </c>
      <c r="D55" s="486" t="str">
        <f>表1温室气体盘查表!D39</f>
        <v>转炉、电炉</v>
      </c>
      <c r="E55" s="487"/>
      <c r="F55" s="464">
        <f>表1温室气体盘查表!AM38</f>
        <v>123503.69372399998</v>
      </c>
      <c r="G55" s="473">
        <f>表1温室气体盘查表!AF38</f>
        <v>123503.69372399998</v>
      </c>
      <c r="H55" s="473">
        <f>表1温室气体盘查表!AG38</f>
        <v>0</v>
      </c>
      <c r="I55" s="473">
        <f>表1温室气体盘查表!AH38</f>
        <v>0</v>
      </c>
      <c r="J55" s="473">
        <f>表1温室气体盘查表!AI38</f>
        <v>0</v>
      </c>
      <c r="K55" s="473">
        <f>表1温室气体盘查表!AJ38</f>
        <v>0</v>
      </c>
      <c r="L55" s="473">
        <f>表1温室气体盘查表!AK38</f>
        <v>0</v>
      </c>
      <c r="M55" s="473">
        <f>表1温室气体盘查表!AL38</f>
        <v>0</v>
      </c>
      <c r="N55" s="394"/>
    </row>
    <row r="56" spans="1:14" s="393" customFormat="1" ht="25.15" customHeight="1">
      <c r="A56" s="394"/>
      <c r="B56" s="484" t="s">
        <v>76</v>
      </c>
      <c r="C56" s="485" t="str">
        <f>表1温室气体盘查表!C39</f>
        <v>镍铁生产</v>
      </c>
      <c r="D56" s="486" t="str">
        <f>表1温室气体盘查表!D40</f>
        <v>转炉、电炉</v>
      </c>
      <c r="E56" s="487"/>
      <c r="F56" s="464">
        <f>表1温室气体盘查表!AM39</f>
        <v>87049.733040000006</v>
      </c>
      <c r="G56" s="473">
        <f>表1温室气体盘查表!AF39</f>
        <v>87049.733040000006</v>
      </c>
      <c r="H56" s="473">
        <f>表1温室气体盘查表!AG39</f>
        <v>0</v>
      </c>
      <c r="I56" s="473">
        <f>表1温室气体盘查表!AH39</f>
        <v>0</v>
      </c>
      <c r="J56" s="473">
        <f>表1温室气体盘查表!AI39</f>
        <v>0</v>
      </c>
      <c r="K56" s="473">
        <f>表1温室气体盘查表!AJ39</f>
        <v>0</v>
      </c>
      <c r="L56" s="473">
        <f>表1温室气体盘查表!AK39</f>
        <v>0</v>
      </c>
      <c r="M56" s="473">
        <f>表1温室气体盘查表!AL39</f>
        <v>0</v>
      </c>
      <c r="N56" s="394"/>
    </row>
    <row r="57" spans="1:14" s="393" customFormat="1" ht="25.15" customHeight="1">
      <c r="A57" s="394"/>
      <c r="B57" s="484" t="s">
        <v>77</v>
      </c>
      <c r="C57" s="485" t="str">
        <f>表1温室气体盘查表!C40</f>
        <v>铬铁生产</v>
      </c>
      <c r="D57" s="486" t="str">
        <f>表1温室气体盘查表!D41</f>
        <v>转炉、电炉</v>
      </c>
      <c r="E57" s="487"/>
      <c r="F57" s="464">
        <f>表1温室气体盘查表!AM40</f>
        <v>204743.81877300001</v>
      </c>
      <c r="G57" s="473">
        <f>表1温室气体盘查表!AF40</f>
        <v>204743.81877300001</v>
      </c>
      <c r="H57" s="473">
        <f>表1温室气体盘查表!AG40</f>
        <v>0</v>
      </c>
      <c r="I57" s="473">
        <f>表1温室气体盘查表!AH40</f>
        <v>0</v>
      </c>
      <c r="J57" s="473">
        <f>表1温室气体盘查表!AI40</f>
        <v>0</v>
      </c>
      <c r="K57" s="473">
        <f>表1温室气体盘查表!AJ40</f>
        <v>0</v>
      </c>
      <c r="L57" s="473">
        <f>表1温室气体盘查表!AK40</f>
        <v>0</v>
      </c>
      <c r="M57" s="473">
        <f>表1温室气体盘查表!AL40</f>
        <v>0</v>
      </c>
      <c r="N57" s="394"/>
    </row>
    <row r="58" spans="1:14" s="393" customFormat="1" ht="25.15" customHeight="1">
      <c r="A58" s="394"/>
      <c r="B58" s="484" t="s">
        <v>78</v>
      </c>
      <c r="C58" s="485" t="str">
        <f>表1温室气体盘查表!C41</f>
        <v>萤石生产</v>
      </c>
      <c r="D58" s="486" t="str">
        <f>表1温室气体盘查表!D42</f>
        <v>转炉、电炉</v>
      </c>
      <c r="E58" s="487"/>
      <c r="F58" s="464">
        <f>表1温室气体盘查表!AM41</f>
        <v>88473.440132599993</v>
      </c>
      <c r="G58" s="473">
        <f>表1温室气体盘查表!AF41</f>
        <v>88473.440132599993</v>
      </c>
      <c r="H58" s="473">
        <f>表1温室气体盘查表!AG41</f>
        <v>0</v>
      </c>
      <c r="I58" s="473">
        <f>表1温室气体盘查表!AH41</f>
        <v>0</v>
      </c>
      <c r="J58" s="473">
        <f>表1温室气体盘查表!AI41</f>
        <v>0</v>
      </c>
      <c r="K58" s="473">
        <f>表1温室气体盘查表!AJ41</f>
        <v>0</v>
      </c>
      <c r="L58" s="473">
        <f>表1温室气体盘查表!AK41</f>
        <v>0</v>
      </c>
      <c r="M58" s="473">
        <f>表1温室气体盘查表!AL41</f>
        <v>0</v>
      </c>
      <c r="N58" s="394"/>
    </row>
    <row r="59" spans="1:14" s="393" customFormat="1" ht="25.15" customHeight="1">
      <c r="A59" s="394"/>
      <c r="B59" s="484" t="s">
        <v>79</v>
      </c>
      <c r="C59" s="485" t="str">
        <f>表1温室气体盘查表!C42</f>
        <v>硅铁生产</v>
      </c>
      <c r="D59" s="486" t="str">
        <f>表1温室气体盘查表!D43</f>
        <v>转炉、电炉</v>
      </c>
      <c r="E59" s="487"/>
      <c r="F59" s="464">
        <f>表1温室气体盘查表!AM42</f>
        <v>149088.58665000001</v>
      </c>
      <c r="G59" s="473">
        <f>表1温室气体盘查表!AF42</f>
        <v>149088.58665000001</v>
      </c>
      <c r="H59" s="473">
        <f>表1温室气体盘查表!AG42</f>
        <v>0</v>
      </c>
      <c r="I59" s="473">
        <f>表1温室气体盘查表!AH42</f>
        <v>0</v>
      </c>
      <c r="J59" s="473">
        <f>表1温室气体盘查表!AI42</f>
        <v>0</v>
      </c>
      <c r="K59" s="473">
        <f>表1温室气体盘查表!AJ42</f>
        <v>0</v>
      </c>
      <c r="L59" s="473">
        <f>表1温室气体盘查表!AK42</f>
        <v>0</v>
      </c>
      <c r="M59" s="473">
        <f>表1温室气体盘查表!AL42</f>
        <v>0</v>
      </c>
      <c r="N59" s="394"/>
    </row>
    <row r="60" spans="1:14" s="393" customFormat="1" ht="25.15" customHeight="1">
      <c r="A60" s="394"/>
      <c r="B60" s="484" t="s">
        <v>80</v>
      </c>
      <c r="C60" s="485" t="str">
        <f>表1温室气体盘查表!C43</f>
        <v>钼铁生产</v>
      </c>
      <c r="D60" s="486" t="str">
        <f>表1温室气体盘查表!D44</f>
        <v>转炉、电炉</v>
      </c>
      <c r="E60" s="487"/>
      <c r="F60" s="464">
        <f>表1温室气体盘查表!AM43</f>
        <v>58876.631999999998</v>
      </c>
      <c r="G60" s="473">
        <f>表1温室气体盘查表!AF43</f>
        <v>58876.631999999998</v>
      </c>
      <c r="H60" s="473">
        <f>表1温室气体盘查表!AG43</f>
        <v>0</v>
      </c>
      <c r="I60" s="473">
        <f>表1温室气体盘查表!AH43</f>
        <v>0</v>
      </c>
      <c r="J60" s="473">
        <f>表1温室气体盘查表!AI43</f>
        <v>0</v>
      </c>
      <c r="K60" s="473">
        <f>表1温室气体盘查表!AJ43</f>
        <v>0</v>
      </c>
      <c r="L60" s="473">
        <f>表1温室气体盘查表!AK43</f>
        <v>0</v>
      </c>
      <c r="M60" s="473">
        <f>表1温室气体盘查表!AL43</f>
        <v>0</v>
      </c>
      <c r="N60" s="394"/>
    </row>
    <row r="61" spans="1:14" s="393" customFormat="1" ht="25.15" customHeight="1">
      <c r="A61" s="394"/>
      <c r="B61" s="484" t="s">
        <v>81</v>
      </c>
      <c r="C61" s="485" t="str">
        <f>表1温室气体盘查表!C44</f>
        <v>铝铁生产</v>
      </c>
      <c r="D61" s="486" t="str">
        <f>表1温室气体盘查表!D45</f>
        <v>转炉、电炉</v>
      </c>
      <c r="E61" s="487"/>
      <c r="F61" s="464">
        <f>表1温室气体盘查表!AM44</f>
        <v>13585.604688791962</v>
      </c>
      <c r="G61" s="473">
        <f>表1温室气体盘查表!AF44</f>
        <v>13585.604688791962</v>
      </c>
      <c r="H61" s="473">
        <f>表1温室气体盘查表!AG44</f>
        <v>0</v>
      </c>
      <c r="I61" s="473">
        <f>表1温室气体盘查表!AH44</f>
        <v>0</v>
      </c>
      <c r="J61" s="473">
        <f>表1温室气体盘查表!AI44</f>
        <v>0</v>
      </c>
      <c r="K61" s="473">
        <f>表1温室气体盘查表!AJ44</f>
        <v>0</v>
      </c>
      <c r="L61" s="473">
        <f>表1温室气体盘查表!AK44</f>
        <v>0</v>
      </c>
      <c r="M61" s="473">
        <f>表1温室气体盘查表!AL44</f>
        <v>0</v>
      </c>
      <c r="N61" s="394"/>
    </row>
    <row r="62" spans="1:14" s="393" customFormat="1" ht="25.15" customHeight="1">
      <c r="A62" s="394"/>
      <c r="B62" s="484" t="s">
        <v>82</v>
      </c>
      <c r="C62" s="485" t="str">
        <f>表1温室气体盘查表!C45</f>
        <v>铝生产</v>
      </c>
      <c r="D62" s="486" t="str">
        <f>表1温室气体盘查表!D46</f>
        <v>转炉、电炉</v>
      </c>
      <c r="E62" s="487"/>
      <c r="F62" s="464">
        <f>表1温室气体盘查表!AM45</f>
        <v>165810.56564347973</v>
      </c>
      <c r="G62" s="473">
        <f>表1温室气体盘查表!AF45</f>
        <v>165810.56564347973</v>
      </c>
      <c r="H62" s="473">
        <f>表1温室气体盘查表!AG45</f>
        <v>0</v>
      </c>
      <c r="I62" s="473">
        <f>表1温室气体盘查表!AH45</f>
        <v>0</v>
      </c>
      <c r="J62" s="473">
        <f>表1温室气体盘查表!AI45</f>
        <v>0</v>
      </c>
      <c r="K62" s="473">
        <f>表1温室气体盘查表!AJ45</f>
        <v>0</v>
      </c>
      <c r="L62" s="473">
        <f>表1温室气体盘查表!AK45</f>
        <v>0</v>
      </c>
      <c r="M62" s="473">
        <f>表1温室气体盘查表!AL45</f>
        <v>0</v>
      </c>
      <c r="N62" s="394"/>
    </row>
    <row r="63" spans="1:14" s="393" customFormat="1" ht="25.15" customHeight="1">
      <c r="A63" s="394"/>
      <c r="B63" s="484" t="s">
        <v>83</v>
      </c>
      <c r="C63" s="485" t="str">
        <f>表1温室气体盘查表!C46</f>
        <v>增碳剂生产</v>
      </c>
      <c r="D63" s="486" t="str">
        <f>表1温室气体盘查表!D46</f>
        <v>转炉、电炉</v>
      </c>
      <c r="E63" s="487"/>
      <c r="F63" s="464">
        <f>表1温室气体盘查表!AM46</f>
        <v>14447.768081031645</v>
      </c>
      <c r="G63" s="473">
        <f>表1温室气体盘查表!AF46</f>
        <v>14447.768081031645</v>
      </c>
      <c r="H63" s="473">
        <f>表1温室气体盘查表!AG46</f>
        <v>0</v>
      </c>
      <c r="I63" s="473">
        <f>表1温室气体盘查表!AH46</f>
        <v>0</v>
      </c>
      <c r="J63" s="473">
        <f>表1温室气体盘查表!AI46</f>
        <v>0</v>
      </c>
      <c r="K63" s="473">
        <f>表1温室气体盘查表!AJ46</f>
        <v>0</v>
      </c>
      <c r="L63" s="473">
        <f>表1温室气体盘查表!AK46</f>
        <v>0</v>
      </c>
      <c r="M63" s="473">
        <f>表1温室气体盘查表!AL46</f>
        <v>0</v>
      </c>
      <c r="N63" s="394"/>
    </row>
    <row r="64" spans="1:14" s="393" customFormat="1" ht="25.15" customHeight="1">
      <c r="A64" s="394"/>
      <c r="B64" s="484" t="s">
        <v>84</v>
      </c>
      <c r="C64" s="485" t="str">
        <f>表1温室气体盘查表!C47</f>
        <v>铁鳞生产</v>
      </c>
      <c r="D64" s="486" t="str">
        <f>表1温室气体盘查表!D47</f>
        <v>炼钢</v>
      </c>
      <c r="E64" s="487"/>
      <c r="F64" s="464">
        <f>表1温室气体盘查表!AM47</f>
        <v>29.192523942209355</v>
      </c>
      <c r="G64" s="473">
        <f>表1温室气体盘查表!AF47</f>
        <v>29.192523942209355</v>
      </c>
      <c r="H64" s="473">
        <f>表1温室气体盘查表!AG47</f>
        <v>0</v>
      </c>
      <c r="I64" s="473">
        <f>表1温室气体盘查表!AH47</f>
        <v>0</v>
      </c>
      <c r="J64" s="473">
        <f>表1温室气体盘查表!AI47</f>
        <v>0</v>
      </c>
      <c r="K64" s="473">
        <f>表1温室气体盘查表!AJ47</f>
        <v>0</v>
      </c>
      <c r="L64" s="473">
        <f>表1温室气体盘查表!AK47</f>
        <v>0</v>
      </c>
      <c r="M64" s="473">
        <f>表1温室气体盘查表!AL47</f>
        <v>0</v>
      </c>
      <c r="N64" s="394"/>
    </row>
    <row r="65" spans="1:14" s="393" customFormat="1" ht="25.15" customHeight="1">
      <c r="A65" s="394"/>
      <c r="B65" s="484" t="s">
        <v>85</v>
      </c>
      <c r="C65" s="485" t="str">
        <f>表1温室气体盘查表!C48</f>
        <v>氨水生产</v>
      </c>
      <c r="D65" s="486" t="str">
        <f>表1温室气体盘查表!D48</f>
        <v>烧结</v>
      </c>
      <c r="E65" s="487"/>
      <c r="F65" s="464">
        <f>表1温室气体盘查表!AM48</f>
        <v>26510.816290815455</v>
      </c>
      <c r="G65" s="473">
        <f>表1温室气体盘查表!AF48</f>
        <v>26510.816290815455</v>
      </c>
      <c r="H65" s="473">
        <f>表1温室气体盘查表!AG48</f>
        <v>0</v>
      </c>
      <c r="I65" s="473">
        <f>表1温室气体盘查表!AH48</f>
        <v>0</v>
      </c>
      <c r="J65" s="473">
        <f>表1温室气体盘查表!AI48</f>
        <v>0</v>
      </c>
      <c r="K65" s="473">
        <f>表1温室气体盘查表!AJ48</f>
        <v>0</v>
      </c>
      <c r="L65" s="473">
        <f>表1温室气体盘查表!AK48</f>
        <v>0</v>
      </c>
      <c r="M65" s="473">
        <f>表1温室气体盘查表!AL48</f>
        <v>0</v>
      </c>
      <c r="N65" s="394"/>
    </row>
    <row r="66" spans="1:14" s="393" customFormat="1" ht="25.15" customHeight="1">
      <c r="A66" s="394"/>
      <c r="B66" s="484" t="s">
        <v>86</v>
      </c>
      <c r="C66" s="485" t="str">
        <f>表1温室气体盘查表!C49</f>
        <v>盐酸生产</v>
      </c>
      <c r="D66" s="486" t="str">
        <f>表1温室气体盘查表!D49</f>
        <v>焦化</v>
      </c>
      <c r="E66" s="487"/>
      <c r="F66" s="464">
        <f>表1温室气体盘查表!AM49</f>
        <v>2.1173455277962305</v>
      </c>
      <c r="G66" s="473">
        <f>表1温室气体盘查表!AF49</f>
        <v>2.1173455277962305</v>
      </c>
      <c r="H66" s="473">
        <f>表1温室气体盘查表!AG49</f>
        <v>0</v>
      </c>
      <c r="I66" s="473">
        <f>表1温室气体盘查表!AH49</f>
        <v>0</v>
      </c>
      <c r="J66" s="473">
        <f>表1温室气体盘查表!AI49</f>
        <v>0</v>
      </c>
      <c r="K66" s="473">
        <f>表1温室气体盘查表!AJ49</f>
        <v>0</v>
      </c>
      <c r="L66" s="473">
        <f>表1温室气体盘查表!AK49</f>
        <v>0</v>
      </c>
      <c r="M66" s="473">
        <f>表1温室气体盘查表!AL49</f>
        <v>0</v>
      </c>
      <c r="N66" s="394"/>
    </row>
    <row r="67" spans="1:14" s="393" customFormat="1" ht="25.15" customHeight="1">
      <c r="A67" s="394"/>
      <c r="B67" s="484" t="s">
        <v>87</v>
      </c>
      <c r="C67" s="485" t="str">
        <f>表1温室气体盘查表!C50</f>
        <v>氢氧化钠生产</v>
      </c>
      <c r="D67" s="486" t="str">
        <f>表1温室气体盘查表!D50</f>
        <v>焦化</v>
      </c>
      <c r="E67" s="487"/>
      <c r="F67" s="464">
        <f>表1温室气体盘查表!AM50</f>
        <v>3.2806275245320866</v>
      </c>
      <c r="G67" s="473">
        <f>表1温室气体盘查表!AF50</f>
        <v>3.2806275245320866</v>
      </c>
      <c r="H67" s="473">
        <f>表1温室气体盘查表!AG50</f>
        <v>0</v>
      </c>
      <c r="I67" s="473">
        <f>表1温室气体盘查表!AH50</f>
        <v>0</v>
      </c>
      <c r="J67" s="473">
        <f>表1温室气体盘查表!AI50</f>
        <v>0</v>
      </c>
      <c r="K67" s="473">
        <f>表1温室气体盘查表!AJ50</f>
        <v>0</v>
      </c>
      <c r="L67" s="473">
        <f>表1温室气体盘查表!AK50</f>
        <v>0</v>
      </c>
      <c r="M67" s="473">
        <f>表1温室气体盘查表!AL50</f>
        <v>0</v>
      </c>
      <c r="N67" s="394"/>
    </row>
    <row r="68" spans="1:14" s="393" customFormat="1" ht="25.15" customHeight="1">
      <c r="A68" s="394"/>
      <c r="B68" s="484" t="s">
        <v>88</v>
      </c>
      <c r="C68" s="485" t="str">
        <f>表1温室气体盘查表!C51</f>
        <v>碳化硅生产</v>
      </c>
      <c r="D68" s="486" t="str">
        <f>表1温室气体盘查表!D51</f>
        <v>-</v>
      </c>
      <c r="E68" s="487"/>
      <c r="F68" s="464">
        <f>表1温室气体盘查表!AM51</f>
        <v>26760.682458681189</v>
      </c>
      <c r="G68" s="473">
        <f>表1温室气体盘查表!AF51</f>
        <v>26760.682458681189</v>
      </c>
      <c r="H68" s="473">
        <f>表1温室气体盘查表!AG51</f>
        <v>0</v>
      </c>
      <c r="I68" s="473">
        <f>表1温室气体盘查表!AH51</f>
        <v>0</v>
      </c>
      <c r="J68" s="473">
        <f>表1温室气体盘查表!AI51</f>
        <v>0</v>
      </c>
      <c r="K68" s="473">
        <f>表1温室气体盘查表!AJ51</f>
        <v>0</v>
      </c>
      <c r="L68" s="473">
        <f>表1温室气体盘查表!AK51</f>
        <v>0</v>
      </c>
      <c r="M68" s="473">
        <f>表1温室气体盘查表!AL51</f>
        <v>0</v>
      </c>
      <c r="N68" s="394"/>
    </row>
    <row r="69" spans="1:14" s="393" customFormat="1" ht="25.15" customHeight="1">
      <c r="A69" s="394"/>
      <c r="B69" s="484" t="s">
        <v>89</v>
      </c>
      <c r="C69" s="485" t="str">
        <f>表1温室气体盘查表!C52</f>
        <v>镁生产</v>
      </c>
      <c r="D69" s="486" t="str">
        <f>表1温室气体盘查表!D52</f>
        <v>-</v>
      </c>
      <c r="E69" s="487"/>
      <c r="F69" s="464">
        <f>表1温室气体盘查表!AM52</f>
        <v>256865.11189706987</v>
      </c>
      <c r="G69" s="473">
        <f>表1温室气体盘查表!AF52</f>
        <v>256865.11189706987</v>
      </c>
      <c r="H69" s="473">
        <f>表1温室气体盘查表!AG52</f>
        <v>0</v>
      </c>
      <c r="I69" s="473">
        <f>表1温室气体盘查表!AH52</f>
        <v>0</v>
      </c>
      <c r="J69" s="473">
        <f>表1温室气体盘查表!AI52</f>
        <v>0</v>
      </c>
      <c r="K69" s="473">
        <f>表1温室气体盘查表!AJ52</f>
        <v>0</v>
      </c>
      <c r="L69" s="473">
        <f>表1温室气体盘查表!AK52</f>
        <v>0</v>
      </c>
      <c r="M69" s="473">
        <f>表1温室气体盘查表!AL52</f>
        <v>0</v>
      </c>
      <c r="N69" s="394"/>
    </row>
    <row r="70" spans="1:14" s="393" customFormat="1" ht="25.15" customHeight="1">
      <c r="A70" s="394"/>
      <c r="B70" s="484" t="s">
        <v>90</v>
      </c>
      <c r="C70" s="485" t="str">
        <f>表1温室气体盘查表!C53</f>
        <v>所有其他纸制品加工制造</v>
      </c>
      <c r="D70" s="486" t="str">
        <f>表1温室气体盘查表!D53</f>
        <v>办公室</v>
      </c>
      <c r="E70" s="487"/>
      <c r="F70" s="464">
        <f>表1温室气体盘查表!AM53</f>
        <v>5.2434718699999996</v>
      </c>
      <c r="G70" s="473">
        <f>表1温室气体盘查表!AF53</f>
        <v>5.2434718699999996</v>
      </c>
      <c r="H70" s="473">
        <f>表1温室气体盘查表!AG53</f>
        <v>0</v>
      </c>
      <c r="I70" s="473">
        <f>表1温室气体盘查表!AH53</f>
        <v>0</v>
      </c>
      <c r="J70" s="473">
        <f>表1温室气体盘查表!AI53</f>
        <v>0</v>
      </c>
      <c r="K70" s="473">
        <f>表1温室气体盘查表!AJ53</f>
        <v>0</v>
      </c>
      <c r="L70" s="473">
        <f>表1温室气体盘查表!AK53</f>
        <v>0</v>
      </c>
      <c r="M70" s="473">
        <f>表1温室气体盘查表!AL53</f>
        <v>0</v>
      </c>
      <c r="N70" s="394"/>
    </row>
    <row r="71" spans="1:14" s="393" customFormat="1" ht="25.15" customHeight="1">
      <c r="A71" s="394"/>
      <c r="B71" s="484" t="s">
        <v>91</v>
      </c>
      <c r="C71" s="485" t="str">
        <f>表1温室气体盘查表!C54</f>
        <v>办公用品(纸张除外)制造</v>
      </c>
      <c r="D71" s="486" t="str">
        <f>表1温室气体盘查表!D54</f>
        <v>办公室</v>
      </c>
      <c r="E71" s="487"/>
      <c r="F71" s="464">
        <f>表1温室气体盘查表!AM54</f>
        <v>72.312582549999988</v>
      </c>
      <c r="G71" s="473">
        <f>表1温室气体盘查表!AF54</f>
        <v>72.312582549999988</v>
      </c>
      <c r="H71" s="473">
        <f>表1温室气体盘查表!AG54</f>
        <v>0</v>
      </c>
      <c r="I71" s="473">
        <f>表1温室气体盘查表!AH54</f>
        <v>0</v>
      </c>
      <c r="J71" s="473">
        <f>表1温室气体盘查表!AI54</f>
        <v>0</v>
      </c>
      <c r="K71" s="473">
        <f>表1温室气体盘查表!AJ54</f>
        <v>0</v>
      </c>
      <c r="L71" s="473">
        <f>表1温室气体盘查表!AK54</f>
        <v>0</v>
      </c>
      <c r="M71" s="473">
        <f>表1温室气体盘查表!AL54</f>
        <v>0</v>
      </c>
      <c r="N71" s="394"/>
    </row>
    <row r="72" spans="1:14" s="393" customFormat="1" ht="25.15" customHeight="1">
      <c r="A72" s="394"/>
      <c r="B72" s="484" t="s">
        <v>92</v>
      </c>
      <c r="C72" s="485" t="str">
        <f>表1温室气体盘查表!C55</f>
        <v>源水</v>
      </c>
      <c r="D72" s="486" t="str">
        <f>表1温室气体盘查表!D55</f>
        <v>水处理工序</v>
      </c>
      <c r="E72" s="487"/>
      <c r="F72" s="464">
        <f>表1温室气体盘查表!AM55</f>
        <v>26397.411515179178</v>
      </c>
      <c r="G72" s="473">
        <f>表1温室气体盘查表!AF55</f>
        <v>26397.411515179178</v>
      </c>
      <c r="H72" s="473">
        <f>表1温室气体盘查表!AG55</f>
        <v>0</v>
      </c>
      <c r="I72" s="473">
        <f>表1温室气体盘查表!AH55</f>
        <v>0</v>
      </c>
      <c r="J72" s="473">
        <f>表1温室气体盘查表!AI55</f>
        <v>0</v>
      </c>
      <c r="K72" s="473">
        <f>表1温室气体盘查表!AJ55</f>
        <v>0</v>
      </c>
      <c r="L72" s="473">
        <f>表1温室气体盘查表!AK55</f>
        <v>0</v>
      </c>
      <c r="M72" s="473">
        <f>表1温室气体盘查表!AL55</f>
        <v>0</v>
      </c>
      <c r="N72" s="394"/>
    </row>
    <row r="73" spans="1:14" s="394" customFormat="1" ht="25.15" customHeight="1">
      <c r="B73" s="488"/>
      <c r="C73" s="487"/>
      <c r="D73" s="489"/>
      <c r="E73" s="487"/>
      <c r="F73" s="477"/>
      <c r="G73" s="478"/>
      <c r="H73" s="478"/>
      <c r="I73" s="478"/>
      <c r="J73" s="478"/>
      <c r="K73" s="478"/>
      <c r="L73" s="478"/>
      <c r="M73" s="478"/>
    </row>
    <row r="74" spans="1:14" s="393" customFormat="1" ht="25.15" customHeight="1">
      <c r="A74" s="394"/>
      <c r="B74" s="479" t="s">
        <v>93</v>
      </c>
      <c r="C74" s="480" t="str">
        <f>表1温室气体盘查表!B56</f>
        <v>资本货物</v>
      </c>
      <c r="D74" s="481"/>
      <c r="E74" s="482"/>
      <c r="F74" s="470">
        <f>SUM(G74:M74)</f>
        <v>46877.218976500008</v>
      </c>
      <c r="G74" s="470">
        <f t="shared" ref="G74:M74" si="10">SUM(G75:G83)</f>
        <v>46877.218976500008</v>
      </c>
      <c r="H74" s="470">
        <f t="shared" si="10"/>
        <v>0</v>
      </c>
      <c r="I74" s="470">
        <f t="shared" si="10"/>
        <v>0</v>
      </c>
      <c r="J74" s="470">
        <f t="shared" si="10"/>
        <v>0</v>
      </c>
      <c r="K74" s="470">
        <f t="shared" si="10"/>
        <v>0</v>
      </c>
      <c r="L74" s="470">
        <f t="shared" si="10"/>
        <v>0</v>
      </c>
      <c r="M74" s="470">
        <f t="shared" si="10"/>
        <v>0</v>
      </c>
      <c r="N74" s="394"/>
    </row>
    <row r="75" spans="1:14" s="393" customFormat="1" ht="32.1" customHeight="1">
      <c r="A75" s="394"/>
      <c r="B75" s="484" t="s">
        <v>94</v>
      </c>
      <c r="C75" s="486" t="str">
        <f>表1温室气体盘查表!C56</f>
        <v>采购产品空调和暖空气加热设备和商业和工业制冷设备制造</v>
      </c>
      <c r="D75" s="486" t="str">
        <f>表1温室气体盘查表!D56</f>
        <v>办公室、各工序</v>
      </c>
      <c r="E75" s="487"/>
      <c r="F75" s="464">
        <f>表1温室气体盘查表!AM56</f>
        <v>120.11822208</v>
      </c>
      <c r="G75" s="464">
        <f>表1温室气体盘查表!AF56</f>
        <v>120.11822208</v>
      </c>
      <c r="H75" s="464">
        <f>表1温室气体盘查表!AG56</f>
        <v>0</v>
      </c>
      <c r="I75" s="464">
        <f>表1温室气体盘查表!AH56</f>
        <v>0</v>
      </c>
      <c r="J75" s="464">
        <f>表1温室气体盘查表!AI56</f>
        <v>0</v>
      </c>
      <c r="K75" s="464">
        <f>表1温室气体盘查表!AJ56</f>
        <v>0</v>
      </c>
      <c r="L75" s="464">
        <f>表1温室气体盘查表!AK56</f>
        <v>0</v>
      </c>
      <c r="M75" s="464">
        <f>表1温室气体盘查表!AL56</f>
        <v>0</v>
      </c>
      <c r="N75" s="394"/>
    </row>
    <row r="76" spans="1:14" s="393" customFormat="1" ht="25.15" customHeight="1">
      <c r="A76" s="394"/>
      <c r="B76" s="484" t="s">
        <v>95</v>
      </c>
      <c r="C76" s="486" t="str">
        <f>表1温室气体盘查表!C57</f>
        <v>电子计算机制造</v>
      </c>
      <c r="D76" s="486" t="str">
        <f>表1温室气体盘查表!D57</f>
        <v>办公室、各工序</v>
      </c>
      <c r="E76" s="487"/>
      <c r="F76" s="464">
        <f>表1温室气体盘查表!AM57</f>
        <v>25.839091060000001</v>
      </c>
      <c r="G76" s="464">
        <f>表1温室气体盘查表!AF57</f>
        <v>25.839091060000001</v>
      </c>
      <c r="H76" s="464">
        <f>表1温室气体盘查表!AG57</f>
        <v>0</v>
      </c>
      <c r="I76" s="464">
        <f>表1温室气体盘查表!AH57</f>
        <v>0</v>
      </c>
      <c r="J76" s="464">
        <f>表1温室气体盘查表!AI57</f>
        <v>0</v>
      </c>
      <c r="K76" s="464">
        <f>表1温室气体盘查表!AJ57</f>
        <v>0</v>
      </c>
      <c r="L76" s="464">
        <f>表1温室气体盘查表!AK57</f>
        <v>0</v>
      </c>
      <c r="M76" s="464">
        <f>表1温室气体盘查表!AL57</f>
        <v>0</v>
      </c>
      <c r="N76" s="394"/>
    </row>
    <row r="77" spans="1:14" s="393" customFormat="1" ht="25.15" customHeight="1">
      <c r="A77" s="394"/>
      <c r="B77" s="484" t="s">
        <v>96</v>
      </c>
      <c r="C77" s="486" t="str">
        <f>表1温室气体盘查表!C58</f>
        <v>其他工业设备制造</v>
      </c>
      <c r="D77" s="486" t="str">
        <f>表1温室气体盘查表!D58</f>
        <v>各工序</v>
      </c>
      <c r="E77" s="487"/>
      <c r="F77" s="464">
        <f>表1温室气体盘查表!AM58</f>
        <v>518.69925190000004</v>
      </c>
      <c r="G77" s="464">
        <f>表1温室气体盘查表!AF58</f>
        <v>518.69925190000004</v>
      </c>
      <c r="H77" s="464">
        <f>表1温室气体盘查表!AG58</f>
        <v>0</v>
      </c>
      <c r="I77" s="464">
        <f>表1温室气体盘查表!AH58</f>
        <v>0</v>
      </c>
      <c r="J77" s="464">
        <f>表1温室气体盘查表!AI58</f>
        <v>0</v>
      </c>
      <c r="K77" s="464">
        <f>表1温室气体盘查表!AJ58</f>
        <v>0</v>
      </c>
      <c r="L77" s="464">
        <f>表1温室气体盘查表!AK58</f>
        <v>0</v>
      </c>
      <c r="M77" s="464">
        <f>表1温室气体盘查表!AL58</f>
        <v>0</v>
      </c>
      <c r="N77" s="394"/>
    </row>
    <row r="78" spans="1:14" s="393" customFormat="1" ht="25.15" customHeight="1">
      <c r="A78" s="394"/>
      <c r="B78" s="484" t="s">
        <v>97</v>
      </c>
      <c r="C78" s="486" t="str">
        <f>表1温室气体盘查表!C59</f>
        <v>测量和测试电力和电气信号的仪器制造</v>
      </c>
      <c r="D78" s="486" t="str">
        <f>表1温室气体盘查表!D59</f>
        <v>各工序</v>
      </c>
      <c r="E78" s="487"/>
      <c r="F78" s="464">
        <f>表1温室气体盘查表!AM59</f>
        <v>220.30499240999998</v>
      </c>
      <c r="G78" s="464">
        <f>表1温室气体盘查表!AF59</f>
        <v>220.30499240999998</v>
      </c>
      <c r="H78" s="464">
        <f>表1温室气体盘查表!AG59</f>
        <v>0</v>
      </c>
      <c r="I78" s="464">
        <f>表1温室气体盘查表!AH59</f>
        <v>0</v>
      </c>
      <c r="J78" s="464">
        <f>表1温室气体盘查表!AI59</f>
        <v>0</v>
      </c>
      <c r="K78" s="464">
        <f>表1温室气体盘查表!AJ59</f>
        <v>0</v>
      </c>
      <c r="L78" s="464">
        <f>表1温室气体盘查表!AK59</f>
        <v>0</v>
      </c>
      <c r="M78" s="464">
        <f>表1温室气体盘查表!AL59</f>
        <v>0</v>
      </c>
      <c r="N78" s="394"/>
    </row>
    <row r="79" spans="1:14" s="393" customFormat="1" ht="25.15" customHeight="1">
      <c r="A79" s="394"/>
      <c r="B79" s="484" t="s">
        <v>98</v>
      </c>
      <c r="C79" s="486" t="str">
        <f>表1温室气体盘查表!C60</f>
        <v>机械动力传动设备制造</v>
      </c>
      <c r="D79" s="486" t="str">
        <f>表1温室气体盘查表!D60</f>
        <v>各工序</v>
      </c>
      <c r="E79" s="487"/>
      <c r="F79" s="464">
        <f>表1温室气体盘查表!AM60</f>
        <v>1122.1194533999999</v>
      </c>
      <c r="G79" s="464">
        <f>表1温室气体盘查表!AF60</f>
        <v>1122.1194533999999</v>
      </c>
      <c r="H79" s="464">
        <f>表1温室气体盘查表!AG60</f>
        <v>0</v>
      </c>
      <c r="I79" s="464">
        <f>表1温室气体盘查表!AH60</f>
        <v>0</v>
      </c>
      <c r="J79" s="464">
        <f>表1温室气体盘查表!AI60</f>
        <v>0</v>
      </c>
      <c r="K79" s="464">
        <f>表1温室气体盘查表!AJ60</f>
        <v>0</v>
      </c>
      <c r="L79" s="464">
        <f>表1温室气体盘查表!AK60</f>
        <v>0</v>
      </c>
      <c r="M79" s="464">
        <f>表1温室气体盘查表!AL60</f>
        <v>0</v>
      </c>
      <c r="N79" s="394"/>
    </row>
    <row r="80" spans="1:14" s="393" customFormat="1" ht="25.15" customHeight="1">
      <c r="A80" s="394"/>
      <c r="B80" s="484" t="s">
        <v>99</v>
      </c>
      <c r="C80" s="486" t="str">
        <f>表1温室气体盘查表!C61</f>
        <v>测量、分配及其他泵类设备制造</v>
      </c>
      <c r="D80" s="486" t="str">
        <f>表1温室气体盘查表!D61</f>
        <v>各工序</v>
      </c>
      <c r="E80" s="487"/>
      <c r="F80" s="464">
        <f>表1温室气体盘查表!AM61</f>
        <v>604.19940005000001</v>
      </c>
      <c r="G80" s="464">
        <f>表1温室气体盘查表!AF61</f>
        <v>604.19940005000001</v>
      </c>
      <c r="H80" s="464">
        <f>表1温室气体盘查表!AG61</f>
        <v>0</v>
      </c>
      <c r="I80" s="464">
        <f>表1温室气体盘查表!AH61</f>
        <v>0</v>
      </c>
      <c r="J80" s="464">
        <f>表1温室气体盘查表!AI61</f>
        <v>0</v>
      </c>
      <c r="K80" s="464">
        <f>表1温室气体盘查表!AJ61</f>
        <v>0</v>
      </c>
      <c r="L80" s="464">
        <f>表1温室气体盘查表!AK61</f>
        <v>0</v>
      </c>
      <c r="M80" s="464">
        <f>表1温室气体盘查表!AL61</f>
        <v>0</v>
      </c>
      <c r="N80" s="394"/>
    </row>
    <row r="81" spans="1:14" s="393" customFormat="1" ht="25.15" customHeight="1">
      <c r="A81" s="394"/>
      <c r="B81" s="484" t="s">
        <v>100</v>
      </c>
      <c r="C81" s="486" t="str">
        <f>表1温室气体盘查表!C62</f>
        <v>用于测量、显示和控制工业过程变量的仪器及相关产品制造</v>
      </c>
      <c r="D81" s="486" t="str">
        <f>表1温室气体盘查表!D62</f>
        <v>各工序</v>
      </c>
      <c r="E81" s="487"/>
      <c r="F81" s="464">
        <f>表1温室气体盘查表!AM62</f>
        <v>140.41626984000001</v>
      </c>
      <c r="G81" s="464">
        <f>表1温室气体盘查表!AF62</f>
        <v>140.41626984000001</v>
      </c>
      <c r="H81" s="464">
        <f>表1温室气体盘查表!AG62</f>
        <v>0</v>
      </c>
      <c r="I81" s="464">
        <f>表1温室气体盘查表!AH62</f>
        <v>0</v>
      </c>
      <c r="J81" s="464">
        <f>表1温室气体盘查表!AI62</f>
        <v>0</v>
      </c>
      <c r="K81" s="464">
        <f>表1温室气体盘查表!AJ62</f>
        <v>0</v>
      </c>
      <c r="L81" s="464">
        <f>表1温室气体盘查表!AK62</f>
        <v>0</v>
      </c>
      <c r="M81" s="464">
        <f>表1温室气体盘查表!AL62</f>
        <v>0</v>
      </c>
      <c r="N81" s="394"/>
    </row>
    <row r="82" spans="1:14" s="393" customFormat="1" ht="25.15" customHeight="1">
      <c r="A82" s="394"/>
      <c r="B82" s="484" t="s">
        <v>101</v>
      </c>
      <c r="C82" s="486" t="str">
        <f>表1温室气体盘查表!C63</f>
        <v>所有其他杂项电气设备及元件制造</v>
      </c>
      <c r="D82" s="486" t="str">
        <f>表1温室气体盘查表!D63</f>
        <v>各工序</v>
      </c>
      <c r="E82" s="487"/>
      <c r="F82" s="464">
        <f>表1温室气体盘查表!AM63</f>
        <v>1091.32670592</v>
      </c>
      <c r="G82" s="464">
        <f>表1温室气体盘查表!AF63</f>
        <v>1091.32670592</v>
      </c>
      <c r="H82" s="464">
        <f>表1温室气体盘查表!AG63</f>
        <v>0</v>
      </c>
      <c r="I82" s="464">
        <f>表1温室气体盘查表!AH63</f>
        <v>0</v>
      </c>
      <c r="J82" s="464">
        <f>表1温室气体盘查表!AI63</f>
        <v>0</v>
      </c>
      <c r="K82" s="464">
        <f>表1温室气体盘查表!AJ63</f>
        <v>0</v>
      </c>
      <c r="L82" s="464">
        <f>表1温室气体盘查表!AK63</f>
        <v>0</v>
      </c>
      <c r="M82" s="464">
        <f>表1温室气体盘查表!AL63</f>
        <v>0</v>
      </c>
      <c r="N82" s="394"/>
    </row>
    <row r="83" spans="1:14" s="393" customFormat="1" ht="25.15" customHeight="1">
      <c r="A83" s="394"/>
      <c r="B83" s="484" t="s">
        <v>102</v>
      </c>
      <c r="C83" s="486" t="str">
        <f>表1温室气体盘查表!C64</f>
        <v>所有其他杂项制造</v>
      </c>
      <c r="D83" s="486" t="str">
        <f>表1温室气体盘查表!D64</f>
        <v>各工序</v>
      </c>
      <c r="E83" s="487"/>
      <c r="F83" s="464">
        <f>表1温室气体盘查表!AM64</f>
        <v>43034.195589840005</v>
      </c>
      <c r="G83" s="464">
        <f>表1温室气体盘查表!AF64</f>
        <v>43034.195589840005</v>
      </c>
      <c r="H83" s="464">
        <f>表1温室气体盘查表!AG64</f>
        <v>0</v>
      </c>
      <c r="I83" s="464">
        <f>表1温室气体盘查表!AH64</f>
        <v>0</v>
      </c>
      <c r="J83" s="464">
        <f>表1温室气体盘查表!AI64</f>
        <v>0</v>
      </c>
      <c r="K83" s="464">
        <f>表1温室气体盘查表!AJ64</f>
        <v>0</v>
      </c>
      <c r="L83" s="464">
        <f>表1温室气体盘查表!AK64</f>
        <v>0</v>
      </c>
      <c r="M83" s="464">
        <f>表1温室气体盘查表!AL64</f>
        <v>0</v>
      </c>
      <c r="N83" s="394"/>
    </row>
    <row r="84" spans="1:14" s="393" customFormat="1" ht="25.15" customHeight="1">
      <c r="A84" s="394"/>
      <c r="B84" s="488"/>
      <c r="C84" s="487"/>
      <c r="D84" s="489"/>
      <c r="E84" s="487"/>
      <c r="F84" s="490"/>
      <c r="G84" s="490"/>
      <c r="H84" s="490"/>
      <c r="I84" s="490"/>
      <c r="J84" s="490"/>
      <c r="K84" s="490"/>
      <c r="L84" s="490"/>
      <c r="M84" s="490"/>
      <c r="N84" s="394"/>
    </row>
    <row r="85" spans="1:14" s="391" customFormat="1" ht="25.15" customHeight="1">
      <c r="A85" s="401"/>
      <c r="B85" s="479" t="s">
        <v>105</v>
      </c>
      <c r="C85" s="491" t="str">
        <f>表1温室气体盘查表!B66</f>
        <v>范围一、二相关燃料和能源相关的活动产生的排放</v>
      </c>
      <c r="D85" s="481"/>
      <c r="E85" s="482"/>
      <c r="F85" s="470">
        <f>SUM(G85:M85)</f>
        <v>1756664.8022970185</v>
      </c>
      <c r="G85" s="470">
        <f>SUM(G86:G94)</f>
        <v>1756664.8022970185</v>
      </c>
      <c r="H85" s="470">
        <f t="shared" ref="H85:M85" si="11">SUM(H87:H93)</f>
        <v>0</v>
      </c>
      <c r="I85" s="470">
        <f t="shared" si="11"/>
        <v>0</v>
      </c>
      <c r="J85" s="470">
        <f t="shared" si="11"/>
        <v>0</v>
      </c>
      <c r="K85" s="470">
        <f t="shared" si="11"/>
        <v>0</v>
      </c>
      <c r="L85" s="470">
        <f t="shared" si="11"/>
        <v>0</v>
      </c>
      <c r="M85" s="470">
        <f t="shared" si="11"/>
        <v>0</v>
      </c>
    </row>
    <row r="86" spans="1:14" s="391" customFormat="1" ht="25.15" customHeight="1">
      <c r="A86" s="401"/>
      <c r="B86" s="484" t="s">
        <v>106</v>
      </c>
      <c r="C86" s="485" t="str">
        <f>表1温室气体盘查表!C65</f>
        <v>液化石油气生产</v>
      </c>
      <c r="D86" s="486" t="str">
        <f>表1温室气体盘查表!D65</f>
        <v>冶钢宾馆</v>
      </c>
      <c r="E86" s="474"/>
      <c r="F86" s="464">
        <f>表1温室气体盘查表!AM65</f>
        <v>9.4887070688452404</v>
      </c>
      <c r="G86" s="464">
        <f>表1温室气体盘查表!AF65</f>
        <v>9.4887070688452404</v>
      </c>
      <c r="H86" s="464">
        <f>表1温室气体盘查表!AG65</f>
        <v>0</v>
      </c>
      <c r="I86" s="464">
        <f>表1温室气体盘查表!AH65</f>
        <v>0</v>
      </c>
      <c r="J86" s="464">
        <f>表1温室气体盘查表!AI65</f>
        <v>0</v>
      </c>
      <c r="K86" s="464">
        <f>表1温室气体盘查表!AJ65</f>
        <v>0</v>
      </c>
      <c r="L86" s="464">
        <f>表1温室气体盘查表!AK65</f>
        <v>0</v>
      </c>
      <c r="M86" s="464">
        <f>表1温室气体盘查表!AL65</f>
        <v>0</v>
      </c>
    </row>
    <row r="87" spans="1:14" s="391" customFormat="1" ht="25.15" customHeight="1">
      <c r="A87" s="401"/>
      <c r="B87" s="484" t="s">
        <v>107</v>
      </c>
      <c r="C87" s="485" t="str">
        <f>表1温室气体盘查表!C66</f>
        <v>洗精煤生产</v>
      </c>
      <c r="D87" s="486" t="str">
        <f>表1温室气体盘查表!D66</f>
        <v>焦化</v>
      </c>
      <c r="E87" s="487"/>
      <c r="F87" s="464">
        <f>表1温室气体盘查表!AM66</f>
        <v>1204984.5852735001</v>
      </c>
      <c r="G87" s="464">
        <f>表1温室气体盘查表!AF66</f>
        <v>1204984.5852735001</v>
      </c>
      <c r="H87" s="464">
        <f>表1温室气体盘查表!AG66</f>
        <v>0</v>
      </c>
      <c r="I87" s="464">
        <f>表1温室气体盘查表!AH66</f>
        <v>0</v>
      </c>
      <c r="J87" s="464">
        <f>表1温室气体盘查表!AI66</f>
        <v>0</v>
      </c>
      <c r="K87" s="464">
        <f>表1温室气体盘查表!AJ66</f>
        <v>0</v>
      </c>
      <c r="L87" s="464">
        <f>表1温室气体盘查表!AK66</f>
        <v>0</v>
      </c>
      <c r="M87" s="464">
        <f>表1温室气体盘查表!AL66</f>
        <v>0</v>
      </c>
    </row>
    <row r="88" spans="1:14" s="391" customFormat="1" ht="25.15" customHeight="1">
      <c r="A88" s="401"/>
      <c r="B88" s="484" t="s">
        <v>108</v>
      </c>
      <c r="C88" s="485" t="str">
        <f>表1温室气体盘查表!C67</f>
        <v>柴油生产</v>
      </c>
      <c r="D88" s="486" t="str">
        <f>表1温室气体盘查表!D67</f>
        <v>各工序</v>
      </c>
      <c r="E88" s="394"/>
      <c r="F88" s="464">
        <f>表1温室气体盘查表!AM67</f>
        <v>1198.0757028</v>
      </c>
      <c r="G88" s="464">
        <f>表1温室气体盘查表!AF67</f>
        <v>1198.0757028</v>
      </c>
      <c r="H88" s="464">
        <f>表1温室气体盘查表!AG67</f>
        <v>0</v>
      </c>
      <c r="I88" s="464">
        <f>表1温室气体盘查表!AH67</f>
        <v>0</v>
      </c>
      <c r="J88" s="464">
        <f>表1温室气体盘查表!AI67</f>
        <v>0</v>
      </c>
      <c r="K88" s="464">
        <f>表1温室气体盘查表!AJ67</f>
        <v>0</v>
      </c>
      <c r="L88" s="464">
        <f>表1温室气体盘查表!AK67</f>
        <v>0</v>
      </c>
      <c r="M88" s="464">
        <f>表1温室气体盘查表!AL67</f>
        <v>0</v>
      </c>
    </row>
    <row r="89" spans="1:14" s="391" customFormat="1" ht="25.15" customHeight="1">
      <c r="A89" s="401"/>
      <c r="B89" s="484" t="s">
        <v>109</v>
      </c>
      <c r="C89" s="485" t="str">
        <f>表1温室气体盘查表!C68</f>
        <v>汽油生产</v>
      </c>
      <c r="D89" s="486" t="str">
        <f>表1温室气体盘查表!D68</f>
        <v>车队</v>
      </c>
      <c r="E89" s="394"/>
      <c r="F89" s="464">
        <f>表1温室气体盘查表!AM68</f>
        <v>46.740216649323479</v>
      </c>
      <c r="G89" s="464">
        <f>表1温室气体盘查表!AF68</f>
        <v>46.740216649323479</v>
      </c>
      <c r="H89" s="464">
        <f>表1温室气体盘查表!AG68</f>
        <v>0</v>
      </c>
      <c r="I89" s="464">
        <f>表1温室气体盘查表!AH68</f>
        <v>0</v>
      </c>
      <c r="J89" s="464">
        <f>表1温室气体盘查表!AI68</f>
        <v>0</v>
      </c>
      <c r="K89" s="464">
        <f>表1温室气体盘查表!AJ68</f>
        <v>0</v>
      </c>
      <c r="L89" s="464">
        <f>表1温室气体盘查表!AK68</f>
        <v>0</v>
      </c>
      <c r="M89" s="464">
        <f>表1温室气体盘查表!AL68</f>
        <v>0</v>
      </c>
    </row>
    <row r="90" spans="1:14" s="391" customFormat="1" ht="25.15" customHeight="1">
      <c r="A90" s="401"/>
      <c r="B90" s="484" t="s">
        <v>110</v>
      </c>
      <c r="C90" s="485" t="str">
        <f>表1温室气体盘查表!C69</f>
        <v>焦炭生产</v>
      </c>
      <c r="D90" s="486" t="str">
        <f>表1温室气体盘查表!D69</f>
        <v>烧结、高炉</v>
      </c>
      <c r="E90" s="394"/>
      <c r="F90" s="464">
        <f>表1温室气体盘查表!AM69</f>
        <v>77306.700329999992</v>
      </c>
      <c r="G90" s="464">
        <f>表1温室气体盘查表!AF69</f>
        <v>77306.700329999992</v>
      </c>
      <c r="H90" s="464">
        <f>表1温室气体盘查表!AG69</f>
        <v>0</v>
      </c>
      <c r="I90" s="464">
        <f>表1温室气体盘查表!AH69</f>
        <v>0</v>
      </c>
      <c r="J90" s="464">
        <f>表1温室气体盘查表!AI69</f>
        <v>0</v>
      </c>
      <c r="K90" s="464">
        <f>表1温室气体盘查表!AJ69</f>
        <v>0</v>
      </c>
      <c r="L90" s="464">
        <f>表1温室气体盘查表!AK69</f>
        <v>0</v>
      </c>
      <c r="M90" s="464">
        <f>表1温室气体盘查表!AL69</f>
        <v>0</v>
      </c>
    </row>
    <row r="91" spans="1:14" s="391" customFormat="1" ht="25.15" customHeight="1">
      <c r="A91" s="401"/>
      <c r="B91" s="484" t="s">
        <v>111</v>
      </c>
      <c r="C91" s="485" t="str">
        <f>表1温室气体盘查表!C70</f>
        <v>烟煤生产</v>
      </c>
      <c r="D91" s="486" t="str">
        <f>表1温室气体盘查表!D70</f>
        <v>高炉</v>
      </c>
      <c r="E91" s="487"/>
      <c r="F91" s="464">
        <f>表1温室气体盘查表!AM70</f>
        <v>57829.148730000008</v>
      </c>
      <c r="G91" s="464">
        <f>表1温室气体盘查表!AF70</f>
        <v>57829.148730000008</v>
      </c>
      <c r="H91" s="464">
        <f>表1温室气体盘查表!AG70</f>
        <v>0</v>
      </c>
      <c r="I91" s="464">
        <f>表1温室气体盘查表!AH70</f>
        <v>0</v>
      </c>
      <c r="J91" s="464">
        <f>表1温室气体盘查表!AI70</f>
        <v>0</v>
      </c>
      <c r="K91" s="464">
        <f>表1温室气体盘查表!AJ70</f>
        <v>0</v>
      </c>
      <c r="L91" s="464">
        <f>表1温室气体盘查表!AK70</f>
        <v>0</v>
      </c>
      <c r="M91" s="464">
        <f>表1温室气体盘查表!AL70</f>
        <v>0</v>
      </c>
    </row>
    <row r="92" spans="1:14" s="391" customFormat="1" ht="25.15" customHeight="1">
      <c r="A92" s="401"/>
      <c r="B92" s="484" t="s">
        <v>112</v>
      </c>
      <c r="C92" s="485" t="str">
        <f>表1温室气体盘查表!C71</f>
        <v>无烟煤生产</v>
      </c>
      <c r="D92" s="486" t="str">
        <f>表1温室气体盘查表!D71</f>
        <v>烧结、高炉</v>
      </c>
      <c r="E92" s="487"/>
      <c r="F92" s="464">
        <f>表1温室气体盘查表!AM71</f>
        <v>229469.91372000004</v>
      </c>
      <c r="G92" s="464">
        <f>表1温室气体盘查表!AF71</f>
        <v>229469.91372000004</v>
      </c>
      <c r="H92" s="464">
        <f>表1温室气体盘查表!AG71</f>
        <v>0</v>
      </c>
      <c r="I92" s="464">
        <f>表1温室气体盘查表!AH71</f>
        <v>0</v>
      </c>
      <c r="J92" s="464">
        <f>表1温室气体盘查表!AI71</f>
        <v>0</v>
      </c>
      <c r="K92" s="464">
        <f>表1温室气体盘查表!AJ71</f>
        <v>0</v>
      </c>
      <c r="L92" s="464">
        <f>表1温室气体盘查表!AK71</f>
        <v>0</v>
      </c>
      <c r="M92" s="464">
        <f>表1温室气体盘查表!AL71</f>
        <v>0</v>
      </c>
    </row>
    <row r="93" spans="1:14" s="391" customFormat="1" ht="25.15" customHeight="1">
      <c r="A93" s="401"/>
      <c r="B93" s="484" t="s">
        <v>113</v>
      </c>
      <c r="C93" s="485" t="str">
        <f>表1温室气体盘查表!C72</f>
        <v>天然气生产</v>
      </c>
      <c r="D93" s="486" t="str">
        <f>表1温室气体盘查表!D72</f>
        <v>转炉、电炉、锻造、热处理</v>
      </c>
      <c r="E93" s="487"/>
      <c r="F93" s="464">
        <f>表1温室气体盘查表!AM72</f>
        <v>9000.26</v>
      </c>
      <c r="G93" s="464">
        <f>表1温室气体盘查表!AF72</f>
        <v>9000.26</v>
      </c>
      <c r="H93" s="464">
        <f>表1温室气体盘查表!AG72</f>
        <v>0</v>
      </c>
      <c r="I93" s="464">
        <f>表1温室气体盘查表!AH72</f>
        <v>0</v>
      </c>
      <c r="J93" s="464">
        <f>表1温室气体盘查表!AI72</f>
        <v>0</v>
      </c>
      <c r="K93" s="464">
        <f>表1温室气体盘查表!AJ72</f>
        <v>0</v>
      </c>
      <c r="L93" s="464">
        <f>表1温室气体盘查表!AK72</f>
        <v>0</v>
      </c>
      <c r="M93" s="464">
        <f>表1温室气体盘查表!AL72</f>
        <v>0</v>
      </c>
    </row>
    <row r="94" spans="1:14" s="391" customFormat="1" ht="25.15" customHeight="1">
      <c r="A94" s="401"/>
      <c r="B94" s="484" t="s">
        <v>114</v>
      </c>
      <c r="C94" s="485" t="str">
        <f>表1温室气体盘查表!C73</f>
        <v>外购电力上游排放</v>
      </c>
      <c r="D94" s="486" t="str">
        <f>表1温室气体盘查表!D73</f>
        <v>各工序</v>
      </c>
      <c r="E94" s="487"/>
      <c r="F94" s="464">
        <f>表1温室气体盘查表!AM73</f>
        <v>176819.88961700018</v>
      </c>
      <c r="G94" s="464">
        <f>表1温室气体盘查表!AF73</f>
        <v>176819.88961700018</v>
      </c>
      <c r="H94" s="464">
        <f>表1温室气体盘查表!AG73</f>
        <v>0</v>
      </c>
      <c r="I94" s="464">
        <f>表1温室气体盘查表!AH73</f>
        <v>0</v>
      </c>
      <c r="J94" s="464">
        <f>表1温室气体盘查表!AI73</f>
        <v>0</v>
      </c>
      <c r="K94" s="464">
        <f>表1温室气体盘查表!AJ73</f>
        <v>0</v>
      </c>
      <c r="L94" s="464">
        <f>表1温室气体盘查表!AK73</f>
        <v>0</v>
      </c>
      <c r="M94" s="464">
        <f>表1温室气体盘查表!AL73</f>
        <v>0</v>
      </c>
    </row>
    <row r="95" spans="1:14" s="391" customFormat="1" ht="25.15" customHeight="1">
      <c r="A95" s="401"/>
      <c r="B95" s="492"/>
      <c r="C95" s="493"/>
      <c r="D95" s="493"/>
      <c r="E95" s="394"/>
      <c r="F95" s="394"/>
      <c r="G95" s="494"/>
      <c r="H95" s="494"/>
      <c r="I95" s="494"/>
      <c r="J95" s="494"/>
      <c r="K95" s="494"/>
      <c r="L95" s="494"/>
      <c r="M95" s="494"/>
    </row>
    <row r="96" spans="1:14" s="391" customFormat="1" ht="25.15" customHeight="1">
      <c r="A96" s="401"/>
      <c r="B96" s="495" t="s">
        <v>116</v>
      </c>
      <c r="C96" s="496" t="str">
        <f>表1温室气体盘查表!B74</f>
        <v>上游运输配送产生的排放</v>
      </c>
      <c r="D96" s="497"/>
      <c r="E96" s="498"/>
      <c r="F96" s="499">
        <f>SUM(G96:M96)</f>
        <v>400727.02820844552</v>
      </c>
      <c r="G96" s="499">
        <f>SUM(G97:G99)</f>
        <v>400727.02820844552</v>
      </c>
      <c r="H96" s="499">
        <f t="shared" ref="H96:M96" si="12">SUM(H97:H99)</f>
        <v>0</v>
      </c>
      <c r="I96" s="499">
        <f t="shared" si="12"/>
        <v>0</v>
      </c>
      <c r="J96" s="499">
        <f t="shared" si="12"/>
        <v>0</v>
      </c>
      <c r="K96" s="499">
        <f t="shared" si="12"/>
        <v>0</v>
      </c>
      <c r="L96" s="499">
        <f t="shared" si="12"/>
        <v>0</v>
      </c>
      <c r="M96" s="499">
        <f t="shared" si="12"/>
        <v>0</v>
      </c>
    </row>
    <row r="97" spans="1:13" s="391" customFormat="1" ht="25.15" customHeight="1">
      <c r="A97" s="401"/>
      <c r="B97" s="462" t="s">
        <v>117</v>
      </c>
      <c r="C97" s="463" t="str">
        <f>表1温室气体盘查表!C74</f>
        <v>船运</v>
      </c>
      <c r="D97" s="500" t="str">
        <f>表1温室气体盘查表!D74</f>
        <v>-</v>
      </c>
      <c r="F97" s="464">
        <f>表1温室气体盘查表!AM74</f>
        <v>250587.64380757129</v>
      </c>
      <c r="G97" s="464">
        <f>表1温室气体盘查表!AF74</f>
        <v>250587.64380757129</v>
      </c>
      <c r="H97" s="464">
        <f>表1温室气体盘查表!AG74</f>
        <v>0</v>
      </c>
      <c r="I97" s="464">
        <f>表1温室气体盘查表!AH74</f>
        <v>0</v>
      </c>
      <c r="J97" s="464">
        <f>表1温室气体盘查表!AI74</f>
        <v>0</v>
      </c>
      <c r="K97" s="464">
        <f>表1温室气体盘查表!AJ74</f>
        <v>0</v>
      </c>
      <c r="L97" s="464">
        <f>表1温室气体盘查表!AK74</f>
        <v>0</v>
      </c>
      <c r="M97" s="464">
        <f>表1温室气体盘查表!AL74</f>
        <v>0</v>
      </c>
    </row>
    <row r="98" spans="1:13" s="391" customFormat="1" ht="25.15" customHeight="1">
      <c r="A98" s="401"/>
      <c r="B98" s="462" t="s">
        <v>118</v>
      </c>
      <c r="C98" s="463" t="str">
        <f>表1温室气体盘查表!C75</f>
        <v>汽运</v>
      </c>
      <c r="D98" s="500" t="str">
        <f>表1温室气体盘查表!D75</f>
        <v>-</v>
      </c>
      <c r="F98" s="464">
        <f>表1温室气体盘查表!AM75</f>
        <v>74635.120596859735</v>
      </c>
      <c r="G98" s="464">
        <f>表1温室气体盘查表!AF75</f>
        <v>74635.120596859735</v>
      </c>
      <c r="H98" s="464">
        <f>表1温室气体盘查表!AG75</f>
        <v>0</v>
      </c>
      <c r="I98" s="464">
        <f>表1温室气体盘查表!AH75</f>
        <v>0</v>
      </c>
      <c r="J98" s="464">
        <f>表1温室气体盘查表!AI75</f>
        <v>0</v>
      </c>
      <c r="K98" s="464">
        <f>表1温室气体盘查表!AJ75</f>
        <v>0</v>
      </c>
      <c r="L98" s="464">
        <f>表1温室气体盘查表!AK75</f>
        <v>0</v>
      </c>
      <c r="M98" s="464">
        <f>表1温室气体盘查表!AL75</f>
        <v>0</v>
      </c>
    </row>
    <row r="99" spans="1:13" s="391" customFormat="1" ht="25.15" customHeight="1">
      <c r="A99" s="401"/>
      <c r="B99" s="462" t="s">
        <v>119</v>
      </c>
      <c r="C99" s="463" t="str">
        <f>表1温室气体盘查表!C76</f>
        <v>铁路运输</v>
      </c>
      <c r="D99" s="500" t="str">
        <f>表1温室气体盘查表!D76</f>
        <v>-</v>
      </c>
      <c r="F99" s="464">
        <f>表1温室气体盘查表!AM76</f>
        <v>75504.263804014496</v>
      </c>
      <c r="G99" s="464">
        <f>表1温室气体盘查表!AF76</f>
        <v>75504.263804014496</v>
      </c>
      <c r="H99" s="464">
        <f>表1温室气体盘查表!AG76</f>
        <v>0</v>
      </c>
      <c r="I99" s="464">
        <f>表1温室气体盘查表!AH76</f>
        <v>0</v>
      </c>
      <c r="J99" s="464">
        <f>表1温室气体盘查表!AI76</f>
        <v>0</v>
      </c>
      <c r="K99" s="464">
        <f>表1温室气体盘查表!AJ76</f>
        <v>0</v>
      </c>
      <c r="L99" s="464">
        <f>表1温室气体盘查表!AK76</f>
        <v>0</v>
      </c>
      <c r="M99" s="464">
        <f>表1温室气体盘查表!AL76</f>
        <v>0</v>
      </c>
    </row>
    <row r="100" spans="1:13" s="391" customFormat="1" ht="25.15" customHeight="1">
      <c r="A100" s="401"/>
      <c r="B100" s="501"/>
      <c r="C100" s="502"/>
      <c r="D100" s="502"/>
      <c r="E100" s="393"/>
      <c r="F100" s="503"/>
      <c r="G100" s="503"/>
      <c r="H100" s="503"/>
      <c r="I100" s="503"/>
      <c r="J100" s="503"/>
      <c r="K100" s="503"/>
      <c r="L100" s="503"/>
      <c r="M100" s="503"/>
    </row>
    <row r="101" spans="1:13" s="391" customFormat="1" ht="25.15" customHeight="1">
      <c r="A101" s="401"/>
      <c r="B101" s="495" t="s">
        <v>120</v>
      </c>
      <c r="C101" s="496" t="str">
        <f>表1温室气体盘查表!B77</f>
        <v>运营中产生的废物排放</v>
      </c>
      <c r="D101" s="497"/>
      <c r="E101" s="498"/>
      <c r="F101" s="470">
        <f>SUM(G101:M101)</f>
        <v>30952.018420116066</v>
      </c>
      <c r="G101" s="470">
        <f>SUM(G102:G105)</f>
        <v>30952.018420116066</v>
      </c>
      <c r="H101" s="470">
        <f t="shared" ref="H101:M101" si="13">SUM(H102)</f>
        <v>0</v>
      </c>
      <c r="I101" s="470">
        <f t="shared" si="13"/>
        <v>0</v>
      </c>
      <c r="J101" s="470">
        <f t="shared" si="13"/>
        <v>0</v>
      </c>
      <c r="K101" s="470">
        <f t="shared" si="13"/>
        <v>0</v>
      </c>
      <c r="L101" s="470">
        <f t="shared" si="13"/>
        <v>0</v>
      </c>
      <c r="M101" s="470">
        <f t="shared" si="13"/>
        <v>0</v>
      </c>
    </row>
    <row r="102" spans="1:13" s="391" customFormat="1" ht="25.15" customHeight="1">
      <c r="A102" s="401"/>
      <c r="B102" s="462" t="s">
        <v>121</v>
      </c>
      <c r="C102" s="463" t="str">
        <f>表1温室气体盘查表!C77</f>
        <v>生活垃圾和厨余垃圾</v>
      </c>
      <c r="D102" s="463" t="str">
        <f>表1温室气体盘查表!D77</f>
        <v>垃圾站</v>
      </c>
      <c r="F102" s="464">
        <f>表1温室气体盘查表!AM77</f>
        <v>1040.2559007235884</v>
      </c>
      <c r="G102" s="464">
        <f>表1温室气体盘查表!AF77</f>
        <v>1040.2559007235884</v>
      </c>
      <c r="H102" s="464">
        <f>表1温室气体盘查表!AG77</f>
        <v>0</v>
      </c>
      <c r="I102" s="464">
        <f>表1温室气体盘查表!AH77</f>
        <v>0</v>
      </c>
      <c r="J102" s="464">
        <f>表1温室气体盘查表!AI77</f>
        <v>0</v>
      </c>
      <c r="K102" s="464">
        <f>表1温室气体盘查表!AJ77</f>
        <v>0</v>
      </c>
      <c r="L102" s="464">
        <f>表1温室气体盘查表!AK77</f>
        <v>0</v>
      </c>
      <c r="M102" s="464">
        <f>表1温室气体盘查表!AL77</f>
        <v>0</v>
      </c>
    </row>
    <row r="103" spans="1:13" s="391" customFormat="1" ht="25.15" customHeight="1">
      <c r="A103" s="401"/>
      <c r="B103" s="462" t="s">
        <v>122</v>
      </c>
      <c r="C103" s="463" t="str">
        <f>表1温室气体盘查表!C78</f>
        <v>废油</v>
      </c>
      <c r="D103" s="463" t="str">
        <f>表1温室气体盘查表!D78</f>
        <v>-</v>
      </c>
      <c r="F103" s="464">
        <f>表1温室气体盘查表!AM78</f>
        <v>4897.6714742239055</v>
      </c>
      <c r="G103" s="464">
        <f>表1温室气体盘查表!AF78</f>
        <v>4897.6714742239055</v>
      </c>
      <c r="H103" s="464">
        <f>表1温室气体盘查表!AG78</f>
        <v>0</v>
      </c>
      <c r="I103" s="464">
        <f>表1温室气体盘查表!AH78</f>
        <v>0</v>
      </c>
      <c r="J103" s="464">
        <f>表1温室气体盘查表!AI78</f>
        <v>0</v>
      </c>
      <c r="K103" s="464">
        <f>表1温室气体盘查表!AJ78</f>
        <v>0</v>
      </c>
      <c r="L103" s="464">
        <f>表1温室气体盘查表!AK78</f>
        <v>0</v>
      </c>
      <c r="M103" s="464">
        <f>表1温室气体盘查表!AL78</f>
        <v>0</v>
      </c>
    </row>
    <row r="104" spans="1:13" s="391" customFormat="1" ht="25.15" customHeight="1">
      <c r="A104" s="401"/>
      <c r="B104" s="462" t="s">
        <v>123</v>
      </c>
      <c r="C104" s="463" t="str">
        <f>表1温室气体盘查表!C79</f>
        <v>废油水</v>
      </c>
      <c r="D104" s="463" t="str">
        <f>表1温室气体盘查表!D79</f>
        <v>-</v>
      </c>
      <c r="F104" s="464">
        <f>表1温室气体盘查表!AM79</f>
        <v>14824.498404251912</v>
      </c>
      <c r="G104" s="464">
        <f>表1温室气体盘查表!AF79</f>
        <v>14824.498404251912</v>
      </c>
      <c r="H104" s="464">
        <f>表1温室气体盘查表!AG79</f>
        <v>0</v>
      </c>
      <c r="I104" s="464">
        <f>表1温室气体盘查表!AH79</f>
        <v>0</v>
      </c>
      <c r="J104" s="464">
        <f>表1温室气体盘查表!AI79</f>
        <v>0</v>
      </c>
      <c r="K104" s="464">
        <f>表1温室气体盘查表!AJ79</f>
        <v>0</v>
      </c>
      <c r="L104" s="464">
        <f>表1温室气体盘查表!AK79</f>
        <v>0</v>
      </c>
      <c r="M104" s="464">
        <f>表1温室气体盘查表!AL79</f>
        <v>0</v>
      </c>
    </row>
    <row r="105" spans="1:13" s="391" customFormat="1" ht="25.15" customHeight="1">
      <c r="A105" s="401"/>
      <c r="B105" s="462" t="s">
        <v>124</v>
      </c>
      <c r="C105" s="463" t="str">
        <f>表1温室气体盘查表!C80</f>
        <v>废弃物运输</v>
      </c>
      <c r="D105" s="463" t="str">
        <f>表1温室气体盘查表!D80</f>
        <v>-</v>
      </c>
      <c r="F105" s="464">
        <f>表1温室气体盘查表!AM80</f>
        <v>10189.592640916659</v>
      </c>
      <c r="G105" s="464">
        <f>表1温室气体盘查表!AF80</f>
        <v>10189.592640916659</v>
      </c>
      <c r="H105" s="464">
        <f>表1温室气体盘查表!AG80</f>
        <v>0</v>
      </c>
      <c r="I105" s="464">
        <f>表1温室气体盘查表!AH80</f>
        <v>0</v>
      </c>
      <c r="J105" s="464">
        <f>表1温室气体盘查表!AI80</f>
        <v>0</v>
      </c>
      <c r="K105" s="464">
        <f>表1温室气体盘查表!AJ80</f>
        <v>0</v>
      </c>
      <c r="L105" s="464">
        <f>表1温室气体盘查表!AK80</f>
        <v>0</v>
      </c>
      <c r="M105" s="464">
        <f>表1温室气体盘查表!AL80</f>
        <v>0</v>
      </c>
    </row>
    <row r="106" spans="1:13" s="391" customFormat="1" ht="25.15" customHeight="1">
      <c r="A106" s="401"/>
      <c r="B106" s="501"/>
      <c r="C106" s="502"/>
      <c r="D106" s="502"/>
      <c r="E106" s="393"/>
      <c r="F106" s="503"/>
      <c r="G106" s="503"/>
      <c r="H106" s="503"/>
      <c r="I106" s="503"/>
      <c r="J106" s="503"/>
      <c r="K106" s="503"/>
      <c r="L106" s="503"/>
      <c r="M106" s="503"/>
    </row>
    <row r="107" spans="1:13" s="391" customFormat="1" ht="25.15" customHeight="1">
      <c r="A107" s="401"/>
      <c r="B107" s="495" t="s">
        <v>126</v>
      </c>
      <c r="C107" s="496" t="str">
        <f>表1温室气体盘查表!B81</f>
        <v>商务旅行产生的排放</v>
      </c>
      <c r="D107" s="497"/>
      <c r="E107" s="498"/>
      <c r="F107" s="470">
        <f>SUM(G107:M107)</f>
        <v>1804.7455494943988</v>
      </c>
      <c r="G107" s="470">
        <f>SUM(G108:G110)</f>
        <v>1804.7455494943988</v>
      </c>
      <c r="H107" s="470">
        <f t="shared" ref="H107:M107" si="14">SUM(H108:H109)</f>
        <v>0</v>
      </c>
      <c r="I107" s="470">
        <f t="shared" si="14"/>
        <v>0</v>
      </c>
      <c r="J107" s="470">
        <f t="shared" si="14"/>
        <v>0</v>
      </c>
      <c r="K107" s="470">
        <f t="shared" si="14"/>
        <v>0</v>
      </c>
      <c r="L107" s="470">
        <f t="shared" si="14"/>
        <v>0</v>
      </c>
      <c r="M107" s="470">
        <f t="shared" si="14"/>
        <v>0</v>
      </c>
    </row>
    <row r="108" spans="1:13" s="391" customFormat="1" ht="25.15" customHeight="1">
      <c r="A108" s="401"/>
      <c r="B108" s="484" t="s">
        <v>127</v>
      </c>
      <c r="C108" s="485" t="str">
        <f>表1温室气体盘查表!C81</f>
        <v>航运</v>
      </c>
      <c r="D108" s="504" t="str">
        <f>表1温室气体盘查表!D81</f>
        <v>-</v>
      </c>
      <c r="E108" s="394"/>
      <c r="F108" s="464">
        <f>表1温室气体盘查表!AM81</f>
        <v>311.60514000000001</v>
      </c>
      <c r="G108" s="464">
        <f>表1温室气体盘查表!AF81</f>
        <v>311.60514000000001</v>
      </c>
      <c r="H108" s="464">
        <f>表1温室气体盘查表!AG81</f>
        <v>0</v>
      </c>
      <c r="I108" s="464">
        <f>表1温室气体盘查表!AH81</f>
        <v>0</v>
      </c>
      <c r="J108" s="464">
        <f>表1温室气体盘查表!AI81</f>
        <v>0</v>
      </c>
      <c r="K108" s="464">
        <f>表1温室气体盘查表!AJ81</f>
        <v>0</v>
      </c>
      <c r="L108" s="464">
        <f>表1温室气体盘查表!AK81</f>
        <v>0</v>
      </c>
      <c r="M108" s="464">
        <f>表1温室气体盘查表!AL81</f>
        <v>0</v>
      </c>
    </row>
    <row r="109" spans="1:13" s="391" customFormat="1" ht="25.15" customHeight="1">
      <c r="A109" s="401"/>
      <c r="B109" s="484" t="s">
        <v>128</v>
      </c>
      <c r="C109" s="485" t="str">
        <f>表1温室气体盘查表!C82</f>
        <v>铁路运输</v>
      </c>
      <c r="D109" s="504" t="str">
        <f>表1温室气体盘查表!D82</f>
        <v>-</v>
      </c>
      <c r="E109" s="394"/>
      <c r="F109" s="464">
        <f>表1温室气体盘查表!AM82</f>
        <v>725.30840949439869</v>
      </c>
      <c r="G109" s="464">
        <f>表1温室气体盘查表!AF82</f>
        <v>725.30840949439869</v>
      </c>
      <c r="H109" s="464">
        <f>表1温室气体盘查表!AG82</f>
        <v>0</v>
      </c>
      <c r="I109" s="464">
        <f>表1温室气体盘查表!AH82</f>
        <v>0</v>
      </c>
      <c r="J109" s="464">
        <f>表1温室气体盘查表!AI82</f>
        <v>0</v>
      </c>
      <c r="K109" s="464">
        <f>表1温室气体盘查表!AJ82</f>
        <v>0</v>
      </c>
      <c r="L109" s="464">
        <f>表1温室气体盘查表!AK82</f>
        <v>0</v>
      </c>
      <c r="M109" s="464">
        <f>表1温室气体盘查表!AL82</f>
        <v>0</v>
      </c>
    </row>
    <row r="110" spans="1:13" s="391" customFormat="1" ht="25.15" customHeight="1">
      <c r="A110" s="401"/>
      <c r="B110" s="484" t="s">
        <v>129</v>
      </c>
      <c r="C110" s="485" t="str">
        <f>表1温室气体盘查表!C83</f>
        <v>员工差旅住宿</v>
      </c>
      <c r="D110" s="504" t="str">
        <f>表1温室气体盘查表!D83</f>
        <v>-</v>
      </c>
      <c r="E110" s="394"/>
      <c r="F110" s="464">
        <f>表1温室气体盘查表!AM83</f>
        <v>767.83199999999999</v>
      </c>
      <c r="G110" s="464">
        <f>表1温室气体盘查表!AF83</f>
        <v>767.83199999999999</v>
      </c>
      <c r="H110" s="464">
        <f>表1温室气体盘查表!AG83</f>
        <v>0</v>
      </c>
      <c r="I110" s="464">
        <f>表1温室气体盘查表!AH83</f>
        <v>0</v>
      </c>
      <c r="J110" s="464">
        <f>表1温室气体盘查表!AI83</f>
        <v>0</v>
      </c>
      <c r="K110" s="464">
        <f>表1温室气体盘查表!AJ83</f>
        <v>0</v>
      </c>
      <c r="L110" s="464">
        <f>表1温室气体盘查表!AK83</f>
        <v>0</v>
      </c>
      <c r="M110" s="464">
        <f>表1温室气体盘查表!AL83</f>
        <v>0</v>
      </c>
    </row>
    <row r="111" spans="1:13" s="391" customFormat="1" ht="25.15" customHeight="1">
      <c r="A111" s="401"/>
      <c r="B111" s="501"/>
      <c r="C111" s="502"/>
      <c r="D111" s="502"/>
      <c r="E111" s="393"/>
      <c r="F111" s="503"/>
      <c r="G111" s="503"/>
      <c r="H111" s="503"/>
      <c r="I111" s="503"/>
      <c r="J111" s="503"/>
      <c r="K111" s="503"/>
      <c r="L111" s="503"/>
      <c r="M111" s="503"/>
    </row>
    <row r="112" spans="1:13" s="391" customFormat="1" ht="25.15" customHeight="1">
      <c r="A112" s="401"/>
      <c r="B112" s="505" t="s">
        <v>130</v>
      </c>
      <c r="C112" s="506" t="str">
        <f>表1温室气体盘查表!B84</f>
        <v>员工通勤产生的排放</v>
      </c>
      <c r="D112" s="507"/>
      <c r="E112" s="498"/>
      <c r="F112" s="470">
        <f>SUM(G112:M112)</f>
        <v>5447.4723256107236</v>
      </c>
      <c r="G112" s="470">
        <f t="shared" ref="G112:M112" si="15">SUM(G113:G117)</f>
        <v>5447.4723256107236</v>
      </c>
      <c r="H112" s="470">
        <f t="shared" si="15"/>
        <v>0</v>
      </c>
      <c r="I112" s="470">
        <f t="shared" si="15"/>
        <v>0</v>
      </c>
      <c r="J112" s="470">
        <f t="shared" si="15"/>
        <v>0</v>
      </c>
      <c r="K112" s="470">
        <f t="shared" si="15"/>
        <v>0</v>
      </c>
      <c r="L112" s="470">
        <f t="shared" si="15"/>
        <v>0</v>
      </c>
      <c r="M112" s="470">
        <f t="shared" si="15"/>
        <v>0</v>
      </c>
    </row>
    <row r="113" spans="1:13" s="391" customFormat="1" ht="25.15" customHeight="1">
      <c r="A113" s="401"/>
      <c r="B113" s="504" t="s">
        <v>131</v>
      </c>
      <c r="C113" s="486" t="str">
        <f>表1温室气体盘查表!C84</f>
        <v>通勤车</v>
      </c>
      <c r="D113" s="508" t="str">
        <f>表1温室气体盘查表!D84</f>
        <v>-</v>
      </c>
      <c r="E113" s="509"/>
      <c r="F113" s="464">
        <f>表1温室气体盘查表!AM84</f>
        <v>59.915075134693886</v>
      </c>
      <c r="G113" s="464">
        <f>表1温室气体盘查表!AF84</f>
        <v>59.915075134693886</v>
      </c>
      <c r="H113" s="464">
        <f>表1温室气体盘查表!AG84</f>
        <v>0</v>
      </c>
      <c r="I113" s="464">
        <f>表1温室气体盘查表!AH84</f>
        <v>0</v>
      </c>
      <c r="J113" s="464">
        <f>表1温室气体盘查表!AI84</f>
        <v>0</v>
      </c>
      <c r="K113" s="464">
        <f>表1温室气体盘查表!AJ84</f>
        <v>0</v>
      </c>
      <c r="L113" s="464">
        <f>表1温室气体盘查表!AK84</f>
        <v>0</v>
      </c>
      <c r="M113" s="464">
        <f>表1温室气体盘查表!AL84</f>
        <v>0</v>
      </c>
    </row>
    <row r="114" spans="1:13" s="391" customFormat="1" ht="25.15" customHeight="1">
      <c r="A114" s="401"/>
      <c r="B114" s="504" t="s">
        <v>132</v>
      </c>
      <c r="C114" s="486" t="str">
        <f>表1温室气体盘查表!C85</f>
        <v>电力公交</v>
      </c>
      <c r="D114" s="508" t="str">
        <f>表1温室气体盘查表!D85</f>
        <v>-</v>
      </c>
      <c r="E114" s="509"/>
      <c r="F114" s="464">
        <f>表1温室气体盘查表!AM85</f>
        <v>2.7815691903999999</v>
      </c>
      <c r="G114" s="464">
        <f>表1温室气体盘查表!AF85</f>
        <v>2.7815691903999999</v>
      </c>
      <c r="H114" s="464">
        <f>表1温室气体盘查表!AG85</f>
        <v>0</v>
      </c>
      <c r="I114" s="464">
        <f>表1温室气体盘查表!AH85</f>
        <v>0</v>
      </c>
      <c r="J114" s="464">
        <f>表1温室气体盘查表!AI85</f>
        <v>0</v>
      </c>
      <c r="K114" s="464">
        <f>表1温室气体盘查表!AJ85</f>
        <v>0</v>
      </c>
      <c r="L114" s="464">
        <f>表1温室气体盘查表!AK85</f>
        <v>0</v>
      </c>
      <c r="M114" s="464">
        <f>表1温室气体盘查表!AL85</f>
        <v>0</v>
      </c>
    </row>
    <row r="115" spans="1:13" s="391" customFormat="1" ht="25.15" customHeight="1">
      <c r="A115" s="401"/>
      <c r="B115" s="504" t="s">
        <v>133</v>
      </c>
      <c r="C115" s="486" t="str">
        <f>表1温室气体盘查表!C86</f>
        <v>电瓶车</v>
      </c>
      <c r="D115" s="508" t="str">
        <f>表1温室气体盘查表!D86</f>
        <v>-</v>
      </c>
      <c r="E115" s="509"/>
      <c r="F115" s="464">
        <f>表1温室气体盘查表!AM86</f>
        <v>286.29993180666088</v>
      </c>
      <c r="G115" s="464">
        <f>表1温室气体盘查表!AF86</f>
        <v>286.29993180666088</v>
      </c>
      <c r="H115" s="464">
        <f>表1温室气体盘查表!AG86</f>
        <v>0</v>
      </c>
      <c r="I115" s="464">
        <f>表1温室气体盘查表!AH86</f>
        <v>0</v>
      </c>
      <c r="J115" s="464">
        <f>表1温室气体盘查表!AI86</f>
        <v>0</v>
      </c>
      <c r="K115" s="464">
        <f>表1温室气体盘查表!AJ86</f>
        <v>0</v>
      </c>
      <c r="L115" s="464">
        <f>表1温室气体盘查表!AK86</f>
        <v>0</v>
      </c>
      <c r="M115" s="464">
        <f>表1温室气体盘查表!AL86</f>
        <v>0</v>
      </c>
    </row>
    <row r="116" spans="1:13" s="391" customFormat="1" ht="25.15" customHeight="1">
      <c r="A116" s="401"/>
      <c r="B116" s="504" t="s">
        <v>134</v>
      </c>
      <c r="C116" s="486" t="str">
        <f>表1温室气体盘查表!C87</f>
        <v>自驾油车</v>
      </c>
      <c r="D116" s="508" t="str">
        <f>表1温室气体盘查表!D87</f>
        <v>-</v>
      </c>
      <c r="E116" s="510"/>
      <c r="F116" s="464">
        <f>表1温室气体盘查表!AM87</f>
        <v>4531.2742832535278</v>
      </c>
      <c r="G116" s="464">
        <f>表1温室气体盘查表!AF87</f>
        <v>4531.2742832535278</v>
      </c>
      <c r="H116" s="464">
        <f>表1温室气体盘查表!AG87</f>
        <v>0</v>
      </c>
      <c r="I116" s="464">
        <f>表1温室气体盘查表!AH87</f>
        <v>0</v>
      </c>
      <c r="J116" s="464">
        <f>表1温室气体盘查表!AI87</f>
        <v>0</v>
      </c>
      <c r="K116" s="464">
        <f>表1温室气体盘查表!AJ87</f>
        <v>0</v>
      </c>
      <c r="L116" s="464">
        <f>表1温室气体盘查表!AK87</f>
        <v>0</v>
      </c>
      <c r="M116" s="464">
        <f>表1温室气体盘查表!AL87</f>
        <v>0</v>
      </c>
    </row>
    <row r="117" spans="1:13" s="391" customFormat="1" ht="25.15" customHeight="1">
      <c r="A117" s="401"/>
      <c r="B117" s="504" t="s">
        <v>213</v>
      </c>
      <c r="C117" s="486" t="str">
        <f>表1温室气体盘查表!C88</f>
        <v>自驾电车</v>
      </c>
      <c r="D117" s="508" t="str">
        <f>表1温室气体盘查表!D88</f>
        <v>-</v>
      </c>
      <c r="E117" s="511"/>
      <c r="F117" s="464">
        <f>表1温室气体盘查表!AM88</f>
        <v>567.20146622544166</v>
      </c>
      <c r="G117" s="464">
        <f>表1温室气体盘查表!AF88</f>
        <v>567.20146622544166</v>
      </c>
      <c r="H117" s="464">
        <f>表1温室气体盘查表!AG88</f>
        <v>0</v>
      </c>
      <c r="I117" s="464">
        <f>表1温室气体盘查表!AH88</f>
        <v>0</v>
      </c>
      <c r="J117" s="464">
        <f>表1温室气体盘查表!AI88</f>
        <v>0</v>
      </c>
      <c r="K117" s="464">
        <f>表1温室气体盘查表!AJ88</f>
        <v>0</v>
      </c>
      <c r="L117" s="464">
        <f>表1温室气体盘查表!AK88</f>
        <v>0</v>
      </c>
      <c r="M117" s="464">
        <f>表1温室气体盘查表!AL88</f>
        <v>0</v>
      </c>
    </row>
    <row r="118" spans="1:13" s="391" customFormat="1" ht="25.15" customHeight="1">
      <c r="A118" s="401"/>
      <c r="B118" s="512"/>
      <c r="C118" s="513"/>
      <c r="D118" s="513"/>
      <c r="E118" s="514"/>
      <c r="F118" s="515"/>
      <c r="G118" s="515"/>
      <c r="H118" s="515"/>
      <c r="I118" s="515"/>
      <c r="J118" s="515"/>
      <c r="K118" s="515"/>
      <c r="L118" s="515"/>
      <c r="M118" s="515"/>
    </row>
    <row r="119" spans="1:13" s="391" customFormat="1" ht="25.15" customHeight="1">
      <c r="A119" s="401"/>
      <c r="B119" s="505" t="s">
        <v>135</v>
      </c>
      <c r="C119" s="506" t="str">
        <f>表1温室气体盘查表!B89</f>
        <v>下游运输配送产生的排放</v>
      </c>
      <c r="D119" s="507"/>
      <c r="E119" s="498"/>
      <c r="F119" s="470">
        <f>SUM(G119:M119)</f>
        <v>281081.73888085666</v>
      </c>
      <c r="G119" s="470">
        <f>SUM(G120:G123)</f>
        <v>281081.73888085666</v>
      </c>
      <c r="H119" s="470">
        <f t="shared" ref="H119:M119" si="16">SUM(H120:H122)</f>
        <v>0</v>
      </c>
      <c r="I119" s="470">
        <f t="shared" si="16"/>
        <v>0</v>
      </c>
      <c r="J119" s="470">
        <f t="shared" si="16"/>
        <v>0</v>
      </c>
      <c r="K119" s="470">
        <f t="shared" si="16"/>
        <v>0</v>
      </c>
      <c r="L119" s="470">
        <f t="shared" si="16"/>
        <v>0</v>
      </c>
      <c r="M119" s="470">
        <f t="shared" si="16"/>
        <v>0</v>
      </c>
    </row>
    <row r="120" spans="1:13" s="391" customFormat="1" ht="25.15" customHeight="1">
      <c r="A120" s="401"/>
      <c r="B120" s="504" t="s">
        <v>136</v>
      </c>
      <c r="C120" s="486" t="str">
        <f>表1温室气体盘查表!C89</f>
        <v>船运</v>
      </c>
      <c r="D120" s="508" t="str">
        <f>表1温室气体盘查表!D89</f>
        <v>-</v>
      </c>
      <c r="E120" s="509"/>
      <c r="F120" s="464">
        <f>表1温室气体盘查表!AM89</f>
        <v>50174.491306491567</v>
      </c>
      <c r="G120" s="464">
        <f>表1温室气体盘查表!AF89</f>
        <v>50174.491306491567</v>
      </c>
      <c r="H120" s="464">
        <f>表1温室气体盘查表!AG89</f>
        <v>0</v>
      </c>
      <c r="I120" s="464">
        <f>表1温室气体盘查表!AH89</f>
        <v>0</v>
      </c>
      <c r="J120" s="464">
        <f>表1温室气体盘查表!AI89</f>
        <v>0</v>
      </c>
      <c r="K120" s="464">
        <f>表1温室气体盘查表!AJ89</f>
        <v>0</v>
      </c>
      <c r="L120" s="464">
        <f>表1温室气体盘查表!AK89</f>
        <v>0</v>
      </c>
      <c r="M120" s="464">
        <f>表1温室气体盘查表!AL89</f>
        <v>0</v>
      </c>
    </row>
    <row r="121" spans="1:13" s="391" customFormat="1" ht="25.15" customHeight="1">
      <c r="A121" s="401"/>
      <c r="B121" s="504" t="s">
        <v>137</v>
      </c>
      <c r="C121" s="486" t="str">
        <f>表1温室气体盘查表!C90</f>
        <v>汽运</v>
      </c>
      <c r="D121" s="508" t="str">
        <f>表1温室气体盘查表!D90</f>
        <v>-</v>
      </c>
      <c r="E121" s="509"/>
      <c r="F121" s="464">
        <f>表1温室气体盘查表!AM90</f>
        <v>207696.57744565431</v>
      </c>
      <c r="G121" s="464">
        <f>表1温室气体盘查表!AF90</f>
        <v>207696.57744565431</v>
      </c>
      <c r="H121" s="464">
        <f>表1温室气体盘查表!AG90</f>
        <v>0</v>
      </c>
      <c r="I121" s="464">
        <f>表1温室气体盘查表!AH90</f>
        <v>0</v>
      </c>
      <c r="J121" s="464">
        <f>表1温室气体盘查表!AI90</f>
        <v>0</v>
      </c>
      <c r="K121" s="464">
        <f>表1温室气体盘查表!AJ90</f>
        <v>0</v>
      </c>
      <c r="L121" s="464">
        <f>表1温室气体盘查表!AK90</f>
        <v>0</v>
      </c>
      <c r="M121" s="464">
        <f>表1温室气体盘查表!AL90</f>
        <v>0</v>
      </c>
    </row>
    <row r="122" spans="1:13" s="391" customFormat="1" ht="25.15" customHeight="1">
      <c r="A122" s="401"/>
      <c r="B122" s="504" t="s">
        <v>138</v>
      </c>
      <c r="C122" s="486" t="str">
        <f>表1温室气体盘查表!C91</f>
        <v>铁路运输</v>
      </c>
      <c r="D122" s="508" t="str">
        <f>表1温室气体盘查表!D91</f>
        <v>-</v>
      </c>
      <c r="E122" s="510"/>
      <c r="F122" s="464">
        <f>表1温室气体盘查表!AM91</f>
        <v>16671.614413395077</v>
      </c>
      <c r="G122" s="464">
        <f>表1温室气体盘查表!AF91</f>
        <v>16671.614413395077</v>
      </c>
      <c r="H122" s="464">
        <f>表1温室气体盘查表!AG91</f>
        <v>0</v>
      </c>
      <c r="I122" s="464">
        <f>表1温室气体盘查表!AH91</f>
        <v>0</v>
      </c>
      <c r="J122" s="464">
        <f>表1温室气体盘查表!AI91</f>
        <v>0</v>
      </c>
      <c r="K122" s="464">
        <f>表1温室气体盘查表!AJ91</f>
        <v>0</v>
      </c>
      <c r="L122" s="464">
        <f>表1温室气体盘查表!AK91</f>
        <v>0</v>
      </c>
      <c r="M122" s="464">
        <f>表1温室气体盘查表!AL91</f>
        <v>0</v>
      </c>
    </row>
    <row r="123" spans="1:13" s="391" customFormat="1" ht="25.15" customHeight="1">
      <c r="A123" s="401"/>
      <c r="B123" s="504" t="s">
        <v>139</v>
      </c>
      <c r="C123" s="486" t="str">
        <f>表1温室气体盘查表!C92</f>
        <v>汽运-副产品</v>
      </c>
      <c r="D123" s="508" t="str">
        <f>表1温室气体盘查表!D92</f>
        <v>-</v>
      </c>
      <c r="E123" s="510"/>
      <c r="F123" s="464">
        <f>表1温室气体盘查表!AM92</f>
        <v>6539.0557153156715</v>
      </c>
      <c r="G123" s="464">
        <f>表1温室气体盘查表!AF92</f>
        <v>6539.0557153156715</v>
      </c>
      <c r="H123" s="464">
        <f>表1温室气体盘查表!AG92</f>
        <v>0</v>
      </c>
      <c r="I123" s="464">
        <f>表1温室气体盘查表!AH92</f>
        <v>0</v>
      </c>
      <c r="J123" s="464">
        <f>表1温室气体盘查表!AI92</f>
        <v>0</v>
      </c>
      <c r="K123" s="464">
        <f>表1温室气体盘查表!AJ92</f>
        <v>0</v>
      </c>
      <c r="L123" s="464">
        <f>表1温室气体盘查表!AK92</f>
        <v>0</v>
      </c>
      <c r="M123" s="464">
        <f>表1温室气体盘查表!AL92</f>
        <v>0</v>
      </c>
    </row>
    <row r="124" spans="1:13" s="391" customFormat="1" ht="25.15" customHeight="1">
      <c r="A124" s="401"/>
      <c r="B124" s="512"/>
      <c r="C124" s="513"/>
      <c r="D124" s="513"/>
      <c r="E124" s="514"/>
      <c r="F124" s="515"/>
      <c r="G124" s="515"/>
      <c r="H124" s="515"/>
      <c r="I124" s="515"/>
      <c r="J124" s="515"/>
      <c r="K124" s="515"/>
      <c r="L124" s="515"/>
      <c r="M124" s="515"/>
    </row>
    <row r="125" spans="1:13" s="391" customFormat="1" ht="26.25" customHeight="1">
      <c r="A125" s="401"/>
      <c r="B125" s="505" t="s">
        <v>140</v>
      </c>
      <c r="C125" s="506" t="str">
        <f>表1温室气体盘查表!B93</f>
        <v>外销产品加工产生的排放</v>
      </c>
      <c r="D125" s="507"/>
      <c r="E125" s="498"/>
      <c r="F125" s="470">
        <f>SUM(G125:M125)</f>
        <v>2449392.9070232175</v>
      </c>
      <c r="G125" s="470">
        <f>SUM(G126:G129)</f>
        <v>2449392.9070232175</v>
      </c>
      <c r="H125" s="470">
        <f>SUM(H126:H127)</f>
        <v>0</v>
      </c>
      <c r="I125" s="470">
        <f>SUM(I126:I127)</f>
        <v>0</v>
      </c>
      <c r="J125" s="470">
        <f>SUM(J126:J127)</f>
        <v>0</v>
      </c>
      <c r="K125" s="470">
        <f>SUM(K126:K127)</f>
        <v>0</v>
      </c>
      <c r="L125" s="470">
        <f>SUM(L126:L127)</f>
        <v>0</v>
      </c>
      <c r="M125" s="470">
        <f>SUM(M126:M128)</f>
        <v>0</v>
      </c>
    </row>
    <row r="126" spans="1:13" s="391" customFormat="1" ht="26.25" customHeight="1">
      <c r="A126" s="401"/>
      <c r="B126" s="504" t="s">
        <v>141</v>
      </c>
      <c r="C126" s="486" t="str">
        <f>表1温室气体盘查表!C93</f>
        <v>锻材加工</v>
      </c>
      <c r="D126" s="486" t="str">
        <f>表1温室气体盘查表!D93</f>
        <v>下游钢铁厂</v>
      </c>
      <c r="E126" s="509"/>
      <c r="F126" s="464">
        <f>表1温室气体盘查表!AM93</f>
        <v>135333.26981830696</v>
      </c>
      <c r="G126" s="464">
        <f>表1温室气体盘查表!AF93</f>
        <v>135333.26981830696</v>
      </c>
      <c r="H126" s="464">
        <f>表1温室气体盘查表!AG93</f>
        <v>0</v>
      </c>
      <c r="I126" s="464">
        <f>表1温室气体盘查表!AH93</f>
        <v>0</v>
      </c>
      <c r="J126" s="464">
        <f>表1温室气体盘查表!AI93</f>
        <v>0</v>
      </c>
      <c r="K126" s="464">
        <f>表1温室气体盘查表!AJ93</f>
        <v>0</v>
      </c>
      <c r="L126" s="464">
        <f>表1温室气体盘查表!AK93</f>
        <v>0</v>
      </c>
      <c r="M126" s="464">
        <f>表1温室气体盘查表!AL93</f>
        <v>0</v>
      </c>
    </row>
    <row r="127" spans="1:13" s="391" customFormat="1" ht="26.25" customHeight="1">
      <c r="A127" s="401"/>
      <c r="B127" s="504" t="s">
        <v>142</v>
      </c>
      <c r="C127" s="486" t="str">
        <f>表1温室气体盘查表!C94</f>
        <v>棒材加工</v>
      </c>
      <c r="D127" s="486" t="str">
        <f>表1温室气体盘查表!D94</f>
        <v>下游钢铁厂</v>
      </c>
      <c r="E127" s="510"/>
      <c r="F127" s="464">
        <f>表1温室气体盘查表!AM94</f>
        <v>2075519.7277605545</v>
      </c>
      <c r="G127" s="464">
        <f>表1温室气体盘查表!AF94</f>
        <v>2075519.7277605545</v>
      </c>
      <c r="H127" s="464">
        <f>表1温室气体盘查表!AG94</f>
        <v>0</v>
      </c>
      <c r="I127" s="464">
        <f>表1温室气体盘查表!AH94</f>
        <v>0</v>
      </c>
      <c r="J127" s="464">
        <f>表1温室气体盘查表!AI94</f>
        <v>0</v>
      </c>
      <c r="K127" s="464">
        <f>表1温室气体盘查表!AJ94</f>
        <v>0</v>
      </c>
      <c r="L127" s="464">
        <f>表1温室气体盘查表!AK94</f>
        <v>0</v>
      </c>
      <c r="M127" s="464">
        <f>表1温室气体盘查表!AL94</f>
        <v>0</v>
      </c>
    </row>
    <row r="128" spans="1:13" s="391" customFormat="1" ht="26.25" customHeight="1">
      <c r="A128" s="401"/>
      <c r="B128" s="504" t="s">
        <v>143</v>
      </c>
      <c r="C128" s="486" t="str">
        <f>表1温室气体盘查表!C95</f>
        <v>钢管加工</v>
      </c>
      <c r="D128" s="486" t="str">
        <f>表1温室气体盘查表!D95</f>
        <v>下游钢铁厂</v>
      </c>
      <c r="E128" s="516"/>
      <c r="F128" s="464">
        <f>表1温室气体盘查表!AM95</f>
        <v>61948.696404295377</v>
      </c>
      <c r="G128" s="464">
        <f>表1温室气体盘查表!AF95</f>
        <v>61948.696404295377</v>
      </c>
      <c r="H128" s="464">
        <f>表1温室气体盘查表!AG95</f>
        <v>0</v>
      </c>
      <c r="I128" s="464">
        <f>表1温室气体盘查表!AH95</f>
        <v>0</v>
      </c>
      <c r="J128" s="464">
        <f>表1温室气体盘查表!AI95</f>
        <v>0</v>
      </c>
      <c r="K128" s="464">
        <f>表1温室气体盘查表!AJ95</f>
        <v>0</v>
      </c>
      <c r="L128" s="464">
        <f>表1温室气体盘查表!AK95</f>
        <v>0</v>
      </c>
      <c r="M128" s="464">
        <f>表1温室气体盘查表!AL95</f>
        <v>0</v>
      </c>
    </row>
    <row r="129" spans="1:13" s="391" customFormat="1" ht="26.25" customHeight="1">
      <c r="A129" s="401"/>
      <c r="B129" s="504" t="s">
        <v>144</v>
      </c>
      <c r="C129" s="486" t="str">
        <f>表1温室气体盘查表!C96</f>
        <v>钢坯加工</v>
      </c>
      <c r="D129" s="486" t="str">
        <f>表1温室气体盘查表!D96</f>
        <v>下游钢铁厂</v>
      </c>
      <c r="E129" s="516"/>
      <c r="F129" s="464">
        <f>表1温室气体盘查表!AM96</f>
        <v>176591.21304006039</v>
      </c>
      <c r="G129" s="464">
        <f>表1温室气体盘查表!AF96</f>
        <v>176591.21304006039</v>
      </c>
      <c r="H129" s="464">
        <f>表1温室气体盘查表!AG96</f>
        <v>0</v>
      </c>
      <c r="I129" s="464">
        <f>表1温室气体盘查表!AH96</f>
        <v>0</v>
      </c>
      <c r="J129" s="464">
        <f>表1温室气体盘查表!AI96</f>
        <v>0</v>
      </c>
      <c r="K129" s="464">
        <f>表1温室气体盘查表!AJ96</f>
        <v>0</v>
      </c>
      <c r="L129" s="464">
        <f>表1温室气体盘查表!AK96</f>
        <v>0</v>
      </c>
      <c r="M129" s="464">
        <f>表1温室气体盘查表!AL96</f>
        <v>0</v>
      </c>
    </row>
    <row r="130" spans="1:13" s="391" customFormat="1" ht="26.25" customHeight="1">
      <c r="A130" s="401"/>
      <c r="D130" s="442"/>
    </row>
    <row r="131" spans="1:13" s="391" customFormat="1" ht="26.25" customHeight="1">
      <c r="A131" s="401"/>
      <c r="B131" s="505" t="s">
        <v>145</v>
      </c>
      <c r="C131" s="506" t="str">
        <f>表1温室气体盘查表!B97</f>
        <v>外销产品使用产生的排放</v>
      </c>
      <c r="D131" s="507"/>
      <c r="E131" s="498"/>
      <c r="F131" s="470">
        <f>SUM(G131:M131)</f>
        <v>6034.9101733989937</v>
      </c>
      <c r="G131" s="470">
        <f>SUM(G132)</f>
        <v>6027.4166284015209</v>
      </c>
      <c r="H131" s="470">
        <f t="shared" ref="H131:M131" si="17">SUM(H132:H133)</f>
        <v>3.7874982867658202</v>
      </c>
      <c r="I131" s="470">
        <f t="shared" si="17"/>
        <v>3.7060467107063406</v>
      </c>
      <c r="J131" s="470">
        <f t="shared" si="17"/>
        <v>0</v>
      </c>
      <c r="K131" s="470">
        <f t="shared" si="17"/>
        <v>0</v>
      </c>
      <c r="L131" s="470">
        <f t="shared" si="17"/>
        <v>0</v>
      </c>
      <c r="M131" s="470">
        <f t="shared" si="17"/>
        <v>0</v>
      </c>
    </row>
    <row r="132" spans="1:13" s="391" customFormat="1" ht="26.25" customHeight="1">
      <c r="A132" s="401"/>
      <c r="B132" s="504" t="s">
        <v>214</v>
      </c>
      <c r="C132" s="486" t="str">
        <f>表1温室气体盘查表!C97</f>
        <v>外售焦炉煤气燃烧</v>
      </c>
      <c r="D132" s="486" t="str">
        <f>表1温室气体盘查表!D95</f>
        <v>下游钢铁厂</v>
      </c>
      <c r="E132" s="509"/>
      <c r="F132" s="464">
        <f>表1温室气体盘查表!AM97</f>
        <v>6034.9101733989937</v>
      </c>
      <c r="G132" s="464">
        <f>表1温室气体盘查表!AF97</f>
        <v>6027.4166284015209</v>
      </c>
      <c r="H132" s="464">
        <f>表1温室气体盘查表!AG97</f>
        <v>3.7874982867658202</v>
      </c>
      <c r="I132" s="464">
        <f>表1温室气体盘查表!AH97</f>
        <v>3.7060467107063406</v>
      </c>
      <c r="J132" s="464">
        <f>表1温室气体盘查表!AI97</f>
        <v>0</v>
      </c>
      <c r="K132" s="464">
        <f>表1温室气体盘查表!AJ97</f>
        <v>0</v>
      </c>
      <c r="L132" s="464">
        <f>表1温室气体盘查表!AK97</f>
        <v>0</v>
      </c>
      <c r="M132" s="464">
        <f>表1温室气体盘查表!AL97</f>
        <v>0</v>
      </c>
    </row>
    <row r="133" spans="1:13" s="391" customFormat="1" ht="26.25" customHeight="1">
      <c r="A133" s="401"/>
      <c r="B133" s="474"/>
      <c r="C133" s="474"/>
      <c r="D133" s="517"/>
      <c r="E133" s="518"/>
      <c r="F133" s="429"/>
      <c r="G133" s="429"/>
      <c r="H133" s="429"/>
      <c r="I133" s="429"/>
      <c r="J133" s="429"/>
      <c r="K133" s="429"/>
      <c r="L133" s="429"/>
      <c r="M133" s="429"/>
    </row>
    <row r="134" spans="1:13" s="391" customFormat="1" ht="26.25" customHeight="1">
      <c r="A134" s="401"/>
      <c r="B134" s="505" t="s">
        <v>145</v>
      </c>
      <c r="C134" s="506" t="str">
        <f>表1温室气体盘查表!B98</f>
        <v>外售产品报废产生的排放</v>
      </c>
      <c r="D134" s="507"/>
      <c r="E134" s="498"/>
      <c r="F134" s="470">
        <f>SUM(G134:M134)</f>
        <v>3589.1150200565844</v>
      </c>
      <c r="G134" s="470">
        <f>SUM(G135)</f>
        <v>3589.1150200565844</v>
      </c>
      <c r="H134" s="470">
        <f t="shared" ref="H134:M134" si="18">SUM(H135:H136)</f>
        <v>0</v>
      </c>
      <c r="I134" s="470">
        <f t="shared" si="18"/>
        <v>0</v>
      </c>
      <c r="J134" s="470">
        <f t="shared" si="18"/>
        <v>0</v>
      </c>
      <c r="K134" s="470">
        <f t="shared" si="18"/>
        <v>0</v>
      </c>
      <c r="L134" s="470">
        <f t="shared" si="18"/>
        <v>0</v>
      </c>
      <c r="M134" s="470">
        <f t="shared" si="18"/>
        <v>0</v>
      </c>
    </row>
    <row r="135" spans="1:13" s="391" customFormat="1" ht="26.25" customHeight="1">
      <c r="A135" s="401"/>
      <c r="B135" s="504" t="s">
        <v>146</v>
      </c>
      <c r="C135" s="486" t="str">
        <f>表1温室气体盘查表!C98</f>
        <v>产品报废</v>
      </c>
      <c r="D135" s="486" t="str">
        <f>表1温室气体盘查表!D98</f>
        <v>下游钢铁厂</v>
      </c>
      <c r="E135" s="509"/>
      <c r="F135" s="464">
        <f>表1温室气体盘查表!AM98</f>
        <v>3589.1150200565844</v>
      </c>
      <c r="G135" s="464">
        <f>表1温室气体盘查表!AF98</f>
        <v>3589.1150200565844</v>
      </c>
      <c r="H135" s="464">
        <f>表1温室气体盘查表!AG98</f>
        <v>0</v>
      </c>
      <c r="I135" s="464">
        <f>表1温室气体盘查表!AH98</f>
        <v>0</v>
      </c>
      <c r="J135" s="464">
        <f>表1温室气体盘查表!AI98</f>
        <v>0</v>
      </c>
      <c r="K135" s="464">
        <f>表1温室气体盘查表!AJ98</f>
        <v>0</v>
      </c>
      <c r="L135" s="464">
        <f>表1温室气体盘查表!AK98</f>
        <v>0</v>
      </c>
      <c r="M135" s="464">
        <f>表1温室气体盘查表!AL98</f>
        <v>0</v>
      </c>
    </row>
    <row r="136" spans="1:13" ht="26.25" customHeight="1"/>
    <row r="137" spans="1:13" s="395" customFormat="1">
      <c r="A137" s="519"/>
      <c r="B137" s="520"/>
      <c r="C137" s="520"/>
      <c r="D137" s="521"/>
      <c r="E137" s="520"/>
      <c r="F137" s="522"/>
      <c r="G137" s="522"/>
      <c r="H137" s="522"/>
      <c r="I137" s="522"/>
      <c r="J137" s="522"/>
      <c r="K137" s="522"/>
      <c r="L137" s="522"/>
      <c r="M137" s="522"/>
    </row>
    <row r="138" spans="1:13" s="396" customFormat="1">
      <c r="B138" s="523"/>
      <c r="C138" s="523"/>
      <c r="D138" s="524"/>
      <c r="E138" s="523"/>
      <c r="F138" s="525"/>
      <c r="G138" s="525"/>
      <c r="H138" s="525"/>
      <c r="I138" s="525"/>
      <c r="J138" s="525"/>
      <c r="K138" s="525"/>
      <c r="L138" s="525"/>
      <c r="M138" s="525"/>
    </row>
    <row r="145" spans="8:8">
      <c r="H145" s="398"/>
    </row>
  </sheetData>
  <mergeCells count="13">
    <mergeCell ref="G13:M13"/>
    <mergeCell ref="B44:D44"/>
    <mergeCell ref="B12:B13"/>
    <mergeCell ref="C12:C13"/>
    <mergeCell ref="D12:D13"/>
    <mergeCell ref="E12:E13"/>
    <mergeCell ref="F12:F13"/>
    <mergeCell ref="L1:M1"/>
    <mergeCell ref="L2:M2"/>
    <mergeCell ref="L3:M3"/>
    <mergeCell ref="F7:G7"/>
    <mergeCell ref="L7:M7"/>
    <mergeCell ref="B1:K3"/>
  </mergeCells>
  <phoneticPr fontId="89" type="noConversion"/>
  <printOptions horizontalCentered="1"/>
  <pageMargins left="0.59055118110236204" right="0.59055118110236204" top="0.70866141732283505" bottom="0.59055118110236204" header="0.31496062992126" footer="0.31496062992126"/>
  <pageSetup paperSize="9" fitToHeight="0" orientation="landscape" horizontalDpi="300" verticalDpi="300"/>
  <headerFooter>
    <oddHeader>&amp;L&amp;"-,常规"&amp;10南侨版本/修改号NC Edition/Rev.Code：A/0
吉好版本/修改号YY Edition/Rev.Code：A/0
&amp;R&amp;"-,常规"&amp;10记录标识/Identification Code:7.2 GYGZ/GHG.R015.02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P185"/>
  <sheetViews>
    <sheetView showGridLines="0" tabSelected="1" topLeftCell="A37" zoomScaleNormal="100" zoomScalePageLayoutView="85" workbookViewId="0">
      <selection activeCell="F42" sqref="F42"/>
    </sheetView>
  </sheetViews>
  <sheetFormatPr defaultColWidth="8.75" defaultRowHeight="13.5" customHeight="1"/>
  <cols>
    <col min="1" max="1" width="16.375" style="21" bestFit="1" customWidth="1"/>
    <col min="2" max="2" width="40.25" style="21" bestFit="1" customWidth="1"/>
    <col min="3" max="3" width="14.625" style="21" customWidth="1"/>
    <col min="4" max="4" width="21.125" style="21" hidden="1" customWidth="1"/>
    <col min="5" max="5" width="14.25" style="258" customWidth="1"/>
    <col min="6" max="6" width="14.5" style="21" customWidth="1"/>
    <col min="7" max="7" width="10.5" style="21" customWidth="1"/>
    <col min="8" max="8" width="59.375" style="21" customWidth="1"/>
    <col min="9" max="9" width="12.375" style="21" customWidth="1"/>
    <col min="10" max="10" width="22.5" style="21" customWidth="1"/>
    <col min="11" max="11" width="13.875" style="21" customWidth="1"/>
    <col min="12" max="12" width="11.125" style="21" customWidth="1"/>
    <col min="13" max="13" width="13.5" style="21" customWidth="1"/>
    <col min="14" max="14" width="7.5" style="21" customWidth="1"/>
    <col min="15" max="15" width="9.75" style="21" customWidth="1"/>
    <col min="16" max="16" width="11.5" style="21" customWidth="1"/>
    <col min="17" max="17" width="8.125" style="21" customWidth="1"/>
    <col min="18" max="18" width="8.5" style="21" customWidth="1"/>
    <col min="19" max="19" width="10.375" style="21" customWidth="1"/>
    <col min="20" max="20" width="9.375" style="21" customWidth="1"/>
    <col min="21" max="21" width="10.125" style="21" customWidth="1"/>
    <col min="22" max="22" width="8.5" style="21" customWidth="1"/>
    <col min="23" max="23" width="10.375" style="21" customWidth="1"/>
    <col min="24" max="24" width="6.5" style="21" customWidth="1"/>
    <col min="25" max="25" width="14.625" style="21" customWidth="1"/>
    <col min="26" max="26" width="8.5" style="21" customWidth="1"/>
    <col min="27" max="27" width="10.375" style="21" customWidth="1"/>
    <col min="28" max="28" width="6.5" style="21" customWidth="1"/>
    <col min="29" max="29" width="8.5" style="21" customWidth="1"/>
    <col min="30" max="30" width="10.375" style="21" customWidth="1"/>
    <col min="31" max="31" width="6.5" style="21" customWidth="1"/>
    <col min="32" max="32" width="19.25" style="21" customWidth="1"/>
    <col min="33" max="38" width="13.625" style="21" customWidth="1"/>
    <col min="39" max="40" width="18.625" style="21" customWidth="1"/>
    <col min="41" max="41" width="15.875" style="21" customWidth="1"/>
    <col min="42" max="42" width="14.875" style="21" customWidth="1"/>
    <col min="43" max="66" width="9" style="21"/>
    <col min="67" max="16384" width="8.75" style="21"/>
  </cols>
  <sheetData>
    <row r="1" spans="1:42" ht="26.25">
      <c r="A1" s="577" t="s">
        <v>215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</row>
    <row r="2" spans="1:42" s="15" customFormat="1" ht="13.5" customHeight="1">
      <c r="A2" s="570" t="s">
        <v>216</v>
      </c>
      <c r="B2" s="570" t="s">
        <v>217</v>
      </c>
      <c r="C2" s="570" t="s">
        <v>218</v>
      </c>
      <c r="D2" s="570" t="s">
        <v>219</v>
      </c>
      <c r="E2" s="570" t="s">
        <v>220</v>
      </c>
      <c r="F2" s="578" t="s">
        <v>221</v>
      </c>
      <c r="G2" s="579"/>
      <c r="H2" s="580"/>
      <c r="I2" s="570" t="s">
        <v>222</v>
      </c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  <c r="AA2" s="570"/>
      <c r="AB2" s="570"/>
      <c r="AC2" s="570"/>
      <c r="AD2" s="570"/>
      <c r="AE2" s="570"/>
      <c r="AF2" s="570" t="s">
        <v>223</v>
      </c>
      <c r="AG2" s="570"/>
      <c r="AH2" s="570"/>
      <c r="AI2" s="570"/>
      <c r="AJ2" s="570"/>
      <c r="AK2" s="570"/>
      <c r="AL2" s="570"/>
      <c r="AM2" s="570"/>
      <c r="AN2" s="260"/>
    </row>
    <row r="3" spans="1:42" s="15" customFormat="1" ht="13.5" customHeight="1">
      <c r="A3" s="570"/>
      <c r="B3" s="570"/>
      <c r="C3" s="570"/>
      <c r="D3" s="570"/>
      <c r="E3" s="570"/>
      <c r="F3" s="581"/>
      <c r="G3" s="582"/>
      <c r="H3" s="583"/>
      <c r="I3" s="570" t="s">
        <v>224</v>
      </c>
      <c r="J3" s="570"/>
      <c r="K3" s="570"/>
      <c r="L3" s="570" t="s">
        <v>225</v>
      </c>
      <c r="M3" s="570"/>
      <c r="N3" s="570"/>
      <c r="O3" s="570" t="s">
        <v>226</v>
      </c>
      <c r="P3" s="570"/>
      <c r="Q3" s="570"/>
      <c r="R3" s="570" t="s">
        <v>29</v>
      </c>
      <c r="S3" s="570"/>
      <c r="T3" s="570"/>
      <c r="U3" s="570"/>
      <c r="V3" s="570" t="s">
        <v>30</v>
      </c>
      <c r="W3" s="570"/>
      <c r="X3" s="570"/>
      <c r="Y3" s="570"/>
      <c r="Z3" s="570" t="s">
        <v>227</v>
      </c>
      <c r="AA3" s="570"/>
      <c r="AB3" s="570"/>
      <c r="AC3" s="570" t="s">
        <v>228</v>
      </c>
      <c r="AD3" s="570"/>
      <c r="AE3" s="570"/>
      <c r="AF3" s="259" t="s">
        <v>224</v>
      </c>
      <c r="AG3" s="259" t="s">
        <v>225</v>
      </c>
      <c r="AH3" s="259" t="s">
        <v>226</v>
      </c>
      <c r="AI3" s="259" t="s">
        <v>29</v>
      </c>
      <c r="AJ3" s="259" t="s">
        <v>30</v>
      </c>
      <c r="AK3" s="259" t="s">
        <v>227</v>
      </c>
      <c r="AL3" s="259" t="s">
        <v>228</v>
      </c>
      <c r="AM3" s="259" t="s">
        <v>229</v>
      </c>
      <c r="AN3" s="260"/>
    </row>
    <row r="4" spans="1:42" s="15" customFormat="1" ht="13.5" customHeight="1">
      <c r="A4" s="570"/>
      <c r="B4" s="570"/>
      <c r="C4" s="570"/>
      <c r="D4" s="570"/>
      <c r="E4" s="570"/>
      <c r="F4" s="259" t="s">
        <v>230</v>
      </c>
      <c r="G4" s="259" t="s">
        <v>231</v>
      </c>
      <c r="H4" s="261" t="s">
        <v>232</v>
      </c>
      <c r="I4" s="259" t="s">
        <v>233</v>
      </c>
      <c r="J4" s="259" t="s">
        <v>231</v>
      </c>
      <c r="K4" s="259" t="s">
        <v>234</v>
      </c>
      <c r="L4" s="259" t="s">
        <v>233</v>
      </c>
      <c r="M4" s="259" t="s">
        <v>231</v>
      </c>
      <c r="N4" s="259" t="s">
        <v>234</v>
      </c>
      <c r="O4" s="259" t="s">
        <v>233</v>
      </c>
      <c r="P4" s="259" t="s">
        <v>231</v>
      </c>
      <c r="Q4" s="259" t="s">
        <v>234</v>
      </c>
      <c r="R4" s="259" t="s">
        <v>233</v>
      </c>
      <c r="S4" s="259" t="s">
        <v>231</v>
      </c>
      <c r="T4" s="259" t="s">
        <v>234</v>
      </c>
      <c r="U4" s="259" t="s">
        <v>235</v>
      </c>
      <c r="V4" s="259" t="s">
        <v>233</v>
      </c>
      <c r="W4" s="259" t="s">
        <v>231</v>
      </c>
      <c r="X4" s="259" t="s">
        <v>234</v>
      </c>
      <c r="Y4" s="259" t="s">
        <v>235</v>
      </c>
      <c r="Z4" s="259" t="s">
        <v>233</v>
      </c>
      <c r="AA4" s="259" t="s">
        <v>231</v>
      </c>
      <c r="AB4" s="259" t="s">
        <v>234</v>
      </c>
      <c r="AC4" s="259" t="s">
        <v>233</v>
      </c>
      <c r="AD4" s="259" t="s">
        <v>231</v>
      </c>
      <c r="AE4" s="259" t="s">
        <v>234</v>
      </c>
      <c r="AF4" s="570" t="s">
        <v>236</v>
      </c>
      <c r="AG4" s="570"/>
      <c r="AH4" s="570"/>
      <c r="AI4" s="570"/>
      <c r="AJ4" s="570"/>
      <c r="AK4" s="570"/>
      <c r="AL4" s="570"/>
      <c r="AM4" s="570"/>
      <c r="AN4" s="260"/>
      <c r="AO4" s="15">
        <v>2024</v>
      </c>
      <c r="AP4" s="17" t="s">
        <v>237</v>
      </c>
    </row>
    <row r="5" spans="1:42" s="15" customFormat="1" ht="13.5" customHeight="1">
      <c r="A5" s="262">
        <v>1</v>
      </c>
      <c r="B5" s="263" t="s">
        <v>238</v>
      </c>
      <c r="C5" s="264" t="s">
        <v>239</v>
      </c>
      <c r="D5" s="265" t="s">
        <v>240</v>
      </c>
      <c r="E5" s="266" t="s">
        <v>241</v>
      </c>
      <c r="F5" s="267">
        <f>ROUND(1454.003,2)</f>
        <v>1454</v>
      </c>
      <c r="G5" s="268" t="s">
        <v>242</v>
      </c>
      <c r="H5" s="269" t="s">
        <v>243</v>
      </c>
      <c r="I5" s="270">
        <f>SUMIF('附表2-EF'!$D$5:$D$15,表1温室气体盘查表!C5,'附表2-EF'!$L$5:$L$15)</f>
        <v>21.621888089999999</v>
      </c>
      <c r="J5" s="268" t="s">
        <v>244</v>
      </c>
      <c r="K5" s="271">
        <f>'附表1-GWP TABLE'!E3</f>
        <v>1</v>
      </c>
      <c r="L5" s="272">
        <f>SUMIF('附表2-EF'!$D$5:$D$15,表1温室气体盘查表!C5,'附表2-EF'!$M$5:$M$15)</f>
        <v>3.8541690000000001E-4</v>
      </c>
      <c r="M5" s="268"/>
      <c r="N5" s="271">
        <f>'附表1-GWP TABLE'!E4</f>
        <v>27.9</v>
      </c>
      <c r="O5" s="272">
        <f>SUMIF('附表2-EF'!$D$5:$D$15,表1温室气体盘查表!C5,'附表2-EF'!$N$5:$N$15)</f>
        <v>3.8541690000000003E-5</v>
      </c>
      <c r="P5" s="268"/>
      <c r="Q5" s="271">
        <f>'附表1-GWP TABLE'!E5</f>
        <v>273</v>
      </c>
      <c r="R5" s="273"/>
      <c r="S5" s="274"/>
      <c r="T5" s="275"/>
      <c r="U5" s="274"/>
      <c r="V5" s="276"/>
      <c r="W5" s="268"/>
      <c r="X5" s="277"/>
      <c r="Y5" s="268"/>
      <c r="Z5" s="276"/>
      <c r="AA5" s="268"/>
      <c r="AB5" s="271"/>
      <c r="AC5" s="276"/>
      <c r="AD5" s="274"/>
      <c r="AE5" s="271"/>
      <c r="AF5" s="278">
        <f t="shared" ref="AF5:AF18" si="0">F5*I5*K5</f>
        <v>31438.225282859999</v>
      </c>
      <c r="AG5" s="278">
        <f t="shared" ref="AG5:AG18" si="1">F5*L5*N5</f>
        <v>15.635053215539997</v>
      </c>
      <c r="AH5" s="278">
        <f t="shared" ref="AH5:AH18" si="2">F5*O5*Q5</f>
        <v>15.298815511980003</v>
      </c>
      <c r="AI5" s="278">
        <f t="shared" ref="AI5:AI18" si="3">F5*R5*T5</f>
        <v>0</v>
      </c>
      <c r="AJ5" s="278">
        <f t="shared" ref="AJ5:AJ18" si="4">F5*V5*X5</f>
        <v>0</v>
      </c>
      <c r="AK5" s="278">
        <f t="shared" ref="AK5:AK18" si="5">F5*Z5*AB5</f>
        <v>0</v>
      </c>
      <c r="AL5" s="278">
        <f t="shared" ref="AL5:AL18" si="6">F5*AC5*AE5</f>
        <v>0</v>
      </c>
      <c r="AM5" s="278">
        <f t="shared" ref="AM5:AM18" si="7">SUM(AF5:AL5)</f>
        <v>31469.159151587519</v>
      </c>
      <c r="AN5" s="264" t="s">
        <v>239</v>
      </c>
      <c r="AO5" s="279">
        <v>38881.726082692898</v>
      </c>
      <c r="AP5" s="279">
        <f t="shared" ref="AP5:AP9" si="8">AM5-AO5</f>
        <v>-7412.5669311053789</v>
      </c>
    </row>
    <row r="6" spans="1:42" s="16" customFormat="1" ht="13.5" customHeight="1">
      <c r="A6" s="262">
        <v>2</v>
      </c>
      <c r="B6" s="263" t="s">
        <v>238</v>
      </c>
      <c r="C6" s="143" t="s">
        <v>245</v>
      </c>
      <c r="D6" s="265" t="s">
        <v>246</v>
      </c>
      <c r="E6" s="266" t="s">
        <v>241</v>
      </c>
      <c r="F6" s="280">
        <f>ROUND(9.4345,2)</f>
        <v>9.43</v>
      </c>
      <c r="G6" s="281" t="s">
        <v>247</v>
      </c>
      <c r="H6" s="282" t="s">
        <v>248</v>
      </c>
      <c r="I6" s="270">
        <f>SUMIF('附表2-EF'!$D$5:$D$15,表1温室气体盘查表!C6,'附表2-EF'!$L$5:$L$15)</f>
        <v>3.1029690020000005</v>
      </c>
      <c r="J6" s="268" t="s">
        <v>249</v>
      </c>
      <c r="K6" s="283">
        <v>1</v>
      </c>
      <c r="L6" s="272">
        <f>SUMIF('附表2-EF'!$D$5:$D$15,表1温室气体盘查表!C6,'附表2-EF'!$M$5:$M$15)</f>
        <v>4.9175419999999998E-5</v>
      </c>
      <c r="M6" s="284"/>
      <c r="N6" s="283">
        <f>'附表1-GWP TABLE'!E4</f>
        <v>27.9</v>
      </c>
      <c r="O6" s="272">
        <f>SUMIF('附表2-EF'!$D$5:$D$15,表1温室气体盘查表!C6,'附表2-EF'!$N$5:$N$15)</f>
        <v>4.9175420000000007E-6</v>
      </c>
      <c r="P6" s="281"/>
      <c r="Q6" s="283">
        <f>'附表1-GWP TABLE'!E5</f>
        <v>273</v>
      </c>
      <c r="R6" s="285"/>
      <c r="S6" s="286"/>
      <c r="T6" s="287"/>
      <c r="U6" s="288"/>
      <c r="V6" s="289"/>
      <c r="W6" s="281"/>
      <c r="X6" s="290"/>
      <c r="Y6" s="281"/>
      <c r="Z6" s="289"/>
      <c r="AA6" s="281"/>
      <c r="AB6" s="283"/>
      <c r="AC6" s="289"/>
      <c r="AD6" s="286"/>
      <c r="AE6" s="283"/>
      <c r="AF6" s="278">
        <f t="shared" si="0"/>
        <v>29.260997688860005</v>
      </c>
      <c r="AG6" s="278">
        <f t="shared" si="1"/>
        <v>1.2937905475739997E-2</v>
      </c>
      <c r="AH6" s="278">
        <f t="shared" si="2"/>
        <v>1.2659670949380001E-2</v>
      </c>
      <c r="AI6" s="278">
        <f t="shared" si="3"/>
        <v>0</v>
      </c>
      <c r="AJ6" s="278">
        <f t="shared" si="4"/>
        <v>0</v>
      </c>
      <c r="AK6" s="278">
        <f t="shared" si="5"/>
        <v>0</v>
      </c>
      <c r="AL6" s="278">
        <f t="shared" si="6"/>
        <v>0</v>
      </c>
      <c r="AM6" s="278">
        <f t="shared" si="7"/>
        <v>29.286595265285126</v>
      </c>
      <c r="AN6" s="143" t="s">
        <v>245</v>
      </c>
      <c r="AO6" s="291">
        <v>29.162367925877799</v>
      </c>
      <c r="AP6" s="279">
        <f t="shared" si="8"/>
        <v>0.12422733940732655</v>
      </c>
    </row>
    <row r="7" spans="1:42" s="15" customFormat="1" ht="13.5" customHeight="1">
      <c r="A7" s="262">
        <v>3</v>
      </c>
      <c r="B7" s="263" t="s">
        <v>238</v>
      </c>
      <c r="C7" s="264" t="s">
        <v>250</v>
      </c>
      <c r="D7" s="323" t="s">
        <v>251</v>
      </c>
      <c r="E7" s="266" t="s">
        <v>241</v>
      </c>
      <c r="F7" s="539">
        <v>323067.87000000005</v>
      </c>
      <c r="G7" s="268" t="s">
        <v>247</v>
      </c>
      <c r="H7" s="542" t="s">
        <v>886</v>
      </c>
      <c r="I7" s="270">
        <f>SUMIF('附表2-EF'!$D$5:$D$15,表1温室气体盘查表!C7,'附表2-EF'!$L$5:$L$15)</f>
        <v>2.3099163119999999</v>
      </c>
      <c r="J7" s="268" t="s">
        <v>249</v>
      </c>
      <c r="K7" s="271">
        <f>'附表1-GWP TABLE'!E3</f>
        <v>1</v>
      </c>
      <c r="L7" s="272">
        <f>SUMIF('附表2-EF'!$D$5:$D$15,表1温室气体盘查表!C7,'附表2-EF'!$M$5:$M$15)</f>
        <v>2.3498640000000002E-5</v>
      </c>
      <c r="M7" s="268"/>
      <c r="N7" s="271">
        <f>'附表1-GWP TABLE'!E4</f>
        <v>27.9</v>
      </c>
      <c r="O7" s="272">
        <f>SUMIF('附表2-EF'!$D$5:$D$15,表1温室气体盘查表!C7,'附表2-EF'!$N$5:$N$15)</f>
        <v>3.5247960000000003E-5</v>
      </c>
      <c r="P7" s="268"/>
      <c r="Q7" s="271">
        <f>'附表1-GWP TABLE'!E5</f>
        <v>273</v>
      </c>
      <c r="R7" s="273"/>
      <c r="S7" s="274"/>
      <c r="T7" s="275"/>
      <c r="U7" s="274"/>
      <c r="V7" s="276"/>
      <c r="W7" s="268"/>
      <c r="X7" s="277"/>
      <c r="Y7" s="268"/>
      <c r="Z7" s="276"/>
      <c r="AA7" s="268"/>
      <c r="AB7" s="271"/>
      <c r="AC7" s="276"/>
      <c r="AD7" s="274"/>
      <c r="AE7" s="271"/>
      <c r="AF7" s="278">
        <f t="shared" si="0"/>
        <v>746259.74279609555</v>
      </c>
      <c r="AG7" s="278">
        <f t="shared" si="1"/>
        <v>211.80719047824078</v>
      </c>
      <c r="AH7" s="278">
        <f t="shared" si="2"/>
        <v>3108.7829570193403</v>
      </c>
      <c r="AI7" s="278">
        <f t="shared" si="3"/>
        <v>0</v>
      </c>
      <c r="AJ7" s="278">
        <f t="shared" si="4"/>
        <v>0</v>
      </c>
      <c r="AK7" s="278">
        <f t="shared" si="5"/>
        <v>0</v>
      </c>
      <c r="AL7" s="278">
        <f t="shared" si="6"/>
        <v>0</v>
      </c>
      <c r="AM7" s="278">
        <f t="shared" si="7"/>
        <v>749580.33294359304</v>
      </c>
      <c r="AN7" s="264" t="s">
        <v>250</v>
      </c>
      <c r="AO7" s="279">
        <v>925941.31884315598</v>
      </c>
      <c r="AP7" s="279">
        <f t="shared" si="8"/>
        <v>-176360.98589956295</v>
      </c>
    </row>
    <row r="8" spans="1:42" s="15" customFormat="1" ht="13.5" customHeight="1">
      <c r="A8" s="262">
        <v>4</v>
      </c>
      <c r="B8" s="263" t="s">
        <v>238</v>
      </c>
      <c r="C8" s="264" t="s">
        <v>253</v>
      </c>
      <c r="D8" s="540" t="s">
        <v>254</v>
      </c>
      <c r="E8" s="266" t="s">
        <v>241</v>
      </c>
      <c r="F8" s="539">
        <v>335482.33</v>
      </c>
      <c r="G8" s="268" t="s">
        <v>247</v>
      </c>
      <c r="H8" s="542" t="s">
        <v>886</v>
      </c>
      <c r="I8" s="270">
        <f>SUMIF('附表2-EF'!$D$5:$D$15,表1温室气体盘查表!C8,'附表2-EF'!$L$5:$L$15)</f>
        <v>2.4352606080000001</v>
      </c>
      <c r="J8" s="268" t="s">
        <v>249</v>
      </c>
      <c r="K8" s="271">
        <f>'附表1-GWP TABLE'!E3</f>
        <v>1</v>
      </c>
      <c r="L8" s="272">
        <f>SUMIF('附表2-EF'!$D$5:$D$15,表1温室气体盘查表!C8,'附表2-EF'!$M$5:$M$15)</f>
        <v>2.4773759999999997E-5</v>
      </c>
      <c r="M8" s="268"/>
      <c r="N8" s="271">
        <f>'附表1-GWP TABLE'!E4</f>
        <v>27.9</v>
      </c>
      <c r="O8" s="272">
        <f>SUMIF('附表2-EF'!$D$5:$D$15,表1温室气体盘查表!C8,'附表2-EF'!$N$5:$N$15)</f>
        <v>3.7160640000000001E-5</v>
      </c>
      <c r="P8" s="268"/>
      <c r="Q8" s="271">
        <f>'附表1-GWP TABLE'!E5</f>
        <v>273</v>
      </c>
      <c r="R8" s="273"/>
      <c r="S8" s="274"/>
      <c r="T8" s="275"/>
      <c r="U8" s="274"/>
      <c r="V8" s="276"/>
      <c r="W8" s="268"/>
      <c r="X8" s="277"/>
      <c r="Y8" s="268"/>
      <c r="Z8" s="276"/>
      <c r="AA8" s="268"/>
      <c r="AB8" s="271"/>
      <c r="AC8" s="276"/>
      <c r="AD8" s="274"/>
      <c r="AE8" s="271"/>
      <c r="AF8" s="278">
        <f t="shared" si="0"/>
        <v>816986.90292905667</v>
      </c>
      <c r="AG8" s="278">
        <f t="shared" si="1"/>
        <v>231.88132850173631</v>
      </c>
      <c r="AH8" s="278">
        <f t="shared" si="2"/>
        <v>3403.4194989770981</v>
      </c>
      <c r="AI8" s="278">
        <f t="shared" si="3"/>
        <v>0</v>
      </c>
      <c r="AJ8" s="278">
        <f t="shared" si="4"/>
        <v>0</v>
      </c>
      <c r="AK8" s="278">
        <f t="shared" si="5"/>
        <v>0</v>
      </c>
      <c r="AL8" s="278">
        <f t="shared" si="6"/>
        <v>0</v>
      </c>
      <c r="AM8" s="278">
        <f t="shared" si="7"/>
        <v>820622.20375653554</v>
      </c>
      <c r="AN8" s="292" t="s">
        <v>253</v>
      </c>
      <c r="AO8" s="279">
        <v>637282.392059932</v>
      </c>
      <c r="AP8" s="293">
        <f t="shared" si="8"/>
        <v>183339.81169660354</v>
      </c>
    </row>
    <row r="9" spans="1:42" s="17" customFormat="1" ht="13.5" customHeight="1">
      <c r="A9" s="262">
        <v>5</v>
      </c>
      <c r="B9" s="294" t="s">
        <v>255</v>
      </c>
      <c r="C9" s="295" t="s">
        <v>256</v>
      </c>
      <c r="D9" s="296" t="s">
        <v>257</v>
      </c>
      <c r="E9" s="266" t="s">
        <v>241</v>
      </c>
      <c r="F9" s="541">
        <v>2093622.77</v>
      </c>
      <c r="G9" s="297" t="s">
        <v>247</v>
      </c>
      <c r="H9" s="542" t="s">
        <v>886</v>
      </c>
      <c r="I9" s="270">
        <f>SUMIF('附表2-EF'!$D$5:$D$15,表1温室气体盘查表!C9,'附表2-EF'!$L$5:$L$15)</f>
        <v>2.4672209760000001</v>
      </c>
      <c r="J9" s="298" t="s">
        <v>249</v>
      </c>
      <c r="K9" s="271">
        <f>'附表1-GWP TABLE'!E3</f>
        <v>1</v>
      </c>
      <c r="L9" s="272">
        <f>SUMIF('附表2-EF'!$D$5:$D$15,表1温室气体盘查表!C9,'附表2-EF'!$M$5:$M$15)</f>
        <v>2.608056E-5</v>
      </c>
      <c r="M9" s="298"/>
      <c r="N9" s="299">
        <f>'附表1-GWP TABLE'!E4</f>
        <v>27.9</v>
      </c>
      <c r="O9" s="272">
        <f>SUMIF('附表2-EF'!$D$5:$D$15,表1温室气体盘查表!C9,'附表2-EF'!$N$5:$N$15)</f>
        <v>3.9120840000000003E-5</v>
      </c>
      <c r="P9" s="298"/>
      <c r="Q9" s="299">
        <f>'附表1-GWP TABLE'!E5</f>
        <v>273</v>
      </c>
      <c r="R9" s="300"/>
      <c r="S9" s="301"/>
      <c r="T9" s="302"/>
      <c r="U9" s="301"/>
      <c r="V9" s="303"/>
      <c r="W9" s="298"/>
      <c r="X9" s="304"/>
      <c r="Y9" s="298"/>
      <c r="Z9" s="303"/>
      <c r="AA9" s="298"/>
      <c r="AB9" s="299"/>
      <c r="AC9" s="303"/>
      <c r="AD9" s="301"/>
      <c r="AE9" s="299"/>
      <c r="AF9" s="278">
        <f t="shared" si="0"/>
        <v>5165430.0139752235</v>
      </c>
      <c r="AG9" s="278">
        <f t="shared" si="1"/>
        <v>1523.4196341427985</v>
      </c>
      <c r="AH9" s="278">
        <f t="shared" si="2"/>
        <v>22359.868823708817</v>
      </c>
      <c r="AI9" s="278">
        <f t="shared" si="3"/>
        <v>0</v>
      </c>
      <c r="AJ9" s="278">
        <f t="shared" si="4"/>
        <v>0</v>
      </c>
      <c r="AK9" s="278">
        <f t="shared" si="5"/>
        <v>0</v>
      </c>
      <c r="AL9" s="278">
        <f t="shared" si="6"/>
        <v>0</v>
      </c>
      <c r="AM9" s="278">
        <f t="shared" si="7"/>
        <v>5189313.3024330754</v>
      </c>
      <c r="AN9" s="305" t="s">
        <v>256</v>
      </c>
      <c r="AO9" s="279">
        <v>4824841.57343012</v>
      </c>
      <c r="AP9" s="293">
        <f t="shared" si="8"/>
        <v>364471.72900295537</v>
      </c>
    </row>
    <row r="10" spans="1:42" s="15" customFormat="1" ht="13.5" customHeight="1">
      <c r="A10" s="262">
        <v>6</v>
      </c>
      <c r="B10" s="263" t="s">
        <v>238</v>
      </c>
      <c r="C10" s="295" t="s">
        <v>258</v>
      </c>
      <c r="D10" s="296" t="s">
        <v>259</v>
      </c>
      <c r="E10" s="266" t="s">
        <v>241</v>
      </c>
      <c r="F10" s="539">
        <v>221509.16999999998</v>
      </c>
      <c r="G10" s="268" t="s">
        <v>247</v>
      </c>
      <c r="H10" s="542" t="s">
        <v>886</v>
      </c>
      <c r="I10" s="270">
        <f>SUMIF('附表2-EF'!$D$5:$D$15,表1温室气体盘查表!C10,'附表2-EF'!$L$5:$L$15)</f>
        <v>3.01211955</v>
      </c>
      <c r="J10" s="268" t="s">
        <v>249</v>
      </c>
      <c r="K10" s="271">
        <f>'附表1-GWP TABLE'!E3</f>
        <v>1</v>
      </c>
      <c r="L10" s="272">
        <f>SUMIF('附表2-EF'!$D$5:$D$15,表1温室气体盘查表!C10,'附表2-EF'!$M$5:$M$15)</f>
        <v>2.8150649999999998E-5</v>
      </c>
      <c r="M10" s="268"/>
      <c r="N10" s="271">
        <f>'附表1-GWP TABLE'!E4</f>
        <v>27.9</v>
      </c>
      <c r="O10" s="272">
        <f>SUMIF('附表2-EF'!$D$5:$D$15,表1温室气体盘查表!C10,'附表2-EF'!$N$5:$N$15)</f>
        <v>4.2225974999999997E-5</v>
      </c>
      <c r="P10" s="268"/>
      <c r="Q10" s="271">
        <f>'附表1-GWP TABLE'!E5</f>
        <v>273</v>
      </c>
      <c r="R10" s="273"/>
      <c r="S10" s="274"/>
      <c r="T10" s="275"/>
      <c r="U10" s="274"/>
      <c r="V10" s="276"/>
      <c r="W10" s="268"/>
      <c r="X10" s="277"/>
      <c r="Y10" s="268"/>
      <c r="Z10" s="276"/>
      <c r="AA10" s="268"/>
      <c r="AB10" s="271"/>
      <c r="AC10" s="276"/>
      <c r="AD10" s="274"/>
      <c r="AE10" s="271"/>
      <c r="AF10" s="278">
        <f t="shared" si="0"/>
        <v>667212.1014612735</v>
      </c>
      <c r="AG10" s="278">
        <f t="shared" si="1"/>
        <v>173.97399654924791</v>
      </c>
      <c r="AH10" s="278">
        <f t="shared" si="2"/>
        <v>2553.4893041905743</v>
      </c>
      <c r="AI10" s="278">
        <f t="shared" si="3"/>
        <v>0</v>
      </c>
      <c r="AJ10" s="278">
        <f t="shared" si="4"/>
        <v>0</v>
      </c>
      <c r="AK10" s="278">
        <f t="shared" si="5"/>
        <v>0</v>
      </c>
      <c r="AL10" s="278">
        <f t="shared" si="6"/>
        <v>0</v>
      </c>
      <c r="AM10" s="278">
        <f t="shared" si="7"/>
        <v>669939.56476201338</v>
      </c>
      <c r="AN10" s="295" t="s">
        <v>258</v>
      </c>
      <c r="AO10" s="279">
        <v>439843.84434853197</v>
      </c>
      <c r="AP10" s="279">
        <f t="shared" ref="AP10:AP55" si="9">AM10-AO10</f>
        <v>230095.72041348141</v>
      </c>
    </row>
    <row r="11" spans="1:42" s="19" customFormat="1" ht="13.5" customHeight="1">
      <c r="A11" s="262">
        <v>7</v>
      </c>
      <c r="B11" s="333" t="s">
        <v>255</v>
      </c>
      <c r="C11" s="295" t="s">
        <v>262</v>
      </c>
      <c r="D11" s="295" t="s">
        <v>263</v>
      </c>
      <c r="E11" s="266" t="s">
        <v>241</v>
      </c>
      <c r="F11" s="267">
        <f>ROUND(-7887272.44/10000,2)</f>
        <v>-788.73</v>
      </c>
      <c r="G11" s="268" t="s">
        <v>242</v>
      </c>
      <c r="H11" s="545" t="s">
        <v>887</v>
      </c>
      <c r="I11" s="270">
        <f>SUMIF('附表2-EF'!$D$5:$D$15,表1温室气体盘查表!C11,'附表2-EF'!$L$5:$L$15)</f>
        <v>7.6419264240000011</v>
      </c>
      <c r="J11" s="310" t="s">
        <v>244</v>
      </c>
      <c r="K11" s="311">
        <v>1</v>
      </c>
      <c r="L11" s="272">
        <f>SUMIF('附表2-EF'!$D$5:$D$15,表1温室气体盘查表!C11,'附表2-EF'!$M$5:$M$15)</f>
        <v>1.7211546000000001E-4</v>
      </c>
      <c r="M11" s="312"/>
      <c r="N11" s="311">
        <f>'附表1-GWP TABLE'!E4</f>
        <v>27.9</v>
      </c>
      <c r="O11" s="272">
        <f>SUMIF('附表2-EF'!$D$5:$D$15,表1温室气体盘查表!C11,'附表2-EF'!$N$5:$N$15)</f>
        <v>1.7211546000000002E-5</v>
      </c>
      <c r="P11" s="310"/>
      <c r="Q11" s="311">
        <f>'附表1-GWP TABLE'!E5</f>
        <v>273</v>
      </c>
      <c r="R11" s="313"/>
      <c r="S11" s="314"/>
      <c r="T11" s="315"/>
      <c r="U11" s="316"/>
      <c r="V11" s="317"/>
      <c r="W11" s="310"/>
      <c r="X11" s="318"/>
      <c r="Y11" s="310"/>
      <c r="Z11" s="317"/>
      <c r="AA11" s="310"/>
      <c r="AB11" s="311"/>
      <c r="AC11" s="317"/>
      <c r="AD11" s="314"/>
      <c r="AE11" s="311"/>
      <c r="AF11" s="278">
        <f t="shared" si="0"/>
        <v>-6027.4166284015209</v>
      </c>
      <c r="AG11" s="278">
        <f t="shared" si="1"/>
        <v>-3.7874982867658202</v>
      </c>
      <c r="AH11" s="278">
        <f t="shared" si="2"/>
        <v>-3.7060467107063406</v>
      </c>
      <c r="AI11" s="278">
        <f t="shared" si="3"/>
        <v>0</v>
      </c>
      <c r="AJ11" s="278">
        <f t="shared" si="4"/>
        <v>0</v>
      </c>
      <c r="AK11" s="278">
        <f t="shared" si="5"/>
        <v>0</v>
      </c>
      <c r="AL11" s="278">
        <f t="shared" si="6"/>
        <v>0</v>
      </c>
      <c r="AM11" s="319">
        <f t="shared" si="7"/>
        <v>-6034.9101733989937</v>
      </c>
      <c r="AN11" s="307" t="s">
        <v>262</v>
      </c>
      <c r="AO11" s="291">
        <v>-3833.1354830774699</v>
      </c>
      <c r="AP11" s="279">
        <f t="shared" si="9"/>
        <v>-2201.7746903215238</v>
      </c>
    </row>
    <row r="12" spans="1:42" s="18" customFormat="1" ht="13.5" customHeight="1">
      <c r="A12" s="262">
        <v>8</v>
      </c>
      <c r="B12" s="263" t="s">
        <v>264</v>
      </c>
      <c r="C12" s="295" t="s">
        <v>265</v>
      </c>
      <c r="D12" s="265" t="s">
        <v>266</v>
      </c>
      <c r="E12" s="266" t="s">
        <v>241</v>
      </c>
      <c r="F12" s="280">
        <f>ROUND(1422.693,2)</f>
        <v>1422.69</v>
      </c>
      <c r="G12" s="268" t="s">
        <v>247</v>
      </c>
      <c r="H12" s="268" t="s">
        <v>252</v>
      </c>
      <c r="I12" s="270">
        <f>SUMIF('附表2-EF'!$D$5:$D$15,表1温室气体盘查表!C12,'附表2-EF'!$L$5:$L$15)</f>
        <v>3.0973029360000002</v>
      </c>
      <c r="J12" s="268" t="s">
        <v>249</v>
      </c>
      <c r="K12" s="271">
        <v>1</v>
      </c>
      <c r="L12" s="272">
        <f>SUMIF('附表2-EF'!$D$5:$D$15,表1温室气体盘查表!C12,'附表2-EF'!$M$5:$M$15)</f>
        <v>1.6301594399999999E-4</v>
      </c>
      <c r="M12" s="312"/>
      <c r="N12" s="271">
        <f>'附表1-GWP TABLE'!E4</f>
        <v>27.9</v>
      </c>
      <c r="O12" s="272">
        <f>SUMIF('附表2-EF'!$D$5:$D$15,表1温室气体盘查表!C12,'附表2-EF'!$N$5:$N$15)</f>
        <v>1.6301594399999999E-4</v>
      </c>
      <c r="P12" s="310"/>
      <c r="Q12" s="311">
        <f>'附表1-GWP TABLE'!E5</f>
        <v>273</v>
      </c>
      <c r="R12" s="273"/>
      <c r="S12" s="274"/>
      <c r="T12" s="275"/>
      <c r="U12" s="274"/>
      <c r="V12" s="276"/>
      <c r="W12" s="268"/>
      <c r="X12" s="277"/>
      <c r="Y12" s="268"/>
      <c r="Z12" s="276"/>
      <c r="AA12" s="268"/>
      <c r="AB12" s="271"/>
      <c r="AC12" s="276"/>
      <c r="AD12" s="314"/>
      <c r="AE12" s="311"/>
      <c r="AF12" s="278">
        <f t="shared" si="0"/>
        <v>4406.5019140178401</v>
      </c>
      <c r="AG12" s="278">
        <f t="shared" si="1"/>
        <v>6.4706001790051442</v>
      </c>
      <c r="AH12" s="278">
        <f t="shared" si="2"/>
        <v>63.31447486983528</v>
      </c>
      <c r="AI12" s="278">
        <f t="shared" si="3"/>
        <v>0</v>
      </c>
      <c r="AJ12" s="278">
        <f t="shared" si="4"/>
        <v>0</v>
      </c>
      <c r="AK12" s="278">
        <f t="shared" si="5"/>
        <v>0</v>
      </c>
      <c r="AL12" s="278">
        <f t="shared" si="6"/>
        <v>0</v>
      </c>
      <c r="AM12" s="278">
        <f t="shared" si="7"/>
        <v>4476.2869890666807</v>
      </c>
      <c r="AN12" s="264" t="s">
        <v>267</v>
      </c>
      <c r="AO12" s="279">
        <v>4417.0725986272801</v>
      </c>
      <c r="AP12" s="279">
        <f t="shared" si="9"/>
        <v>59.214390439400631</v>
      </c>
    </row>
    <row r="13" spans="1:42" s="15" customFormat="1" ht="13.5" customHeight="1">
      <c r="A13" s="262">
        <v>9</v>
      </c>
      <c r="B13" s="263" t="s">
        <v>264</v>
      </c>
      <c r="C13" s="295" t="s">
        <v>268</v>
      </c>
      <c r="D13" s="104" t="s">
        <v>269</v>
      </c>
      <c r="E13" s="266" t="s">
        <v>241</v>
      </c>
      <c r="F13" s="280">
        <f>ROUND(61085.82*0.775/10^3,2)</f>
        <v>47.34</v>
      </c>
      <c r="G13" s="268" t="s">
        <v>247</v>
      </c>
      <c r="H13" s="269" t="s">
        <v>270</v>
      </c>
      <c r="I13" s="270">
        <f>SUMIF('附表2-EF'!$D$5:$D$15,表1温室气体盘查表!C13,'附表2-EF'!$L$5:$L$15)</f>
        <v>2.9250559799999998</v>
      </c>
      <c r="J13" s="268" t="s">
        <v>249</v>
      </c>
      <c r="K13" s="271">
        <v>1</v>
      </c>
      <c r="L13" s="272">
        <f>SUMIF('附表2-EF'!$D$5:$D$15,表1温室气体盘查表!C13,'附表2-EF'!$M$5:$M$15)</f>
        <v>1.055215E-3</v>
      </c>
      <c r="M13" s="312"/>
      <c r="N13" s="271">
        <f>'附表1-GWP TABLE'!E4</f>
        <v>27.9</v>
      </c>
      <c r="O13" s="272">
        <f>SUMIF('附表2-EF'!$D$5:$D$15,表1温室气体盘查表!C13,'附表2-EF'!$N$5:$N$15)</f>
        <v>3.3766879999999995E-4</v>
      </c>
      <c r="P13" s="310"/>
      <c r="Q13" s="311">
        <f>'附表1-GWP TABLE'!E5</f>
        <v>273</v>
      </c>
      <c r="R13" s="273"/>
      <c r="S13" s="274"/>
      <c r="T13" s="275"/>
      <c r="U13" s="274"/>
      <c r="V13" s="276"/>
      <c r="W13" s="268"/>
      <c r="X13" s="277"/>
      <c r="Y13" s="268"/>
      <c r="Z13" s="276"/>
      <c r="AA13" s="268"/>
      <c r="AB13" s="271"/>
      <c r="AC13" s="276"/>
      <c r="AD13" s="274"/>
      <c r="AE13" s="271"/>
      <c r="AF13" s="278">
        <f t="shared" ref="AF13" si="10">F13*I13*K13</f>
        <v>138.47215009319999</v>
      </c>
      <c r="AG13" s="278">
        <f t="shared" ref="AG13" si="11">F13*L13*N13</f>
        <v>1.39371319899</v>
      </c>
      <c r="AH13" s="278">
        <f t="shared" ref="AH13" si="12">F13*O13*Q13</f>
        <v>4.3639707908159995</v>
      </c>
      <c r="AI13" s="278">
        <f t="shared" ref="AI13" si="13">F13*R13*T13</f>
        <v>0</v>
      </c>
      <c r="AJ13" s="278">
        <f t="shared" ref="AJ13" si="14">F13*V13*X13</f>
        <v>0</v>
      </c>
      <c r="AK13" s="278">
        <f t="shared" ref="AK13" si="15">F13*Z13*AB13</f>
        <v>0</v>
      </c>
      <c r="AL13" s="278">
        <f t="shared" ref="AL13" si="16">F13*AC13*AE13</f>
        <v>0</v>
      </c>
      <c r="AM13" s="278">
        <f t="shared" ref="AM13" si="17">SUM(AF13:AL13)</f>
        <v>144.22983408300601</v>
      </c>
      <c r="AN13" s="264" t="s">
        <v>271</v>
      </c>
      <c r="AO13" s="279">
        <v>149.47012378775401</v>
      </c>
      <c r="AP13" s="279">
        <f t="shared" si="9"/>
        <v>-5.2402897047479939</v>
      </c>
    </row>
    <row r="14" spans="1:42" s="18" customFormat="1" ht="13.5" customHeight="1">
      <c r="A14" s="262">
        <v>10</v>
      </c>
      <c r="B14" s="263" t="s">
        <v>272</v>
      </c>
      <c r="C14" s="264" t="s">
        <v>273</v>
      </c>
      <c r="D14" s="104" t="s">
        <v>274</v>
      </c>
      <c r="E14" s="266" t="s">
        <v>241</v>
      </c>
      <c r="F14" s="280">
        <f>ROUND(1471.6233/1000/2,2)</f>
        <v>0.74</v>
      </c>
      <c r="G14" s="268" t="s">
        <v>247</v>
      </c>
      <c r="H14" s="269" t="s">
        <v>275</v>
      </c>
      <c r="I14" s="320"/>
      <c r="J14" s="268"/>
      <c r="K14" s="271"/>
      <c r="L14" s="276"/>
      <c r="M14" s="268"/>
      <c r="N14" s="271"/>
      <c r="O14" s="276"/>
      <c r="P14" s="268"/>
      <c r="Q14" s="271"/>
      <c r="R14" s="321">
        <v>1</v>
      </c>
      <c r="S14" s="274" t="s">
        <v>276</v>
      </c>
      <c r="T14" s="322">
        <f>'附表1-GWP TABLE'!F8</f>
        <v>771</v>
      </c>
      <c r="U14" s="323" t="s">
        <v>277</v>
      </c>
      <c r="V14" s="276"/>
      <c r="W14" s="268"/>
      <c r="X14" s="277"/>
      <c r="Y14" s="268"/>
      <c r="Z14" s="276"/>
      <c r="AA14" s="268"/>
      <c r="AB14" s="271"/>
      <c r="AC14" s="276"/>
      <c r="AD14" s="314"/>
      <c r="AE14" s="311"/>
      <c r="AF14" s="278">
        <f t="shared" si="0"/>
        <v>0</v>
      </c>
      <c r="AG14" s="278">
        <f t="shared" si="1"/>
        <v>0</v>
      </c>
      <c r="AH14" s="278">
        <f t="shared" si="2"/>
        <v>0</v>
      </c>
      <c r="AI14" s="278">
        <f t="shared" si="3"/>
        <v>570.54</v>
      </c>
      <c r="AJ14" s="278">
        <f t="shared" si="4"/>
        <v>0</v>
      </c>
      <c r="AK14" s="278">
        <f t="shared" si="5"/>
        <v>0</v>
      </c>
      <c r="AL14" s="278">
        <f t="shared" si="6"/>
        <v>0</v>
      </c>
      <c r="AM14" s="278">
        <f t="shared" si="7"/>
        <v>570.54</v>
      </c>
      <c r="AN14" s="264" t="s">
        <v>273</v>
      </c>
      <c r="AO14" s="279">
        <v>717.03</v>
      </c>
      <c r="AP14" s="279">
        <f t="shared" si="9"/>
        <v>-146.49</v>
      </c>
    </row>
    <row r="15" spans="1:42" s="19" customFormat="1" ht="13.5" customHeight="1">
      <c r="A15" s="262">
        <v>11</v>
      </c>
      <c r="B15" s="263" t="s">
        <v>272</v>
      </c>
      <c r="C15" s="264" t="s">
        <v>278</v>
      </c>
      <c r="D15" s="104" t="s">
        <v>279</v>
      </c>
      <c r="E15" s="266" t="s">
        <v>241</v>
      </c>
      <c r="F15" s="280">
        <f>ROUND(564/1000,2)</f>
        <v>0.56000000000000005</v>
      </c>
      <c r="G15" s="268" t="s">
        <v>247</v>
      </c>
      <c r="H15" s="269" t="s">
        <v>903</v>
      </c>
      <c r="I15" s="324">
        <f>'附表2-EF'!F37</f>
        <v>1</v>
      </c>
      <c r="J15" s="268" t="s">
        <v>249</v>
      </c>
      <c r="K15" s="271">
        <v>1</v>
      </c>
      <c r="L15" s="276"/>
      <c r="M15" s="264"/>
      <c r="N15" s="271"/>
      <c r="O15" s="276"/>
      <c r="P15" s="268"/>
      <c r="Q15" s="271"/>
      <c r="R15" s="273"/>
      <c r="S15" s="274"/>
      <c r="T15" s="275"/>
      <c r="U15" s="274"/>
      <c r="V15" s="276"/>
      <c r="W15" s="268"/>
      <c r="X15" s="277"/>
      <c r="Y15" s="268"/>
      <c r="Z15" s="276"/>
      <c r="AA15" s="268"/>
      <c r="AB15" s="271"/>
      <c r="AC15" s="276"/>
      <c r="AD15" s="314"/>
      <c r="AE15" s="311"/>
      <c r="AF15" s="278">
        <f t="shared" si="0"/>
        <v>0.56000000000000005</v>
      </c>
      <c r="AG15" s="278">
        <f t="shared" si="1"/>
        <v>0</v>
      </c>
      <c r="AH15" s="278">
        <f t="shared" si="2"/>
        <v>0</v>
      </c>
      <c r="AI15" s="278">
        <f t="shared" si="3"/>
        <v>0</v>
      </c>
      <c r="AJ15" s="278">
        <f t="shared" si="4"/>
        <v>0</v>
      </c>
      <c r="AK15" s="278">
        <f t="shared" si="5"/>
        <v>0</v>
      </c>
      <c r="AL15" s="278">
        <f t="shared" si="6"/>
        <v>0</v>
      </c>
      <c r="AM15" s="278">
        <f t="shared" si="7"/>
        <v>0.56000000000000005</v>
      </c>
      <c r="AN15" s="264" t="s">
        <v>278</v>
      </c>
      <c r="AO15" s="291">
        <v>0.66</v>
      </c>
      <c r="AP15" s="279">
        <f t="shared" si="9"/>
        <v>-9.9999999999999978E-2</v>
      </c>
    </row>
    <row r="16" spans="1:42" s="19" customFormat="1" ht="13.5" customHeight="1">
      <c r="A16" s="262">
        <v>12</v>
      </c>
      <c r="B16" s="263" t="s">
        <v>272</v>
      </c>
      <c r="C16" s="264" t="s">
        <v>280</v>
      </c>
      <c r="D16" s="104" t="s">
        <v>281</v>
      </c>
      <c r="E16" s="266" t="s">
        <v>241</v>
      </c>
      <c r="F16" s="280">
        <f>ROUND(7003*'附表2-EF'!J41*248/10^6*8/24,2)</f>
        <v>23.16</v>
      </c>
      <c r="G16" s="268" t="s">
        <v>282</v>
      </c>
      <c r="H16" s="269" t="s">
        <v>904</v>
      </c>
      <c r="I16" s="325"/>
      <c r="J16" s="268"/>
      <c r="K16" s="271"/>
      <c r="L16" s="272">
        <f>'附表2-EF'!J39</f>
        <v>0.18</v>
      </c>
      <c r="M16" s="264" t="s">
        <v>283</v>
      </c>
      <c r="N16" s="271">
        <f>'附表1-GWP TABLE'!E4</f>
        <v>27.9</v>
      </c>
      <c r="O16" s="276"/>
      <c r="P16" s="268"/>
      <c r="Q16" s="271"/>
      <c r="R16" s="273"/>
      <c r="S16" s="274"/>
      <c r="T16" s="275"/>
      <c r="U16" s="274"/>
      <c r="V16" s="276"/>
      <c r="W16" s="268"/>
      <c r="X16" s="277"/>
      <c r="Y16" s="268"/>
      <c r="Z16" s="276"/>
      <c r="AA16" s="268"/>
      <c r="AB16" s="271"/>
      <c r="AC16" s="276"/>
      <c r="AD16" s="314"/>
      <c r="AE16" s="311"/>
      <c r="AF16" s="278">
        <f t="shared" si="0"/>
        <v>0</v>
      </c>
      <c r="AG16" s="278">
        <f t="shared" si="1"/>
        <v>116.30951999999999</v>
      </c>
      <c r="AH16" s="278">
        <f t="shared" si="2"/>
        <v>0</v>
      </c>
      <c r="AI16" s="278">
        <f t="shared" si="3"/>
        <v>0</v>
      </c>
      <c r="AJ16" s="278">
        <f t="shared" si="4"/>
        <v>0</v>
      </c>
      <c r="AK16" s="278">
        <f t="shared" si="5"/>
        <v>0</v>
      </c>
      <c r="AL16" s="278">
        <f t="shared" si="6"/>
        <v>0</v>
      </c>
      <c r="AM16" s="278">
        <f t="shared" si="7"/>
        <v>116.30951999999999</v>
      </c>
      <c r="AN16" s="264" t="s">
        <v>280</v>
      </c>
      <c r="AO16" s="291">
        <v>112.29192</v>
      </c>
      <c r="AP16" s="279">
        <f t="shared" si="9"/>
        <v>4.0175999999999874</v>
      </c>
    </row>
    <row r="17" spans="1:42" s="19" customFormat="1" ht="13.5" customHeight="1">
      <c r="A17" s="262">
        <v>13</v>
      </c>
      <c r="B17" s="326" t="s">
        <v>284</v>
      </c>
      <c r="C17" s="264" t="s">
        <v>280</v>
      </c>
      <c r="D17" s="265" t="s">
        <v>285</v>
      </c>
      <c r="E17" s="266" t="s">
        <v>241</v>
      </c>
      <c r="F17" s="327">
        <f>ROUND((18.93-8.7)/10^6*2439525+(56.46-5.51)/10^6*9968019+(4234-45.99)/10^6*832316,2)</f>
        <v>4018.57</v>
      </c>
      <c r="G17" s="268" t="s">
        <v>286</v>
      </c>
      <c r="H17" s="546" t="s">
        <v>905</v>
      </c>
      <c r="I17" s="328"/>
      <c r="J17" s="298"/>
      <c r="K17" s="299"/>
      <c r="L17" s="329">
        <f>'附表2-EF'!J40</f>
        <v>7.4999999999999997E-2</v>
      </c>
      <c r="M17" s="330" t="s">
        <v>287</v>
      </c>
      <c r="N17" s="299">
        <f>'附表1-GWP TABLE'!E4</f>
        <v>27.9</v>
      </c>
      <c r="O17" s="303"/>
      <c r="P17" s="298"/>
      <c r="Q17" s="299"/>
      <c r="R17" s="300"/>
      <c r="S17" s="301"/>
      <c r="T17" s="302"/>
      <c r="U17" s="301"/>
      <c r="V17" s="303"/>
      <c r="W17" s="298"/>
      <c r="X17" s="304"/>
      <c r="Y17" s="298"/>
      <c r="Z17" s="303"/>
      <c r="AA17" s="298"/>
      <c r="AB17" s="299"/>
      <c r="AC17" s="303"/>
      <c r="AD17" s="331"/>
      <c r="AE17" s="332"/>
      <c r="AF17" s="278">
        <f t="shared" si="0"/>
        <v>0</v>
      </c>
      <c r="AG17" s="278">
        <f t="shared" si="1"/>
        <v>8408.8577249999998</v>
      </c>
      <c r="AH17" s="278">
        <f t="shared" si="2"/>
        <v>0</v>
      </c>
      <c r="AI17" s="278">
        <f t="shared" si="3"/>
        <v>0</v>
      </c>
      <c r="AJ17" s="278">
        <f t="shared" si="4"/>
        <v>0</v>
      </c>
      <c r="AK17" s="278">
        <f t="shared" si="5"/>
        <v>0</v>
      </c>
      <c r="AL17" s="278">
        <f t="shared" si="6"/>
        <v>0</v>
      </c>
      <c r="AM17" s="278">
        <f t="shared" si="7"/>
        <v>8408.8577249999998</v>
      </c>
      <c r="AN17" s="264" t="s">
        <v>280</v>
      </c>
      <c r="AO17" s="291">
        <v>365.58067499999999</v>
      </c>
      <c r="AP17" s="279">
        <f t="shared" si="9"/>
        <v>8043.2770499999997</v>
      </c>
    </row>
    <row r="18" spans="1:42" s="19" customFormat="1" ht="13.5" customHeight="1">
      <c r="A18" s="262">
        <v>14</v>
      </c>
      <c r="B18" s="333" t="s">
        <v>53</v>
      </c>
      <c r="C18" s="295" t="s">
        <v>288</v>
      </c>
      <c r="D18" s="104" t="s">
        <v>251</v>
      </c>
      <c r="E18" s="266" t="s">
        <v>241</v>
      </c>
      <c r="F18" s="539">
        <f>ROUND(38669.446,2)</f>
        <v>38669.449999999997</v>
      </c>
      <c r="G18" s="268" t="s">
        <v>247</v>
      </c>
      <c r="H18" s="543" t="s">
        <v>891</v>
      </c>
      <c r="I18" s="270">
        <f>SUMIF('附表2-EF'!$D$19:$D$32,表1温室气体盘查表!C18,'附表2-EF'!$F$19:$F$32)</f>
        <v>0.47599999999999998</v>
      </c>
      <c r="J18" s="268" t="s">
        <v>249</v>
      </c>
      <c r="K18" s="271">
        <v>1</v>
      </c>
      <c r="L18" s="276"/>
      <c r="M18" s="264"/>
      <c r="N18" s="271"/>
      <c r="O18" s="276"/>
      <c r="P18" s="268"/>
      <c r="Q18" s="271"/>
      <c r="R18" s="273"/>
      <c r="S18" s="274"/>
      <c r="T18" s="322"/>
      <c r="U18" s="323"/>
      <c r="V18" s="276"/>
      <c r="W18" s="268"/>
      <c r="X18" s="277"/>
      <c r="Y18" s="268"/>
      <c r="Z18" s="276"/>
      <c r="AA18" s="268"/>
      <c r="AB18" s="271"/>
      <c r="AC18" s="276"/>
      <c r="AD18" s="314"/>
      <c r="AE18" s="311"/>
      <c r="AF18" s="278">
        <f t="shared" si="0"/>
        <v>18406.658199999998</v>
      </c>
      <c r="AG18" s="278">
        <f t="shared" si="1"/>
        <v>0</v>
      </c>
      <c r="AH18" s="278">
        <f t="shared" si="2"/>
        <v>0</v>
      </c>
      <c r="AI18" s="278">
        <f t="shared" si="3"/>
        <v>0</v>
      </c>
      <c r="AJ18" s="278">
        <f t="shared" si="4"/>
        <v>0</v>
      </c>
      <c r="AK18" s="278">
        <f t="shared" si="5"/>
        <v>0</v>
      </c>
      <c r="AL18" s="278">
        <f t="shared" si="6"/>
        <v>0</v>
      </c>
      <c r="AM18" s="278">
        <f t="shared" si="7"/>
        <v>18406.658199999998</v>
      </c>
      <c r="AN18" s="295" t="s">
        <v>288</v>
      </c>
      <c r="AO18" s="291">
        <v>169593.74963999999</v>
      </c>
      <c r="AP18" s="279">
        <f t="shared" si="9"/>
        <v>-151187.09143999999</v>
      </c>
    </row>
    <row r="19" spans="1:42" s="19" customFormat="1" ht="13.5" customHeight="1">
      <c r="A19" s="262">
        <v>15</v>
      </c>
      <c r="B19" s="333" t="s">
        <v>53</v>
      </c>
      <c r="C19" s="295" t="s">
        <v>289</v>
      </c>
      <c r="D19" s="104" t="s">
        <v>290</v>
      </c>
      <c r="E19" s="266" t="s">
        <v>241</v>
      </c>
      <c r="F19" s="539">
        <f>ROUND(2292.859+709.398+2003.195,2)</f>
        <v>5005.45</v>
      </c>
      <c r="G19" s="268" t="s">
        <v>247</v>
      </c>
      <c r="H19" s="543" t="s">
        <v>888</v>
      </c>
      <c r="I19" s="270">
        <f>SUMIF('附表2-EF'!$D$19:$D$32,表1温室气体盘查表!C19,'附表2-EF'!$F$19:$F$32)</f>
        <v>3.6629999999999998</v>
      </c>
      <c r="J19" s="268" t="s">
        <v>249</v>
      </c>
      <c r="K19" s="271">
        <v>1</v>
      </c>
      <c r="L19" s="276"/>
      <c r="M19" s="264"/>
      <c r="N19" s="271"/>
      <c r="O19" s="276"/>
      <c r="P19" s="268"/>
      <c r="Q19" s="271"/>
      <c r="R19" s="273"/>
      <c r="S19" s="274"/>
      <c r="T19" s="322"/>
      <c r="U19" s="323"/>
      <c r="V19" s="276"/>
      <c r="W19" s="268"/>
      <c r="X19" s="277"/>
      <c r="Y19" s="268"/>
      <c r="Z19" s="276"/>
      <c r="AA19" s="268"/>
      <c r="AB19" s="271"/>
      <c r="AC19" s="276"/>
      <c r="AD19" s="314"/>
      <c r="AE19" s="311"/>
      <c r="AF19" s="278">
        <f t="shared" ref="AF19:AF32" si="18">F19*I19*K19</f>
        <v>18334.963349999998</v>
      </c>
      <c r="AG19" s="278">
        <f t="shared" ref="AG19:AG32" si="19">F19*L19*N19</f>
        <v>0</v>
      </c>
      <c r="AH19" s="278">
        <f t="shared" ref="AH19:AH32" si="20">F19*O19*Q19</f>
        <v>0</v>
      </c>
      <c r="AI19" s="278">
        <f t="shared" ref="AI19:AI32" si="21">F19*R19*T19</f>
        <v>0</v>
      </c>
      <c r="AJ19" s="278">
        <f t="shared" ref="AJ19:AJ32" si="22">F19*V19*X19</f>
        <v>0</v>
      </c>
      <c r="AK19" s="278">
        <f t="shared" ref="AK19:AK32" si="23">F19*Z19*AB19</f>
        <v>0</v>
      </c>
      <c r="AL19" s="278">
        <f t="shared" ref="AL19:AL32" si="24">F19*AC19*AE19</f>
        <v>0</v>
      </c>
      <c r="AM19" s="278">
        <f t="shared" ref="AM19:AM32" si="25">SUM(AF19:AL19)</f>
        <v>18334.963349999998</v>
      </c>
      <c r="AN19" s="295" t="s">
        <v>289</v>
      </c>
      <c r="AO19" s="291">
        <v>17447.125410000001</v>
      </c>
      <c r="AP19" s="279">
        <f t="shared" si="9"/>
        <v>887.83793999999762</v>
      </c>
    </row>
    <row r="20" spans="1:42" s="19" customFormat="1" ht="13.5" customHeight="1">
      <c r="A20" s="262">
        <v>16</v>
      </c>
      <c r="B20" s="333" t="s">
        <v>53</v>
      </c>
      <c r="C20" s="295" t="s">
        <v>291</v>
      </c>
      <c r="D20" s="104" t="s">
        <v>290</v>
      </c>
      <c r="E20" s="266" t="s">
        <v>241</v>
      </c>
      <c r="F20" s="280">
        <f>ROUND(462441.162+136808.562+520365.934,2)</f>
        <v>1119615.6599999999</v>
      </c>
      <c r="G20" s="268" t="s">
        <v>247</v>
      </c>
      <c r="H20" s="547" t="s">
        <v>888</v>
      </c>
      <c r="I20" s="270">
        <f>SUMIF('附表2-EF'!$D$19:$D$32,表1温室气体盘查表!C20,'附表2-EF'!$F$19:$F$32)</f>
        <v>3.6999999999999998E-2</v>
      </c>
      <c r="J20" s="268" t="s">
        <v>249</v>
      </c>
      <c r="K20" s="271">
        <v>1</v>
      </c>
      <c r="L20" s="276"/>
      <c r="M20" s="264"/>
      <c r="N20" s="271"/>
      <c r="O20" s="276"/>
      <c r="P20" s="268"/>
      <c r="Q20" s="271"/>
      <c r="R20" s="273"/>
      <c r="S20" s="274"/>
      <c r="T20" s="322"/>
      <c r="U20" s="323"/>
      <c r="V20" s="276"/>
      <c r="W20" s="268"/>
      <c r="X20" s="277"/>
      <c r="Y20" s="268"/>
      <c r="Z20" s="276"/>
      <c r="AA20" s="268"/>
      <c r="AB20" s="271"/>
      <c r="AC20" s="276"/>
      <c r="AD20" s="314"/>
      <c r="AE20" s="311"/>
      <c r="AF20" s="278">
        <f t="shared" si="18"/>
        <v>41425.779419999992</v>
      </c>
      <c r="AG20" s="278">
        <f t="shared" si="19"/>
        <v>0</v>
      </c>
      <c r="AH20" s="278">
        <f t="shared" si="20"/>
        <v>0</v>
      </c>
      <c r="AI20" s="278">
        <f t="shared" si="21"/>
        <v>0</v>
      </c>
      <c r="AJ20" s="278">
        <f t="shared" si="22"/>
        <v>0</v>
      </c>
      <c r="AK20" s="278">
        <f t="shared" si="23"/>
        <v>0</v>
      </c>
      <c r="AL20" s="278">
        <f t="shared" si="24"/>
        <v>0</v>
      </c>
      <c r="AM20" s="278">
        <f t="shared" si="25"/>
        <v>41425.779419999992</v>
      </c>
      <c r="AN20" s="295" t="s">
        <v>291</v>
      </c>
      <c r="AO20" s="291">
        <v>39875.737794618602</v>
      </c>
      <c r="AP20" s="279">
        <f t="shared" si="9"/>
        <v>1550.0416253813892</v>
      </c>
    </row>
    <row r="21" spans="1:42" s="19" customFormat="1" ht="13.5" customHeight="1">
      <c r="A21" s="262">
        <v>17</v>
      </c>
      <c r="B21" s="333" t="s">
        <v>53</v>
      </c>
      <c r="C21" s="143" t="s">
        <v>292</v>
      </c>
      <c r="D21" s="104" t="s">
        <v>290</v>
      </c>
      <c r="E21" s="266" t="s">
        <v>241</v>
      </c>
      <c r="F21" s="539">
        <f>ROUND(33390.439+851.616+7241.11,2)</f>
        <v>41483.17</v>
      </c>
      <c r="G21" s="268" t="s">
        <v>247</v>
      </c>
      <c r="H21" s="543" t="s">
        <v>893</v>
      </c>
      <c r="I21" s="270">
        <f>SUMIF('附表2-EF'!$D$19:$D$32,表1温室气体盘查表!C21,'附表2-EF'!$F$19:$F$32)</f>
        <v>0.27500000000000002</v>
      </c>
      <c r="J21" s="268" t="s">
        <v>249</v>
      </c>
      <c r="K21" s="271">
        <v>1</v>
      </c>
      <c r="L21" s="276"/>
      <c r="M21" s="264"/>
      <c r="N21" s="271"/>
      <c r="O21" s="276"/>
      <c r="P21" s="268"/>
      <c r="Q21" s="271"/>
      <c r="R21" s="273"/>
      <c r="S21" s="274"/>
      <c r="T21" s="322"/>
      <c r="U21" s="323"/>
      <c r="V21" s="276"/>
      <c r="W21" s="268"/>
      <c r="X21" s="277"/>
      <c r="Y21" s="268"/>
      <c r="Z21" s="276"/>
      <c r="AA21" s="268"/>
      <c r="AB21" s="271"/>
      <c r="AC21" s="276"/>
      <c r="AD21" s="314"/>
      <c r="AE21" s="311"/>
      <c r="AF21" s="278">
        <f t="shared" si="18"/>
        <v>11407.87175</v>
      </c>
      <c r="AG21" s="278">
        <f t="shared" si="19"/>
        <v>0</v>
      </c>
      <c r="AH21" s="278">
        <f t="shared" si="20"/>
        <v>0</v>
      </c>
      <c r="AI21" s="278">
        <f t="shared" si="21"/>
        <v>0</v>
      </c>
      <c r="AJ21" s="278">
        <f t="shared" si="22"/>
        <v>0</v>
      </c>
      <c r="AK21" s="278">
        <f t="shared" si="23"/>
        <v>0</v>
      </c>
      <c r="AL21" s="278">
        <f t="shared" si="24"/>
        <v>0</v>
      </c>
      <c r="AM21" s="278">
        <f t="shared" si="25"/>
        <v>11407.87175</v>
      </c>
      <c r="AN21" s="143" t="s">
        <v>293</v>
      </c>
      <c r="AO21" s="291">
        <v>13114.101000000001</v>
      </c>
      <c r="AP21" s="279">
        <f t="shared" si="9"/>
        <v>-1706.2292500000003</v>
      </c>
    </row>
    <row r="22" spans="1:42" s="19" customFormat="1" ht="13.5" customHeight="1">
      <c r="A22" s="262">
        <v>18</v>
      </c>
      <c r="B22" s="333" t="s">
        <v>53</v>
      </c>
      <c r="C22" s="143" t="s">
        <v>294</v>
      </c>
      <c r="D22" s="104" t="s">
        <v>290</v>
      </c>
      <c r="E22" s="266" t="s">
        <v>241</v>
      </c>
      <c r="F22" s="539">
        <f>ROUND(0+189.062+2698.627,2)</f>
        <v>2887.69</v>
      </c>
      <c r="G22" s="268" t="s">
        <v>247</v>
      </c>
      <c r="H22" s="543" t="s">
        <v>894</v>
      </c>
      <c r="I22" s="270">
        <f>SUMIF('附表2-EF'!$D$19:$D$32,表1温室气体盘查表!C22,'附表2-EF'!$F$19:$F$32)</f>
        <v>9.1999999999999998E-2</v>
      </c>
      <c r="J22" s="268" t="s">
        <v>249</v>
      </c>
      <c r="K22" s="271">
        <v>1</v>
      </c>
      <c r="L22" s="276"/>
      <c r="M22" s="264"/>
      <c r="N22" s="271"/>
      <c r="O22" s="276"/>
      <c r="P22" s="268"/>
      <c r="Q22" s="271"/>
      <c r="R22" s="273"/>
      <c r="S22" s="274"/>
      <c r="T22" s="322"/>
      <c r="U22" s="323"/>
      <c r="V22" s="276"/>
      <c r="W22" s="268"/>
      <c r="X22" s="277"/>
      <c r="Y22" s="268"/>
      <c r="Z22" s="276"/>
      <c r="AA22" s="268"/>
      <c r="AB22" s="271"/>
      <c r="AC22" s="276"/>
      <c r="AD22" s="314"/>
      <c r="AE22" s="311"/>
      <c r="AF22" s="278">
        <f t="shared" ref="AF22" si="26">F22*I22*K22</f>
        <v>265.66748000000001</v>
      </c>
      <c r="AG22" s="278">
        <f t="shared" ref="AG22" si="27">F22*L22*N22</f>
        <v>0</v>
      </c>
      <c r="AH22" s="278">
        <f t="shared" ref="AH22" si="28">F22*O22*Q22</f>
        <v>0</v>
      </c>
      <c r="AI22" s="278">
        <f t="shared" ref="AI22" si="29">F22*R22*T22</f>
        <v>0</v>
      </c>
      <c r="AJ22" s="278">
        <f t="shared" ref="AJ22" si="30">F22*V22*X22</f>
        <v>0</v>
      </c>
      <c r="AK22" s="278">
        <f t="shared" ref="AK22" si="31">F22*Z22*AB22</f>
        <v>0</v>
      </c>
      <c r="AL22" s="278">
        <f t="shared" ref="AL22" si="32">F22*AC22*AE22</f>
        <v>0</v>
      </c>
      <c r="AM22" s="278">
        <f t="shared" ref="AM22" si="33">SUM(AF22:AL22)</f>
        <v>265.66748000000001</v>
      </c>
      <c r="AN22" s="143" t="s">
        <v>293</v>
      </c>
      <c r="AO22" s="291">
        <v>13114.101000000001</v>
      </c>
      <c r="AP22" s="279">
        <f t="shared" ref="AP22" si="34">AM22-AO22</f>
        <v>-12848.43352</v>
      </c>
    </row>
    <row r="23" spans="1:42" s="19" customFormat="1" ht="13.5" customHeight="1">
      <c r="A23" s="262">
        <v>19</v>
      </c>
      <c r="B23" s="333" t="s">
        <v>53</v>
      </c>
      <c r="C23" s="143" t="s">
        <v>295</v>
      </c>
      <c r="D23" s="104" t="s">
        <v>290</v>
      </c>
      <c r="E23" s="266" t="s">
        <v>241</v>
      </c>
      <c r="F23" s="539">
        <f>ROUND(7856.706+367.47+1719.027,2)</f>
        <v>9943.2000000000007</v>
      </c>
      <c r="G23" s="268" t="s">
        <v>247</v>
      </c>
      <c r="H23" s="543" t="s">
        <v>893</v>
      </c>
      <c r="I23" s="270">
        <f>SUMIF('附表2-EF'!$D$19:$D$32,表1温室气体盘查表!C23,'附表2-EF'!$F$19:$F$32)</f>
        <v>3.6999999999999998E-2</v>
      </c>
      <c r="J23" s="268" t="s">
        <v>249</v>
      </c>
      <c r="K23" s="271">
        <v>1</v>
      </c>
      <c r="L23" s="276"/>
      <c r="M23" s="264"/>
      <c r="N23" s="271"/>
      <c r="O23" s="276"/>
      <c r="P23" s="268"/>
      <c r="Q23" s="271"/>
      <c r="R23" s="273"/>
      <c r="S23" s="274"/>
      <c r="T23" s="322"/>
      <c r="U23" s="323"/>
      <c r="V23" s="276"/>
      <c r="W23" s="268"/>
      <c r="X23" s="277"/>
      <c r="Y23" s="268"/>
      <c r="Z23" s="276"/>
      <c r="AA23" s="268"/>
      <c r="AB23" s="271"/>
      <c r="AC23" s="276"/>
      <c r="AD23" s="314"/>
      <c r="AE23" s="311"/>
      <c r="AF23" s="278">
        <f t="shared" si="18"/>
        <v>367.89839999999998</v>
      </c>
      <c r="AG23" s="278">
        <f t="shared" si="19"/>
        <v>0</v>
      </c>
      <c r="AH23" s="278">
        <f t="shared" si="20"/>
        <v>0</v>
      </c>
      <c r="AI23" s="278">
        <f t="shared" si="21"/>
        <v>0</v>
      </c>
      <c r="AJ23" s="278">
        <f t="shared" si="22"/>
        <v>0</v>
      </c>
      <c r="AK23" s="278">
        <f t="shared" si="23"/>
        <v>0</v>
      </c>
      <c r="AL23" s="278">
        <f t="shared" si="24"/>
        <v>0</v>
      </c>
      <c r="AM23" s="278">
        <f t="shared" si="25"/>
        <v>367.89839999999998</v>
      </c>
      <c r="AN23" s="143" t="s">
        <v>295</v>
      </c>
      <c r="AO23" s="291">
        <v>349.46906999999999</v>
      </c>
      <c r="AP23" s="279">
        <f t="shared" si="9"/>
        <v>18.429329999999993</v>
      </c>
    </row>
    <row r="24" spans="1:42" s="19" customFormat="1" ht="13.5" customHeight="1">
      <c r="A24" s="262">
        <v>20</v>
      </c>
      <c r="B24" s="333" t="s">
        <v>53</v>
      </c>
      <c r="C24" s="143" t="s">
        <v>296</v>
      </c>
      <c r="D24" s="104" t="s">
        <v>290</v>
      </c>
      <c r="E24" s="266" t="s">
        <v>241</v>
      </c>
      <c r="F24" s="539">
        <f>ROUND(30491.606+3776.482+5940.04,2)</f>
        <v>40208.129999999997</v>
      </c>
      <c r="G24" s="268" t="s">
        <v>247</v>
      </c>
      <c r="H24" s="543" t="s">
        <v>893</v>
      </c>
      <c r="I24" s="270">
        <f>SUMIF('附表2-EF'!$D$19:$D$32,表1温室气体盘查表!C24,'附表2-EF'!$F$19:$F$32)</f>
        <v>0.34799999999999998</v>
      </c>
      <c r="J24" s="268" t="s">
        <v>249</v>
      </c>
      <c r="K24" s="271">
        <v>1</v>
      </c>
      <c r="L24" s="276"/>
      <c r="M24" s="264"/>
      <c r="N24" s="271"/>
      <c r="O24" s="276"/>
      <c r="P24" s="268"/>
      <c r="Q24" s="271"/>
      <c r="R24" s="273"/>
      <c r="S24" s="274"/>
      <c r="T24" s="322"/>
      <c r="U24" s="323"/>
      <c r="V24" s="276"/>
      <c r="W24" s="268"/>
      <c r="X24" s="277"/>
      <c r="Y24" s="268"/>
      <c r="Z24" s="276"/>
      <c r="AA24" s="268"/>
      <c r="AB24" s="271"/>
      <c r="AC24" s="276"/>
      <c r="AD24" s="314"/>
      <c r="AE24" s="311"/>
      <c r="AF24" s="278">
        <f t="shared" si="18"/>
        <v>13992.429239999998</v>
      </c>
      <c r="AG24" s="278">
        <f t="shared" si="19"/>
        <v>0</v>
      </c>
      <c r="AH24" s="278">
        <f t="shared" si="20"/>
        <v>0</v>
      </c>
      <c r="AI24" s="278">
        <f t="shared" si="21"/>
        <v>0</v>
      </c>
      <c r="AJ24" s="278">
        <f t="shared" si="22"/>
        <v>0</v>
      </c>
      <c r="AK24" s="278">
        <f t="shared" si="23"/>
        <v>0</v>
      </c>
      <c r="AL24" s="278">
        <f t="shared" si="24"/>
        <v>0</v>
      </c>
      <c r="AM24" s="278">
        <f t="shared" si="25"/>
        <v>13992.429239999998</v>
      </c>
      <c r="AN24" s="143" t="s">
        <v>297</v>
      </c>
      <c r="AO24" s="291">
        <v>22918.907292</v>
      </c>
      <c r="AP24" s="279">
        <f t="shared" si="9"/>
        <v>-8926.4780520000022</v>
      </c>
    </row>
    <row r="25" spans="1:42" s="19" customFormat="1" ht="13.5" customHeight="1">
      <c r="A25" s="262">
        <v>21</v>
      </c>
      <c r="B25" s="333" t="s">
        <v>53</v>
      </c>
      <c r="C25" s="143" t="s">
        <v>298</v>
      </c>
      <c r="D25" s="104" t="s">
        <v>290</v>
      </c>
      <c r="E25" s="266" t="s">
        <v>241</v>
      </c>
      <c r="F25" s="539">
        <f>ROUND(7938.683+997.832+2871.568,2)</f>
        <v>11808.08</v>
      </c>
      <c r="G25" s="268" t="s">
        <v>247</v>
      </c>
      <c r="H25" s="543" t="s">
        <v>893</v>
      </c>
      <c r="I25" s="270">
        <f>SUMIF('附表2-EF'!$D$19:$D$32,表1温室气体盘查表!C25,'附表2-EF'!$F$19:$F$32)</f>
        <v>7.0000000000000001E-3</v>
      </c>
      <c r="J25" s="268" t="s">
        <v>249</v>
      </c>
      <c r="K25" s="271">
        <v>1</v>
      </c>
      <c r="L25" s="276"/>
      <c r="M25" s="264"/>
      <c r="N25" s="271"/>
      <c r="O25" s="276"/>
      <c r="P25" s="268"/>
      <c r="Q25" s="271"/>
      <c r="R25" s="273"/>
      <c r="S25" s="274"/>
      <c r="T25" s="322"/>
      <c r="U25" s="323"/>
      <c r="V25" s="276"/>
      <c r="W25" s="268"/>
      <c r="X25" s="277"/>
      <c r="Y25" s="268"/>
      <c r="Z25" s="276"/>
      <c r="AA25" s="268"/>
      <c r="AB25" s="271"/>
      <c r="AC25" s="276"/>
      <c r="AD25" s="314"/>
      <c r="AE25" s="311"/>
      <c r="AF25" s="278">
        <f t="shared" si="18"/>
        <v>82.656559999999999</v>
      </c>
      <c r="AG25" s="278">
        <f t="shared" si="19"/>
        <v>0</v>
      </c>
      <c r="AH25" s="278">
        <f t="shared" si="20"/>
        <v>0</v>
      </c>
      <c r="AI25" s="278">
        <f t="shared" si="21"/>
        <v>0</v>
      </c>
      <c r="AJ25" s="278">
        <f t="shared" si="22"/>
        <v>0</v>
      </c>
      <c r="AK25" s="278">
        <f t="shared" si="23"/>
        <v>0</v>
      </c>
      <c r="AL25" s="278">
        <f t="shared" si="24"/>
        <v>0</v>
      </c>
      <c r="AM25" s="278">
        <f t="shared" si="25"/>
        <v>82.656559999999999</v>
      </c>
      <c r="AN25" s="143" t="s">
        <v>298</v>
      </c>
      <c r="AO25" s="291">
        <v>74.707359999999994</v>
      </c>
      <c r="AP25" s="279">
        <f t="shared" si="9"/>
        <v>7.9492000000000047</v>
      </c>
    </row>
    <row r="26" spans="1:42" s="19" customFormat="1" ht="13.5" customHeight="1">
      <c r="A26" s="262">
        <v>22</v>
      </c>
      <c r="B26" s="333" t="s">
        <v>53</v>
      </c>
      <c r="C26" s="143" t="s">
        <v>299</v>
      </c>
      <c r="D26" s="104" t="s">
        <v>290</v>
      </c>
      <c r="E26" s="266" t="s">
        <v>241</v>
      </c>
      <c r="F26" s="539">
        <f>ROUND(3621.161+1134.107+2513.451,2)</f>
        <v>7268.72</v>
      </c>
      <c r="G26" s="268" t="s">
        <v>247</v>
      </c>
      <c r="H26" s="543" t="s">
        <v>893</v>
      </c>
      <c r="I26" s="270">
        <f>SUMIF('附表2-EF'!$D$19:$D$32,表1温室气体盘查表!C26,'附表2-EF'!$F$19:$F$32)</f>
        <v>1.7999999999999999E-2</v>
      </c>
      <c r="J26" s="268" t="s">
        <v>249</v>
      </c>
      <c r="K26" s="271">
        <v>1</v>
      </c>
      <c r="L26" s="276"/>
      <c r="M26" s="264"/>
      <c r="N26" s="271"/>
      <c r="O26" s="276"/>
      <c r="P26" s="268"/>
      <c r="Q26" s="271"/>
      <c r="R26" s="273"/>
      <c r="S26" s="274"/>
      <c r="T26" s="322"/>
      <c r="U26" s="323"/>
      <c r="V26" s="276"/>
      <c r="W26" s="268"/>
      <c r="X26" s="277"/>
      <c r="Y26" s="268"/>
      <c r="Z26" s="276"/>
      <c r="AA26" s="268"/>
      <c r="AB26" s="271"/>
      <c r="AC26" s="276"/>
      <c r="AD26" s="314"/>
      <c r="AE26" s="311"/>
      <c r="AF26" s="278">
        <f t="shared" si="18"/>
        <v>130.83696</v>
      </c>
      <c r="AG26" s="278">
        <f t="shared" si="19"/>
        <v>0</v>
      </c>
      <c r="AH26" s="278">
        <f t="shared" si="20"/>
        <v>0</v>
      </c>
      <c r="AI26" s="278">
        <f t="shared" si="21"/>
        <v>0</v>
      </c>
      <c r="AJ26" s="278">
        <f t="shared" si="22"/>
        <v>0</v>
      </c>
      <c r="AK26" s="278">
        <f t="shared" si="23"/>
        <v>0</v>
      </c>
      <c r="AL26" s="278">
        <f t="shared" si="24"/>
        <v>0</v>
      </c>
      <c r="AM26" s="278">
        <f t="shared" si="25"/>
        <v>130.83696</v>
      </c>
      <c r="AN26" s="143" t="s">
        <v>299</v>
      </c>
      <c r="AO26" s="291">
        <v>143.01295200000001</v>
      </c>
      <c r="AP26" s="279">
        <f t="shared" si="9"/>
        <v>-12.175992000000008</v>
      </c>
    </row>
    <row r="27" spans="1:42" s="19" customFormat="1" ht="13.5" customHeight="1">
      <c r="A27" s="262">
        <v>23</v>
      </c>
      <c r="B27" s="306" t="s">
        <v>53</v>
      </c>
      <c r="C27" s="307" t="s">
        <v>300</v>
      </c>
      <c r="D27" s="334" t="s">
        <v>301</v>
      </c>
      <c r="E27" s="308" t="s">
        <v>241</v>
      </c>
      <c r="F27" s="309">
        <f>-ROUND(3107726.623+1201742.787+175073.244,2)</f>
        <v>-4484542.6500000004</v>
      </c>
      <c r="G27" s="310" t="s">
        <v>247</v>
      </c>
      <c r="H27" s="557" t="s">
        <v>906</v>
      </c>
      <c r="I27" s="335">
        <f>SUMIF('附表2-EF'!$D$19:$D$32,表1温室气体盘查表!C27,'附表2-EF'!$F$19:$F$32)</f>
        <v>3.6999999999999998E-2</v>
      </c>
      <c r="J27" s="310" t="s">
        <v>249</v>
      </c>
      <c r="K27" s="311">
        <v>1</v>
      </c>
      <c r="L27" s="317"/>
      <c r="M27" s="312"/>
      <c r="N27" s="311"/>
      <c r="O27" s="317"/>
      <c r="P27" s="310"/>
      <c r="Q27" s="311"/>
      <c r="R27" s="313"/>
      <c r="S27" s="314"/>
      <c r="T27" s="315"/>
      <c r="U27" s="316"/>
      <c r="V27" s="317"/>
      <c r="W27" s="310"/>
      <c r="X27" s="318"/>
      <c r="Y27" s="310"/>
      <c r="Z27" s="317"/>
      <c r="AA27" s="310"/>
      <c r="AB27" s="311"/>
      <c r="AC27" s="317"/>
      <c r="AD27" s="314"/>
      <c r="AE27" s="311"/>
      <c r="AF27" s="278">
        <f t="shared" si="18"/>
        <v>-165928.07805000001</v>
      </c>
      <c r="AG27" s="278">
        <f t="shared" si="19"/>
        <v>0</v>
      </c>
      <c r="AH27" s="278">
        <f t="shared" si="20"/>
        <v>0</v>
      </c>
      <c r="AI27" s="278">
        <f t="shared" si="21"/>
        <v>0</v>
      </c>
      <c r="AJ27" s="278">
        <f t="shared" si="22"/>
        <v>0</v>
      </c>
      <c r="AK27" s="278">
        <f t="shared" si="23"/>
        <v>0</v>
      </c>
      <c r="AL27" s="278">
        <f t="shared" si="24"/>
        <v>0</v>
      </c>
      <c r="AM27" s="319">
        <f t="shared" si="25"/>
        <v>-165928.07805000001</v>
      </c>
      <c r="AN27" s="307" t="s">
        <v>302</v>
      </c>
      <c r="AO27" s="291">
        <v>-160314.41177999999</v>
      </c>
      <c r="AP27" s="279">
        <f t="shared" si="9"/>
        <v>-5613.6662700000161</v>
      </c>
    </row>
    <row r="28" spans="1:42" s="19" customFormat="1" ht="13.5" customHeight="1">
      <c r="A28" s="262">
        <v>24</v>
      </c>
      <c r="B28" s="306" t="s">
        <v>53</v>
      </c>
      <c r="C28" s="307" t="s">
        <v>303</v>
      </c>
      <c r="D28" s="307" t="s">
        <v>263</v>
      </c>
      <c r="E28" s="308" t="s">
        <v>241</v>
      </c>
      <c r="F28" s="309">
        <f>-ROUND(20393.52,2)</f>
        <v>-20393.52</v>
      </c>
      <c r="G28" s="310" t="s">
        <v>247</v>
      </c>
      <c r="H28" s="336" t="s">
        <v>304</v>
      </c>
      <c r="I28" s="335">
        <f>SUMIF('附表2-EF'!$D$19:$D$32,表1温室气体盘查表!C28,'附表2-EF'!$F$19:$F$32)</f>
        <v>3.3820000000000001</v>
      </c>
      <c r="J28" s="310" t="s">
        <v>249</v>
      </c>
      <c r="K28" s="311">
        <v>1</v>
      </c>
      <c r="L28" s="317"/>
      <c r="M28" s="312"/>
      <c r="N28" s="311"/>
      <c r="O28" s="317"/>
      <c r="P28" s="310"/>
      <c r="Q28" s="311"/>
      <c r="R28" s="313"/>
      <c r="S28" s="314"/>
      <c r="T28" s="315"/>
      <c r="U28" s="316"/>
      <c r="V28" s="317"/>
      <c r="W28" s="310"/>
      <c r="X28" s="318"/>
      <c r="Y28" s="310"/>
      <c r="Z28" s="317"/>
      <c r="AA28" s="310"/>
      <c r="AB28" s="311"/>
      <c r="AC28" s="317"/>
      <c r="AD28" s="314"/>
      <c r="AE28" s="311"/>
      <c r="AF28" s="278">
        <f t="shared" si="18"/>
        <v>-68970.884640000004</v>
      </c>
      <c r="AG28" s="278">
        <f t="shared" si="19"/>
        <v>0</v>
      </c>
      <c r="AH28" s="278">
        <f t="shared" si="20"/>
        <v>0</v>
      </c>
      <c r="AI28" s="278">
        <f t="shared" si="21"/>
        <v>0</v>
      </c>
      <c r="AJ28" s="278">
        <f t="shared" si="22"/>
        <v>0</v>
      </c>
      <c r="AK28" s="278">
        <f t="shared" si="23"/>
        <v>0</v>
      </c>
      <c r="AL28" s="278">
        <f t="shared" si="24"/>
        <v>0</v>
      </c>
      <c r="AM28" s="319">
        <f t="shared" si="25"/>
        <v>-68970.884640000004</v>
      </c>
      <c r="AN28" s="307" t="s">
        <v>303</v>
      </c>
      <c r="AO28" s="291">
        <v>-65952.990760000001</v>
      </c>
      <c r="AP28" s="279">
        <f t="shared" si="9"/>
        <v>-3017.8938800000033</v>
      </c>
    </row>
    <row r="29" spans="1:42" s="19" customFormat="1" ht="13.5" customHeight="1">
      <c r="A29" s="262">
        <v>25</v>
      </c>
      <c r="B29" s="306" t="s">
        <v>53</v>
      </c>
      <c r="C29" s="307" t="s">
        <v>305</v>
      </c>
      <c r="D29" s="337" t="s">
        <v>306</v>
      </c>
      <c r="E29" s="308" t="s">
        <v>241</v>
      </c>
      <c r="F29" s="309">
        <f>-ROUND(60565.6,2)</f>
        <v>-60565.599999999999</v>
      </c>
      <c r="G29" s="310" t="s">
        <v>247</v>
      </c>
      <c r="H29" s="310" t="s">
        <v>307</v>
      </c>
      <c r="I29" s="335">
        <f>SUMIF('附表2-EF'!$D$19:$D$32,表1温室气体盘查表!C29,'附表2-EF'!$F$19:$F$32)</f>
        <v>2.6989999999999998</v>
      </c>
      <c r="J29" s="310" t="s">
        <v>249</v>
      </c>
      <c r="K29" s="311">
        <v>1</v>
      </c>
      <c r="L29" s="317"/>
      <c r="M29" s="312"/>
      <c r="N29" s="311"/>
      <c r="O29" s="317"/>
      <c r="P29" s="310"/>
      <c r="Q29" s="311"/>
      <c r="R29" s="313"/>
      <c r="S29" s="314"/>
      <c r="T29" s="315"/>
      <c r="U29" s="316"/>
      <c r="V29" s="317"/>
      <c r="W29" s="310"/>
      <c r="X29" s="318"/>
      <c r="Y29" s="310"/>
      <c r="Z29" s="317"/>
      <c r="AA29" s="310"/>
      <c r="AB29" s="311"/>
      <c r="AC29" s="317"/>
      <c r="AD29" s="314"/>
      <c r="AE29" s="311"/>
      <c r="AF29" s="278">
        <f t="shared" ref="AF29" si="35">F29*I29*K29</f>
        <v>-163466.55439999999</v>
      </c>
      <c r="AG29" s="278">
        <f t="shared" ref="AG29" si="36">F29*L29*N29</f>
        <v>0</v>
      </c>
      <c r="AH29" s="278">
        <f t="shared" ref="AH29" si="37">F29*O29*Q29</f>
        <v>0</v>
      </c>
      <c r="AI29" s="278">
        <f t="shared" ref="AI29" si="38">F29*R29*T29</f>
        <v>0</v>
      </c>
      <c r="AJ29" s="278">
        <f t="shared" ref="AJ29" si="39">F29*V29*X29</f>
        <v>0</v>
      </c>
      <c r="AK29" s="278">
        <f t="shared" ref="AK29" si="40">F29*Z29*AB29</f>
        <v>0</v>
      </c>
      <c r="AL29" s="278">
        <f t="shared" ref="AL29" si="41">F29*AC29*AE29</f>
        <v>0</v>
      </c>
      <c r="AM29" s="319">
        <f t="shared" ref="AM29" si="42">SUM(AF29:AL29)</f>
        <v>-163466.55439999999</v>
      </c>
      <c r="AN29" s="307" t="s">
        <v>308</v>
      </c>
      <c r="AO29" s="291">
        <v>-159387.0159</v>
      </c>
      <c r="AP29" s="279">
        <f t="shared" si="9"/>
        <v>-4079.5384999999951</v>
      </c>
    </row>
    <row r="30" spans="1:42" s="19" customFormat="1" ht="13.5" customHeight="1">
      <c r="A30" s="262">
        <v>26</v>
      </c>
      <c r="B30" s="338" t="s">
        <v>309</v>
      </c>
      <c r="C30" s="265" t="s">
        <v>310</v>
      </c>
      <c r="D30" s="104" t="s">
        <v>311</v>
      </c>
      <c r="E30" s="266" t="s">
        <v>312</v>
      </c>
      <c r="F30" s="267">
        <f>ROUND(1966850.825,2)</f>
        <v>1966850.83</v>
      </c>
      <c r="G30" s="268" t="s">
        <v>313</v>
      </c>
      <c r="H30" s="269" t="s">
        <v>314</v>
      </c>
      <c r="I30" s="339">
        <f>'附表2-EF'!F44</f>
        <v>0.53059999999999996</v>
      </c>
      <c r="J30" s="268" t="s">
        <v>315</v>
      </c>
      <c r="K30" s="271">
        <v>1</v>
      </c>
      <c r="L30" s="276"/>
      <c r="M30" s="268"/>
      <c r="N30" s="271"/>
      <c r="O30" s="276"/>
      <c r="P30" s="268"/>
      <c r="Q30" s="271"/>
      <c r="R30" s="273"/>
      <c r="S30" s="274"/>
      <c r="T30" s="275"/>
      <c r="U30" s="274"/>
      <c r="V30" s="276"/>
      <c r="W30" s="268"/>
      <c r="X30" s="277"/>
      <c r="Y30" s="268"/>
      <c r="Z30" s="276"/>
      <c r="AA30" s="268"/>
      <c r="AB30" s="271"/>
      <c r="AC30" s="276"/>
      <c r="AD30" s="314"/>
      <c r="AE30" s="311"/>
      <c r="AF30" s="278">
        <f t="shared" si="18"/>
        <v>1043611.0503979999</v>
      </c>
      <c r="AG30" s="278">
        <f t="shared" si="19"/>
        <v>0</v>
      </c>
      <c r="AH30" s="278">
        <f t="shared" si="20"/>
        <v>0</v>
      </c>
      <c r="AI30" s="278">
        <f t="shared" si="21"/>
        <v>0</v>
      </c>
      <c r="AJ30" s="278">
        <f t="shared" si="22"/>
        <v>0</v>
      </c>
      <c r="AK30" s="278">
        <f t="shared" si="23"/>
        <v>0</v>
      </c>
      <c r="AL30" s="278">
        <f t="shared" si="24"/>
        <v>0</v>
      </c>
      <c r="AM30" s="278">
        <f t="shared" si="25"/>
        <v>1043611.0503979999</v>
      </c>
      <c r="AN30" s="265" t="s">
        <v>310</v>
      </c>
      <c r="AP30" s="279"/>
    </row>
    <row r="31" spans="1:42" s="19" customFormat="1" ht="13.5" customHeight="1">
      <c r="A31" s="262">
        <v>27</v>
      </c>
      <c r="B31" s="338" t="s">
        <v>309</v>
      </c>
      <c r="C31" s="265" t="s">
        <v>316</v>
      </c>
      <c r="D31" s="104" t="s">
        <v>311</v>
      </c>
      <c r="E31" s="266" t="s">
        <v>312</v>
      </c>
      <c r="F31" s="267">
        <f>ROUND(1946850.825,2)</f>
        <v>1946850.83</v>
      </c>
      <c r="G31" s="268" t="s">
        <v>313</v>
      </c>
      <c r="H31" s="269" t="s">
        <v>896</v>
      </c>
      <c r="I31" s="339">
        <f>'附表2-EF'!F45</f>
        <v>0.60960000000000003</v>
      </c>
      <c r="J31" s="268" t="s">
        <v>315</v>
      </c>
      <c r="K31" s="271">
        <v>1</v>
      </c>
      <c r="L31" s="276"/>
      <c r="M31" s="268"/>
      <c r="N31" s="271"/>
      <c r="O31" s="276"/>
      <c r="P31" s="268"/>
      <c r="Q31" s="271"/>
      <c r="R31" s="273"/>
      <c r="S31" s="274"/>
      <c r="T31" s="275"/>
      <c r="U31" s="274"/>
      <c r="V31" s="276"/>
      <c r="W31" s="268"/>
      <c r="X31" s="277"/>
      <c r="Y31" s="268"/>
      <c r="Z31" s="276"/>
      <c r="AA31" s="268"/>
      <c r="AB31" s="271"/>
      <c r="AC31" s="276"/>
      <c r="AD31" s="314"/>
      <c r="AE31" s="311"/>
      <c r="AF31" s="278">
        <f t="shared" si="18"/>
        <v>1186800.2659680001</v>
      </c>
      <c r="AG31" s="278">
        <f t="shared" si="19"/>
        <v>0</v>
      </c>
      <c r="AH31" s="278">
        <f t="shared" si="20"/>
        <v>0</v>
      </c>
      <c r="AI31" s="278">
        <f t="shared" si="21"/>
        <v>0</v>
      </c>
      <c r="AJ31" s="278">
        <f t="shared" si="22"/>
        <v>0</v>
      </c>
      <c r="AK31" s="278">
        <f t="shared" si="23"/>
        <v>0</v>
      </c>
      <c r="AL31" s="278">
        <f t="shared" si="24"/>
        <v>0</v>
      </c>
      <c r="AM31" s="278">
        <f t="shared" si="25"/>
        <v>1186800.2659680001</v>
      </c>
      <c r="AN31" s="265" t="s">
        <v>316</v>
      </c>
      <c r="AP31" s="279"/>
    </row>
    <row r="32" spans="1:42" s="16" customFormat="1" ht="13.5" customHeight="1">
      <c r="A32" s="262">
        <v>28</v>
      </c>
      <c r="B32" s="139" t="s">
        <v>68</v>
      </c>
      <c r="C32" s="143" t="s">
        <v>317</v>
      </c>
      <c r="D32" s="265" t="s">
        <v>318</v>
      </c>
      <c r="E32" s="266" t="s">
        <v>67</v>
      </c>
      <c r="F32" s="280">
        <f>ROUND(816374.146+4037949.92633333,2)</f>
        <v>4854324.07</v>
      </c>
      <c r="G32" s="281" t="s">
        <v>247</v>
      </c>
      <c r="H32" s="548" t="s">
        <v>892</v>
      </c>
      <c r="I32" s="340">
        <f>SUMIF('附表2-EF'!$D$49:$D$72,表1温室气体盘查表!C32,'附表2-EF'!$G$49:$G$72)</f>
        <v>9.8847000000000004E-2</v>
      </c>
      <c r="J32" s="281" t="s">
        <v>249</v>
      </c>
      <c r="K32" s="283">
        <v>1</v>
      </c>
      <c r="L32" s="289"/>
      <c r="M32" s="284"/>
      <c r="N32" s="283"/>
      <c r="O32" s="289"/>
      <c r="P32" s="281"/>
      <c r="Q32" s="283"/>
      <c r="R32" s="285"/>
      <c r="S32" s="286"/>
      <c r="T32" s="287"/>
      <c r="U32" s="288"/>
      <c r="V32" s="289"/>
      <c r="W32" s="281"/>
      <c r="X32" s="290"/>
      <c r="Y32" s="281"/>
      <c r="Z32" s="289"/>
      <c r="AA32" s="281"/>
      <c r="AB32" s="283"/>
      <c r="AC32" s="289"/>
      <c r="AD32" s="286"/>
      <c r="AE32" s="283"/>
      <c r="AF32" s="278">
        <f t="shared" si="18"/>
        <v>479835.37134729006</v>
      </c>
      <c r="AG32" s="278">
        <f t="shared" si="19"/>
        <v>0</v>
      </c>
      <c r="AH32" s="278">
        <f t="shared" si="20"/>
        <v>0</v>
      </c>
      <c r="AI32" s="278">
        <f t="shared" si="21"/>
        <v>0</v>
      </c>
      <c r="AJ32" s="278">
        <f t="shared" si="22"/>
        <v>0</v>
      </c>
      <c r="AK32" s="278">
        <f t="shared" si="23"/>
        <v>0</v>
      </c>
      <c r="AL32" s="278">
        <f t="shared" si="24"/>
        <v>0</v>
      </c>
      <c r="AM32" s="278">
        <f t="shared" si="25"/>
        <v>479835.37134729006</v>
      </c>
      <c r="AN32" s="143" t="s">
        <v>317</v>
      </c>
      <c r="AO32" s="291">
        <v>448588.57632498001</v>
      </c>
      <c r="AP32" s="279">
        <f t="shared" si="9"/>
        <v>31246.795022310049</v>
      </c>
    </row>
    <row r="33" spans="1:42" s="16" customFormat="1" ht="13.5" customHeight="1">
      <c r="A33" s="262">
        <v>29</v>
      </c>
      <c r="B33" s="139" t="s">
        <v>68</v>
      </c>
      <c r="C33" s="143" t="s">
        <v>319</v>
      </c>
      <c r="D33" s="265" t="s">
        <v>320</v>
      </c>
      <c r="E33" s="266" t="s">
        <v>67</v>
      </c>
      <c r="F33" s="539">
        <f>ROUND(127889.871+11121.076+60171.413,2)</f>
        <v>199182.36</v>
      </c>
      <c r="G33" s="281" t="s">
        <v>247</v>
      </c>
      <c r="H33" s="543" t="s">
        <v>888</v>
      </c>
      <c r="I33" s="340">
        <f>SUMIF('附表2-EF'!$D$49:$D$72,表1温室气体盘查表!C33,'附表2-EF'!$G$49:$G$72)</f>
        <v>1.18966991668996</v>
      </c>
      <c r="J33" s="281" t="s">
        <v>249</v>
      </c>
      <c r="K33" s="283">
        <v>1</v>
      </c>
      <c r="L33" s="289"/>
      <c r="M33" s="284"/>
      <c r="N33" s="283"/>
      <c r="O33" s="289"/>
      <c r="P33" s="281"/>
      <c r="Q33" s="283"/>
      <c r="R33" s="285"/>
      <c r="S33" s="286"/>
      <c r="T33" s="287"/>
      <c r="U33" s="288"/>
      <c r="V33" s="289"/>
      <c r="W33" s="281"/>
      <c r="X33" s="290"/>
      <c r="Y33" s="281"/>
      <c r="Z33" s="289"/>
      <c r="AA33" s="281"/>
      <c r="AB33" s="283"/>
      <c r="AC33" s="289"/>
      <c r="AD33" s="286"/>
      <c r="AE33" s="283"/>
      <c r="AF33" s="278">
        <f t="shared" ref="AF33:AF57" si="43">F33*I33*K33</f>
        <v>236961.26162730961</v>
      </c>
      <c r="AG33" s="278">
        <f t="shared" ref="AG33:AG57" si="44">F33*L33*N33</f>
        <v>0</v>
      </c>
      <c r="AH33" s="278">
        <f t="shared" ref="AH33:AH57" si="45">F33*O33*Q33</f>
        <v>0</v>
      </c>
      <c r="AI33" s="278">
        <f t="shared" ref="AI33:AI57" si="46">F33*R33*T33</f>
        <v>0</v>
      </c>
      <c r="AJ33" s="278">
        <f t="shared" ref="AJ33:AJ57" si="47">F33*V33*X33</f>
        <v>0</v>
      </c>
      <c r="AK33" s="278">
        <f t="shared" ref="AK33:AK57" si="48">F33*Z33*AB33</f>
        <v>0</v>
      </c>
      <c r="AL33" s="278">
        <f t="shared" ref="AL33:AL57" si="49">F33*AC33*AE33</f>
        <v>0</v>
      </c>
      <c r="AM33" s="278">
        <f t="shared" ref="AM33:AM57" si="50">SUM(AF33:AL33)</f>
        <v>236961.26162730961</v>
      </c>
      <c r="AN33" s="143" t="s">
        <v>319</v>
      </c>
      <c r="AO33" s="291">
        <v>727500.38047630398</v>
      </c>
      <c r="AP33" s="341">
        <f t="shared" si="9"/>
        <v>-490539.11884899437</v>
      </c>
    </row>
    <row r="34" spans="1:42" s="16" customFormat="1" ht="13.5" customHeight="1">
      <c r="A34" s="262">
        <v>30</v>
      </c>
      <c r="B34" s="139" t="s">
        <v>68</v>
      </c>
      <c r="C34" s="143" t="s">
        <v>322</v>
      </c>
      <c r="D34" s="265" t="s">
        <v>320</v>
      </c>
      <c r="E34" s="266" t="s">
        <v>67</v>
      </c>
      <c r="F34" s="539">
        <f>ROUND(38669.446,2)</f>
        <v>38669.449999999997</v>
      </c>
      <c r="G34" s="281" t="s">
        <v>247</v>
      </c>
      <c r="H34" s="543" t="s">
        <v>891</v>
      </c>
      <c r="I34" s="340">
        <f>SUMIF('附表2-EF'!$D$49:$D$72,表1温室气体盘查表!C34,'附表2-EF'!$G$49:$G$72)</f>
        <v>0.13033</v>
      </c>
      <c r="J34" s="281" t="s">
        <v>249</v>
      </c>
      <c r="K34" s="283">
        <v>1</v>
      </c>
      <c r="L34" s="289"/>
      <c r="M34" s="284"/>
      <c r="N34" s="283"/>
      <c r="O34" s="289"/>
      <c r="P34" s="281"/>
      <c r="Q34" s="283"/>
      <c r="R34" s="285"/>
      <c r="S34" s="286"/>
      <c r="T34" s="287"/>
      <c r="U34" s="288"/>
      <c r="V34" s="289"/>
      <c r="W34" s="281"/>
      <c r="X34" s="290"/>
      <c r="Y34" s="281"/>
      <c r="Z34" s="289"/>
      <c r="AA34" s="281"/>
      <c r="AB34" s="283"/>
      <c r="AC34" s="289"/>
      <c r="AD34" s="286"/>
      <c r="AE34" s="283"/>
      <c r="AF34" s="278">
        <f t="shared" si="43"/>
        <v>5039.7894184999996</v>
      </c>
      <c r="AG34" s="278">
        <f t="shared" si="44"/>
        <v>0</v>
      </c>
      <c r="AH34" s="278">
        <f t="shared" si="45"/>
        <v>0</v>
      </c>
      <c r="AI34" s="278">
        <f t="shared" si="46"/>
        <v>0</v>
      </c>
      <c r="AJ34" s="278">
        <f t="shared" si="47"/>
        <v>0</v>
      </c>
      <c r="AK34" s="278">
        <f t="shared" si="48"/>
        <v>0</v>
      </c>
      <c r="AL34" s="278">
        <f t="shared" si="49"/>
        <v>0</v>
      </c>
      <c r="AM34" s="278">
        <f t="shared" si="50"/>
        <v>5039.7894184999996</v>
      </c>
      <c r="AN34" s="143" t="s">
        <v>322</v>
      </c>
      <c r="AO34" s="291">
        <v>46435.196198700003</v>
      </c>
      <c r="AP34" s="279">
        <f t="shared" si="9"/>
        <v>-41395.406780200006</v>
      </c>
    </row>
    <row r="35" spans="1:42" s="16" customFormat="1" ht="13.5" customHeight="1">
      <c r="A35" s="262">
        <v>31</v>
      </c>
      <c r="B35" s="139" t="s">
        <v>68</v>
      </c>
      <c r="C35" s="143" t="s">
        <v>323</v>
      </c>
      <c r="D35" s="265" t="s">
        <v>324</v>
      </c>
      <c r="E35" s="266" t="s">
        <v>67</v>
      </c>
      <c r="F35" s="539">
        <f>ROUND(679912.97+2080.92,2)</f>
        <v>681993.89</v>
      </c>
      <c r="G35" s="281" t="s">
        <v>247</v>
      </c>
      <c r="H35" s="543" t="s">
        <v>889</v>
      </c>
      <c r="I35" s="340">
        <f>SUMIF('附表2-EF'!$D$49:$D$72,表1温室气体盘查表!C35,'附表2-EF'!$G$49:$G$72)</f>
        <v>0.10446</v>
      </c>
      <c r="J35" s="281" t="s">
        <v>249</v>
      </c>
      <c r="K35" s="283">
        <v>1</v>
      </c>
      <c r="L35" s="289"/>
      <c r="M35" s="284"/>
      <c r="N35" s="283"/>
      <c r="O35" s="289"/>
      <c r="P35" s="281"/>
      <c r="Q35" s="283"/>
      <c r="R35" s="285"/>
      <c r="S35" s="286"/>
      <c r="T35" s="287"/>
      <c r="U35" s="288"/>
      <c r="V35" s="289"/>
      <c r="W35" s="281"/>
      <c r="X35" s="290"/>
      <c r="Y35" s="281"/>
      <c r="Z35" s="289"/>
      <c r="AA35" s="281"/>
      <c r="AB35" s="283"/>
      <c r="AC35" s="289"/>
      <c r="AD35" s="286"/>
      <c r="AE35" s="283"/>
      <c r="AF35" s="278">
        <f t="shared" si="43"/>
        <v>71241.081749399993</v>
      </c>
      <c r="AG35" s="278">
        <f t="shared" si="44"/>
        <v>0</v>
      </c>
      <c r="AH35" s="278">
        <f t="shared" si="45"/>
        <v>0</v>
      </c>
      <c r="AI35" s="278">
        <f t="shared" si="46"/>
        <v>0</v>
      </c>
      <c r="AJ35" s="278">
        <f t="shared" si="47"/>
        <v>0</v>
      </c>
      <c r="AK35" s="278">
        <f t="shared" si="48"/>
        <v>0</v>
      </c>
      <c r="AL35" s="278">
        <f t="shared" si="49"/>
        <v>0</v>
      </c>
      <c r="AM35" s="278">
        <f t="shared" si="50"/>
        <v>71241.081749399993</v>
      </c>
      <c r="AN35" s="143" t="s">
        <v>323</v>
      </c>
      <c r="AO35" s="291">
        <v>71601.050909400001</v>
      </c>
      <c r="AP35" s="279">
        <f t="shared" si="9"/>
        <v>-359.96916000000783</v>
      </c>
    </row>
    <row r="36" spans="1:42" s="16" customFormat="1" ht="13.5" customHeight="1">
      <c r="A36" s="262">
        <v>32</v>
      </c>
      <c r="B36" s="139" t="s">
        <v>68</v>
      </c>
      <c r="C36" s="143" t="s">
        <v>325</v>
      </c>
      <c r="D36" s="265" t="s">
        <v>326</v>
      </c>
      <c r="E36" s="266" t="s">
        <v>67</v>
      </c>
      <c r="F36" s="280">
        <f>F20</f>
        <v>1119615.6599999999</v>
      </c>
      <c r="G36" s="281" t="s">
        <v>247</v>
      </c>
      <c r="H36" s="547" t="s">
        <v>888</v>
      </c>
      <c r="I36" s="340">
        <f>SUMIF('附表2-EF'!$D$49:$D$72,表1温室气体盘查表!C36,'附表2-EF'!$G$49:$G$72)</f>
        <v>7.4178999999999995E-2</v>
      </c>
      <c r="J36" s="281" t="s">
        <v>249</v>
      </c>
      <c r="K36" s="283">
        <v>1</v>
      </c>
      <c r="L36" s="289"/>
      <c r="M36" s="284"/>
      <c r="N36" s="283"/>
      <c r="O36" s="289"/>
      <c r="P36" s="281"/>
      <c r="Q36" s="283"/>
      <c r="R36" s="285"/>
      <c r="S36" s="286"/>
      <c r="T36" s="287"/>
      <c r="U36" s="288"/>
      <c r="V36" s="289"/>
      <c r="W36" s="281"/>
      <c r="X36" s="290"/>
      <c r="Y36" s="281"/>
      <c r="Z36" s="289"/>
      <c r="AA36" s="281"/>
      <c r="AB36" s="283"/>
      <c r="AC36" s="289"/>
      <c r="AD36" s="286"/>
      <c r="AE36" s="283"/>
      <c r="AF36" s="278">
        <f t="shared" si="43"/>
        <v>83051.970043139983</v>
      </c>
      <c r="AG36" s="278">
        <f t="shared" si="44"/>
        <v>0</v>
      </c>
      <c r="AH36" s="278">
        <f t="shared" si="45"/>
        <v>0</v>
      </c>
      <c r="AI36" s="278">
        <f t="shared" si="46"/>
        <v>0</v>
      </c>
      <c r="AJ36" s="278">
        <f t="shared" si="47"/>
        <v>0</v>
      </c>
      <c r="AK36" s="278">
        <f t="shared" si="48"/>
        <v>0</v>
      </c>
      <c r="AL36" s="278">
        <f t="shared" si="49"/>
        <v>0</v>
      </c>
      <c r="AM36" s="278">
        <f t="shared" si="50"/>
        <v>83051.970043139983</v>
      </c>
      <c r="AN36" s="143" t="s">
        <v>325</v>
      </c>
      <c r="AO36" s="291">
        <v>79944.387942351706</v>
      </c>
      <c r="AP36" s="279">
        <f t="shared" si="9"/>
        <v>3107.5821007882769</v>
      </c>
    </row>
    <row r="37" spans="1:42" s="16" customFormat="1" ht="13.5" customHeight="1">
      <c r="A37" s="262">
        <v>33</v>
      </c>
      <c r="B37" s="139" t="s">
        <v>68</v>
      </c>
      <c r="C37" s="143" t="s">
        <v>327</v>
      </c>
      <c r="D37" s="265" t="s">
        <v>326</v>
      </c>
      <c r="E37" s="266" t="s">
        <v>67</v>
      </c>
      <c r="F37" s="539">
        <f>ROUND(2292.859+709.398+2003.195,2)</f>
        <v>5005.45</v>
      </c>
      <c r="G37" s="281" t="s">
        <v>247</v>
      </c>
      <c r="H37" s="543" t="s">
        <v>888</v>
      </c>
      <c r="I37" s="340">
        <f>SUMIF('附表2-EF'!$D$49:$D$72,表1温室气体盘查表!C37,'附表2-EF'!$G$49:$G$72)</f>
        <v>12.179129620198299</v>
      </c>
      <c r="J37" s="281" t="s">
        <v>249</v>
      </c>
      <c r="K37" s="283">
        <v>1</v>
      </c>
      <c r="L37" s="289"/>
      <c r="M37" s="284"/>
      <c r="N37" s="283"/>
      <c r="O37" s="289"/>
      <c r="P37" s="281"/>
      <c r="Q37" s="283"/>
      <c r="R37" s="285"/>
      <c r="S37" s="286"/>
      <c r="T37" s="287"/>
      <c r="U37" s="288"/>
      <c r="V37" s="289"/>
      <c r="W37" s="281"/>
      <c r="X37" s="290"/>
      <c r="Y37" s="281"/>
      <c r="Z37" s="289"/>
      <c r="AA37" s="281"/>
      <c r="AB37" s="283"/>
      <c r="AC37" s="289"/>
      <c r="AD37" s="286"/>
      <c r="AE37" s="283"/>
      <c r="AF37" s="278">
        <f t="shared" si="43"/>
        <v>60962.024357421578</v>
      </c>
      <c r="AG37" s="278">
        <f t="shared" si="44"/>
        <v>0</v>
      </c>
      <c r="AH37" s="278">
        <f t="shared" si="45"/>
        <v>0</v>
      </c>
      <c r="AI37" s="278">
        <f t="shared" si="46"/>
        <v>0</v>
      </c>
      <c r="AJ37" s="278">
        <f t="shared" si="47"/>
        <v>0</v>
      </c>
      <c r="AK37" s="278">
        <f t="shared" si="48"/>
        <v>0</v>
      </c>
      <c r="AL37" s="278">
        <f t="shared" si="49"/>
        <v>0</v>
      </c>
      <c r="AM37" s="278">
        <f t="shared" si="50"/>
        <v>60962.024357421578</v>
      </c>
      <c r="AN37" s="143" t="s">
        <v>327</v>
      </c>
      <c r="AO37" s="291">
        <v>37742.8121526018</v>
      </c>
      <c r="AP37" s="279">
        <f t="shared" si="9"/>
        <v>23219.212204819778</v>
      </c>
    </row>
    <row r="38" spans="1:42" s="16" customFormat="1" ht="13.5" customHeight="1">
      <c r="A38" s="262">
        <v>34</v>
      </c>
      <c r="B38" s="139" t="s">
        <v>68</v>
      </c>
      <c r="C38" s="143" t="s">
        <v>328</v>
      </c>
      <c r="D38" s="265" t="s">
        <v>326</v>
      </c>
      <c r="E38" s="266" t="s">
        <v>67</v>
      </c>
      <c r="F38" s="539">
        <f>F21</f>
        <v>41483.17</v>
      </c>
      <c r="G38" s="281" t="s">
        <v>247</v>
      </c>
      <c r="H38" s="543" t="s">
        <v>893</v>
      </c>
      <c r="I38" s="340">
        <f>SUMIF('附表2-EF'!$D$49:$D$72,表1温室气体盘查表!C38,'附表2-EF'!$G$49:$G$72)</f>
        <v>2.9771999999999998</v>
      </c>
      <c r="J38" s="281" t="s">
        <v>249</v>
      </c>
      <c r="K38" s="283">
        <v>1</v>
      </c>
      <c r="L38" s="289"/>
      <c r="M38" s="284"/>
      <c r="N38" s="283"/>
      <c r="O38" s="289"/>
      <c r="P38" s="281"/>
      <c r="Q38" s="283"/>
      <c r="R38" s="285"/>
      <c r="S38" s="286"/>
      <c r="T38" s="287"/>
      <c r="U38" s="288"/>
      <c r="V38" s="289"/>
      <c r="W38" s="281"/>
      <c r="X38" s="290"/>
      <c r="Y38" s="281"/>
      <c r="Z38" s="289"/>
      <c r="AA38" s="281"/>
      <c r="AB38" s="283"/>
      <c r="AC38" s="289"/>
      <c r="AD38" s="286"/>
      <c r="AE38" s="283"/>
      <c r="AF38" s="278">
        <f t="shared" si="43"/>
        <v>123503.69372399998</v>
      </c>
      <c r="AG38" s="278">
        <f t="shared" si="44"/>
        <v>0</v>
      </c>
      <c r="AH38" s="278">
        <f t="shared" si="45"/>
        <v>0</v>
      </c>
      <c r="AI38" s="278">
        <f t="shared" si="46"/>
        <v>0</v>
      </c>
      <c r="AJ38" s="278">
        <f t="shared" si="47"/>
        <v>0</v>
      </c>
      <c r="AK38" s="278">
        <f t="shared" si="48"/>
        <v>0</v>
      </c>
      <c r="AL38" s="278">
        <f t="shared" si="49"/>
        <v>0</v>
      </c>
      <c r="AM38" s="278">
        <f t="shared" si="50"/>
        <v>123503.69372399998</v>
      </c>
      <c r="AN38" s="143" t="s">
        <v>328</v>
      </c>
      <c r="AO38" s="291">
        <v>141868.58169600001</v>
      </c>
      <c r="AP38" s="279">
        <f t="shared" si="9"/>
        <v>-18364.887972000026</v>
      </c>
    </row>
    <row r="39" spans="1:42" s="16" customFormat="1" ht="13.5" customHeight="1">
      <c r="A39" s="262">
        <v>35</v>
      </c>
      <c r="B39" s="139" t="s">
        <v>68</v>
      </c>
      <c r="C39" s="143" t="s">
        <v>329</v>
      </c>
      <c r="D39" s="265" t="s">
        <v>326</v>
      </c>
      <c r="E39" s="266" t="s">
        <v>67</v>
      </c>
      <c r="F39" s="539">
        <f>F23</f>
        <v>9943.2000000000007</v>
      </c>
      <c r="G39" s="281" t="s">
        <v>247</v>
      </c>
      <c r="H39" s="543" t="s">
        <v>893</v>
      </c>
      <c r="I39" s="340">
        <f>SUMIF('附表2-EF'!$D$49:$D$72,表1温室气体盘查表!C39,'附表2-EF'!$G$49:$G$72)</f>
        <v>8.7546999999999997</v>
      </c>
      <c r="J39" s="281" t="s">
        <v>249</v>
      </c>
      <c r="K39" s="283">
        <v>1</v>
      </c>
      <c r="L39" s="289"/>
      <c r="M39" s="284"/>
      <c r="N39" s="283"/>
      <c r="O39" s="289"/>
      <c r="P39" s="281"/>
      <c r="Q39" s="283"/>
      <c r="R39" s="285"/>
      <c r="S39" s="286"/>
      <c r="T39" s="287"/>
      <c r="U39" s="288"/>
      <c r="V39" s="289"/>
      <c r="W39" s="281"/>
      <c r="X39" s="290"/>
      <c r="Y39" s="281"/>
      <c r="Z39" s="289"/>
      <c r="AA39" s="281"/>
      <c r="AB39" s="283"/>
      <c r="AC39" s="289"/>
      <c r="AD39" s="286"/>
      <c r="AE39" s="283"/>
      <c r="AF39" s="278">
        <f t="shared" si="43"/>
        <v>87049.733040000006</v>
      </c>
      <c r="AG39" s="278">
        <f t="shared" si="44"/>
        <v>0</v>
      </c>
      <c r="AH39" s="278">
        <f t="shared" si="45"/>
        <v>0</v>
      </c>
      <c r="AI39" s="278">
        <f t="shared" si="46"/>
        <v>0</v>
      </c>
      <c r="AJ39" s="278">
        <f t="shared" si="47"/>
        <v>0</v>
      </c>
      <c r="AK39" s="278">
        <f t="shared" si="48"/>
        <v>0</v>
      </c>
      <c r="AL39" s="278">
        <f t="shared" si="49"/>
        <v>0</v>
      </c>
      <c r="AM39" s="278">
        <f t="shared" si="50"/>
        <v>87049.733040000006</v>
      </c>
      <c r="AN39" s="143" t="s">
        <v>329</v>
      </c>
      <c r="AO39" s="291">
        <v>84819.123026999994</v>
      </c>
      <c r="AP39" s="279">
        <f t="shared" si="9"/>
        <v>2230.6100130000123</v>
      </c>
    </row>
    <row r="40" spans="1:42" s="16" customFormat="1" ht="13.5" customHeight="1">
      <c r="A40" s="262">
        <v>36</v>
      </c>
      <c r="B40" s="139" t="s">
        <v>68</v>
      </c>
      <c r="C40" s="143" t="s">
        <v>330</v>
      </c>
      <c r="D40" s="265" t="s">
        <v>326</v>
      </c>
      <c r="E40" s="266" t="s">
        <v>67</v>
      </c>
      <c r="F40" s="539">
        <f>F24</f>
        <v>40208.129999999997</v>
      </c>
      <c r="G40" s="281" t="s">
        <v>247</v>
      </c>
      <c r="H40" s="543" t="s">
        <v>893</v>
      </c>
      <c r="I40" s="340">
        <f>SUMIF('附表2-EF'!$D$49:$D$72,表1温室气体盘查表!C40,'附表2-EF'!$G$49:$G$72)</f>
        <v>5.0921000000000003</v>
      </c>
      <c r="J40" s="281" t="s">
        <v>249</v>
      </c>
      <c r="K40" s="283">
        <v>1</v>
      </c>
      <c r="L40" s="289"/>
      <c r="M40" s="284"/>
      <c r="N40" s="283"/>
      <c r="O40" s="289"/>
      <c r="P40" s="281"/>
      <c r="Q40" s="283"/>
      <c r="R40" s="285"/>
      <c r="S40" s="286"/>
      <c r="T40" s="287"/>
      <c r="U40" s="288"/>
      <c r="V40" s="289"/>
      <c r="W40" s="281"/>
      <c r="X40" s="290"/>
      <c r="Y40" s="281"/>
      <c r="Z40" s="289"/>
      <c r="AA40" s="281"/>
      <c r="AB40" s="283"/>
      <c r="AC40" s="289"/>
      <c r="AD40" s="286"/>
      <c r="AE40" s="283"/>
      <c r="AF40" s="278">
        <f t="shared" si="43"/>
        <v>204743.81877300001</v>
      </c>
      <c r="AG40" s="278">
        <f t="shared" si="44"/>
        <v>0</v>
      </c>
      <c r="AH40" s="278">
        <f t="shared" si="45"/>
        <v>0</v>
      </c>
      <c r="AI40" s="278">
        <f t="shared" si="46"/>
        <v>0</v>
      </c>
      <c r="AJ40" s="278">
        <f t="shared" si="47"/>
        <v>0</v>
      </c>
      <c r="AK40" s="278">
        <f t="shared" si="48"/>
        <v>0</v>
      </c>
      <c r="AL40" s="278">
        <f t="shared" si="49"/>
        <v>0</v>
      </c>
      <c r="AM40" s="278">
        <f t="shared" si="50"/>
        <v>204743.81877300001</v>
      </c>
      <c r="AN40" s="143" t="s">
        <v>330</v>
      </c>
      <c r="AO40" s="291">
        <v>345101.44475299999</v>
      </c>
      <c r="AP40" s="279">
        <f t="shared" si="9"/>
        <v>-140357.62597999998</v>
      </c>
    </row>
    <row r="41" spans="1:42" s="16" customFormat="1" ht="13.5" customHeight="1">
      <c r="A41" s="262">
        <v>37</v>
      </c>
      <c r="B41" s="139" t="s">
        <v>68</v>
      </c>
      <c r="C41" s="143" t="s">
        <v>331</v>
      </c>
      <c r="D41" s="265" t="s">
        <v>326</v>
      </c>
      <c r="E41" s="266" t="s">
        <v>67</v>
      </c>
      <c r="F41" s="539">
        <f>ROUND(417605+415.582+135.385,2)</f>
        <v>418155.97</v>
      </c>
      <c r="G41" s="281" t="s">
        <v>247</v>
      </c>
      <c r="H41" s="543" t="s">
        <v>888</v>
      </c>
      <c r="I41" s="340">
        <f>SUMIF('附表2-EF'!$D$49:$D$72,表1温室气体盘查表!C41,'附表2-EF'!$G$49:$G$72)</f>
        <v>0.21157999999999999</v>
      </c>
      <c r="J41" s="281" t="s">
        <v>249</v>
      </c>
      <c r="K41" s="283">
        <v>1</v>
      </c>
      <c r="L41" s="289"/>
      <c r="M41" s="284"/>
      <c r="N41" s="283"/>
      <c r="O41" s="289"/>
      <c r="P41" s="281"/>
      <c r="Q41" s="283"/>
      <c r="R41" s="285"/>
      <c r="S41" s="286"/>
      <c r="T41" s="287"/>
      <c r="U41" s="288"/>
      <c r="V41" s="289"/>
      <c r="W41" s="281"/>
      <c r="X41" s="290"/>
      <c r="Y41" s="281"/>
      <c r="Z41" s="289"/>
      <c r="AA41" s="281"/>
      <c r="AB41" s="283"/>
      <c r="AC41" s="289"/>
      <c r="AD41" s="286"/>
      <c r="AE41" s="283"/>
      <c r="AF41" s="278">
        <f t="shared" si="43"/>
        <v>88473.440132599993</v>
      </c>
      <c r="AG41" s="278">
        <f t="shared" si="44"/>
        <v>0</v>
      </c>
      <c r="AH41" s="278">
        <f t="shared" si="45"/>
        <v>0</v>
      </c>
      <c r="AI41" s="278">
        <f t="shared" si="46"/>
        <v>0</v>
      </c>
      <c r="AJ41" s="278">
        <f t="shared" si="47"/>
        <v>0</v>
      </c>
      <c r="AK41" s="278">
        <f t="shared" si="48"/>
        <v>0</v>
      </c>
      <c r="AL41" s="278">
        <f t="shared" si="49"/>
        <v>0</v>
      </c>
      <c r="AM41" s="278">
        <f t="shared" si="50"/>
        <v>88473.440132599993</v>
      </c>
      <c r="AN41" s="143" t="s">
        <v>331</v>
      </c>
      <c r="AO41" s="291">
        <v>685.06218720000004</v>
      </c>
      <c r="AP41" s="279">
        <f t="shared" si="9"/>
        <v>87788.377945399989</v>
      </c>
    </row>
    <row r="42" spans="1:42" s="16" customFormat="1" ht="13.5" customHeight="1">
      <c r="A42" s="262">
        <v>38</v>
      </c>
      <c r="B42" s="139" t="s">
        <v>68</v>
      </c>
      <c r="C42" s="143" t="s">
        <v>332</v>
      </c>
      <c r="D42" s="265" t="s">
        <v>326</v>
      </c>
      <c r="E42" s="266" t="s">
        <v>67</v>
      </c>
      <c r="F42" s="539">
        <f>F25+F22</f>
        <v>14695.77</v>
      </c>
      <c r="G42" s="281" t="s">
        <v>247</v>
      </c>
      <c r="H42" s="543" t="s">
        <v>893</v>
      </c>
      <c r="I42" s="340">
        <f>SUMIF('附表2-EF'!$D$49:$D$72,表1温室气体盘查表!C42,'附表2-EF'!$G$49:$G$72)</f>
        <v>10.145</v>
      </c>
      <c r="J42" s="281" t="s">
        <v>249</v>
      </c>
      <c r="K42" s="283">
        <v>1</v>
      </c>
      <c r="L42" s="289"/>
      <c r="M42" s="284"/>
      <c r="N42" s="283"/>
      <c r="O42" s="289"/>
      <c r="P42" s="281"/>
      <c r="Q42" s="283"/>
      <c r="R42" s="285"/>
      <c r="S42" s="286"/>
      <c r="T42" s="287"/>
      <c r="U42" s="288"/>
      <c r="V42" s="289"/>
      <c r="W42" s="281"/>
      <c r="X42" s="290"/>
      <c r="Y42" s="281"/>
      <c r="Z42" s="289"/>
      <c r="AA42" s="281"/>
      <c r="AB42" s="283"/>
      <c r="AC42" s="289"/>
      <c r="AD42" s="286"/>
      <c r="AE42" s="283"/>
      <c r="AF42" s="278">
        <f t="shared" si="43"/>
        <v>149088.58665000001</v>
      </c>
      <c r="AG42" s="278">
        <f t="shared" si="44"/>
        <v>0</v>
      </c>
      <c r="AH42" s="278">
        <f t="shared" si="45"/>
        <v>0</v>
      </c>
      <c r="AI42" s="278">
        <f t="shared" si="46"/>
        <v>0</v>
      </c>
      <c r="AJ42" s="278">
        <f t="shared" si="47"/>
        <v>0</v>
      </c>
      <c r="AK42" s="278">
        <f t="shared" si="48"/>
        <v>0</v>
      </c>
      <c r="AL42" s="278">
        <f t="shared" si="49"/>
        <v>0</v>
      </c>
      <c r="AM42" s="278">
        <f t="shared" si="50"/>
        <v>149088.58665000001</v>
      </c>
      <c r="AN42" s="143" t="s">
        <v>332</v>
      </c>
      <c r="AO42" s="291">
        <v>103575.7833</v>
      </c>
      <c r="AP42" s="279">
        <f t="shared" si="9"/>
        <v>45512.803350000017</v>
      </c>
    </row>
    <row r="43" spans="1:42" s="16" customFormat="1" ht="13.5" customHeight="1">
      <c r="A43" s="262">
        <v>39</v>
      </c>
      <c r="B43" s="139" t="s">
        <v>68</v>
      </c>
      <c r="C43" s="143" t="s">
        <v>333</v>
      </c>
      <c r="D43" s="265" t="s">
        <v>326</v>
      </c>
      <c r="E43" s="266" t="s">
        <v>67</v>
      </c>
      <c r="F43" s="539">
        <f>F26</f>
        <v>7268.72</v>
      </c>
      <c r="G43" s="281" t="s">
        <v>247</v>
      </c>
      <c r="H43" s="543" t="s">
        <v>893</v>
      </c>
      <c r="I43" s="340">
        <f>SUMIF('附表2-EF'!$D$49:$D$72,表1温室气体盘查表!C43,'附表2-EF'!$G$49:$G$72)</f>
        <v>8.1</v>
      </c>
      <c r="J43" s="281" t="s">
        <v>249</v>
      </c>
      <c r="K43" s="283">
        <v>1</v>
      </c>
      <c r="L43" s="289"/>
      <c r="M43" s="284"/>
      <c r="N43" s="283"/>
      <c r="O43" s="289"/>
      <c r="P43" s="281"/>
      <c r="Q43" s="283"/>
      <c r="R43" s="285"/>
      <c r="S43" s="286"/>
      <c r="T43" s="287"/>
      <c r="U43" s="288"/>
      <c r="V43" s="289"/>
      <c r="W43" s="281"/>
      <c r="X43" s="290"/>
      <c r="Y43" s="281"/>
      <c r="Z43" s="289"/>
      <c r="AA43" s="281"/>
      <c r="AB43" s="283"/>
      <c r="AC43" s="289"/>
      <c r="AD43" s="286"/>
      <c r="AE43" s="283"/>
      <c r="AF43" s="278">
        <f t="shared" si="43"/>
        <v>58876.631999999998</v>
      </c>
      <c r="AG43" s="278">
        <f t="shared" si="44"/>
        <v>0</v>
      </c>
      <c r="AH43" s="278">
        <f t="shared" si="45"/>
        <v>0</v>
      </c>
      <c r="AI43" s="278">
        <f t="shared" si="46"/>
        <v>0</v>
      </c>
      <c r="AJ43" s="278">
        <f t="shared" si="47"/>
        <v>0</v>
      </c>
      <c r="AK43" s="278">
        <f t="shared" si="48"/>
        <v>0</v>
      </c>
      <c r="AL43" s="278">
        <f t="shared" si="49"/>
        <v>0</v>
      </c>
      <c r="AM43" s="278">
        <f t="shared" si="50"/>
        <v>58876.631999999998</v>
      </c>
      <c r="AN43" s="143" t="s">
        <v>333</v>
      </c>
      <c r="AO43" s="291">
        <v>66065.399999999994</v>
      </c>
      <c r="AP43" s="279">
        <f t="shared" si="9"/>
        <v>-7188.7679999999964</v>
      </c>
    </row>
    <row r="44" spans="1:42" s="16" customFormat="1" ht="13.5" customHeight="1">
      <c r="A44" s="262">
        <v>40</v>
      </c>
      <c r="B44" s="139" t="s">
        <v>68</v>
      </c>
      <c r="C44" s="143" t="s">
        <v>334</v>
      </c>
      <c r="D44" s="265" t="s">
        <v>326</v>
      </c>
      <c r="E44" s="266" t="s">
        <v>67</v>
      </c>
      <c r="F44" s="539">
        <f>ROUND(1619.511+102.543+648.071,2)</f>
        <v>2370.13</v>
      </c>
      <c r="G44" s="281" t="s">
        <v>247</v>
      </c>
      <c r="H44" s="543" t="s">
        <v>893</v>
      </c>
      <c r="I44" s="340">
        <f>SUMIF('附表2-EF'!$D$49:$D$72,表1温室气体盘查表!C44,'附表2-EF'!$G$49:$G$72)</f>
        <v>5.7320082395446503</v>
      </c>
      <c r="J44" s="281" t="s">
        <v>249</v>
      </c>
      <c r="K44" s="283">
        <v>1</v>
      </c>
      <c r="L44" s="289"/>
      <c r="M44" s="284"/>
      <c r="N44" s="283"/>
      <c r="O44" s="289"/>
      <c r="P44" s="281"/>
      <c r="Q44" s="283"/>
      <c r="R44" s="285"/>
      <c r="S44" s="286"/>
      <c r="T44" s="287"/>
      <c r="U44" s="288"/>
      <c r="V44" s="289"/>
      <c r="W44" s="281"/>
      <c r="X44" s="290"/>
      <c r="Y44" s="281"/>
      <c r="Z44" s="289"/>
      <c r="AA44" s="281"/>
      <c r="AB44" s="283"/>
      <c r="AC44" s="289"/>
      <c r="AD44" s="286"/>
      <c r="AE44" s="283"/>
      <c r="AF44" s="278">
        <f t="shared" si="43"/>
        <v>13585.604688791962</v>
      </c>
      <c r="AG44" s="278">
        <f t="shared" si="44"/>
        <v>0</v>
      </c>
      <c r="AH44" s="278">
        <f t="shared" si="45"/>
        <v>0</v>
      </c>
      <c r="AI44" s="278">
        <f t="shared" si="46"/>
        <v>0</v>
      </c>
      <c r="AJ44" s="278">
        <f t="shared" si="47"/>
        <v>0</v>
      </c>
      <c r="AK44" s="278">
        <f t="shared" si="48"/>
        <v>0</v>
      </c>
      <c r="AL44" s="278">
        <f t="shared" si="49"/>
        <v>0</v>
      </c>
      <c r="AM44" s="278">
        <f t="shared" si="50"/>
        <v>13585.604688791962</v>
      </c>
      <c r="AN44" s="143" t="s">
        <v>334</v>
      </c>
      <c r="AO44" s="291">
        <v>63158.190107505099</v>
      </c>
      <c r="AP44" s="279">
        <f t="shared" si="9"/>
        <v>-49572.585418713134</v>
      </c>
    </row>
    <row r="45" spans="1:42" s="16" customFormat="1" ht="13.5" customHeight="1">
      <c r="A45" s="262">
        <v>41</v>
      </c>
      <c r="B45" s="139" t="s">
        <v>68</v>
      </c>
      <c r="C45" s="143" t="s">
        <v>335</v>
      </c>
      <c r="D45" s="265" t="s">
        <v>326</v>
      </c>
      <c r="E45" s="266" t="s">
        <v>67</v>
      </c>
      <c r="F45" s="539">
        <f>ROUND(4019.003+595.629+2823.971,2)</f>
        <v>7438.6</v>
      </c>
      <c r="G45" s="281" t="s">
        <v>247</v>
      </c>
      <c r="H45" s="543" t="s">
        <v>893</v>
      </c>
      <c r="I45" s="340">
        <f>SUMIF('附表2-EF'!$D$49:$D$72,表1温室气体盘查表!C45,'附表2-EF'!$G$49:$G$72)</f>
        <v>22.290560810297599</v>
      </c>
      <c r="J45" s="281" t="s">
        <v>249</v>
      </c>
      <c r="K45" s="283">
        <v>1</v>
      </c>
      <c r="L45" s="289"/>
      <c r="M45" s="284"/>
      <c r="N45" s="283"/>
      <c r="O45" s="289"/>
      <c r="P45" s="281"/>
      <c r="Q45" s="283"/>
      <c r="R45" s="285"/>
      <c r="S45" s="286"/>
      <c r="T45" s="287"/>
      <c r="U45" s="288"/>
      <c r="V45" s="289"/>
      <c r="W45" s="281"/>
      <c r="X45" s="290"/>
      <c r="Y45" s="281"/>
      <c r="Z45" s="289"/>
      <c r="AA45" s="281"/>
      <c r="AB45" s="283"/>
      <c r="AC45" s="289"/>
      <c r="AD45" s="286"/>
      <c r="AE45" s="283"/>
      <c r="AF45" s="278">
        <f t="shared" si="43"/>
        <v>165810.56564347973</v>
      </c>
      <c r="AG45" s="278">
        <f t="shared" si="44"/>
        <v>0</v>
      </c>
      <c r="AH45" s="278">
        <f t="shared" si="45"/>
        <v>0</v>
      </c>
      <c r="AI45" s="278">
        <f t="shared" si="46"/>
        <v>0</v>
      </c>
      <c r="AJ45" s="278">
        <f t="shared" si="47"/>
        <v>0</v>
      </c>
      <c r="AK45" s="278">
        <f t="shared" si="48"/>
        <v>0</v>
      </c>
      <c r="AL45" s="278">
        <f t="shared" si="49"/>
        <v>0</v>
      </c>
      <c r="AM45" s="278">
        <f t="shared" si="50"/>
        <v>165810.56564347973</v>
      </c>
      <c r="AN45" s="143" t="s">
        <v>335</v>
      </c>
      <c r="AO45" s="291">
        <v>63342.195032190299</v>
      </c>
      <c r="AP45" s="293">
        <f t="shared" si="9"/>
        <v>102468.37061128943</v>
      </c>
    </row>
    <row r="46" spans="1:42" s="16" customFormat="1" ht="13.5" customHeight="1">
      <c r="A46" s="262">
        <v>42</v>
      </c>
      <c r="B46" s="139" t="s">
        <v>68</v>
      </c>
      <c r="C46" s="143" t="s">
        <v>336</v>
      </c>
      <c r="D46" s="265" t="s">
        <v>326</v>
      </c>
      <c r="E46" s="266" t="s">
        <v>67</v>
      </c>
      <c r="F46" s="539">
        <f>ROUND(8679.765+0+0,2)</f>
        <v>8679.77</v>
      </c>
      <c r="G46" s="281" t="s">
        <v>247</v>
      </c>
      <c r="H46" s="543" t="s">
        <v>893</v>
      </c>
      <c r="I46" s="340">
        <f>SUMIF('附表2-EF'!$D$49:$D$72,表1温室气体盘查表!C46,'附表2-EF'!$G$49:$G$72)</f>
        <v>1.66453351655996</v>
      </c>
      <c r="J46" s="281" t="s">
        <v>249</v>
      </c>
      <c r="K46" s="283">
        <v>1</v>
      </c>
      <c r="L46" s="289"/>
      <c r="M46" s="284"/>
      <c r="N46" s="283"/>
      <c r="O46" s="289"/>
      <c r="P46" s="281"/>
      <c r="Q46" s="283"/>
      <c r="R46" s="285"/>
      <c r="S46" s="286"/>
      <c r="T46" s="287"/>
      <c r="U46" s="288"/>
      <c r="V46" s="289"/>
      <c r="W46" s="281"/>
      <c r="X46" s="290"/>
      <c r="Y46" s="281"/>
      <c r="Z46" s="289"/>
      <c r="AA46" s="281"/>
      <c r="AB46" s="283"/>
      <c r="AC46" s="289"/>
      <c r="AD46" s="286"/>
      <c r="AE46" s="283"/>
      <c r="AF46" s="278">
        <f t="shared" si="43"/>
        <v>14447.768081031645</v>
      </c>
      <c r="AG46" s="278">
        <f t="shared" si="44"/>
        <v>0</v>
      </c>
      <c r="AH46" s="278">
        <f t="shared" si="45"/>
        <v>0</v>
      </c>
      <c r="AI46" s="278">
        <f t="shared" si="46"/>
        <v>0</v>
      </c>
      <c r="AJ46" s="278">
        <f t="shared" si="47"/>
        <v>0</v>
      </c>
      <c r="AK46" s="278">
        <f t="shared" si="48"/>
        <v>0</v>
      </c>
      <c r="AL46" s="278">
        <f t="shared" si="49"/>
        <v>0</v>
      </c>
      <c r="AM46" s="278">
        <f t="shared" si="50"/>
        <v>14447.768081031645</v>
      </c>
      <c r="AN46" s="143" t="s">
        <v>336</v>
      </c>
      <c r="AO46" s="291">
        <v>17778.323207115402</v>
      </c>
      <c r="AP46" s="279">
        <f t="shared" si="9"/>
        <v>-3330.5551260837565</v>
      </c>
    </row>
    <row r="47" spans="1:42" s="16" customFormat="1" ht="13.5" customHeight="1">
      <c r="A47" s="262">
        <v>43</v>
      </c>
      <c r="B47" s="139" t="s">
        <v>68</v>
      </c>
      <c r="C47" s="143" t="s">
        <v>337</v>
      </c>
      <c r="D47" s="265" t="s">
        <v>338</v>
      </c>
      <c r="E47" s="266" t="s">
        <v>67</v>
      </c>
      <c r="F47" s="539">
        <f>ROUND(5675+2611.02,2)</f>
        <v>8286.02</v>
      </c>
      <c r="G47" s="281" t="s">
        <v>247</v>
      </c>
      <c r="H47" s="543" t="s">
        <v>890</v>
      </c>
      <c r="I47" s="340">
        <f>SUMIF('附表2-EF'!$D$49:$D$72,表1温室气体盘查表!C47,'附表2-EF'!$G$49:$G$72)</f>
        <v>3.5231056577475499E-3</v>
      </c>
      <c r="J47" s="281" t="s">
        <v>249</v>
      </c>
      <c r="K47" s="283">
        <v>1</v>
      </c>
      <c r="L47" s="289"/>
      <c r="M47" s="284"/>
      <c r="N47" s="283"/>
      <c r="O47" s="289"/>
      <c r="P47" s="281"/>
      <c r="Q47" s="283"/>
      <c r="R47" s="285"/>
      <c r="S47" s="286"/>
      <c r="T47" s="287"/>
      <c r="U47" s="288"/>
      <c r="V47" s="289"/>
      <c r="W47" s="281"/>
      <c r="X47" s="290"/>
      <c r="Y47" s="281"/>
      <c r="Z47" s="289"/>
      <c r="AA47" s="281"/>
      <c r="AB47" s="283"/>
      <c r="AC47" s="289"/>
      <c r="AD47" s="286"/>
      <c r="AE47" s="283"/>
      <c r="AF47" s="278">
        <f t="shared" si="43"/>
        <v>29.192523942209355</v>
      </c>
      <c r="AG47" s="278">
        <f t="shared" si="44"/>
        <v>0</v>
      </c>
      <c r="AH47" s="278">
        <f t="shared" si="45"/>
        <v>0</v>
      </c>
      <c r="AI47" s="278">
        <f t="shared" si="46"/>
        <v>0</v>
      </c>
      <c r="AJ47" s="278">
        <f t="shared" si="47"/>
        <v>0</v>
      </c>
      <c r="AK47" s="278">
        <f t="shared" si="48"/>
        <v>0</v>
      </c>
      <c r="AL47" s="278">
        <f t="shared" si="49"/>
        <v>0</v>
      </c>
      <c r="AM47" s="278">
        <f t="shared" si="50"/>
        <v>29.192523942209355</v>
      </c>
      <c r="AN47" s="143" t="s">
        <v>337</v>
      </c>
      <c r="AO47" s="291">
        <v>608.38394217142104</v>
      </c>
      <c r="AP47" s="279">
        <f t="shared" si="9"/>
        <v>-579.19141822921165</v>
      </c>
    </row>
    <row r="48" spans="1:42" s="16" customFormat="1" ht="13.5" customHeight="1">
      <c r="A48" s="262">
        <v>44</v>
      </c>
      <c r="B48" s="139" t="s">
        <v>68</v>
      </c>
      <c r="C48" s="143" t="s">
        <v>339</v>
      </c>
      <c r="D48" s="265" t="s">
        <v>318</v>
      </c>
      <c r="E48" s="266" t="s">
        <v>67</v>
      </c>
      <c r="F48" s="280">
        <f>ROUND(1472.3+1903.42+1500.22+40*5/1000,2)</f>
        <v>4876.1400000000003</v>
      </c>
      <c r="G48" s="281" t="s">
        <v>247</v>
      </c>
      <c r="H48" s="548" t="s">
        <v>915</v>
      </c>
      <c r="I48" s="340">
        <f>SUMIF('附表2-EF'!$D$49:$D$72,表1温室气体盘查表!C48,'附表2-EF'!$G$49:$G$72)</f>
        <v>5.4368447769783996</v>
      </c>
      <c r="J48" s="281" t="s">
        <v>249</v>
      </c>
      <c r="K48" s="283">
        <v>1</v>
      </c>
      <c r="L48" s="289"/>
      <c r="M48" s="284"/>
      <c r="N48" s="283"/>
      <c r="O48" s="289"/>
      <c r="P48" s="281"/>
      <c r="Q48" s="283"/>
      <c r="R48" s="285"/>
      <c r="S48" s="286"/>
      <c r="T48" s="287"/>
      <c r="U48" s="288"/>
      <c r="V48" s="289"/>
      <c r="W48" s="281"/>
      <c r="X48" s="290"/>
      <c r="Y48" s="281"/>
      <c r="Z48" s="289"/>
      <c r="AA48" s="281"/>
      <c r="AB48" s="283"/>
      <c r="AC48" s="289"/>
      <c r="AD48" s="286"/>
      <c r="AE48" s="283"/>
      <c r="AF48" s="278">
        <f t="shared" si="43"/>
        <v>26510.816290815455</v>
      </c>
      <c r="AG48" s="278">
        <f t="shared" si="44"/>
        <v>0</v>
      </c>
      <c r="AH48" s="278">
        <f t="shared" si="45"/>
        <v>0</v>
      </c>
      <c r="AI48" s="278">
        <f t="shared" si="46"/>
        <v>0</v>
      </c>
      <c r="AJ48" s="278">
        <f t="shared" si="47"/>
        <v>0</v>
      </c>
      <c r="AK48" s="278">
        <f t="shared" si="48"/>
        <v>0</v>
      </c>
      <c r="AL48" s="278">
        <f t="shared" si="49"/>
        <v>0</v>
      </c>
      <c r="AM48" s="278">
        <f t="shared" si="50"/>
        <v>26510.816290815455</v>
      </c>
      <c r="AN48" s="143" t="s">
        <v>339</v>
      </c>
      <c r="AO48" s="291">
        <v>24444.815275563698</v>
      </c>
      <c r="AP48" s="279">
        <f t="shared" si="9"/>
        <v>2066.0010152517571</v>
      </c>
    </row>
    <row r="49" spans="1:42" s="16" customFormat="1" ht="13.5" customHeight="1">
      <c r="A49" s="262">
        <v>45</v>
      </c>
      <c r="B49" s="139" t="s">
        <v>68</v>
      </c>
      <c r="C49" s="143" t="s">
        <v>907</v>
      </c>
      <c r="D49" s="558" t="s">
        <v>914</v>
      </c>
      <c r="E49" s="266" t="s">
        <v>67</v>
      </c>
      <c r="F49" s="559">
        <f>7*31%</f>
        <v>2.17</v>
      </c>
      <c r="G49" s="281" t="s">
        <v>247</v>
      </c>
      <c r="H49" s="656" t="s">
        <v>916</v>
      </c>
      <c r="I49" s="340">
        <f>SUMIF('附表2-EF'!$D$49:$D$72,表1温室气体盘查表!C49,'附表2-EF'!$G$49:$G$72)</f>
        <v>0.97573526626554397</v>
      </c>
      <c r="J49" s="281" t="s">
        <v>912</v>
      </c>
      <c r="K49" s="283">
        <v>1</v>
      </c>
      <c r="L49" s="562"/>
      <c r="M49" s="563"/>
      <c r="N49" s="561"/>
      <c r="O49" s="562"/>
      <c r="P49" s="560"/>
      <c r="Q49" s="561"/>
      <c r="R49" s="564"/>
      <c r="S49" s="565"/>
      <c r="T49" s="566"/>
      <c r="U49" s="567"/>
      <c r="V49" s="562"/>
      <c r="W49" s="560"/>
      <c r="X49" s="568"/>
      <c r="Y49" s="560"/>
      <c r="Z49" s="562"/>
      <c r="AA49" s="560"/>
      <c r="AB49" s="561"/>
      <c r="AC49" s="562"/>
      <c r="AD49" s="565"/>
      <c r="AE49" s="561"/>
      <c r="AF49" s="278">
        <f t="shared" ref="AF49:AF50" si="51">F49*I49*K49</f>
        <v>2.1173455277962305</v>
      </c>
      <c r="AG49" s="278">
        <f t="shared" ref="AG49:AG50" si="52">F49*L49*N49</f>
        <v>0</v>
      </c>
      <c r="AH49" s="278">
        <f t="shared" ref="AH49:AH50" si="53">F49*O49*Q49</f>
        <v>0</v>
      </c>
      <c r="AI49" s="278">
        <f t="shared" ref="AI49:AI50" si="54">F49*R49*T49</f>
        <v>0</v>
      </c>
      <c r="AJ49" s="278">
        <f t="shared" ref="AJ49:AJ50" si="55">F49*V49*X49</f>
        <v>0</v>
      </c>
      <c r="AK49" s="278">
        <f t="shared" ref="AK49:AK50" si="56">F49*Z49*AB49</f>
        <v>0</v>
      </c>
      <c r="AL49" s="278">
        <f t="shared" ref="AL49:AL50" si="57">F49*AC49*AE49</f>
        <v>0</v>
      </c>
      <c r="AM49" s="278">
        <f t="shared" ref="AM49:AM50" si="58">SUM(AF49:AL49)</f>
        <v>2.1173455277962305</v>
      </c>
      <c r="AN49" s="143"/>
      <c r="AO49" s="291"/>
      <c r="AP49" s="279"/>
    </row>
    <row r="50" spans="1:42" s="16" customFormat="1" ht="13.5" customHeight="1">
      <c r="A50" s="262">
        <v>46</v>
      </c>
      <c r="B50" s="139" t="s">
        <v>68</v>
      </c>
      <c r="C50" s="143" t="s">
        <v>908</v>
      </c>
      <c r="D50" s="558" t="s">
        <v>914</v>
      </c>
      <c r="E50" s="266" t="s">
        <v>67</v>
      </c>
      <c r="F50" s="559">
        <f>7*32%</f>
        <v>2.2400000000000002</v>
      </c>
      <c r="G50" s="281" t="s">
        <v>247</v>
      </c>
      <c r="H50" s="656" t="s">
        <v>916</v>
      </c>
      <c r="I50" s="340">
        <f>SUMIF('附表2-EF'!$D$49:$D$72,表1温室气体盘查表!C50,'附表2-EF'!$G$49:$G$72)</f>
        <v>1.4645658591661099</v>
      </c>
      <c r="J50" s="281" t="s">
        <v>913</v>
      </c>
      <c r="K50" s="283">
        <v>1</v>
      </c>
      <c r="L50" s="562"/>
      <c r="M50" s="563"/>
      <c r="N50" s="561"/>
      <c r="O50" s="562"/>
      <c r="P50" s="560"/>
      <c r="Q50" s="561"/>
      <c r="R50" s="564"/>
      <c r="S50" s="565"/>
      <c r="T50" s="566"/>
      <c r="U50" s="567"/>
      <c r="V50" s="562"/>
      <c r="W50" s="560"/>
      <c r="X50" s="568"/>
      <c r="Y50" s="560"/>
      <c r="Z50" s="562"/>
      <c r="AA50" s="560"/>
      <c r="AB50" s="561"/>
      <c r="AC50" s="562"/>
      <c r="AD50" s="565"/>
      <c r="AE50" s="561"/>
      <c r="AF50" s="278">
        <f t="shared" si="51"/>
        <v>3.2806275245320866</v>
      </c>
      <c r="AG50" s="278">
        <f t="shared" si="52"/>
        <v>0</v>
      </c>
      <c r="AH50" s="278">
        <f t="shared" si="53"/>
        <v>0</v>
      </c>
      <c r="AI50" s="278">
        <f t="shared" si="54"/>
        <v>0</v>
      </c>
      <c r="AJ50" s="278">
        <f t="shared" si="55"/>
        <v>0</v>
      </c>
      <c r="AK50" s="278">
        <f t="shared" si="56"/>
        <v>0</v>
      </c>
      <c r="AL50" s="278">
        <f t="shared" si="57"/>
        <v>0</v>
      </c>
      <c r="AM50" s="278">
        <f t="shared" si="58"/>
        <v>3.2806275245320866</v>
      </c>
      <c r="AN50" s="143"/>
      <c r="AO50" s="291"/>
      <c r="AP50" s="279"/>
    </row>
    <row r="51" spans="1:42" s="16" customFormat="1" ht="13.5" customHeight="1">
      <c r="A51" s="262">
        <v>47</v>
      </c>
      <c r="B51" s="139" t="s">
        <v>68</v>
      </c>
      <c r="C51" s="143" t="s">
        <v>340</v>
      </c>
      <c r="D51" s="265" t="s">
        <v>341</v>
      </c>
      <c r="E51" s="266" t="s">
        <v>67</v>
      </c>
      <c r="F51" s="539">
        <v>3676.3869999999993</v>
      </c>
      <c r="G51" s="281" t="s">
        <v>247</v>
      </c>
      <c r="H51" s="543" t="s">
        <v>891</v>
      </c>
      <c r="I51" s="340">
        <f>SUMIF('附表2-EF'!$D$49:$D$72,表1温室气体盘查表!C51,'附表2-EF'!$G$49:$G$72)</f>
        <v>7.2790711257223997</v>
      </c>
      <c r="J51" s="281" t="s">
        <v>249</v>
      </c>
      <c r="K51" s="283">
        <v>1</v>
      </c>
      <c r="L51" s="289"/>
      <c r="M51" s="284"/>
      <c r="N51" s="283"/>
      <c r="O51" s="289"/>
      <c r="P51" s="281"/>
      <c r="Q51" s="283"/>
      <c r="R51" s="285"/>
      <c r="S51" s="286"/>
      <c r="T51" s="287"/>
      <c r="U51" s="288"/>
      <c r="V51" s="289"/>
      <c r="W51" s="281"/>
      <c r="X51" s="290"/>
      <c r="Y51" s="281"/>
      <c r="Z51" s="289"/>
      <c r="AA51" s="281"/>
      <c r="AB51" s="283"/>
      <c r="AC51" s="289"/>
      <c r="AD51" s="286"/>
      <c r="AE51" s="283"/>
      <c r="AF51" s="278">
        <f t="shared" si="43"/>
        <v>26760.682458681189</v>
      </c>
      <c r="AG51" s="278">
        <f t="shared" si="44"/>
        <v>0</v>
      </c>
      <c r="AH51" s="278">
        <f t="shared" si="45"/>
        <v>0</v>
      </c>
      <c r="AI51" s="278">
        <f t="shared" si="46"/>
        <v>0</v>
      </c>
      <c r="AJ51" s="278">
        <f t="shared" si="47"/>
        <v>0</v>
      </c>
      <c r="AK51" s="278">
        <f t="shared" si="48"/>
        <v>0</v>
      </c>
      <c r="AL51" s="278">
        <f t="shared" si="49"/>
        <v>0</v>
      </c>
      <c r="AM51" s="278">
        <f t="shared" si="50"/>
        <v>26760.682458681189</v>
      </c>
      <c r="AN51" s="143" t="s">
        <v>340</v>
      </c>
      <c r="AO51" s="291">
        <v>48149.585124286299</v>
      </c>
      <c r="AP51" s="279">
        <f t="shared" si="9"/>
        <v>-21388.90266560511</v>
      </c>
    </row>
    <row r="52" spans="1:42" s="16" customFormat="1" ht="13.5" customHeight="1">
      <c r="A52" s="262">
        <v>48</v>
      </c>
      <c r="B52" s="139" t="s">
        <v>68</v>
      </c>
      <c r="C52" s="143" t="s">
        <v>342</v>
      </c>
      <c r="D52" s="265" t="s">
        <v>341</v>
      </c>
      <c r="E52" s="266" t="s">
        <v>67</v>
      </c>
      <c r="F52" s="539">
        <v>9749.982</v>
      </c>
      <c r="G52" s="281" t="s">
        <v>247</v>
      </c>
      <c r="H52" s="543" t="s">
        <v>891</v>
      </c>
      <c r="I52" s="340">
        <f>SUMIF('附表2-EF'!$D$49:$D$72,表1温室气体盘查表!C52,'附表2-EF'!$G$49:$G$72)</f>
        <v>26.345188319021499</v>
      </c>
      <c r="J52" s="281" t="s">
        <v>249</v>
      </c>
      <c r="K52" s="283">
        <v>1</v>
      </c>
      <c r="L52" s="289"/>
      <c r="M52" s="284"/>
      <c r="N52" s="283"/>
      <c r="O52" s="289"/>
      <c r="P52" s="281"/>
      <c r="Q52" s="283"/>
      <c r="R52" s="285"/>
      <c r="S52" s="286"/>
      <c r="T52" s="287"/>
      <c r="U52" s="288"/>
      <c r="V52" s="289"/>
      <c r="W52" s="281"/>
      <c r="X52" s="290"/>
      <c r="Y52" s="281"/>
      <c r="Z52" s="289"/>
      <c r="AA52" s="281"/>
      <c r="AB52" s="283"/>
      <c r="AC52" s="289"/>
      <c r="AD52" s="286"/>
      <c r="AE52" s="283"/>
      <c r="AF52" s="278">
        <f t="shared" si="43"/>
        <v>256865.11189706987</v>
      </c>
      <c r="AG52" s="278">
        <f t="shared" si="44"/>
        <v>0</v>
      </c>
      <c r="AH52" s="278">
        <f t="shared" si="45"/>
        <v>0</v>
      </c>
      <c r="AI52" s="278">
        <f t="shared" si="46"/>
        <v>0</v>
      </c>
      <c r="AJ52" s="278">
        <f t="shared" si="47"/>
        <v>0</v>
      </c>
      <c r="AK52" s="278">
        <f t="shared" si="48"/>
        <v>0</v>
      </c>
      <c r="AL52" s="278">
        <f t="shared" si="49"/>
        <v>0</v>
      </c>
      <c r="AM52" s="278">
        <f t="shared" si="50"/>
        <v>256865.11189706987</v>
      </c>
      <c r="AN52" s="143" t="s">
        <v>342</v>
      </c>
      <c r="AO52" s="291">
        <v>308520.83395425999</v>
      </c>
      <c r="AP52" s="279">
        <f t="shared" si="9"/>
        <v>-51655.722057190113</v>
      </c>
    </row>
    <row r="53" spans="1:42" s="16" customFormat="1" ht="13.5" customHeight="1">
      <c r="A53" s="262">
        <v>49</v>
      </c>
      <c r="B53" s="139" t="s">
        <v>68</v>
      </c>
      <c r="C53" s="143" t="s">
        <v>343</v>
      </c>
      <c r="D53" s="265" t="s">
        <v>344</v>
      </c>
      <c r="E53" s="266" t="s">
        <v>67</v>
      </c>
      <c r="F53" s="280">
        <f>ROUND(15287.0876139219,2)</f>
        <v>15287.09</v>
      </c>
      <c r="G53" s="281" t="s">
        <v>345</v>
      </c>
      <c r="H53" s="281" t="s">
        <v>321</v>
      </c>
      <c r="I53" s="340">
        <f>SUMIF('附表2-EF'!$D$49:$D$72,表1温室气体盘查表!C53,'附表2-EF'!$G$49:$G$72)</f>
        <v>3.4299999999999999E-4</v>
      </c>
      <c r="J53" s="281" t="s">
        <v>346</v>
      </c>
      <c r="K53" s="283">
        <v>1</v>
      </c>
      <c r="L53" s="289"/>
      <c r="M53" s="284"/>
      <c r="N53" s="283"/>
      <c r="O53" s="289"/>
      <c r="P53" s="281"/>
      <c r="Q53" s="283"/>
      <c r="R53" s="285"/>
      <c r="S53" s="286"/>
      <c r="T53" s="287"/>
      <c r="U53" s="288"/>
      <c r="V53" s="289"/>
      <c r="W53" s="281"/>
      <c r="X53" s="290"/>
      <c r="Y53" s="281"/>
      <c r="Z53" s="289"/>
      <c r="AA53" s="281"/>
      <c r="AB53" s="283"/>
      <c r="AC53" s="289"/>
      <c r="AD53" s="286"/>
      <c r="AE53" s="283"/>
      <c r="AF53" s="278">
        <f t="shared" si="43"/>
        <v>5.2434718699999996</v>
      </c>
      <c r="AG53" s="278">
        <f t="shared" si="44"/>
        <v>0</v>
      </c>
      <c r="AH53" s="278">
        <f t="shared" si="45"/>
        <v>0</v>
      </c>
      <c r="AI53" s="278">
        <f t="shared" si="46"/>
        <v>0</v>
      </c>
      <c r="AJ53" s="278">
        <f t="shared" si="47"/>
        <v>0</v>
      </c>
      <c r="AK53" s="278">
        <f t="shared" si="48"/>
        <v>0</v>
      </c>
      <c r="AL53" s="278">
        <f t="shared" si="49"/>
        <v>0</v>
      </c>
      <c r="AM53" s="278">
        <f t="shared" si="50"/>
        <v>5.2434718699999996</v>
      </c>
      <c r="AN53" s="143" t="s">
        <v>343</v>
      </c>
      <c r="AO53" s="291">
        <v>5.5436243100000002</v>
      </c>
      <c r="AP53" s="279">
        <f t="shared" si="9"/>
        <v>-0.30015244000000063</v>
      </c>
    </row>
    <row r="54" spans="1:42" s="16" customFormat="1" ht="13.5" customHeight="1">
      <c r="A54" s="262">
        <v>50</v>
      </c>
      <c r="B54" s="139" t="s">
        <v>68</v>
      </c>
      <c r="C54" s="143" t="s">
        <v>347</v>
      </c>
      <c r="D54" s="265" t="s">
        <v>344</v>
      </c>
      <c r="E54" s="266" t="s">
        <v>67</v>
      </c>
      <c r="F54" s="280">
        <f>ROUND(272877.667593404,2)</f>
        <v>272877.67</v>
      </c>
      <c r="G54" s="281" t="s">
        <v>345</v>
      </c>
      <c r="H54" s="281" t="s">
        <v>321</v>
      </c>
      <c r="I54" s="340">
        <f>SUMIF('附表2-EF'!$D$49:$D$72,表1温室气体盘查表!C54,'附表2-EF'!$G$49:$G$72)</f>
        <v>2.6499999999999999E-4</v>
      </c>
      <c r="J54" s="281" t="s">
        <v>346</v>
      </c>
      <c r="K54" s="283">
        <v>1</v>
      </c>
      <c r="L54" s="289"/>
      <c r="M54" s="284"/>
      <c r="N54" s="283"/>
      <c r="O54" s="289"/>
      <c r="P54" s="281"/>
      <c r="Q54" s="283"/>
      <c r="R54" s="285"/>
      <c r="S54" s="286"/>
      <c r="T54" s="287"/>
      <c r="U54" s="288"/>
      <c r="V54" s="289"/>
      <c r="W54" s="281"/>
      <c r="X54" s="290"/>
      <c r="Y54" s="281"/>
      <c r="Z54" s="289"/>
      <c r="AA54" s="281"/>
      <c r="AB54" s="283"/>
      <c r="AC54" s="289"/>
      <c r="AD54" s="286"/>
      <c r="AE54" s="283"/>
      <c r="AF54" s="278">
        <f t="shared" si="43"/>
        <v>72.312582549999988</v>
      </c>
      <c r="AG54" s="278">
        <f t="shared" si="44"/>
        <v>0</v>
      </c>
      <c r="AH54" s="278">
        <f t="shared" si="45"/>
        <v>0</v>
      </c>
      <c r="AI54" s="278">
        <f t="shared" si="46"/>
        <v>0</v>
      </c>
      <c r="AJ54" s="278">
        <f t="shared" si="47"/>
        <v>0</v>
      </c>
      <c r="AK54" s="278">
        <f t="shared" si="48"/>
        <v>0</v>
      </c>
      <c r="AL54" s="278">
        <f t="shared" si="49"/>
        <v>0</v>
      </c>
      <c r="AM54" s="278">
        <f t="shared" si="50"/>
        <v>72.312582549999988</v>
      </c>
      <c r="AN54" s="143" t="s">
        <v>347</v>
      </c>
      <c r="AO54" s="291">
        <v>47.034256399999997</v>
      </c>
      <c r="AP54" s="279">
        <f t="shared" si="9"/>
        <v>25.278326149999991</v>
      </c>
    </row>
    <row r="55" spans="1:42" s="16" customFormat="1" ht="13.5" customHeight="1">
      <c r="A55" s="262">
        <v>51</v>
      </c>
      <c r="B55" s="139" t="s">
        <v>68</v>
      </c>
      <c r="C55" s="143" t="s">
        <v>348</v>
      </c>
      <c r="D55" s="265" t="s">
        <v>349</v>
      </c>
      <c r="E55" s="266" t="s">
        <v>67</v>
      </c>
      <c r="F55" s="280">
        <f>ROUND(20647661.31,2)</f>
        <v>20647661.309999999</v>
      </c>
      <c r="G55" s="281" t="s">
        <v>247</v>
      </c>
      <c r="H55" s="281" t="s">
        <v>350</v>
      </c>
      <c r="I55" s="340">
        <f>SUMIF('附表2-EF'!$D$49:$D$72,表1温室气体盘查表!C55,'附表2-EF'!$G$49:$G$72)</f>
        <v>1.2784698043450801E-3</v>
      </c>
      <c r="J55" s="281" t="s">
        <v>249</v>
      </c>
      <c r="K55" s="283">
        <v>1</v>
      </c>
      <c r="L55" s="289"/>
      <c r="M55" s="284"/>
      <c r="N55" s="283"/>
      <c r="O55" s="289"/>
      <c r="P55" s="281"/>
      <c r="Q55" s="283"/>
      <c r="R55" s="285"/>
      <c r="S55" s="286"/>
      <c r="T55" s="287"/>
      <c r="U55" s="288"/>
      <c r="V55" s="289"/>
      <c r="W55" s="281"/>
      <c r="X55" s="290"/>
      <c r="Y55" s="281"/>
      <c r="Z55" s="289"/>
      <c r="AA55" s="281"/>
      <c r="AB55" s="283"/>
      <c r="AC55" s="289"/>
      <c r="AD55" s="286"/>
      <c r="AE55" s="283"/>
      <c r="AF55" s="278">
        <f t="shared" si="43"/>
        <v>26397.411515179178</v>
      </c>
      <c r="AG55" s="278">
        <f t="shared" si="44"/>
        <v>0</v>
      </c>
      <c r="AH55" s="278">
        <f t="shared" si="45"/>
        <v>0</v>
      </c>
      <c r="AI55" s="278">
        <f t="shared" si="46"/>
        <v>0</v>
      </c>
      <c r="AJ55" s="278">
        <f t="shared" si="47"/>
        <v>0</v>
      </c>
      <c r="AK55" s="278">
        <f t="shared" si="48"/>
        <v>0</v>
      </c>
      <c r="AL55" s="278">
        <f t="shared" si="49"/>
        <v>0</v>
      </c>
      <c r="AM55" s="278">
        <f t="shared" si="50"/>
        <v>26397.411515179178</v>
      </c>
      <c r="AN55" s="143" t="s">
        <v>348</v>
      </c>
      <c r="AO55" s="291">
        <v>29761.0306554007</v>
      </c>
      <c r="AP55" s="279">
        <f t="shared" si="9"/>
        <v>-3363.6191402215227</v>
      </c>
    </row>
    <row r="56" spans="1:42" s="16" customFormat="1" ht="13.5" customHeight="1">
      <c r="A56" s="262">
        <v>52</v>
      </c>
      <c r="B56" s="139" t="s">
        <v>351</v>
      </c>
      <c r="C56" s="139" t="s">
        <v>352</v>
      </c>
      <c r="D56" s="265" t="s">
        <v>353</v>
      </c>
      <c r="E56" s="266" t="s">
        <v>93</v>
      </c>
      <c r="F56" s="280">
        <f>ROUND(1112205.76113944,2)</f>
        <v>1112205.76</v>
      </c>
      <c r="G56" s="281" t="s">
        <v>345</v>
      </c>
      <c r="H56" s="281" t="s">
        <v>321</v>
      </c>
      <c r="I56" s="340">
        <f>SUMIF('附表2-EF'!$D$76:$D$84,表1温室气体盘查表!C56,'附表2-EF'!$F$76:$F$84)</f>
        <v>1.08E-4</v>
      </c>
      <c r="J56" s="281" t="s">
        <v>346</v>
      </c>
      <c r="K56" s="283">
        <v>1</v>
      </c>
      <c r="L56" s="289"/>
      <c r="M56" s="284"/>
      <c r="N56" s="283"/>
      <c r="O56" s="289"/>
      <c r="P56" s="281"/>
      <c r="Q56" s="283"/>
      <c r="R56" s="285"/>
      <c r="S56" s="286"/>
      <c r="T56" s="287"/>
      <c r="U56" s="288"/>
      <c r="V56" s="289"/>
      <c r="W56" s="281"/>
      <c r="X56" s="290"/>
      <c r="Y56" s="281"/>
      <c r="Z56" s="289"/>
      <c r="AA56" s="281"/>
      <c r="AB56" s="283"/>
      <c r="AC56" s="289"/>
      <c r="AD56" s="286"/>
      <c r="AE56" s="283"/>
      <c r="AF56" s="278">
        <f t="shared" si="43"/>
        <v>120.11822208</v>
      </c>
      <c r="AG56" s="278">
        <f t="shared" si="44"/>
        <v>0</v>
      </c>
      <c r="AH56" s="278">
        <f t="shared" si="45"/>
        <v>0</v>
      </c>
      <c r="AI56" s="278">
        <f t="shared" si="46"/>
        <v>0</v>
      </c>
      <c r="AJ56" s="278">
        <f t="shared" si="47"/>
        <v>0</v>
      </c>
      <c r="AK56" s="278">
        <f t="shared" si="48"/>
        <v>0</v>
      </c>
      <c r="AL56" s="278">
        <f t="shared" si="49"/>
        <v>0</v>
      </c>
      <c r="AM56" s="278">
        <f t="shared" si="50"/>
        <v>120.11822208</v>
      </c>
      <c r="AN56" s="139" t="s">
        <v>352</v>
      </c>
    </row>
    <row r="57" spans="1:42" s="16" customFormat="1" ht="13.5" customHeight="1">
      <c r="A57" s="262">
        <v>53</v>
      </c>
      <c r="B57" s="139" t="s">
        <v>351</v>
      </c>
      <c r="C57" s="143" t="s">
        <v>354</v>
      </c>
      <c r="D57" s="265" t="s">
        <v>353</v>
      </c>
      <c r="E57" s="266" t="s">
        <v>93</v>
      </c>
      <c r="F57" s="280">
        <f>ROUND(445501.572976911,2)</f>
        <v>445501.57</v>
      </c>
      <c r="G57" s="281" t="s">
        <v>345</v>
      </c>
      <c r="H57" s="281" t="s">
        <v>321</v>
      </c>
      <c r="I57" s="340">
        <f>SUMIF('附表2-EF'!$D$76:$D$84,表1温室气体盘查表!C57,'附表2-EF'!$F$76:$F$84)</f>
        <v>5.8E-5</v>
      </c>
      <c r="J57" s="281" t="s">
        <v>346</v>
      </c>
      <c r="K57" s="283">
        <v>1</v>
      </c>
      <c r="L57" s="289"/>
      <c r="M57" s="284"/>
      <c r="N57" s="283"/>
      <c r="O57" s="289"/>
      <c r="P57" s="281"/>
      <c r="Q57" s="283"/>
      <c r="R57" s="285"/>
      <c r="S57" s="286"/>
      <c r="T57" s="287"/>
      <c r="U57" s="288"/>
      <c r="V57" s="289"/>
      <c r="W57" s="281"/>
      <c r="X57" s="290"/>
      <c r="Y57" s="281"/>
      <c r="Z57" s="289"/>
      <c r="AA57" s="281"/>
      <c r="AB57" s="283"/>
      <c r="AC57" s="289"/>
      <c r="AD57" s="286"/>
      <c r="AE57" s="283"/>
      <c r="AF57" s="278">
        <f t="shared" si="43"/>
        <v>25.839091060000001</v>
      </c>
      <c r="AG57" s="278">
        <f t="shared" si="44"/>
        <v>0</v>
      </c>
      <c r="AH57" s="278">
        <f t="shared" si="45"/>
        <v>0</v>
      </c>
      <c r="AI57" s="278">
        <f t="shared" si="46"/>
        <v>0</v>
      </c>
      <c r="AJ57" s="278">
        <f t="shared" si="47"/>
        <v>0</v>
      </c>
      <c r="AK57" s="278">
        <f t="shared" si="48"/>
        <v>0</v>
      </c>
      <c r="AL57" s="278">
        <f t="shared" si="49"/>
        <v>0</v>
      </c>
      <c r="AM57" s="278">
        <f t="shared" si="50"/>
        <v>25.839091060000001</v>
      </c>
      <c r="AN57" s="143" t="s">
        <v>354</v>
      </c>
    </row>
    <row r="58" spans="1:42" s="16" customFormat="1" ht="13.5" customHeight="1">
      <c r="A58" s="262">
        <v>54</v>
      </c>
      <c r="B58" s="139" t="s">
        <v>351</v>
      </c>
      <c r="C58" s="143" t="s">
        <v>355</v>
      </c>
      <c r="D58" s="265" t="s">
        <v>356</v>
      </c>
      <c r="E58" s="266" t="s">
        <v>93</v>
      </c>
      <c r="F58" s="280">
        <f>ROUND(2803779.73714337,2)</f>
        <v>2803779.74</v>
      </c>
      <c r="G58" s="281" t="s">
        <v>345</v>
      </c>
      <c r="H58" s="281" t="s">
        <v>321</v>
      </c>
      <c r="I58" s="340">
        <f>SUMIF('附表2-EF'!$D$76:$D$84,表1温室气体盘查表!C58,'附表2-EF'!$F$76:$F$84)</f>
        <v>1.85E-4</v>
      </c>
      <c r="J58" s="281" t="s">
        <v>346</v>
      </c>
      <c r="K58" s="283">
        <v>1</v>
      </c>
      <c r="L58" s="289"/>
      <c r="M58" s="284"/>
      <c r="N58" s="283"/>
      <c r="O58" s="289"/>
      <c r="P58" s="281"/>
      <c r="Q58" s="283"/>
      <c r="R58" s="285"/>
      <c r="S58" s="286"/>
      <c r="T58" s="287"/>
      <c r="U58" s="288"/>
      <c r="V58" s="289"/>
      <c r="W58" s="281"/>
      <c r="X58" s="290"/>
      <c r="Y58" s="281"/>
      <c r="Z58" s="289"/>
      <c r="AA58" s="281"/>
      <c r="AB58" s="283"/>
      <c r="AC58" s="289"/>
      <c r="AD58" s="286"/>
      <c r="AE58" s="283"/>
      <c r="AF58" s="278">
        <f t="shared" ref="AF58:AF69" si="59">F58*I58*K58</f>
        <v>518.69925190000004</v>
      </c>
      <c r="AG58" s="278">
        <f t="shared" ref="AG58:AG72" si="60">F58*L58*N58</f>
        <v>0</v>
      </c>
      <c r="AH58" s="278">
        <f t="shared" ref="AH58:AH72" si="61">F58*O58*Q58</f>
        <v>0</v>
      </c>
      <c r="AI58" s="278">
        <f t="shared" ref="AI58:AI72" si="62">F58*R58*T58</f>
        <v>0</v>
      </c>
      <c r="AJ58" s="278">
        <f t="shared" ref="AJ58:AJ72" si="63">F58*V58*X58</f>
        <v>0</v>
      </c>
      <c r="AK58" s="278">
        <f t="shared" ref="AK58:AK72" si="64">F58*Z58*AB58</f>
        <v>0</v>
      </c>
      <c r="AL58" s="278">
        <f t="shared" ref="AL58:AL72" si="65">F58*AC58*AE58</f>
        <v>0</v>
      </c>
      <c r="AM58" s="278">
        <f t="shared" ref="AM58:AM72" si="66">SUM(AF58:AL58)</f>
        <v>518.69925190000004</v>
      </c>
      <c r="AN58" s="143" t="s">
        <v>355</v>
      </c>
    </row>
    <row r="59" spans="1:42" s="16" customFormat="1" ht="13.5" customHeight="1">
      <c r="A59" s="262">
        <v>55</v>
      </c>
      <c r="B59" s="139" t="s">
        <v>351</v>
      </c>
      <c r="C59" s="143" t="s">
        <v>357</v>
      </c>
      <c r="D59" s="265" t="s">
        <v>356</v>
      </c>
      <c r="E59" s="266" t="s">
        <v>93</v>
      </c>
      <c r="F59" s="280">
        <f>ROUND(2788670.78990797,2)</f>
        <v>2788670.79</v>
      </c>
      <c r="G59" s="281" t="s">
        <v>345</v>
      </c>
      <c r="H59" s="281" t="s">
        <v>321</v>
      </c>
      <c r="I59" s="340">
        <f>SUMIF('附表2-EF'!$D$76:$D$84,表1温室气体盘查表!C59,'附表2-EF'!$F$76:$F$84)</f>
        <v>7.8999999999999996E-5</v>
      </c>
      <c r="J59" s="281" t="s">
        <v>346</v>
      </c>
      <c r="K59" s="283">
        <v>1</v>
      </c>
      <c r="L59" s="289"/>
      <c r="M59" s="284"/>
      <c r="N59" s="283"/>
      <c r="O59" s="289"/>
      <c r="P59" s="281"/>
      <c r="Q59" s="283"/>
      <c r="R59" s="285"/>
      <c r="S59" s="286"/>
      <c r="T59" s="287"/>
      <c r="U59" s="288"/>
      <c r="V59" s="289"/>
      <c r="W59" s="281"/>
      <c r="X59" s="290"/>
      <c r="Y59" s="281"/>
      <c r="Z59" s="289"/>
      <c r="AA59" s="281"/>
      <c r="AB59" s="283"/>
      <c r="AC59" s="289"/>
      <c r="AD59" s="286"/>
      <c r="AE59" s="283"/>
      <c r="AF59" s="278">
        <f t="shared" ref="AF59" si="67">F59*I59*K59</f>
        <v>220.30499240999998</v>
      </c>
      <c r="AG59" s="278">
        <f t="shared" ref="AG59" si="68">F59*L59*N59</f>
        <v>0</v>
      </c>
      <c r="AH59" s="278">
        <f t="shared" ref="AH59" si="69">F59*O59*Q59</f>
        <v>0</v>
      </c>
      <c r="AI59" s="278">
        <f t="shared" ref="AI59" si="70">F59*R59*T59</f>
        <v>0</v>
      </c>
      <c r="AJ59" s="278">
        <f t="shared" ref="AJ59" si="71">F59*V59*X59</f>
        <v>0</v>
      </c>
      <c r="AK59" s="278">
        <f t="shared" ref="AK59" si="72">F59*Z59*AB59</f>
        <v>0</v>
      </c>
      <c r="AL59" s="278">
        <f t="shared" ref="AL59" si="73">F59*AC59*AE59</f>
        <v>0</v>
      </c>
      <c r="AM59" s="278">
        <f t="shared" ref="AM59" si="74">SUM(AF59:AL59)</f>
        <v>220.30499240999998</v>
      </c>
      <c r="AN59" s="143" t="s">
        <v>357</v>
      </c>
    </row>
    <row r="60" spans="1:42" s="16" customFormat="1" ht="13.5" customHeight="1">
      <c r="A60" s="262">
        <v>56</v>
      </c>
      <c r="B60" s="139" t="s">
        <v>351</v>
      </c>
      <c r="C60" s="143" t="s">
        <v>358</v>
      </c>
      <c r="D60" s="265" t="s">
        <v>356</v>
      </c>
      <c r="E60" s="266" t="s">
        <v>93</v>
      </c>
      <c r="F60" s="280">
        <f>ROUND(5368992.60046684,2)</f>
        <v>5368992.5999999996</v>
      </c>
      <c r="G60" s="281" t="s">
        <v>345</v>
      </c>
      <c r="H60" s="281" t="s">
        <v>321</v>
      </c>
      <c r="I60" s="340">
        <f>SUMIF('附表2-EF'!$D$76:$D$84,表1温室气体盘查表!C60,'附表2-EF'!$F$76:$F$84)</f>
        <v>2.0899999999999998E-4</v>
      </c>
      <c r="J60" s="281" t="s">
        <v>346</v>
      </c>
      <c r="K60" s="283">
        <v>1</v>
      </c>
      <c r="L60" s="289"/>
      <c r="M60" s="284"/>
      <c r="N60" s="283"/>
      <c r="O60" s="289"/>
      <c r="P60" s="281"/>
      <c r="Q60" s="283"/>
      <c r="R60" s="285"/>
      <c r="S60" s="286"/>
      <c r="T60" s="287"/>
      <c r="U60" s="288"/>
      <c r="V60" s="289"/>
      <c r="W60" s="281"/>
      <c r="X60" s="290"/>
      <c r="Y60" s="281"/>
      <c r="Z60" s="289"/>
      <c r="AA60" s="281"/>
      <c r="AB60" s="283"/>
      <c r="AC60" s="289"/>
      <c r="AD60" s="286"/>
      <c r="AE60" s="283"/>
      <c r="AF60" s="278">
        <f t="shared" ref="AF60:AF62" si="75">F60*I60*K60</f>
        <v>1122.1194533999999</v>
      </c>
      <c r="AG60" s="278">
        <f t="shared" ref="AG60:AG62" si="76">F60*L60*N60</f>
        <v>0</v>
      </c>
      <c r="AH60" s="278">
        <f t="shared" ref="AH60:AH62" si="77">F60*O60*Q60</f>
        <v>0</v>
      </c>
      <c r="AI60" s="278">
        <f t="shared" ref="AI60:AI62" si="78">F60*R60*T60</f>
        <v>0</v>
      </c>
      <c r="AJ60" s="278">
        <f t="shared" ref="AJ60:AJ62" si="79">F60*V60*X60</f>
        <v>0</v>
      </c>
      <c r="AK60" s="278">
        <f t="shared" ref="AK60:AK62" si="80">F60*Z60*AB60</f>
        <v>0</v>
      </c>
      <c r="AL60" s="278">
        <f t="shared" ref="AL60:AL62" si="81">F60*AC60*AE60</f>
        <v>0</v>
      </c>
      <c r="AM60" s="278">
        <f t="shared" ref="AM60:AM62" si="82">SUM(AF60:AL60)</f>
        <v>1122.1194533999999</v>
      </c>
      <c r="AN60" s="143" t="s">
        <v>358</v>
      </c>
    </row>
    <row r="61" spans="1:42" s="16" customFormat="1" ht="13.5" customHeight="1">
      <c r="A61" s="262">
        <v>57</v>
      </c>
      <c r="B61" s="139" t="s">
        <v>351</v>
      </c>
      <c r="C61" s="143" t="s">
        <v>359</v>
      </c>
      <c r="D61" s="265" t="s">
        <v>356</v>
      </c>
      <c r="E61" s="266" t="s">
        <v>93</v>
      </c>
      <c r="F61" s="280">
        <f>ROUND(2709414.35452937,2)</f>
        <v>2709414.35</v>
      </c>
      <c r="G61" s="281" t="s">
        <v>345</v>
      </c>
      <c r="H61" s="281" t="s">
        <v>321</v>
      </c>
      <c r="I61" s="340">
        <f>SUMIF('附表2-EF'!$D$76:$D$84,表1温室气体盘查表!C61,'附表2-EF'!$F$76:$F$84)</f>
        <v>2.23E-4</v>
      </c>
      <c r="J61" s="281" t="s">
        <v>346</v>
      </c>
      <c r="K61" s="283">
        <v>1</v>
      </c>
      <c r="L61" s="289"/>
      <c r="M61" s="284"/>
      <c r="N61" s="283"/>
      <c r="O61" s="289"/>
      <c r="P61" s="281"/>
      <c r="Q61" s="283"/>
      <c r="R61" s="285"/>
      <c r="S61" s="286"/>
      <c r="T61" s="287"/>
      <c r="U61" s="288"/>
      <c r="V61" s="289"/>
      <c r="W61" s="281"/>
      <c r="X61" s="290"/>
      <c r="Y61" s="281"/>
      <c r="Z61" s="289"/>
      <c r="AA61" s="281"/>
      <c r="AB61" s="283"/>
      <c r="AC61" s="289"/>
      <c r="AD61" s="286"/>
      <c r="AE61" s="283"/>
      <c r="AF61" s="278">
        <f t="shared" si="75"/>
        <v>604.19940005000001</v>
      </c>
      <c r="AG61" s="278">
        <f t="shared" si="76"/>
        <v>0</v>
      </c>
      <c r="AH61" s="278">
        <f t="shared" si="77"/>
        <v>0</v>
      </c>
      <c r="AI61" s="278">
        <f t="shared" si="78"/>
        <v>0</v>
      </c>
      <c r="AJ61" s="278">
        <f t="shared" si="79"/>
        <v>0</v>
      </c>
      <c r="AK61" s="278">
        <f t="shared" si="80"/>
        <v>0</v>
      </c>
      <c r="AL61" s="278">
        <f t="shared" si="81"/>
        <v>0</v>
      </c>
      <c r="AM61" s="278">
        <f t="shared" si="82"/>
        <v>604.19940005000001</v>
      </c>
      <c r="AN61" s="143" t="s">
        <v>359</v>
      </c>
    </row>
    <row r="62" spans="1:42" s="16" customFormat="1" ht="13.5" customHeight="1">
      <c r="A62" s="262">
        <v>58</v>
      </c>
      <c r="B62" s="139" t="s">
        <v>351</v>
      </c>
      <c r="C62" s="143" t="s">
        <v>360</v>
      </c>
      <c r="D62" s="265" t="s">
        <v>356</v>
      </c>
      <c r="E62" s="266" t="s">
        <v>93</v>
      </c>
      <c r="F62" s="280">
        <f>ROUND(2228829.68139041,2)</f>
        <v>2228829.6800000002</v>
      </c>
      <c r="G62" s="281" t="s">
        <v>345</v>
      </c>
      <c r="H62" s="281" t="s">
        <v>321</v>
      </c>
      <c r="I62" s="340">
        <f>SUMIF('附表2-EF'!$D$76:$D$84,表1温室气体盘查表!C62,'附表2-EF'!$F$76:$F$84)</f>
        <v>6.3E-5</v>
      </c>
      <c r="J62" s="281" t="s">
        <v>346</v>
      </c>
      <c r="K62" s="283">
        <v>1</v>
      </c>
      <c r="L62" s="289"/>
      <c r="M62" s="284"/>
      <c r="N62" s="283"/>
      <c r="O62" s="289"/>
      <c r="P62" s="281"/>
      <c r="Q62" s="283"/>
      <c r="R62" s="285"/>
      <c r="S62" s="286"/>
      <c r="T62" s="287"/>
      <c r="U62" s="288"/>
      <c r="V62" s="289"/>
      <c r="W62" s="281"/>
      <c r="X62" s="290"/>
      <c r="Y62" s="281"/>
      <c r="Z62" s="289"/>
      <c r="AA62" s="281"/>
      <c r="AB62" s="283"/>
      <c r="AC62" s="289"/>
      <c r="AD62" s="286"/>
      <c r="AE62" s="283"/>
      <c r="AF62" s="278">
        <f t="shared" si="75"/>
        <v>140.41626984000001</v>
      </c>
      <c r="AG62" s="278">
        <f t="shared" si="76"/>
        <v>0</v>
      </c>
      <c r="AH62" s="278">
        <f t="shared" si="77"/>
        <v>0</v>
      </c>
      <c r="AI62" s="278">
        <f t="shared" si="78"/>
        <v>0</v>
      </c>
      <c r="AJ62" s="278">
        <f t="shared" si="79"/>
        <v>0</v>
      </c>
      <c r="AK62" s="278">
        <f t="shared" si="80"/>
        <v>0</v>
      </c>
      <c r="AL62" s="278">
        <f t="shared" si="81"/>
        <v>0</v>
      </c>
      <c r="AM62" s="278">
        <f t="shared" si="82"/>
        <v>140.41626984000001</v>
      </c>
      <c r="AN62" s="143" t="s">
        <v>360</v>
      </c>
    </row>
    <row r="63" spans="1:42" s="16" customFormat="1" ht="13.5" customHeight="1">
      <c r="A63" s="262">
        <v>59</v>
      </c>
      <c r="B63" s="139" t="s">
        <v>351</v>
      </c>
      <c r="C63" s="143" t="s">
        <v>361</v>
      </c>
      <c r="D63" s="265" t="s">
        <v>356</v>
      </c>
      <c r="E63" s="266" t="s">
        <v>93</v>
      </c>
      <c r="F63" s="280">
        <f>ROUND(8525989.88566926,2)</f>
        <v>8525989.8900000006</v>
      </c>
      <c r="G63" s="281" t="s">
        <v>345</v>
      </c>
      <c r="H63" s="281" t="s">
        <v>321</v>
      </c>
      <c r="I63" s="340">
        <f>SUMIF('附表2-EF'!$D$76:$D$84,表1温室气体盘查表!C63,'附表2-EF'!$F$76:$F$84)</f>
        <v>1.2799999999999999E-4</v>
      </c>
      <c r="J63" s="281" t="s">
        <v>346</v>
      </c>
      <c r="K63" s="283">
        <v>1</v>
      </c>
      <c r="L63" s="289"/>
      <c r="M63" s="284"/>
      <c r="N63" s="283"/>
      <c r="O63" s="289"/>
      <c r="P63" s="281"/>
      <c r="Q63" s="283"/>
      <c r="R63" s="285"/>
      <c r="S63" s="286"/>
      <c r="T63" s="287"/>
      <c r="U63" s="288"/>
      <c r="V63" s="289"/>
      <c r="W63" s="281"/>
      <c r="X63" s="290"/>
      <c r="Y63" s="281"/>
      <c r="Z63" s="289"/>
      <c r="AA63" s="281"/>
      <c r="AB63" s="283"/>
      <c r="AC63" s="289"/>
      <c r="AD63" s="286"/>
      <c r="AE63" s="283"/>
      <c r="AF63" s="278">
        <f t="shared" si="59"/>
        <v>1091.32670592</v>
      </c>
      <c r="AG63" s="278">
        <f t="shared" si="60"/>
        <v>0</v>
      </c>
      <c r="AH63" s="278">
        <f t="shared" si="61"/>
        <v>0</v>
      </c>
      <c r="AI63" s="278">
        <f t="shared" si="62"/>
        <v>0</v>
      </c>
      <c r="AJ63" s="278">
        <f t="shared" si="63"/>
        <v>0</v>
      </c>
      <c r="AK63" s="278">
        <f t="shared" si="64"/>
        <v>0</v>
      </c>
      <c r="AL63" s="278">
        <f t="shared" si="65"/>
        <v>0</v>
      </c>
      <c r="AM63" s="278">
        <f t="shared" si="66"/>
        <v>1091.32670592</v>
      </c>
      <c r="AN63" s="143" t="s">
        <v>361</v>
      </c>
    </row>
    <row r="64" spans="1:42" s="16" customFormat="1" ht="13.5" customHeight="1">
      <c r="A64" s="262">
        <v>60</v>
      </c>
      <c r="B64" s="139" t="s">
        <v>351</v>
      </c>
      <c r="C64" s="143" t="s">
        <v>362</v>
      </c>
      <c r="D64" s="265" t="s">
        <v>356</v>
      </c>
      <c r="E64" s="266" t="s">
        <v>93</v>
      </c>
      <c r="F64" s="280">
        <f>ROUND(262435008.495265,2)-SUM(F56:F63)</f>
        <v>236451624.12</v>
      </c>
      <c r="G64" s="281" t="s">
        <v>345</v>
      </c>
      <c r="H64" s="281" t="s">
        <v>321</v>
      </c>
      <c r="I64" s="340">
        <f>SUMIF('附表2-EF'!$D$76:$D$84,表1温室气体盘查表!C64,'附表2-EF'!$F$76:$F$84)</f>
        <v>1.8200000000000001E-4</v>
      </c>
      <c r="J64" s="281" t="s">
        <v>346</v>
      </c>
      <c r="K64" s="283">
        <v>1</v>
      </c>
      <c r="L64" s="289"/>
      <c r="M64" s="284"/>
      <c r="N64" s="283"/>
      <c r="O64" s="289"/>
      <c r="P64" s="281"/>
      <c r="Q64" s="283"/>
      <c r="R64" s="285"/>
      <c r="S64" s="286"/>
      <c r="T64" s="287"/>
      <c r="U64" s="288"/>
      <c r="V64" s="289"/>
      <c r="W64" s="281"/>
      <c r="X64" s="290"/>
      <c r="Y64" s="281"/>
      <c r="Z64" s="289"/>
      <c r="AA64" s="281"/>
      <c r="AB64" s="283"/>
      <c r="AC64" s="289"/>
      <c r="AD64" s="286"/>
      <c r="AE64" s="283"/>
      <c r="AF64" s="278">
        <f t="shared" si="59"/>
        <v>43034.195589840005</v>
      </c>
      <c r="AG64" s="278">
        <f t="shared" si="60"/>
        <v>0</v>
      </c>
      <c r="AH64" s="278">
        <f t="shared" si="61"/>
        <v>0</v>
      </c>
      <c r="AI64" s="278">
        <f t="shared" si="62"/>
        <v>0</v>
      </c>
      <c r="AJ64" s="278">
        <f t="shared" si="63"/>
        <v>0</v>
      </c>
      <c r="AK64" s="278">
        <f t="shared" si="64"/>
        <v>0</v>
      </c>
      <c r="AL64" s="278">
        <f t="shared" si="65"/>
        <v>0</v>
      </c>
      <c r="AM64" s="278">
        <f t="shared" si="66"/>
        <v>43034.195589840005</v>
      </c>
      <c r="AN64" s="143" t="s">
        <v>362</v>
      </c>
    </row>
    <row r="65" spans="1:40" s="19" customFormat="1" ht="13.5" customHeight="1">
      <c r="A65" s="262">
        <v>61</v>
      </c>
      <c r="B65" s="139" t="s">
        <v>363</v>
      </c>
      <c r="C65" s="342" t="s">
        <v>364</v>
      </c>
      <c r="D65" s="265" t="s">
        <v>246</v>
      </c>
      <c r="E65" s="266" t="s">
        <v>105</v>
      </c>
      <c r="F65" s="267">
        <f>F6</f>
        <v>9.43</v>
      </c>
      <c r="G65" s="281" t="s">
        <v>247</v>
      </c>
      <c r="H65" s="282" t="s">
        <v>248</v>
      </c>
      <c r="I65" s="340">
        <f>SUMIF('附表2-EF'!$D$88:$D$96,表1温室气体盘查表!C65,'附表2-EF'!$G$88:$G$96)</f>
        <v>1.0062255640344899</v>
      </c>
      <c r="J65" s="281" t="s">
        <v>249</v>
      </c>
      <c r="K65" s="271">
        <v>1</v>
      </c>
      <c r="L65" s="276"/>
      <c r="M65" s="268"/>
      <c r="N65" s="271"/>
      <c r="O65" s="276"/>
      <c r="P65" s="268"/>
      <c r="Q65" s="271"/>
      <c r="R65" s="273"/>
      <c r="S65" s="274"/>
      <c r="T65" s="275"/>
      <c r="U65" s="274"/>
      <c r="V65" s="276"/>
      <c r="W65" s="268"/>
      <c r="X65" s="277"/>
      <c r="Y65" s="268"/>
      <c r="Z65" s="276"/>
      <c r="AA65" s="268"/>
      <c r="AB65" s="271"/>
      <c r="AC65" s="276"/>
      <c r="AD65" s="314"/>
      <c r="AE65" s="311"/>
      <c r="AF65" s="278">
        <f t="shared" si="59"/>
        <v>9.4887070688452404</v>
      </c>
      <c r="AG65" s="278">
        <f t="shared" si="60"/>
        <v>0</v>
      </c>
      <c r="AH65" s="278">
        <f t="shared" si="61"/>
        <v>0</v>
      </c>
      <c r="AI65" s="278">
        <f t="shared" si="62"/>
        <v>0</v>
      </c>
      <c r="AJ65" s="278">
        <f t="shared" si="63"/>
        <v>0</v>
      </c>
      <c r="AK65" s="278">
        <f t="shared" si="64"/>
        <v>0</v>
      </c>
      <c r="AL65" s="278">
        <f t="shared" si="65"/>
        <v>0</v>
      </c>
      <c r="AM65" s="278">
        <f t="shared" si="66"/>
        <v>9.4887070688452404</v>
      </c>
      <c r="AN65" s="342" t="s">
        <v>364</v>
      </c>
    </row>
    <row r="66" spans="1:40" s="16" customFormat="1" ht="13.5" customHeight="1">
      <c r="A66" s="262">
        <v>62</v>
      </c>
      <c r="B66" s="139" t="s">
        <v>363</v>
      </c>
      <c r="C66" s="143" t="s">
        <v>365</v>
      </c>
      <c r="D66" s="265" t="s">
        <v>366</v>
      </c>
      <c r="E66" s="266" t="s">
        <v>105</v>
      </c>
      <c r="F66" s="539">
        <f>F9</f>
        <v>2093622.77</v>
      </c>
      <c r="G66" s="281" t="s">
        <v>247</v>
      </c>
      <c r="H66" s="544" t="str">
        <f>H7</f>
        <v>《冶钢2025年度碳排放报表》（来源为过磅单）</v>
      </c>
      <c r="I66" s="340">
        <f>SUMIF('附表2-EF'!$D$88:$D$96,表1温室气体盘查表!C66,'附表2-EF'!$G$88:$G$96)</f>
        <v>0.57555000000000001</v>
      </c>
      <c r="J66" s="281" t="s">
        <v>249</v>
      </c>
      <c r="K66" s="283">
        <v>1</v>
      </c>
      <c r="L66" s="289"/>
      <c r="M66" s="284"/>
      <c r="N66" s="283"/>
      <c r="O66" s="289"/>
      <c r="P66" s="281"/>
      <c r="Q66" s="283"/>
      <c r="R66" s="285"/>
      <c r="S66" s="286"/>
      <c r="T66" s="287"/>
      <c r="U66" s="288"/>
      <c r="V66" s="289"/>
      <c r="W66" s="281"/>
      <c r="X66" s="290"/>
      <c r="Y66" s="281"/>
      <c r="Z66" s="289"/>
      <c r="AA66" s="281"/>
      <c r="AB66" s="283"/>
      <c r="AC66" s="289"/>
      <c r="AD66" s="286"/>
      <c r="AE66" s="283"/>
      <c r="AF66" s="278">
        <f t="shared" si="59"/>
        <v>1204984.5852735001</v>
      </c>
      <c r="AG66" s="278">
        <f t="shared" si="60"/>
        <v>0</v>
      </c>
      <c r="AH66" s="278">
        <f t="shared" si="61"/>
        <v>0</v>
      </c>
      <c r="AI66" s="278">
        <f t="shared" si="62"/>
        <v>0</v>
      </c>
      <c r="AJ66" s="278">
        <f t="shared" si="63"/>
        <v>0</v>
      </c>
      <c r="AK66" s="278">
        <f t="shared" si="64"/>
        <v>0</v>
      </c>
      <c r="AL66" s="278">
        <f t="shared" si="65"/>
        <v>0</v>
      </c>
      <c r="AM66" s="278">
        <f t="shared" si="66"/>
        <v>1204984.5852735001</v>
      </c>
      <c r="AN66" s="143" t="s">
        <v>365</v>
      </c>
    </row>
    <row r="67" spans="1:40" s="16" customFormat="1" ht="13.5" customHeight="1">
      <c r="A67" s="262">
        <v>63</v>
      </c>
      <c r="B67" s="139" t="s">
        <v>363</v>
      </c>
      <c r="C67" s="143" t="s">
        <v>367</v>
      </c>
      <c r="D67" s="265" t="s">
        <v>356</v>
      </c>
      <c r="E67" s="266" t="s">
        <v>105</v>
      </c>
      <c r="F67" s="539">
        <f>F12</f>
        <v>1422.69</v>
      </c>
      <c r="G67" s="281" t="s">
        <v>247</v>
      </c>
      <c r="H67" s="544" t="str">
        <f>H8</f>
        <v>《冶钢2025年度碳排放报表》（来源为过磅单）</v>
      </c>
      <c r="I67" s="340">
        <f>SUMIF('附表2-EF'!$D$88:$D$96,表1温室气体盘查表!C67,'附表2-EF'!$G$88:$G$96)</f>
        <v>0.84211999999999998</v>
      </c>
      <c r="J67" s="281" t="s">
        <v>249</v>
      </c>
      <c r="K67" s="283">
        <v>1</v>
      </c>
      <c r="L67" s="289"/>
      <c r="M67" s="284"/>
      <c r="N67" s="283"/>
      <c r="O67" s="289"/>
      <c r="P67" s="281"/>
      <c r="Q67" s="283"/>
      <c r="R67" s="285"/>
      <c r="S67" s="286"/>
      <c r="T67" s="287"/>
      <c r="U67" s="288"/>
      <c r="V67" s="289"/>
      <c r="W67" s="281"/>
      <c r="X67" s="290"/>
      <c r="Y67" s="281"/>
      <c r="Z67" s="289"/>
      <c r="AA67" s="281"/>
      <c r="AB67" s="283"/>
      <c r="AC67" s="289"/>
      <c r="AD67" s="286"/>
      <c r="AE67" s="283"/>
      <c r="AF67" s="278">
        <f t="shared" si="59"/>
        <v>1198.0757028</v>
      </c>
      <c r="AG67" s="278">
        <f t="shared" si="60"/>
        <v>0</v>
      </c>
      <c r="AH67" s="278">
        <f t="shared" si="61"/>
        <v>0</v>
      </c>
      <c r="AI67" s="278">
        <f t="shared" si="62"/>
        <v>0</v>
      </c>
      <c r="AJ67" s="278">
        <f t="shared" si="63"/>
        <v>0</v>
      </c>
      <c r="AK67" s="278">
        <f t="shared" si="64"/>
        <v>0</v>
      </c>
      <c r="AL67" s="278">
        <f t="shared" si="65"/>
        <v>0</v>
      </c>
      <c r="AM67" s="278">
        <f t="shared" si="66"/>
        <v>1198.0757028</v>
      </c>
      <c r="AN67" s="143" t="s">
        <v>367</v>
      </c>
    </row>
    <row r="68" spans="1:40" s="16" customFormat="1" ht="13.5" customHeight="1">
      <c r="A68" s="262">
        <v>64</v>
      </c>
      <c r="B68" s="139" t="s">
        <v>363</v>
      </c>
      <c r="C68" s="143" t="s">
        <v>368</v>
      </c>
      <c r="D68" s="265" t="s">
        <v>369</v>
      </c>
      <c r="E68" s="266" t="s">
        <v>105</v>
      </c>
      <c r="F68" s="539">
        <f>F13</f>
        <v>47.34</v>
      </c>
      <c r="G68" s="281" t="s">
        <v>247</v>
      </c>
      <c r="H68" s="544" t="str">
        <f>H9</f>
        <v>《冶钢2025年度碳排放报表》（来源为过磅单）</v>
      </c>
      <c r="I68" s="340">
        <f>SUMIF('附表2-EF'!$D$88:$D$96,表1温室气体盘查表!C68,'附表2-EF'!$G$88:$G$96)</f>
        <v>0.98733030522440801</v>
      </c>
      <c r="J68" s="281" t="s">
        <v>249</v>
      </c>
      <c r="K68" s="283">
        <v>1</v>
      </c>
      <c r="L68" s="289"/>
      <c r="M68" s="284"/>
      <c r="N68" s="283"/>
      <c r="O68" s="289"/>
      <c r="P68" s="281"/>
      <c r="Q68" s="283"/>
      <c r="R68" s="285"/>
      <c r="S68" s="286"/>
      <c r="T68" s="287"/>
      <c r="U68" s="288"/>
      <c r="V68" s="289"/>
      <c r="W68" s="281"/>
      <c r="X68" s="290"/>
      <c r="Y68" s="281"/>
      <c r="Z68" s="289"/>
      <c r="AA68" s="281"/>
      <c r="AB68" s="283"/>
      <c r="AC68" s="289"/>
      <c r="AD68" s="286"/>
      <c r="AE68" s="283"/>
      <c r="AF68" s="278">
        <f t="shared" si="59"/>
        <v>46.740216649323479</v>
      </c>
      <c r="AG68" s="278">
        <f t="shared" si="60"/>
        <v>0</v>
      </c>
      <c r="AH68" s="278">
        <f t="shared" si="61"/>
        <v>0</v>
      </c>
      <c r="AI68" s="278">
        <f t="shared" si="62"/>
        <v>0</v>
      </c>
      <c r="AJ68" s="278">
        <f t="shared" si="63"/>
        <v>0</v>
      </c>
      <c r="AK68" s="278">
        <f t="shared" si="64"/>
        <v>0</v>
      </c>
      <c r="AL68" s="278">
        <f t="shared" si="65"/>
        <v>0</v>
      </c>
      <c r="AM68" s="278">
        <f t="shared" si="66"/>
        <v>46.740216649323479</v>
      </c>
      <c r="AN68" s="143" t="s">
        <v>368</v>
      </c>
    </row>
    <row r="69" spans="1:40" s="16" customFormat="1" ht="13.5" customHeight="1">
      <c r="A69" s="262">
        <v>65</v>
      </c>
      <c r="B69" s="139" t="s">
        <v>363</v>
      </c>
      <c r="C69" s="143" t="s">
        <v>370</v>
      </c>
      <c r="D69" s="265" t="s">
        <v>261</v>
      </c>
      <c r="E69" s="266" t="s">
        <v>105</v>
      </c>
      <c r="F69" s="539">
        <f>F10</f>
        <v>221509.16999999998</v>
      </c>
      <c r="G69" s="281" t="s">
        <v>247</v>
      </c>
      <c r="H69" s="544" t="str">
        <f>H10</f>
        <v>《冶钢2025年度碳排放报表》（来源为过磅单）</v>
      </c>
      <c r="I69" s="340">
        <f>SUMIF('附表2-EF'!$D$88:$D$96,表1温室气体盘查表!C69,'附表2-EF'!$G$88:$G$96)</f>
        <v>0.34899999999999998</v>
      </c>
      <c r="J69" s="281" t="s">
        <v>249</v>
      </c>
      <c r="K69" s="283">
        <v>1</v>
      </c>
      <c r="L69" s="289"/>
      <c r="M69" s="284"/>
      <c r="N69" s="283"/>
      <c r="O69" s="289"/>
      <c r="P69" s="281"/>
      <c r="Q69" s="283"/>
      <c r="R69" s="285"/>
      <c r="S69" s="286"/>
      <c r="T69" s="287"/>
      <c r="U69" s="288"/>
      <c r="V69" s="289"/>
      <c r="W69" s="281"/>
      <c r="X69" s="290"/>
      <c r="Y69" s="281"/>
      <c r="Z69" s="289"/>
      <c r="AA69" s="281"/>
      <c r="AB69" s="283"/>
      <c r="AC69" s="289"/>
      <c r="AD69" s="286"/>
      <c r="AE69" s="283"/>
      <c r="AF69" s="278">
        <f t="shared" si="59"/>
        <v>77306.700329999992</v>
      </c>
      <c r="AG69" s="278">
        <f t="shared" si="60"/>
        <v>0</v>
      </c>
      <c r="AH69" s="278">
        <f t="shared" si="61"/>
        <v>0</v>
      </c>
      <c r="AI69" s="278">
        <f t="shared" si="62"/>
        <v>0</v>
      </c>
      <c r="AJ69" s="278">
        <f t="shared" si="63"/>
        <v>0</v>
      </c>
      <c r="AK69" s="278">
        <f t="shared" si="64"/>
        <v>0</v>
      </c>
      <c r="AL69" s="278">
        <f t="shared" si="65"/>
        <v>0</v>
      </c>
      <c r="AM69" s="278">
        <f t="shared" si="66"/>
        <v>77306.700329999992</v>
      </c>
      <c r="AN69" s="143" t="s">
        <v>370</v>
      </c>
    </row>
    <row r="70" spans="1:40" s="16" customFormat="1" ht="13.5" customHeight="1">
      <c r="A70" s="262">
        <v>66</v>
      </c>
      <c r="B70" s="139" t="s">
        <v>363</v>
      </c>
      <c r="C70" s="143" t="s">
        <v>371</v>
      </c>
      <c r="D70" s="265" t="s">
        <v>259</v>
      </c>
      <c r="E70" s="266" t="s">
        <v>105</v>
      </c>
      <c r="F70" s="539">
        <f>F7</f>
        <v>323067.87000000005</v>
      </c>
      <c r="G70" s="281" t="s">
        <v>247</v>
      </c>
      <c r="H70" s="544" t="str">
        <f>H7</f>
        <v>《冶钢2025年度碳排放报表》（来源为过磅单）</v>
      </c>
      <c r="I70" s="340">
        <f>SUMIF('附表2-EF'!$D$88:$D$96,表1温室气体盘查表!C70,'附表2-EF'!$G$88:$G$96)</f>
        <v>0.17899999999999999</v>
      </c>
      <c r="J70" s="281" t="s">
        <v>249</v>
      </c>
      <c r="K70" s="283">
        <v>1</v>
      </c>
      <c r="L70" s="289"/>
      <c r="M70" s="284"/>
      <c r="N70" s="283"/>
      <c r="O70" s="289"/>
      <c r="P70" s="281"/>
      <c r="Q70" s="283"/>
      <c r="R70" s="285"/>
      <c r="S70" s="286"/>
      <c r="T70" s="287"/>
      <c r="U70" s="288"/>
      <c r="V70" s="289"/>
      <c r="W70" s="281"/>
      <c r="X70" s="290"/>
      <c r="Y70" s="281"/>
      <c r="Z70" s="289"/>
      <c r="AA70" s="281"/>
      <c r="AB70" s="283"/>
      <c r="AC70" s="289"/>
      <c r="AD70" s="286"/>
      <c r="AE70" s="283"/>
      <c r="AF70" s="278">
        <f t="shared" ref="AF70:AF80" si="83">F70*I70*K70</f>
        <v>57829.148730000008</v>
      </c>
      <c r="AG70" s="278">
        <f t="shared" si="60"/>
        <v>0</v>
      </c>
      <c r="AH70" s="278">
        <f t="shared" si="61"/>
        <v>0</v>
      </c>
      <c r="AI70" s="278">
        <f t="shared" si="62"/>
        <v>0</v>
      </c>
      <c r="AJ70" s="278">
        <f t="shared" si="63"/>
        <v>0</v>
      </c>
      <c r="AK70" s="278">
        <f t="shared" si="64"/>
        <v>0</v>
      </c>
      <c r="AL70" s="278">
        <f t="shared" si="65"/>
        <v>0</v>
      </c>
      <c r="AM70" s="278">
        <f t="shared" si="66"/>
        <v>57829.148730000008</v>
      </c>
      <c r="AN70" s="143" t="s">
        <v>371</v>
      </c>
    </row>
    <row r="71" spans="1:40" s="16" customFormat="1" ht="13.5" customHeight="1">
      <c r="A71" s="262">
        <v>67</v>
      </c>
      <c r="B71" s="139" t="s">
        <v>363</v>
      </c>
      <c r="C71" s="143" t="s">
        <v>372</v>
      </c>
      <c r="D71" s="265" t="s">
        <v>261</v>
      </c>
      <c r="E71" s="266" t="s">
        <v>105</v>
      </c>
      <c r="F71" s="539">
        <f>F8</f>
        <v>335482.33</v>
      </c>
      <c r="G71" s="281" t="s">
        <v>247</v>
      </c>
      <c r="H71" s="544" t="str">
        <f>H70</f>
        <v>《冶钢2025年度碳排放报表》（来源为过磅单）</v>
      </c>
      <c r="I71" s="340">
        <f>SUMIF('附表2-EF'!$D$88:$D$96,表1温室气体盘查表!C71,'附表2-EF'!$G$88:$G$96)</f>
        <v>0.68400000000000005</v>
      </c>
      <c r="J71" s="281" t="s">
        <v>249</v>
      </c>
      <c r="K71" s="283">
        <v>1</v>
      </c>
      <c r="L71" s="289"/>
      <c r="M71" s="284"/>
      <c r="N71" s="283"/>
      <c r="O71" s="289"/>
      <c r="P71" s="281"/>
      <c r="Q71" s="283"/>
      <c r="R71" s="285"/>
      <c r="S71" s="286"/>
      <c r="T71" s="287"/>
      <c r="U71" s="288"/>
      <c r="V71" s="289"/>
      <c r="W71" s="281"/>
      <c r="X71" s="290"/>
      <c r="Y71" s="281"/>
      <c r="Z71" s="289"/>
      <c r="AA71" s="281"/>
      <c r="AB71" s="283"/>
      <c r="AC71" s="289"/>
      <c r="AD71" s="286"/>
      <c r="AE71" s="283"/>
      <c r="AF71" s="278">
        <f t="shared" si="83"/>
        <v>229469.91372000004</v>
      </c>
      <c r="AG71" s="278">
        <f t="shared" si="60"/>
        <v>0</v>
      </c>
      <c r="AH71" s="278">
        <f t="shared" si="61"/>
        <v>0</v>
      </c>
      <c r="AI71" s="278">
        <f t="shared" si="62"/>
        <v>0</v>
      </c>
      <c r="AJ71" s="278">
        <f t="shared" si="63"/>
        <v>0</v>
      </c>
      <c r="AK71" s="278">
        <f t="shared" si="64"/>
        <v>0</v>
      </c>
      <c r="AL71" s="278">
        <f t="shared" si="65"/>
        <v>0</v>
      </c>
      <c r="AM71" s="278">
        <f t="shared" si="66"/>
        <v>229469.91372000004</v>
      </c>
      <c r="AN71" s="143" t="s">
        <v>372</v>
      </c>
    </row>
    <row r="72" spans="1:40" s="16" customFormat="1" ht="13.5" customHeight="1">
      <c r="A72" s="262">
        <v>68</v>
      </c>
      <c r="B72" s="139" t="s">
        <v>363</v>
      </c>
      <c r="C72" s="143" t="s">
        <v>373</v>
      </c>
      <c r="D72" s="265" t="s">
        <v>374</v>
      </c>
      <c r="E72" s="266" t="s">
        <v>105</v>
      </c>
      <c r="F72" s="539">
        <f>F5</f>
        <v>1454</v>
      </c>
      <c r="G72" s="281" t="s">
        <v>242</v>
      </c>
      <c r="H72" s="544" t="str">
        <f>H71</f>
        <v>《冶钢2025年度碳排放报表》（来源为过磅单）</v>
      </c>
      <c r="I72" s="340">
        <f>SUMIF('附表2-EF'!$D$88:$D$96,表1温室气体盘查表!C72,'附表2-EF'!$G$88:$G$96)</f>
        <v>6.19</v>
      </c>
      <c r="J72" s="281" t="s">
        <v>249</v>
      </c>
      <c r="K72" s="283">
        <v>1</v>
      </c>
      <c r="L72" s="289"/>
      <c r="M72" s="284"/>
      <c r="N72" s="283"/>
      <c r="O72" s="289"/>
      <c r="P72" s="281"/>
      <c r="Q72" s="283"/>
      <c r="R72" s="285"/>
      <c r="S72" s="286"/>
      <c r="T72" s="287"/>
      <c r="U72" s="288"/>
      <c r="V72" s="289"/>
      <c r="W72" s="281"/>
      <c r="X72" s="290"/>
      <c r="Y72" s="281"/>
      <c r="Z72" s="289"/>
      <c r="AA72" s="281"/>
      <c r="AB72" s="283"/>
      <c r="AC72" s="289"/>
      <c r="AD72" s="286"/>
      <c r="AE72" s="283"/>
      <c r="AF72" s="278">
        <f t="shared" si="83"/>
        <v>9000.26</v>
      </c>
      <c r="AG72" s="278">
        <f t="shared" si="60"/>
        <v>0</v>
      </c>
      <c r="AH72" s="278">
        <f t="shared" si="61"/>
        <v>0</v>
      </c>
      <c r="AI72" s="278">
        <f t="shared" si="62"/>
        <v>0</v>
      </c>
      <c r="AJ72" s="278">
        <f t="shared" si="63"/>
        <v>0</v>
      </c>
      <c r="AK72" s="278">
        <f t="shared" si="64"/>
        <v>0</v>
      </c>
      <c r="AL72" s="278">
        <f t="shared" si="65"/>
        <v>0</v>
      </c>
      <c r="AM72" s="278">
        <f t="shared" si="66"/>
        <v>9000.26</v>
      </c>
      <c r="AN72" s="143" t="s">
        <v>373</v>
      </c>
    </row>
    <row r="73" spans="1:40" s="16" customFormat="1" ht="13.5" customHeight="1">
      <c r="A73" s="262">
        <v>69</v>
      </c>
      <c r="B73" s="139" t="s">
        <v>363</v>
      </c>
      <c r="C73" s="143" t="s">
        <v>375</v>
      </c>
      <c r="D73" s="265" t="s">
        <v>356</v>
      </c>
      <c r="E73" s="266" t="s">
        <v>105</v>
      </c>
      <c r="F73" s="280">
        <f>F30</f>
        <v>1966850.83</v>
      </c>
      <c r="G73" s="268" t="s">
        <v>313</v>
      </c>
      <c r="H73" s="268" t="s">
        <v>252</v>
      </c>
      <c r="I73" s="340">
        <f>SUMIF('附表2-EF'!$D$88:$D$96,表1温室气体盘查表!C73,'附表2-EF'!$G$88:$G$96)</f>
        <v>8.9900000000000091E-2</v>
      </c>
      <c r="J73" s="268" t="s">
        <v>315</v>
      </c>
      <c r="K73" s="283">
        <v>1</v>
      </c>
      <c r="L73" s="289"/>
      <c r="M73" s="284"/>
      <c r="N73" s="283"/>
      <c r="O73" s="289"/>
      <c r="P73" s="281"/>
      <c r="Q73" s="283"/>
      <c r="R73" s="285"/>
      <c r="S73" s="286"/>
      <c r="T73" s="287"/>
      <c r="U73" s="288"/>
      <c r="V73" s="289"/>
      <c r="W73" s="281"/>
      <c r="X73" s="290"/>
      <c r="Y73" s="281"/>
      <c r="Z73" s="289"/>
      <c r="AA73" s="281"/>
      <c r="AB73" s="283"/>
      <c r="AC73" s="289"/>
      <c r="AD73" s="286"/>
      <c r="AE73" s="283"/>
      <c r="AF73" s="278">
        <f t="shared" si="83"/>
        <v>176819.88961700018</v>
      </c>
      <c r="AG73" s="278">
        <f t="shared" ref="AG73:AG98" si="84">F73*L73*N73</f>
        <v>0</v>
      </c>
      <c r="AH73" s="278">
        <f t="shared" ref="AH73:AH98" si="85">F73*O73*Q73</f>
        <v>0</v>
      </c>
      <c r="AI73" s="278">
        <f t="shared" ref="AI73:AI98" si="86">F73*R73*T73</f>
        <v>0</v>
      </c>
      <c r="AJ73" s="278">
        <f t="shared" ref="AJ73:AJ98" si="87">F73*V73*X73</f>
        <v>0</v>
      </c>
      <c r="AK73" s="278">
        <f t="shared" ref="AK73:AK98" si="88">F73*Z73*AB73</f>
        <v>0</v>
      </c>
      <c r="AL73" s="278">
        <f t="shared" ref="AL73:AL98" si="89">F73*AC73*AE73</f>
        <v>0</v>
      </c>
      <c r="AM73" s="278">
        <f t="shared" ref="AM73:AM98" si="90">SUM(AF73:AL73)</f>
        <v>176819.88961700018</v>
      </c>
      <c r="AN73" s="143" t="s">
        <v>375</v>
      </c>
    </row>
    <row r="74" spans="1:40" s="16" customFormat="1" ht="13.5" customHeight="1">
      <c r="A74" s="262">
        <v>70</v>
      </c>
      <c r="B74" s="139" t="s">
        <v>376</v>
      </c>
      <c r="C74" s="143" t="s">
        <v>377</v>
      </c>
      <c r="D74" s="265" t="s">
        <v>341</v>
      </c>
      <c r="E74" s="266" t="s">
        <v>116</v>
      </c>
      <c r="F74" s="280">
        <f>ROUND(4821908726.53105,2)</f>
        <v>4821908726.5299997</v>
      </c>
      <c r="G74" s="281" t="s">
        <v>378</v>
      </c>
      <c r="H74" s="282" t="s">
        <v>379</v>
      </c>
      <c r="I74" s="340">
        <f>SUMIF('附表2-EF'!$D$100:$D$102,表1温室气体盘查表!C74,'附表2-EF'!$G$100:$G$102)</f>
        <v>5.1968558099999999E-5</v>
      </c>
      <c r="J74" s="281" t="str">
        <f>'附表2-EF'!H100</f>
        <v>tCO2-Eq/tkm</v>
      </c>
      <c r="K74" s="283">
        <v>1</v>
      </c>
      <c r="L74" s="289"/>
      <c r="M74" s="284"/>
      <c r="N74" s="283"/>
      <c r="O74" s="289"/>
      <c r="P74" s="281"/>
      <c r="Q74" s="283"/>
      <c r="R74" s="285"/>
      <c r="S74" s="286"/>
      <c r="T74" s="287"/>
      <c r="U74" s="288"/>
      <c r="V74" s="289"/>
      <c r="W74" s="281"/>
      <c r="X74" s="290"/>
      <c r="Y74" s="281"/>
      <c r="Z74" s="289"/>
      <c r="AA74" s="281"/>
      <c r="AB74" s="283"/>
      <c r="AC74" s="289"/>
      <c r="AD74" s="286"/>
      <c r="AE74" s="283"/>
      <c r="AF74" s="278">
        <f t="shared" si="83"/>
        <v>250587.64380757129</v>
      </c>
      <c r="AG74" s="278">
        <f t="shared" si="84"/>
        <v>0</v>
      </c>
      <c r="AH74" s="278">
        <f t="shared" si="85"/>
        <v>0</v>
      </c>
      <c r="AI74" s="278">
        <f t="shared" si="86"/>
        <v>0</v>
      </c>
      <c r="AJ74" s="278">
        <f t="shared" si="87"/>
        <v>0</v>
      </c>
      <c r="AK74" s="278">
        <f t="shared" si="88"/>
        <v>0</v>
      </c>
      <c r="AL74" s="278">
        <f t="shared" si="89"/>
        <v>0</v>
      </c>
      <c r="AM74" s="278">
        <f t="shared" si="90"/>
        <v>250587.64380757129</v>
      </c>
      <c r="AN74" s="143" t="s">
        <v>377</v>
      </c>
    </row>
    <row r="75" spans="1:40" s="16" customFormat="1" ht="13.5" customHeight="1">
      <c r="A75" s="262">
        <v>71</v>
      </c>
      <c r="B75" s="139" t="s">
        <v>376</v>
      </c>
      <c r="C75" s="143" t="s">
        <v>380</v>
      </c>
      <c r="D75" s="265" t="s">
        <v>341</v>
      </c>
      <c r="E75" s="266" t="s">
        <v>116</v>
      </c>
      <c r="F75" s="280">
        <f>ROUND(491140477.412329,2)</f>
        <v>491140477.41000003</v>
      </c>
      <c r="G75" s="281" t="s">
        <v>378</v>
      </c>
      <c r="H75" s="282" t="s">
        <v>379</v>
      </c>
      <c r="I75" s="340">
        <f>SUMIF('附表2-EF'!$D$100:$D$102,表1温室气体盘查表!C75,'附表2-EF'!$G$100:$G$102)</f>
        <v>1.5196287830000001E-4</v>
      </c>
      <c r="J75" s="281" t="str">
        <f>'附表2-EF'!H101</f>
        <v>tCO2-Eq/tkm</v>
      </c>
      <c r="K75" s="283">
        <v>1</v>
      </c>
      <c r="L75" s="289"/>
      <c r="M75" s="284"/>
      <c r="N75" s="283"/>
      <c r="O75" s="289"/>
      <c r="P75" s="281"/>
      <c r="Q75" s="283"/>
      <c r="R75" s="285"/>
      <c r="S75" s="286"/>
      <c r="T75" s="287"/>
      <c r="U75" s="288"/>
      <c r="V75" s="289"/>
      <c r="W75" s="281"/>
      <c r="X75" s="290"/>
      <c r="Y75" s="281"/>
      <c r="Z75" s="289"/>
      <c r="AA75" s="281"/>
      <c r="AB75" s="283"/>
      <c r="AC75" s="289"/>
      <c r="AD75" s="286"/>
      <c r="AE75" s="283"/>
      <c r="AF75" s="278">
        <f t="shared" si="83"/>
        <v>74635.120596859735</v>
      </c>
      <c r="AG75" s="278">
        <f t="shared" si="84"/>
        <v>0</v>
      </c>
      <c r="AH75" s="278">
        <f t="shared" si="85"/>
        <v>0</v>
      </c>
      <c r="AI75" s="278">
        <f t="shared" si="86"/>
        <v>0</v>
      </c>
      <c r="AJ75" s="278">
        <f t="shared" si="87"/>
        <v>0</v>
      </c>
      <c r="AK75" s="278">
        <f t="shared" si="88"/>
        <v>0</v>
      </c>
      <c r="AL75" s="278">
        <f t="shared" si="89"/>
        <v>0</v>
      </c>
      <c r="AM75" s="278">
        <f t="shared" si="90"/>
        <v>74635.120596859735</v>
      </c>
      <c r="AN75" s="143" t="s">
        <v>380</v>
      </c>
    </row>
    <row r="76" spans="1:40" s="16" customFormat="1" ht="13.5" customHeight="1">
      <c r="A76" s="262">
        <v>72</v>
      </c>
      <c r="B76" s="139" t="s">
        <v>376</v>
      </c>
      <c r="C76" s="143" t="s">
        <v>381</v>
      </c>
      <c r="D76" s="265" t="s">
        <v>341</v>
      </c>
      <c r="E76" s="266" t="s">
        <v>116</v>
      </c>
      <c r="F76" s="280">
        <f>ROUND(1555767247.09744,2)</f>
        <v>1555767247.0999999</v>
      </c>
      <c r="G76" s="281" t="s">
        <v>378</v>
      </c>
      <c r="H76" s="282" t="s">
        <v>379</v>
      </c>
      <c r="I76" s="340">
        <f>SUMIF('附表2-EF'!$D$100:$D$102,表1温室气体盘查表!C76,'附表2-EF'!$G$100:$G$102)</f>
        <v>4.8531850728157997E-5</v>
      </c>
      <c r="J76" s="281" t="str">
        <f>'附表2-EF'!H102</f>
        <v>tCO2-Eq/tkm</v>
      </c>
      <c r="K76" s="283">
        <v>1</v>
      </c>
      <c r="L76" s="289"/>
      <c r="M76" s="284"/>
      <c r="N76" s="283"/>
      <c r="O76" s="289"/>
      <c r="P76" s="281"/>
      <c r="Q76" s="283"/>
      <c r="R76" s="285"/>
      <c r="S76" s="286"/>
      <c r="T76" s="287"/>
      <c r="U76" s="288"/>
      <c r="V76" s="289"/>
      <c r="W76" s="281"/>
      <c r="X76" s="290"/>
      <c r="Y76" s="281"/>
      <c r="Z76" s="289"/>
      <c r="AA76" s="281"/>
      <c r="AB76" s="283"/>
      <c r="AC76" s="289"/>
      <c r="AD76" s="286"/>
      <c r="AE76" s="283"/>
      <c r="AF76" s="278">
        <f t="shared" si="83"/>
        <v>75504.263804014496</v>
      </c>
      <c r="AG76" s="278">
        <f t="shared" si="84"/>
        <v>0</v>
      </c>
      <c r="AH76" s="278">
        <f t="shared" si="85"/>
        <v>0</v>
      </c>
      <c r="AI76" s="278">
        <f t="shared" si="86"/>
        <v>0</v>
      </c>
      <c r="AJ76" s="278">
        <f t="shared" si="87"/>
        <v>0</v>
      </c>
      <c r="AK76" s="278">
        <f t="shared" si="88"/>
        <v>0</v>
      </c>
      <c r="AL76" s="278">
        <f t="shared" si="89"/>
        <v>0</v>
      </c>
      <c r="AM76" s="278">
        <f t="shared" si="90"/>
        <v>75504.263804014496</v>
      </c>
      <c r="AN76" s="143" t="s">
        <v>381</v>
      </c>
    </row>
    <row r="77" spans="1:40" s="16" customFormat="1" ht="13.5" customHeight="1">
      <c r="A77" s="262">
        <v>73</v>
      </c>
      <c r="B77" s="139" t="s">
        <v>382</v>
      </c>
      <c r="C77" s="143" t="s">
        <v>383</v>
      </c>
      <c r="D77" s="265" t="s">
        <v>384</v>
      </c>
      <c r="E77" s="266" t="s">
        <v>120</v>
      </c>
      <c r="F77" s="280">
        <f>ROUND(2538.02+263.38,2)</f>
        <v>2801.4</v>
      </c>
      <c r="G77" s="281" t="s">
        <v>247</v>
      </c>
      <c r="H77" s="282" t="s">
        <v>385</v>
      </c>
      <c r="I77" s="340">
        <f>SUMIF('附表2-EF'!$D$106:$D$108,表1温室气体盘查表!C77,'附表2-EF'!$G$106:$G$108)</f>
        <v>0.37133429739544099</v>
      </c>
      <c r="J77" s="281" t="s">
        <v>249</v>
      </c>
      <c r="K77" s="283">
        <v>1</v>
      </c>
      <c r="L77" s="289"/>
      <c r="M77" s="284"/>
      <c r="N77" s="283"/>
      <c r="O77" s="289"/>
      <c r="P77" s="281"/>
      <c r="Q77" s="283"/>
      <c r="R77" s="285"/>
      <c r="S77" s="286"/>
      <c r="T77" s="287"/>
      <c r="U77" s="288"/>
      <c r="V77" s="289"/>
      <c r="W77" s="281"/>
      <c r="X77" s="290"/>
      <c r="Y77" s="281"/>
      <c r="Z77" s="289"/>
      <c r="AA77" s="281"/>
      <c r="AB77" s="283"/>
      <c r="AC77" s="289"/>
      <c r="AD77" s="286"/>
      <c r="AE77" s="283"/>
      <c r="AF77" s="278">
        <f t="shared" si="83"/>
        <v>1040.2559007235884</v>
      </c>
      <c r="AG77" s="278">
        <f t="shared" si="84"/>
        <v>0</v>
      </c>
      <c r="AH77" s="278">
        <f t="shared" si="85"/>
        <v>0</v>
      </c>
      <c r="AI77" s="278">
        <f t="shared" si="86"/>
        <v>0</v>
      </c>
      <c r="AJ77" s="278">
        <f t="shared" si="87"/>
        <v>0</v>
      </c>
      <c r="AK77" s="278">
        <f t="shared" si="88"/>
        <v>0</v>
      </c>
      <c r="AL77" s="278">
        <f t="shared" si="89"/>
        <v>0</v>
      </c>
      <c r="AM77" s="278">
        <f t="shared" si="90"/>
        <v>1040.2559007235884</v>
      </c>
      <c r="AN77" s="143" t="s">
        <v>383</v>
      </c>
    </row>
    <row r="78" spans="1:40" s="16" customFormat="1" ht="13.5" customHeight="1">
      <c r="A78" s="262">
        <v>74</v>
      </c>
      <c r="B78" s="139" t="s">
        <v>382</v>
      </c>
      <c r="C78" s="143" t="s">
        <v>386</v>
      </c>
      <c r="D78" s="265" t="s">
        <v>341</v>
      </c>
      <c r="E78" s="266" t="s">
        <v>120</v>
      </c>
      <c r="F78" s="280">
        <f>ROUND(1719.049,2)</f>
        <v>1719.05</v>
      </c>
      <c r="G78" s="281" t="s">
        <v>247</v>
      </c>
      <c r="H78" s="281" t="s">
        <v>387</v>
      </c>
      <c r="I78" s="340">
        <f>SUMIF('附表2-EF'!$D$106:$D$108,表1温室气体盘查表!C78,'附表2-EF'!$G$106:$G$108)</f>
        <v>2.8490570223227398</v>
      </c>
      <c r="J78" s="281" t="s">
        <v>249</v>
      </c>
      <c r="K78" s="283">
        <v>1</v>
      </c>
      <c r="L78" s="289"/>
      <c r="M78" s="284"/>
      <c r="N78" s="283"/>
      <c r="O78" s="289"/>
      <c r="P78" s="281"/>
      <c r="Q78" s="283"/>
      <c r="R78" s="285"/>
      <c r="S78" s="286"/>
      <c r="T78" s="287"/>
      <c r="U78" s="288"/>
      <c r="V78" s="289"/>
      <c r="W78" s="281"/>
      <c r="X78" s="290"/>
      <c r="Y78" s="281"/>
      <c r="Z78" s="289"/>
      <c r="AA78" s="281"/>
      <c r="AB78" s="283"/>
      <c r="AC78" s="289"/>
      <c r="AD78" s="286"/>
      <c r="AE78" s="283"/>
      <c r="AF78" s="278">
        <f t="shared" si="83"/>
        <v>4897.6714742239055</v>
      </c>
      <c r="AG78" s="278">
        <f t="shared" si="84"/>
        <v>0</v>
      </c>
      <c r="AH78" s="278">
        <f t="shared" si="85"/>
        <v>0</v>
      </c>
      <c r="AI78" s="278">
        <f t="shared" si="86"/>
        <v>0</v>
      </c>
      <c r="AJ78" s="278">
        <f t="shared" si="87"/>
        <v>0</v>
      </c>
      <c r="AK78" s="278">
        <f t="shared" si="88"/>
        <v>0</v>
      </c>
      <c r="AL78" s="278">
        <f t="shared" si="89"/>
        <v>0</v>
      </c>
      <c r="AM78" s="278">
        <f t="shared" si="90"/>
        <v>4897.6714742239055</v>
      </c>
      <c r="AN78" s="143" t="s">
        <v>386</v>
      </c>
    </row>
    <row r="79" spans="1:40" s="16" customFormat="1" ht="13.5" customHeight="1">
      <c r="A79" s="262">
        <v>75</v>
      </c>
      <c r="B79" s="139" t="s">
        <v>382</v>
      </c>
      <c r="C79" s="143" t="s">
        <v>388</v>
      </c>
      <c r="D79" s="265" t="s">
        <v>341</v>
      </c>
      <c r="E79" s="266" t="s">
        <v>120</v>
      </c>
      <c r="F79" s="280">
        <f>ROUND(5203.2956,2)</f>
        <v>5203.3</v>
      </c>
      <c r="G79" s="281" t="s">
        <v>247</v>
      </c>
      <c r="H79" s="281" t="s">
        <v>387</v>
      </c>
      <c r="I79" s="340">
        <f>SUMIF('附表2-EF'!$D$106:$D$108,表1温室气体盘查表!C79,'附表2-EF'!$G$106:$G$108)</f>
        <v>2.8490570223227398</v>
      </c>
      <c r="J79" s="281" t="s">
        <v>249</v>
      </c>
      <c r="K79" s="283">
        <v>1</v>
      </c>
      <c r="L79" s="289"/>
      <c r="M79" s="284"/>
      <c r="N79" s="283"/>
      <c r="O79" s="289"/>
      <c r="P79" s="281"/>
      <c r="Q79" s="283"/>
      <c r="R79" s="285"/>
      <c r="S79" s="286"/>
      <c r="T79" s="287"/>
      <c r="U79" s="288"/>
      <c r="V79" s="289"/>
      <c r="W79" s="281"/>
      <c r="X79" s="290"/>
      <c r="Y79" s="281"/>
      <c r="Z79" s="289"/>
      <c r="AA79" s="281"/>
      <c r="AB79" s="283"/>
      <c r="AC79" s="289"/>
      <c r="AD79" s="286"/>
      <c r="AE79" s="283"/>
      <c r="AF79" s="278">
        <f t="shared" si="83"/>
        <v>14824.498404251912</v>
      </c>
      <c r="AG79" s="278">
        <f t="shared" si="84"/>
        <v>0</v>
      </c>
      <c r="AH79" s="278">
        <f t="shared" si="85"/>
        <v>0</v>
      </c>
      <c r="AI79" s="278">
        <f t="shared" si="86"/>
        <v>0</v>
      </c>
      <c r="AJ79" s="278">
        <f t="shared" si="87"/>
        <v>0</v>
      </c>
      <c r="AK79" s="278">
        <f t="shared" si="88"/>
        <v>0</v>
      </c>
      <c r="AL79" s="278">
        <f t="shared" si="89"/>
        <v>0</v>
      </c>
      <c r="AM79" s="278">
        <f t="shared" si="90"/>
        <v>14824.498404251912</v>
      </c>
      <c r="AN79" s="143" t="s">
        <v>388</v>
      </c>
    </row>
    <row r="80" spans="1:40" s="16" customFormat="1" ht="13.5" customHeight="1">
      <c r="A80" s="262">
        <v>76</v>
      </c>
      <c r="B80" s="139" t="s">
        <v>382</v>
      </c>
      <c r="C80" s="143" t="s">
        <v>389</v>
      </c>
      <c r="D80" s="265" t="s">
        <v>341</v>
      </c>
      <c r="E80" s="266" t="s">
        <v>120</v>
      </c>
      <c r="F80" s="280">
        <f>ROUND(F78*319+F79*319+53786.88+64791153.002,2)</f>
        <v>67053169.530000001</v>
      </c>
      <c r="G80" s="281" t="s">
        <v>378</v>
      </c>
      <c r="H80" s="282" t="s">
        <v>390</v>
      </c>
      <c r="I80" s="340">
        <f>'附表2-EF'!G101</f>
        <v>1.5196287830000001E-4</v>
      </c>
      <c r="J80" s="281" t="str">
        <f>'附表2-EF'!H93</f>
        <v>tCO2/t</v>
      </c>
      <c r="K80" s="283">
        <v>1</v>
      </c>
      <c r="L80" s="289"/>
      <c r="M80" s="284"/>
      <c r="N80" s="283"/>
      <c r="O80" s="289"/>
      <c r="P80" s="281"/>
      <c r="Q80" s="283"/>
      <c r="R80" s="285"/>
      <c r="S80" s="286"/>
      <c r="T80" s="287"/>
      <c r="U80" s="288"/>
      <c r="V80" s="289"/>
      <c r="W80" s="281"/>
      <c r="X80" s="290"/>
      <c r="Y80" s="281"/>
      <c r="Z80" s="289"/>
      <c r="AA80" s="281"/>
      <c r="AB80" s="283"/>
      <c r="AC80" s="289"/>
      <c r="AD80" s="286"/>
      <c r="AE80" s="283"/>
      <c r="AF80" s="278">
        <f t="shared" si="83"/>
        <v>10189.592640916659</v>
      </c>
      <c r="AG80" s="278">
        <f t="shared" si="84"/>
        <v>0</v>
      </c>
      <c r="AH80" s="278">
        <f t="shared" si="85"/>
        <v>0</v>
      </c>
      <c r="AI80" s="278">
        <f t="shared" si="86"/>
        <v>0</v>
      </c>
      <c r="AJ80" s="278">
        <f t="shared" si="87"/>
        <v>0</v>
      </c>
      <c r="AK80" s="278">
        <f t="shared" si="88"/>
        <v>0</v>
      </c>
      <c r="AL80" s="278">
        <f t="shared" si="89"/>
        <v>0</v>
      </c>
      <c r="AM80" s="278">
        <f t="shared" si="90"/>
        <v>10189.592640916659</v>
      </c>
      <c r="AN80" s="143" t="s">
        <v>389</v>
      </c>
    </row>
    <row r="81" spans="1:40" s="16" customFormat="1" ht="13.5" customHeight="1">
      <c r="A81" s="262">
        <v>77</v>
      </c>
      <c r="B81" s="139" t="s">
        <v>391</v>
      </c>
      <c r="C81" s="143" t="s">
        <v>392</v>
      </c>
      <c r="D81" s="265" t="s">
        <v>341</v>
      </c>
      <c r="E81" s="266" t="s">
        <v>126</v>
      </c>
      <c r="F81" s="280">
        <f>ROUND(3709585,2)</f>
        <v>3709585</v>
      </c>
      <c r="G81" s="281" t="s">
        <v>393</v>
      </c>
      <c r="H81" s="282" t="s">
        <v>394</v>
      </c>
      <c r="I81" s="340">
        <f>SUMIF('附表2-EF'!$D$112:$D$114,表1温室气体盘查表!C81,'附表2-EF'!$G$112:$G$114)</f>
        <v>8.4000000000000005E-2</v>
      </c>
      <c r="J81" s="281" t="str">
        <f>'附表2-EF'!H112</f>
        <v>kgCO2/passenger*km</v>
      </c>
      <c r="K81" s="283">
        <v>1</v>
      </c>
      <c r="L81" s="289"/>
      <c r="M81" s="284"/>
      <c r="N81" s="283"/>
      <c r="O81" s="289"/>
      <c r="P81" s="281"/>
      <c r="Q81" s="283"/>
      <c r="R81" s="285"/>
      <c r="S81" s="286"/>
      <c r="T81" s="287"/>
      <c r="U81" s="288"/>
      <c r="V81" s="289"/>
      <c r="W81" s="281"/>
      <c r="X81" s="290"/>
      <c r="Y81" s="281"/>
      <c r="Z81" s="289"/>
      <c r="AA81" s="281"/>
      <c r="AB81" s="283"/>
      <c r="AC81" s="289"/>
      <c r="AD81" s="286"/>
      <c r="AE81" s="283"/>
      <c r="AF81" s="278">
        <f t="shared" ref="AF81:AF88" si="91">F81*I81*K81/1000</f>
        <v>311.60514000000001</v>
      </c>
      <c r="AG81" s="278">
        <f t="shared" si="84"/>
        <v>0</v>
      </c>
      <c r="AH81" s="278">
        <f t="shared" si="85"/>
        <v>0</v>
      </c>
      <c r="AI81" s="278">
        <f t="shared" si="86"/>
        <v>0</v>
      </c>
      <c r="AJ81" s="278">
        <f t="shared" si="87"/>
        <v>0</v>
      </c>
      <c r="AK81" s="278">
        <f t="shared" si="88"/>
        <v>0</v>
      </c>
      <c r="AL81" s="278">
        <f t="shared" si="89"/>
        <v>0</v>
      </c>
      <c r="AM81" s="278">
        <f t="shared" si="90"/>
        <v>311.60514000000001</v>
      </c>
      <c r="AN81" s="143" t="s">
        <v>392</v>
      </c>
    </row>
    <row r="82" spans="1:40" s="16" customFormat="1" ht="13.5" customHeight="1">
      <c r="A82" s="262">
        <v>78</v>
      </c>
      <c r="B82" s="139" t="s">
        <v>391</v>
      </c>
      <c r="C82" s="143" t="s">
        <v>381</v>
      </c>
      <c r="D82" s="265" t="s">
        <v>341</v>
      </c>
      <c r="E82" s="266" t="s">
        <v>126</v>
      </c>
      <c r="F82" s="280">
        <f>ROUND(9687112,2)</f>
        <v>9687112</v>
      </c>
      <c r="G82" s="281" t="s">
        <v>393</v>
      </c>
      <c r="H82" s="282" t="s">
        <v>394</v>
      </c>
      <c r="I82" s="340">
        <f>SUMIF('附表2-EF'!$D$112:$D$114,表1温室气体盘查表!C82,'附表2-EF'!$G$112:$G$114)</f>
        <v>7.4873544302409098E-2</v>
      </c>
      <c r="J82" s="281" t="str">
        <f>'附表2-EF'!H113</f>
        <v>kgCO2/passenger*km</v>
      </c>
      <c r="K82" s="283">
        <v>1</v>
      </c>
      <c r="L82" s="289"/>
      <c r="M82" s="284"/>
      <c r="N82" s="283"/>
      <c r="O82" s="289"/>
      <c r="P82" s="281"/>
      <c r="Q82" s="283"/>
      <c r="R82" s="285"/>
      <c r="S82" s="286"/>
      <c r="T82" s="287"/>
      <c r="U82" s="288"/>
      <c r="V82" s="289"/>
      <c r="W82" s="281"/>
      <c r="X82" s="290"/>
      <c r="Y82" s="281"/>
      <c r="Z82" s="289"/>
      <c r="AA82" s="281"/>
      <c r="AB82" s="283"/>
      <c r="AC82" s="289"/>
      <c r="AD82" s="286"/>
      <c r="AE82" s="283"/>
      <c r="AF82" s="278">
        <f t="shared" si="91"/>
        <v>725.30840949439869</v>
      </c>
      <c r="AG82" s="278">
        <f t="shared" si="84"/>
        <v>0</v>
      </c>
      <c r="AH82" s="278">
        <f t="shared" si="85"/>
        <v>0</v>
      </c>
      <c r="AI82" s="278">
        <f t="shared" si="86"/>
        <v>0</v>
      </c>
      <c r="AJ82" s="278">
        <f t="shared" si="87"/>
        <v>0</v>
      </c>
      <c r="AK82" s="278">
        <f t="shared" si="88"/>
        <v>0</v>
      </c>
      <c r="AL82" s="278">
        <f t="shared" si="89"/>
        <v>0</v>
      </c>
      <c r="AM82" s="278">
        <f t="shared" si="90"/>
        <v>725.30840949439869</v>
      </c>
      <c r="AN82" s="143" t="s">
        <v>381</v>
      </c>
    </row>
    <row r="83" spans="1:40" s="16" customFormat="1" ht="13.5" customHeight="1">
      <c r="A83" s="262">
        <v>79</v>
      </c>
      <c r="B83" s="139" t="s">
        <v>391</v>
      </c>
      <c r="C83" s="143" t="s">
        <v>395</v>
      </c>
      <c r="D83" s="265" t="s">
        <v>341</v>
      </c>
      <c r="E83" s="266" t="s">
        <v>126</v>
      </c>
      <c r="F83" s="280">
        <f>14352</f>
        <v>14352</v>
      </c>
      <c r="G83" s="281" t="s">
        <v>396</v>
      </c>
      <c r="H83" s="282" t="s">
        <v>394</v>
      </c>
      <c r="I83" s="340">
        <f>SUMIF('附表2-EF'!$D$112:$D$114,表1温室气体盘查表!C83,'附表2-EF'!$G$112:$G$114)</f>
        <v>5.3499999999999999E-2</v>
      </c>
      <c r="J83" s="281" t="s">
        <v>397</v>
      </c>
      <c r="K83" s="283">
        <v>1</v>
      </c>
      <c r="L83" s="289"/>
      <c r="M83" s="284"/>
      <c r="N83" s="283"/>
      <c r="O83" s="289"/>
      <c r="P83" s="281"/>
      <c r="Q83" s="283"/>
      <c r="R83" s="285"/>
      <c r="S83" s="286"/>
      <c r="T83" s="287"/>
      <c r="U83" s="288"/>
      <c r="V83" s="289"/>
      <c r="W83" s="281"/>
      <c r="X83" s="290"/>
      <c r="Y83" s="281"/>
      <c r="Z83" s="289"/>
      <c r="AA83" s="281"/>
      <c r="AB83" s="283"/>
      <c r="AC83" s="289"/>
      <c r="AD83" s="286"/>
      <c r="AE83" s="283"/>
      <c r="AF83" s="278">
        <f>F83*I83*K83</f>
        <v>767.83199999999999</v>
      </c>
      <c r="AG83" s="278">
        <f t="shared" si="84"/>
        <v>0</v>
      </c>
      <c r="AH83" s="278">
        <f t="shared" si="85"/>
        <v>0</v>
      </c>
      <c r="AI83" s="278">
        <f t="shared" si="86"/>
        <v>0</v>
      </c>
      <c r="AJ83" s="278">
        <f t="shared" si="87"/>
        <v>0</v>
      </c>
      <c r="AK83" s="278">
        <f t="shared" si="88"/>
        <v>0</v>
      </c>
      <c r="AL83" s="278">
        <f t="shared" si="89"/>
        <v>0</v>
      </c>
      <c r="AM83" s="278">
        <f t="shared" si="90"/>
        <v>767.83199999999999</v>
      </c>
      <c r="AN83" s="143" t="s">
        <v>395</v>
      </c>
    </row>
    <row r="84" spans="1:40" s="16" customFormat="1" ht="13.5" customHeight="1">
      <c r="A84" s="262">
        <v>80</v>
      </c>
      <c r="B84" s="139" t="s">
        <v>398</v>
      </c>
      <c r="C84" s="143" t="s">
        <v>399</v>
      </c>
      <c r="D84" s="104" t="s">
        <v>341</v>
      </c>
      <c r="E84" s="266" t="s">
        <v>130</v>
      </c>
      <c r="F84" s="280">
        <v>6808531.2653061226</v>
      </c>
      <c r="G84" s="281" t="s">
        <v>393</v>
      </c>
      <c r="H84" s="282" t="s">
        <v>400</v>
      </c>
      <c r="I84" s="340">
        <f>SUMIF('附表2-EF'!$D$118:$D$122,表1温室气体盘查表!C84,'附表2-EF'!$G$118:$G$122)</f>
        <v>8.8000000000000005E-3</v>
      </c>
      <c r="J84" s="281" t="str">
        <f>'附表2-EF'!H118</f>
        <v>kgCO2/passenger*km</v>
      </c>
      <c r="K84" s="283">
        <v>1</v>
      </c>
      <c r="L84" s="289"/>
      <c r="M84" s="284"/>
      <c r="N84" s="283"/>
      <c r="O84" s="289"/>
      <c r="P84" s="281"/>
      <c r="Q84" s="283"/>
      <c r="R84" s="285"/>
      <c r="S84" s="286"/>
      <c r="T84" s="287"/>
      <c r="U84" s="288"/>
      <c r="V84" s="289"/>
      <c r="W84" s="281"/>
      <c r="X84" s="290"/>
      <c r="Y84" s="281"/>
      <c r="Z84" s="289"/>
      <c r="AA84" s="281"/>
      <c r="AB84" s="283"/>
      <c r="AC84" s="289"/>
      <c r="AD84" s="286"/>
      <c r="AE84" s="283"/>
      <c r="AF84" s="278">
        <f t="shared" si="91"/>
        <v>59.915075134693886</v>
      </c>
      <c r="AG84" s="278">
        <f t="shared" si="84"/>
        <v>0</v>
      </c>
      <c r="AH84" s="278">
        <f t="shared" si="85"/>
        <v>0</v>
      </c>
      <c r="AI84" s="278">
        <f t="shared" si="86"/>
        <v>0</v>
      </c>
      <c r="AJ84" s="278">
        <f t="shared" si="87"/>
        <v>0</v>
      </c>
      <c r="AK84" s="278">
        <f t="shared" si="88"/>
        <v>0</v>
      </c>
      <c r="AL84" s="278">
        <f t="shared" si="89"/>
        <v>0</v>
      </c>
      <c r="AM84" s="278">
        <f t="shared" si="90"/>
        <v>59.915075134693886</v>
      </c>
      <c r="AN84" s="143" t="s">
        <v>399</v>
      </c>
    </row>
    <row r="85" spans="1:40" s="16" customFormat="1" ht="13.5" customHeight="1">
      <c r="A85" s="262">
        <v>81</v>
      </c>
      <c r="B85" s="139" t="s">
        <v>398</v>
      </c>
      <c r="C85" s="143" t="s">
        <v>401</v>
      </c>
      <c r="D85" s="104" t="s">
        <v>341</v>
      </c>
      <c r="E85" s="266" t="s">
        <v>130</v>
      </c>
      <c r="F85" s="280">
        <v>316087.408</v>
      </c>
      <c r="G85" s="281" t="s">
        <v>393</v>
      </c>
      <c r="H85" s="282" t="s">
        <v>400</v>
      </c>
      <c r="I85" s="340">
        <f>SUMIF('附表2-EF'!$D$118:$D$122,表1温室气体盘查表!C85,'附表2-EF'!$G$118:$G$122)</f>
        <v>8.8000000000000005E-3</v>
      </c>
      <c r="J85" s="281" t="str">
        <f>'附表2-EF'!H120</f>
        <v>kgCO2/passenger*km</v>
      </c>
      <c r="K85" s="283">
        <v>1</v>
      </c>
      <c r="L85" s="289"/>
      <c r="M85" s="284"/>
      <c r="N85" s="283"/>
      <c r="O85" s="289"/>
      <c r="P85" s="281"/>
      <c r="Q85" s="283"/>
      <c r="R85" s="285"/>
      <c r="S85" s="286"/>
      <c r="T85" s="287"/>
      <c r="U85" s="288"/>
      <c r="V85" s="289"/>
      <c r="W85" s="281"/>
      <c r="X85" s="290"/>
      <c r="Y85" s="281"/>
      <c r="Z85" s="289"/>
      <c r="AA85" s="281"/>
      <c r="AB85" s="283"/>
      <c r="AC85" s="289"/>
      <c r="AD85" s="286"/>
      <c r="AE85" s="283"/>
      <c r="AF85" s="278">
        <f t="shared" ref="AF85" si="92">F85*I85*K85/1000</f>
        <v>2.7815691903999999</v>
      </c>
      <c r="AG85" s="278">
        <f t="shared" ref="AG85" si="93">F85*L85*N85</f>
        <v>0</v>
      </c>
      <c r="AH85" s="278">
        <f t="shared" ref="AH85" si="94">F85*O85*Q85</f>
        <v>0</v>
      </c>
      <c r="AI85" s="278">
        <f t="shared" ref="AI85" si="95">F85*R85*T85</f>
        <v>0</v>
      </c>
      <c r="AJ85" s="278">
        <f t="shared" ref="AJ85" si="96">F85*V85*X85</f>
        <v>0</v>
      </c>
      <c r="AK85" s="278">
        <f t="shared" ref="AK85" si="97">F85*Z85*AB85</f>
        <v>0</v>
      </c>
      <c r="AL85" s="278">
        <f t="shared" ref="AL85" si="98">F85*AC85*AE85</f>
        <v>0</v>
      </c>
      <c r="AM85" s="278">
        <f t="shared" ref="AM85" si="99">SUM(AF85:AL85)</f>
        <v>2.7815691903999999</v>
      </c>
      <c r="AN85" s="143" t="s">
        <v>401</v>
      </c>
    </row>
    <row r="86" spans="1:40" s="16" customFormat="1" ht="13.5" customHeight="1">
      <c r="A86" s="262">
        <v>82</v>
      </c>
      <c r="B86" s="139" t="s">
        <v>398</v>
      </c>
      <c r="C86" s="143" t="s">
        <v>402</v>
      </c>
      <c r="D86" s="104" t="s">
        <v>341</v>
      </c>
      <c r="E86" s="266" t="s">
        <v>130</v>
      </c>
      <c r="F86" s="280">
        <v>10595750.399999999</v>
      </c>
      <c r="G86" s="281" t="s">
        <v>393</v>
      </c>
      <c r="H86" s="282" t="s">
        <v>400</v>
      </c>
      <c r="I86" s="340">
        <f>SUMIF('附表2-EF'!$D$118:$D$122,表1温室气体盘查表!C86,'附表2-EF'!$G$118:$G$122)</f>
        <v>2.7020260104150901E-2</v>
      </c>
      <c r="J86" s="281" t="str">
        <f>'附表2-EF'!H120</f>
        <v>kgCO2/passenger*km</v>
      </c>
      <c r="K86" s="283">
        <v>1</v>
      </c>
      <c r="L86" s="289"/>
      <c r="M86" s="284"/>
      <c r="N86" s="283"/>
      <c r="O86" s="289"/>
      <c r="P86" s="281"/>
      <c r="Q86" s="283"/>
      <c r="R86" s="285"/>
      <c r="S86" s="286"/>
      <c r="T86" s="287"/>
      <c r="U86" s="288"/>
      <c r="V86" s="289"/>
      <c r="W86" s="281"/>
      <c r="X86" s="290"/>
      <c r="Y86" s="281"/>
      <c r="Z86" s="289"/>
      <c r="AA86" s="281"/>
      <c r="AB86" s="283"/>
      <c r="AC86" s="289"/>
      <c r="AD86" s="286"/>
      <c r="AE86" s="283"/>
      <c r="AF86" s="278">
        <f t="shared" si="91"/>
        <v>286.29993180666088</v>
      </c>
      <c r="AG86" s="278">
        <f t="shared" si="84"/>
        <v>0</v>
      </c>
      <c r="AH86" s="278">
        <f t="shared" si="85"/>
        <v>0</v>
      </c>
      <c r="AI86" s="278">
        <f t="shared" si="86"/>
        <v>0</v>
      </c>
      <c r="AJ86" s="278">
        <f t="shared" si="87"/>
        <v>0</v>
      </c>
      <c r="AK86" s="278">
        <f t="shared" si="88"/>
        <v>0</v>
      </c>
      <c r="AL86" s="278">
        <f t="shared" si="89"/>
        <v>0</v>
      </c>
      <c r="AM86" s="278">
        <f t="shared" si="90"/>
        <v>286.29993180666088</v>
      </c>
      <c r="AN86" s="143" t="s">
        <v>403</v>
      </c>
    </row>
    <row r="87" spans="1:40" s="16" customFormat="1" ht="13.5" customHeight="1">
      <c r="A87" s="262">
        <v>83</v>
      </c>
      <c r="B87" s="139" t="s">
        <v>398</v>
      </c>
      <c r="C87" s="143" t="s">
        <v>404</v>
      </c>
      <c r="D87" s="104" t="s">
        <v>341</v>
      </c>
      <c r="E87" s="266" t="s">
        <v>130</v>
      </c>
      <c r="F87" s="280">
        <v>12199616</v>
      </c>
      <c r="G87" s="281" t="s">
        <v>405</v>
      </c>
      <c r="H87" s="282" t="s">
        <v>400</v>
      </c>
      <c r="I87" s="340">
        <f>SUMIF('附表2-EF'!$D$118:$D$122,表1温室气体盘查表!C87,'附表2-EF'!$G$118:$G$122)</f>
        <v>0.37142761569327498</v>
      </c>
      <c r="J87" s="281" t="str">
        <f>'附表2-EF'!H121</f>
        <v>kgCO2/km</v>
      </c>
      <c r="K87" s="283">
        <v>1</v>
      </c>
      <c r="L87" s="289"/>
      <c r="M87" s="284"/>
      <c r="N87" s="283"/>
      <c r="O87" s="289"/>
      <c r="P87" s="281"/>
      <c r="Q87" s="283"/>
      <c r="R87" s="285"/>
      <c r="S87" s="286"/>
      <c r="T87" s="287"/>
      <c r="U87" s="288"/>
      <c r="V87" s="289"/>
      <c r="W87" s="281"/>
      <c r="X87" s="290"/>
      <c r="Y87" s="281"/>
      <c r="Z87" s="289"/>
      <c r="AA87" s="281"/>
      <c r="AB87" s="283"/>
      <c r="AC87" s="289"/>
      <c r="AD87" s="286"/>
      <c r="AE87" s="283"/>
      <c r="AF87" s="278">
        <f t="shared" si="91"/>
        <v>4531.2742832535278</v>
      </c>
      <c r="AG87" s="278">
        <f t="shared" si="84"/>
        <v>0</v>
      </c>
      <c r="AH87" s="278">
        <f t="shared" si="85"/>
        <v>0</v>
      </c>
      <c r="AI87" s="278">
        <f t="shared" si="86"/>
        <v>0</v>
      </c>
      <c r="AJ87" s="278">
        <f t="shared" si="87"/>
        <v>0</v>
      </c>
      <c r="AK87" s="278">
        <f t="shared" si="88"/>
        <v>0</v>
      </c>
      <c r="AL87" s="278">
        <f t="shared" si="89"/>
        <v>0</v>
      </c>
      <c r="AM87" s="278">
        <f t="shared" si="90"/>
        <v>4531.2742832535278</v>
      </c>
      <c r="AN87" s="143" t="s">
        <v>404</v>
      </c>
    </row>
    <row r="88" spans="1:40" s="16" customFormat="1" ht="13.5" customHeight="1">
      <c r="A88" s="262">
        <v>84</v>
      </c>
      <c r="B88" s="139" t="s">
        <v>398</v>
      </c>
      <c r="C88" s="143" t="s">
        <v>406</v>
      </c>
      <c r="D88" s="104" t="s">
        <v>341</v>
      </c>
      <c r="E88" s="266" t="s">
        <v>130</v>
      </c>
      <c r="F88" s="280">
        <v>1527084.7999999998</v>
      </c>
      <c r="G88" s="281" t="s">
        <v>405</v>
      </c>
      <c r="H88" s="282" t="s">
        <v>400</v>
      </c>
      <c r="I88" s="340">
        <f>SUMIF('附表2-EF'!$D$118:$D$122,表1温室气体盘查表!C88,'附表2-EF'!$G$118:$G$122)</f>
        <v>0.37142761569327498</v>
      </c>
      <c r="J88" s="281" t="str">
        <f>'附表2-EF'!H122</f>
        <v>kgCO2/km</v>
      </c>
      <c r="K88" s="283">
        <v>1</v>
      </c>
      <c r="L88" s="289"/>
      <c r="M88" s="284"/>
      <c r="N88" s="283"/>
      <c r="O88" s="289"/>
      <c r="P88" s="281"/>
      <c r="Q88" s="283"/>
      <c r="R88" s="285"/>
      <c r="S88" s="286"/>
      <c r="T88" s="287"/>
      <c r="U88" s="288"/>
      <c r="V88" s="289"/>
      <c r="W88" s="281"/>
      <c r="X88" s="290"/>
      <c r="Y88" s="281"/>
      <c r="Z88" s="289"/>
      <c r="AA88" s="281"/>
      <c r="AB88" s="283"/>
      <c r="AC88" s="289"/>
      <c r="AD88" s="286"/>
      <c r="AE88" s="283"/>
      <c r="AF88" s="278">
        <f t="shared" si="91"/>
        <v>567.20146622544166</v>
      </c>
      <c r="AG88" s="278">
        <f t="shared" si="84"/>
        <v>0</v>
      </c>
      <c r="AH88" s="278">
        <f t="shared" si="85"/>
        <v>0</v>
      </c>
      <c r="AI88" s="278">
        <f t="shared" si="86"/>
        <v>0</v>
      </c>
      <c r="AJ88" s="278">
        <f t="shared" si="87"/>
        <v>0</v>
      </c>
      <c r="AK88" s="278">
        <f t="shared" si="88"/>
        <v>0</v>
      </c>
      <c r="AL88" s="278">
        <f t="shared" si="89"/>
        <v>0</v>
      </c>
      <c r="AM88" s="278">
        <f t="shared" si="90"/>
        <v>567.20146622544166</v>
      </c>
      <c r="AN88" s="143" t="s">
        <v>406</v>
      </c>
    </row>
    <row r="89" spans="1:40" s="16" customFormat="1" ht="13.5" customHeight="1">
      <c r="A89" s="262">
        <v>85</v>
      </c>
      <c r="B89" s="139" t="s">
        <v>407</v>
      </c>
      <c r="C89" s="143" t="s">
        <v>377</v>
      </c>
      <c r="D89" s="265" t="s">
        <v>341</v>
      </c>
      <c r="E89" s="266" t="s">
        <v>135</v>
      </c>
      <c r="F89" s="280">
        <f>ROUND(965477841.624788,2)</f>
        <v>965477841.62</v>
      </c>
      <c r="G89" s="281" t="s">
        <v>378</v>
      </c>
      <c r="H89" s="281" t="s">
        <v>408</v>
      </c>
      <c r="I89" s="340">
        <f>SUMIF('附表2-EF'!$D$100:$D$102,表1温室气体盘查表!C89,'附表2-EF'!$G$100:$G$102)</f>
        <v>5.1968558099999999E-5</v>
      </c>
      <c r="J89" s="281" t="str">
        <f>'附表2-EF'!H100</f>
        <v>tCO2-Eq/tkm</v>
      </c>
      <c r="K89" s="283">
        <v>1</v>
      </c>
      <c r="L89" s="289"/>
      <c r="M89" s="284"/>
      <c r="N89" s="283"/>
      <c r="O89" s="289"/>
      <c r="P89" s="281"/>
      <c r="Q89" s="283"/>
      <c r="R89" s="285"/>
      <c r="S89" s="286"/>
      <c r="T89" s="287"/>
      <c r="U89" s="288"/>
      <c r="V89" s="289"/>
      <c r="W89" s="281"/>
      <c r="X89" s="290"/>
      <c r="Y89" s="281"/>
      <c r="Z89" s="289"/>
      <c r="AA89" s="281"/>
      <c r="AB89" s="283"/>
      <c r="AC89" s="289"/>
      <c r="AD89" s="286"/>
      <c r="AE89" s="283"/>
      <c r="AF89" s="278">
        <f t="shared" ref="AF89:AF98" si="100">F89*I89*K89</f>
        <v>50174.491306491567</v>
      </c>
      <c r="AG89" s="278">
        <f t="shared" si="84"/>
        <v>0</v>
      </c>
      <c r="AH89" s="278">
        <f t="shared" si="85"/>
        <v>0</v>
      </c>
      <c r="AI89" s="278">
        <f t="shared" si="86"/>
        <v>0</v>
      </c>
      <c r="AJ89" s="278">
        <f t="shared" si="87"/>
        <v>0</v>
      </c>
      <c r="AK89" s="278">
        <f t="shared" si="88"/>
        <v>0</v>
      </c>
      <c r="AL89" s="278">
        <f t="shared" si="89"/>
        <v>0</v>
      </c>
      <c r="AM89" s="278">
        <f t="shared" si="90"/>
        <v>50174.491306491567</v>
      </c>
      <c r="AN89" s="143" t="s">
        <v>377</v>
      </c>
    </row>
    <row r="90" spans="1:40" s="16" customFormat="1" ht="13.5" customHeight="1">
      <c r="A90" s="262">
        <v>86</v>
      </c>
      <c r="B90" s="139" t="s">
        <v>407</v>
      </c>
      <c r="C90" s="143" t="s">
        <v>380</v>
      </c>
      <c r="D90" s="265" t="s">
        <v>341</v>
      </c>
      <c r="E90" s="266" t="s">
        <v>135</v>
      </c>
      <c r="F90" s="280">
        <f>ROUND(1366758643.75253,2)</f>
        <v>1366758643.75</v>
      </c>
      <c r="G90" s="281" t="s">
        <v>378</v>
      </c>
      <c r="H90" s="281" t="s">
        <v>408</v>
      </c>
      <c r="I90" s="340">
        <f>SUMIF('附表2-EF'!$D$100:$D$102,表1温室气体盘查表!C90,'附表2-EF'!$G$100:$G$102)</f>
        <v>1.5196287830000001E-4</v>
      </c>
      <c r="J90" s="281" t="str">
        <f>'附表2-EF'!H101</f>
        <v>tCO2-Eq/tkm</v>
      </c>
      <c r="K90" s="283">
        <v>1</v>
      </c>
      <c r="L90" s="289"/>
      <c r="M90" s="284"/>
      <c r="N90" s="283"/>
      <c r="O90" s="289"/>
      <c r="P90" s="281"/>
      <c r="Q90" s="283"/>
      <c r="R90" s="285"/>
      <c r="S90" s="286"/>
      <c r="T90" s="287"/>
      <c r="U90" s="288"/>
      <c r="V90" s="289"/>
      <c r="W90" s="281"/>
      <c r="X90" s="290"/>
      <c r="Y90" s="281"/>
      <c r="Z90" s="289"/>
      <c r="AA90" s="281"/>
      <c r="AB90" s="283"/>
      <c r="AC90" s="289"/>
      <c r="AD90" s="286"/>
      <c r="AE90" s="283"/>
      <c r="AF90" s="278">
        <f t="shared" si="100"/>
        <v>207696.57744565431</v>
      </c>
      <c r="AG90" s="278">
        <f t="shared" si="84"/>
        <v>0</v>
      </c>
      <c r="AH90" s="278">
        <f t="shared" si="85"/>
        <v>0</v>
      </c>
      <c r="AI90" s="278">
        <f t="shared" si="86"/>
        <v>0</v>
      </c>
      <c r="AJ90" s="278">
        <f t="shared" si="87"/>
        <v>0</v>
      </c>
      <c r="AK90" s="278">
        <f t="shared" si="88"/>
        <v>0</v>
      </c>
      <c r="AL90" s="278">
        <f t="shared" si="89"/>
        <v>0</v>
      </c>
      <c r="AM90" s="278">
        <f t="shared" si="90"/>
        <v>207696.57744565431</v>
      </c>
      <c r="AN90" s="143" t="s">
        <v>380</v>
      </c>
    </row>
    <row r="91" spans="1:40" s="16" customFormat="1" ht="13.5" customHeight="1">
      <c r="A91" s="262">
        <v>87</v>
      </c>
      <c r="B91" s="139" t="s">
        <v>407</v>
      </c>
      <c r="C91" s="143" t="s">
        <v>381</v>
      </c>
      <c r="D91" s="265" t="s">
        <v>341</v>
      </c>
      <c r="E91" s="266" t="s">
        <v>135</v>
      </c>
      <c r="F91" s="280">
        <f>ROUND(343519032.619048,2)</f>
        <v>343519032.62</v>
      </c>
      <c r="G91" s="281" t="s">
        <v>378</v>
      </c>
      <c r="H91" s="281" t="s">
        <v>408</v>
      </c>
      <c r="I91" s="340">
        <f>SUMIF('附表2-EF'!$D$100:$D$102,表1温室气体盘查表!C91,'附表2-EF'!$G$100:$G$102)</f>
        <v>4.8531850728157997E-5</v>
      </c>
      <c r="J91" s="281" t="str">
        <f>'附表2-EF'!H102</f>
        <v>tCO2-Eq/tkm</v>
      </c>
      <c r="K91" s="283">
        <v>1</v>
      </c>
      <c r="L91" s="289"/>
      <c r="M91" s="284"/>
      <c r="N91" s="283"/>
      <c r="O91" s="289"/>
      <c r="P91" s="281"/>
      <c r="Q91" s="283"/>
      <c r="R91" s="285"/>
      <c r="S91" s="286"/>
      <c r="T91" s="287"/>
      <c r="U91" s="288"/>
      <c r="V91" s="289"/>
      <c r="W91" s="281"/>
      <c r="X91" s="290"/>
      <c r="Y91" s="281"/>
      <c r="Z91" s="289"/>
      <c r="AA91" s="281"/>
      <c r="AB91" s="283"/>
      <c r="AC91" s="289"/>
      <c r="AD91" s="286"/>
      <c r="AE91" s="283"/>
      <c r="AF91" s="278">
        <f t="shared" si="100"/>
        <v>16671.614413395077</v>
      </c>
      <c r="AG91" s="278">
        <f t="shared" si="84"/>
        <v>0</v>
      </c>
      <c r="AH91" s="278">
        <f t="shared" si="85"/>
        <v>0</v>
      </c>
      <c r="AI91" s="278">
        <f t="shared" si="86"/>
        <v>0</v>
      </c>
      <c r="AJ91" s="278">
        <f t="shared" si="87"/>
        <v>0</v>
      </c>
      <c r="AK91" s="278">
        <f t="shared" si="88"/>
        <v>0</v>
      </c>
      <c r="AL91" s="278">
        <f t="shared" si="89"/>
        <v>0</v>
      </c>
      <c r="AM91" s="278">
        <f t="shared" si="90"/>
        <v>16671.614413395077</v>
      </c>
      <c r="AN91" s="143" t="s">
        <v>381</v>
      </c>
    </row>
    <row r="92" spans="1:40" s="16" customFormat="1" ht="13.5" customHeight="1">
      <c r="A92" s="262">
        <v>88</v>
      </c>
      <c r="B92" s="139" t="s">
        <v>407</v>
      </c>
      <c r="C92" s="143" t="s">
        <v>409</v>
      </c>
      <c r="D92" s="265" t="s">
        <v>341</v>
      </c>
      <c r="E92" s="266" t="s">
        <v>135</v>
      </c>
      <c r="F92" s="280">
        <f>ROUND(22869284.996+16009263+4152064.404,2)</f>
        <v>43030612.399999999</v>
      </c>
      <c r="G92" s="281" t="s">
        <v>378</v>
      </c>
      <c r="H92" s="281" t="s">
        <v>410</v>
      </c>
      <c r="I92" s="340">
        <f>'附表2-EF'!G101</f>
        <v>1.5196287830000001E-4</v>
      </c>
      <c r="J92" s="281" t="str">
        <f>'附表2-EF'!H101</f>
        <v>tCO2-Eq/tkm</v>
      </c>
      <c r="K92" s="283">
        <v>1</v>
      </c>
      <c r="L92" s="289"/>
      <c r="M92" s="284"/>
      <c r="N92" s="283"/>
      <c r="O92" s="289"/>
      <c r="P92" s="281"/>
      <c r="Q92" s="283"/>
      <c r="R92" s="285"/>
      <c r="S92" s="286"/>
      <c r="T92" s="287"/>
      <c r="U92" s="288"/>
      <c r="V92" s="289"/>
      <c r="W92" s="281"/>
      <c r="X92" s="290"/>
      <c r="Y92" s="281"/>
      <c r="Z92" s="289"/>
      <c r="AA92" s="281"/>
      <c r="AB92" s="283"/>
      <c r="AC92" s="289"/>
      <c r="AD92" s="286"/>
      <c r="AE92" s="283"/>
      <c r="AF92" s="278">
        <f t="shared" si="100"/>
        <v>6539.0557153156715</v>
      </c>
      <c r="AG92" s="278">
        <f t="shared" si="84"/>
        <v>0</v>
      </c>
      <c r="AH92" s="278">
        <f t="shared" si="85"/>
        <v>0</v>
      </c>
      <c r="AI92" s="278">
        <f t="shared" si="86"/>
        <v>0</v>
      </c>
      <c r="AJ92" s="278">
        <f t="shared" si="87"/>
        <v>0</v>
      </c>
      <c r="AK92" s="278">
        <f t="shared" si="88"/>
        <v>0</v>
      </c>
      <c r="AL92" s="278">
        <f t="shared" si="89"/>
        <v>0</v>
      </c>
      <c r="AM92" s="278">
        <f t="shared" si="90"/>
        <v>6539.0557153156715</v>
      </c>
      <c r="AN92" s="143" t="s">
        <v>409</v>
      </c>
    </row>
    <row r="93" spans="1:40" s="16" customFormat="1" ht="13.5" customHeight="1">
      <c r="A93" s="262">
        <v>89</v>
      </c>
      <c r="B93" s="139" t="s">
        <v>411</v>
      </c>
      <c r="C93" s="143" t="s">
        <v>412</v>
      </c>
      <c r="D93" s="265" t="s">
        <v>413</v>
      </c>
      <c r="E93" s="266" t="s">
        <v>140</v>
      </c>
      <c r="F93" s="280">
        <f>ROUND(172270,2)</f>
        <v>172270</v>
      </c>
      <c r="G93" s="281" t="s">
        <v>247</v>
      </c>
      <c r="H93" s="281" t="s">
        <v>408</v>
      </c>
      <c r="I93" s="340">
        <f>SUMIF('附表2-EF'!$D$126:$D$129,表1温室气体盘查表!C93,'附表2-EF'!$F$126:$F$129)</f>
        <v>0.78558814545949363</v>
      </c>
      <c r="J93" s="281" t="str">
        <f>'附表2-EF'!G126</f>
        <v>kgCO2/kg</v>
      </c>
      <c r="K93" s="283">
        <v>1</v>
      </c>
      <c r="L93" s="289"/>
      <c r="M93" s="284"/>
      <c r="N93" s="283"/>
      <c r="O93" s="289"/>
      <c r="P93" s="281"/>
      <c r="Q93" s="283"/>
      <c r="R93" s="285"/>
      <c r="S93" s="286"/>
      <c r="T93" s="287"/>
      <c r="U93" s="288"/>
      <c r="V93" s="289"/>
      <c r="W93" s="281"/>
      <c r="X93" s="290"/>
      <c r="Y93" s="281"/>
      <c r="Z93" s="289"/>
      <c r="AA93" s="281"/>
      <c r="AB93" s="283"/>
      <c r="AC93" s="289"/>
      <c r="AD93" s="286"/>
      <c r="AE93" s="283"/>
      <c r="AF93" s="278">
        <f t="shared" si="100"/>
        <v>135333.26981830696</v>
      </c>
      <c r="AG93" s="278">
        <f t="shared" si="84"/>
        <v>0</v>
      </c>
      <c r="AH93" s="278">
        <f t="shared" si="85"/>
        <v>0</v>
      </c>
      <c r="AI93" s="278">
        <f t="shared" si="86"/>
        <v>0</v>
      </c>
      <c r="AJ93" s="278">
        <f t="shared" si="87"/>
        <v>0</v>
      </c>
      <c r="AK93" s="278">
        <f t="shared" si="88"/>
        <v>0</v>
      </c>
      <c r="AL93" s="278">
        <f t="shared" si="89"/>
        <v>0</v>
      </c>
      <c r="AM93" s="278">
        <f t="shared" si="90"/>
        <v>135333.26981830696</v>
      </c>
      <c r="AN93" s="143" t="s">
        <v>412</v>
      </c>
    </row>
    <row r="94" spans="1:40" s="16" customFormat="1" ht="13.5" customHeight="1">
      <c r="A94" s="262">
        <v>90</v>
      </c>
      <c r="B94" s="139" t="s">
        <v>411</v>
      </c>
      <c r="C94" s="143" t="s">
        <v>414</v>
      </c>
      <c r="D94" s="265" t="s">
        <v>413</v>
      </c>
      <c r="E94" s="266" t="s">
        <v>140</v>
      </c>
      <c r="F94" s="280">
        <f>ROUND(2063196.544,2)</f>
        <v>2063196.54</v>
      </c>
      <c r="G94" s="281" t="s">
        <v>247</v>
      </c>
      <c r="H94" s="281" t="s">
        <v>408</v>
      </c>
      <c r="I94" s="340">
        <f>SUMIF('附表2-EF'!$D$126:$D$129,表1温室气体盘查表!C94,'附表2-EF'!$F$126:$F$129)</f>
        <v>1.0059728617810471</v>
      </c>
      <c r="J94" s="281" t="str">
        <f>'附表2-EF'!G127</f>
        <v>kgCO2/kg</v>
      </c>
      <c r="K94" s="283">
        <v>1</v>
      </c>
      <c r="L94" s="289"/>
      <c r="M94" s="284"/>
      <c r="N94" s="283"/>
      <c r="O94" s="289"/>
      <c r="P94" s="281"/>
      <c r="Q94" s="283"/>
      <c r="R94" s="285"/>
      <c r="S94" s="286"/>
      <c r="T94" s="287"/>
      <c r="U94" s="288"/>
      <c r="V94" s="289"/>
      <c r="W94" s="281"/>
      <c r="X94" s="290"/>
      <c r="Y94" s="281"/>
      <c r="Z94" s="289"/>
      <c r="AA94" s="281"/>
      <c r="AB94" s="283"/>
      <c r="AC94" s="289"/>
      <c r="AD94" s="286"/>
      <c r="AE94" s="283"/>
      <c r="AF94" s="278">
        <f t="shared" si="100"/>
        <v>2075519.7277605545</v>
      </c>
      <c r="AG94" s="278">
        <f t="shared" si="84"/>
        <v>0</v>
      </c>
      <c r="AH94" s="278">
        <f t="shared" si="85"/>
        <v>0</v>
      </c>
      <c r="AI94" s="278">
        <f t="shared" si="86"/>
        <v>0</v>
      </c>
      <c r="AJ94" s="278">
        <f t="shared" si="87"/>
        <v>0</v>
      </c>
      <c r="AK94" s="278">
        <f t="shared" si="88"/>
        <v>0</v>
      </c>
      <c r="AL94" s="278">
        <f t="shared" si="89"/>
        <v>0</v>
      </c>
      <c r="AM94" s="278">
        <f t="shared" si="90"/>
        <v>2075519.7277605545</v>
      </c>
      <c r="AN94" s="143" t="s">
        <v>414</v>
      </c>
    </row>
    <row r="95" spans="1:40" s="16" customFormat="1" ht="13.5" customHeight="1">
      <c r="A95" s="262">
        <v>91</v>
      </c>
      <c r="B95" s="139" t="s">
        <v>411</v>
      </c>
      <c r="C95" s="143" t="s">
        <v>415</v>
      </c>
      <c r="D95" s="265" t="s">
        <v>413</v>
      </c>
      <c r="E95" s="266" t="s">
        <v>140</v>
      </c>
      <c r="F95" s="280">
        <f>ROUND(649008.657349997,2)</f>
        <v>649008.66</v>
      </c>
      <c r="G95" s="281" t="s">
        <v>247</v>
      </c>
      <c r="H95" s="281" t="s">
        <v>408</v>
      </c>
      <c r="I95" s="340">
        <f>SUMIF('附表2-EF'!$D$126:$D$129,表1温室气体盘查表!C95,'附表2-EF'!$F$126:$F$129)</f>
        <v>9.545126316849975E-2</v>
      </c>
      <c r="J95" s="281" t="str">
        <f>'附表2-EF'!G128</f>
        <v>kgCO2/kg</v>
      </c>
      <c r="K95" s="283">
        <v>1</v>
      </c>
      <c r="L95" s="289"/>
      <c r="M95" s="284"/>
      <c r="N95" s="283"/>
      <c r="O95" s="289"/>
      <c r="P95" s="281"/>
      <c r="Q95" s="283"/>
      <c r="R95" s="285"/>
      <c r="S95" s="286"/>
      <c r="T95" s="287"/>
      <c r="U95" s="288"/>
      <c r="V95" s="289"/>
      <c r="W95" s="281"/>
      <c r="X95" s="290"/>
      <c r="Y95" s="281"/>
      <c r="Z95" s="289"/>
      <c r="AA95" s="281"/>
      <c r="AB95" s="283"/>
      <c r="AC95" s="289"/>
      <c r="AD95" s="286"/>
      <c r="AE95" s="283"/>
      <c r="AF95" s="278">
        <f t="shared" si="100"/>
        <v>61948.696404295377</v>
      </c>
      <c r="AG95" s="278">
        <f t="shared" si="84"/>
        <v>0</v>
      </c>
      <c r="AH95" s="278">
        <f t="shared" si="85"/>
        <v>0</v>
      </c>
      <c r="AI95" s="278">
        <f t="shared" si="86"/>
        <v>0</v>
      </c>
      <c r="AJ95" s="278">
        <f t="shared" si="87"/>
        <v>0</v>
      </c>
      <c r="AK95" s="278">
        <f t="shared" si="88"/>
        <v>0</v>
      </c>
      <c r="AL95" s="278">
        <f t="shared" si="89"/>
        <v>0</v>
      </c>
      <c r="AM95" s="278">
        <f t="shared" si="90"/>
        <v>61948.696404295377</v>
      </c>
      <c r="AN95" s="143" t="s">
        <v>415</v>
      </c>
    </row>
    <row r="96" spans="1:40" s="16" customFormat="1" ht="13.5" customHeight="1">
      <c r="A96" s="262">
        <v>92</v>
      </c>
      <c r="B96" s="139" t="s">
        <v>411</v>
      </c>
      <c r="C96" s="143" t="s">
        <v>416</v>
      </c>
      <c r="D96" s="265" t="s">
        <v>413</v>
      </c>
      <c r="E96" s="266" t="s">
        <v>140</v>
      </c>
      <c r="F96" s="280">
        <f>ROUND(608494.197000002,2)</f>
        <v>608494.19999999995</v>
      </c>
      <c r="G96" s="281" t="s">
        <v>247</v>
      </c>
      <c r="H96" s="281" t="s">
        <v>408</v>
      </c>
      <c r="I96" s="340">
        <f>SUMIF('附表2-EF'!$D$126:$D$129,表1温室气体盘查表!C96,'附表2-EF'!$F$126:$F$129)</f>
        <v>0.29021018284161199</v>
      </c>
      <c r="J96" s="281" t="str">
        <f>'附表2-EF'!G128</f>
        <v>kgCO2/kg</v>
      </c>
      <c r="K96" s="283">
        <v>1</v>
      </c>
      <c r="L96" s="289"/>
      <c r="M96" s="284"/>
      <c r="N96" s="283"/>
      <c r="O96" s="289"/>
      <c r="P96" s="281"/>
      <c r="Q96" s="283"/>
      <c r="R96" s="285"/>
      <c r="S96" s="286"/>
      <c r="T96" s="287"/>
      <c r="U96" s="288"/>
      <c r="V96" s="289"/>
      <c r="W96" s="281"/>
      <c r="X96" s="290"/>
      <c r="Y96" s="281"/>
      <c r="Z96" s="289"/>
      <c r="AA96" s="281"/>
      <c r="AB96" s="283"/>
      <c r="AC96" s="289"/>
      <c r="AD96" s="286"/>
      <c r="AE96" s="283"/>
      <c r="AF96" s="278">
        <f t="shared" si="100"/>
        <v>176591.21304006039</v>
      </c>
      <c r="AG96" s="278">
        <f t="shared" si="84"/>
        <v>0</v>
      </c>
      <c r="AH96" s="278">
        <f t="shared" si="85"/>
        <v>0</v>
      </c>
      <c r="AI96" s="278">
        <f t="shared" si="86"/>
        <v>0</v>
      </c>
      <c r="AJ96" s="278">
        <f t="shared" si="87"/>
        <v>0</v>
      </c>
      <c r="AK96" s="278">
        <f t="shared" si="88"/>
        <v>0</v>
      </c>
      <c r="AL96" s="278">
        <f t="shared" si="89"/>
        <v>0</v>
      </c>
      <c r="AM96" s="278">
        <f t="shared" si="90"/>
        <v>176591.21304006039</v>
      </c>
      <c r="AN96" s="143" t="s">
        <v>416</v>
      </c>
    </row>
    <row r="97" spans="1:40" s="16" customFormat="1" ht="13.5" customHeight="1">
      <c r="A97" s="262">
        <v>93</v>
      </c>
      <c r="B97" s="139" t="s">
        <v>417</v>
      </c>
      <c r="C97" s="143" t="s">
        <v>418</v>
      </c>
      <c r="D97" s="265" t="s">
        <v>413</v>
      </c>
      <c r="E97" s="266" t="s">
        <v>419</v>
      </c>
      <c r="F97" s="280">
        <f>ROUND(7887272.44/10000,2)</f>
        <v>788.73</v>
      </c>
      <c r="G97" s="268" t="s">
        <v>242</v>
      </c>
      <c r="H97" s="268" t="s">
        <v>420</v>
      </c>
      <c r="I97" s="340">
        <f>'附表2-EF'!L13</f>
        <v>7.6419264240000011</v>
      </c>
      <c r="J97" s="281" t="s">
        <v>244</v>
      </c>
      <c r="K97" s="283">
        <v>1</v>
      </c>
      <c r="L97" s="289">
        <f>'附表2-EF'!M13</f>
        <v>1.7211546000000001E-4</v>
      </c>
      <c r="M97" s="284"/>
      <c r="N97" s="283">
        <f>'附表1-GWP TABLE'!E4</f>
        <v>27.9</v>
      </c>
      <c r="O97" s="289">
        <f>'附表2-EF'!N13</f>
        <v>1.7211546000000002E-5</v>
      </c>
      <c r="P97" s="281"/>
      <c r="Q97" s="283">
        <f>'附表1-GWP TABLE'!E5</f>
        <v>273</v>
      </c>
      <c r="R97" s="285"/>
      <c r="S97" s="286"/>
      <c r="T97" s="287"/>
      <c r="U97" s="288"/>
      <c r="V97" s="289"/>
      <c r="W97" s="281"/>
      <c r="X97" s="290"/>
      <c r="Y97" s="281"/>
      <c r="Z97" s="289"/>
      <c r="AA97" s="281"/>
      <c r="AB97" s="283"/>
      <c r="AC97" s="289"/>
      <c r="AD97" s="286"/>
      <c r="AE97" s="283"/>
      <c r="AF97" s="278">
        <f t="shared" ref="AF97" si="101">F97*I97*K97</f>
        <v>6027.4166284015209</v>
      </c>
      <c r="AG97" s="278">
        <f t="shared" ref="AG97" si="102">F97*L97*N97</f>
        <v>3.7874982867658202</v>
      </c>
      <c r="AH97" s="278">
        <f t="shared" ref="AH97" si="103">F97*O97*Q97</f>
        <v>3.7060467107063406</v>
      </c>
      <c r="AI97" s="278">
        <f t="shared" ref="AI97" si="104">F97*R97*T97</f>
        <v>0</v>
      </c>
      <c r="AJ97" s="278">
        <f t="shared" ref="AJ97" si="105">F97*V97*X97</f>
        <v>0</v>
      </c>
      <c r="AK97" s="278">
        <f t="shared" ref="AK97" si="106">F97*Z97*AB97</f>
        <v>0</v>
      </c>
      <c r="AL97" s="278">
        <f t="shared" ref="AL97" si="107">F97*AC97*AE97</f>
        <v>0</v>
      </c>
      <c r="AM97" s="278">
        <f t="shared" ref="AM97" si="108">SUM(AF97:AL97)</f>
        <v>6034.9101733989937</v>
      </c>
      <c r="AN97" s="143" t="s">
        <v>418</v>
      </c>
    </row>
    <row r="98" spans="1:40" s="16" customFormat="1" ht="13.5" customHeight="1">
      <c r="A98" s="262">
        <v>94</v>
      </c>
      <c r="B98" s="139" t="s">
        <v>421</v>
      </c>
      <c r="C98" s="143" t="s">
        <v>422</v>
      </c>
      <c r="D98" s="265" t="s">
        <v>413</v>
      </c>
      <c r="E98" s="266" t="s">
        <v>145</v>
      </c>
      <c r="F98" s="280">
        <f>ROUND(SUM(F93:F96)*(2.56-2.14)/2.56,2)</f>
        <v>573065.29</v>
      </c>
      <c r="G98" s="281" t="s">
        <v>247</v>
      </c>
      <c r="H98" s="281" t="s">
        <v>408</v>
      </c>
      <c r="I98" s="340">
        <f>'附表2-EF'!G140</f>
        <v>6.2630124048458496E-3</v>
      </c>
      <c r="J98" s="281" t="str">
        <f>'附表2-EF'!H140</f>
        <v>kgCO2/kg</v>
      </c>
      <c r="K98" s="283">
        <v>1</v>
      </c>
      <c r="L98" s="289"/>
      <c r="M98" s="284"/>
      <c r="N98" s="283"/>
      <c r="O98" s="289"/>
      <c r="P98" s="281"/>
      <c r="Q98" s="283"/>
      <c r="R98" s="285"/>
      <c r="S98" s="286"/>
      <c r="T98" s="287"/>
      <c r="U98" s="288"/>
      <c r="V98" s="289"/>
      <c r="W98" s="281"/>
      <c r="X98" s="290"/>
      <c r="Y98" s="281"/>
      <c r="Z98" s="289"/>
      <c r="AA98" s="281"/>
      <c r="AB98" s="283"/>
      <c r="AC98" s="289"/>
      <c r="AD98" s="286"/>
      <c r="AE98" s="283"/>
      <c r="AF98" s="343">
        <f t="shared" si="100"/>
        <v>3589.1150200565844</v>
      </c>
      <c r="AG98" s="343">
        <f t="shared" si="84"/>
        <v>0</v>
      </c>
      <c r="AH98" s="343">
        <f t="shared" si="85"/>
        <v>0</v>
      </c>
      <c r="AI98" s="343">
        <f t="shared" si="86"/>
        <v>0</v>
      </c>
      <c r="AJ98" s="343">
        <f t="shared" si="87"/>
        <v>0</v>
      </c>
      <c r="AK98" s="343">
        <f t="shared" si="88"/>
        <v>0</v>
      </c>
      <c r="AL98" s="343">
        <f t="shared" si="89"/>
        <v>0</v>
      </c>
      <c r="AM98" s="343">
        <f t="shared" si="90"/>
        <v>3589.1150200565844</v>
      </c>
      <c r="AN98" s="143" t="s">
        <v>422</v>
      </c>
    </row>
    <row r="99" spans="1:40" s="20" customFormat="1" ht="13.5" customHeight="1">
      <c r="A99" s="584" t="s">
        <v>423</v>
      </c>
      <c r="B99" s="573" t="s">
        <v>424</v>
      </c>
      <c r="C99" s="573"/>
      <c r="D99" s="573"/>
      <c r="E99" s="344" t="s">
        <v>425</v>
      </c>
      <c r="F99" s="345"/>
      <c r="G99" s="346"/>
      <c r="H99" s="346"/>
      <c r="I99" s="347"/>
      <c r="J99" s="346"/>
      <c r="K99" s="348"/>
      <c r="L99" s="349"/>
      <c r="M99" s="346"/>
      <c r="N99" s="348"/>
      <c r="O99" s="349"/>
      <c r="P99" s="346"/>
      <c r="Q99" s="348"/>
      <c r="R99" s="349"/>
      <c r="S99" s="346"/>
      <c r="T99" s="58"/>
      <c r="U99" s="346"/>
      <c r="V99" s="349"/>
      <c r="W99" s="346"/>
      <c r="X99" s="58"/>
      <c r="Y99" s="346"/>
      <c r="Z99" s="349"/>
      <c r="AA99" s="346"/>
      <c r="AB99" s="348"/>
      <c r="AC99" s="349"/>
      <c r="AD99" s="571" t="s">
        <v>426</v>
      </c>
      <c r="AE99" s="572"/>
      <c r="AF99" s="350">
        <f t="shared" ref="AF99:AM99" si="109">SUM(AF5:AF30,AF32:AF98)</f>
        <v>15337416.632864757</v>
      </c>
      <c r="AG99" s="350">
        <f t="shared" si="109"/>
        <v>10689.761699171035</v>
      </c>
      <c r="AH99" s="350">
        <f t="shared" si="109"/>
        <v>31508.550504739411</v>
      </c>
      <c r="AI99" s="350">
        <f t="shared" si="109"/>
        <v>570.54</v>
      </c>
      <c r="AJ99" s="350">
        <f t="shared" si="109"/>
        <v>0</v>
      </c>
      <c r="AK99" s="350">
        <f t="shared" si="109"/>
        <v>0</v>
      </c>
      <c r="AL99" s="350">
        <f t="shared" si="109"/>
        <v>0</v>
      </c>
      <c r="AM99" s="350">
        <f t="shared" si="109"/>
        <v>15380185.485068668</v>
      </c>
      <c r="AN99" s="351"/>
    </row>
    <row r="100" spans="1:40" s="20" customFormat="1" ht="13.5" customHeight="1">
      <c r="A100" s="584"/>
      <c r="B100" s="573" t="s">
        <v>427</v>
      </c>
      <c r="C100" s="573"/>
      <c r="D100" s="573"/>
      <c r="E100" s="352" t="s">
        <v>425</v>
      </c>
      <c r="F100" s="345"/>
      <c r="G100" s="346"/>
      <c r="H100" s="346"/>
      <c r="I100" s="347"/>
      <c r="J100" s="346"/>
      <c r="K100" s="348"/>
      <c r="L100" s="349"/>
      <c r="M100" s="346"/>
      <c r="N100" s="348"/>
      <c r="O100" s="349"/>
      <c r="P100" s="346"/>
      <c r="Q100" s="348"/>
      <c r="R100" s="349"/>
      <c r="S100" s="346"/>
      <c r="T100" s="58"/>
      <c r="U100" s="346"/>
      <c r="V100" s="349"/>
      <c r="W100" s="346"/>
      <c r="X100" s="58"/>
      <c r="Y100" s="346"/>
      <c r="Z100" s="349"/>
      <c r="AA100" s="346"/>
      <c r="AB100" s="348"/>
      <c r="AC100" s="349"/>
      <c r="AD100" s="571" t="s">
        <v>428</v>
      </c>
      <c r="AE100" s="572"/>
      <c r="AF100" s="350">
        <f t="shared" ref="AF100:AM100" si="110">SUM(AF5:AF29,AF31:AF98)</f>
        <v>15480605.848434757</v>
      </c>
      <c r="AG100" s="350">
        <f t="shared" si="110"/>
        <v>10689.761699171035</v>
      </c>
      <c r="AH100" s="350">
        <f t="shared" si="110"/>
        <v>31508.550504739411</v>
      </c>
      <c r="AI100" s="350">
        <f t="shared" si="110"/>
        <v>570.54</v>
      </c>
      <c r="AJ100" s="350">
        <f t="shared" si="110"/>
        <v>0</v>
      </c>
      <c r="AK100" s="350">
        <f t="shared" si="110"/>
        <v>0</v>
      </c>
      <c r="AL100" s="350">
        <f t="shared" si="110"/>
        <v>0</v>
      </c>
      <c r="AM100" s="350">
        <f t="shared" si="110"/>
        <v>15523374.700638669</v>
      </c>
      <c r="AN100" s="351"/>
    </row>
    <row r="101" spans="1:40" s="20" customFormat="1" ht="13.5" customHeight="1">
      <c r="A101" s="348"/>
      <c r="B101" s="353"/>
      <c r="C101" s="156"/>
      <c r="D101" s="354"/>
      <c r="E101" s="354"/>
      <c r="F101" s="345"/>
      <c r="G101" s="346"/>
      <c r="H101" s="346"/>
      <c r="I101" s="347"/>
      <c r="J101" s="346"/>
      <c r="K101" s="348"/>
      <c r="L101" s="349"/>
      <c r="M101" s="346"/>
      <c r="N101" s="348"/>
      <c r="O101" s="349"/>
      <c r="P101" s="346"/>
      <c r="Q101" s="348"/>
      <c r="R101" s="349"/>
      <c r="S101" s="346"/>
      <c r="T101" s="58"/>
      <c r="U101" s="346"/>
      <c r="V101" s="349"/>
      <c r="W101" s="346"/>
      <c r="X101" s="58"/>
      <c r="Y101" s="346"/>
      <c r="Z101" s="349"/>
      <c r="AA101" s="346"/>
      <c r="AB101" s="348"/>
      <c r="AC101" s="349"/>
      <c r="AD101" s="355"/>
      <c r="AE101" s="348"/>
      <c r="AF101" s="356"/>
      <c r="AG101" s="357"/>
      <c r="AH101" s="357"/>
      <c r="AI101" s="357"/>
      <c r="AJ101" s="357"/>
      <c r="AK101" s="357"/>
      <c r="AL101" s="357"/>
      <c r="AM101" s="357"/>
      <c r="AN101" s="357"/>
    </row>
    <row r="102" spans="1:40" s="20" customFormat="1" ht="13.5" customHeight="1">
      <c r="A102" s="348"/>
      <c r="B102" s="353"/>
      <c r="C102" s="354"/>
      <c r="D102" s="354"/>
      <c r="E102" s="354"/>
      <c r="F102" s="345"/>
      <c r="G102" s="346"/>
      <c r="H102" s="346"/>
      <c r="I102" s="347"/>
      <c r="J102" s="346"/>
      <c r="K102" s="348"/>
      <c r="L102" s="349"/>
      <c r="M102" s="346"/>
      <c r="N102" s="348"/>
      <c r="O102" s="349"/>
      <c r="P102" s="346"/>
      <c r="Q102" s="348"/>
      <c r="R102" s="349"/>
      <c r="S102" s="346"/>
      <c r="T102" s="58"/>
      <c r="U102" s="346"/>
      <c r="V102" s="349"/>
      <c r="W102" s="346"/>
      <c r="X102" s="58"/>
      <c r="Y102" s="346"/>
      <c r="Z102" s="349"/>
      <c r="AA102" s="346"/>
      <c r="AB102" s="348"/>
      <c r="AC102" s="349"/>
      <c r="AD102" s="355"/>
      <c r="AE102" s="348"/>
      <c r="AF102" s="357"/>
      <c r="AG102" s="357"/>
      <c r="AH102" s="357"/>
      <c r="AI102" s="357"/>
      <c r="AJ102" s="357"/>
      <c r="AK102" s="357"/>
      <c r="AL102" s="357"/>
      <c r="AM102" s="357"/>
      <c r="AN102" s="357"/>
    </row>
    <row r="103" spans="1:40" ht="13.5" customHeight="1">
      <c r="A103" s="358" t="s">
        <v>241</v>
      </c>
      <c r="B103" s="574" t="s">
        <v>429</v>
      </c>
      <c r="C103" s="575"/>
      <c r="D103" s="575"/>
      <c r="E103" s="575"/>
      <c r="F103" s="575"/>
      <c r="G103" s="575"/>
      <c r="H103" s="575"/>
      <c r="I103" s="576"/>
      <c r="J103" s="359"/>
      <c r="L103" s="349"/>
      <c r="M103" s="346"/>
      <c r="AG103" s="360"/>
      <c r="AH103" s="360"/>
      <c r="AI103" s="360"/>
      <c r="AJ103" s="360"/>
      <c r="AK103" s="360"/>
      <c r="AL103" s="360"/>
      <c r="AM103" s="361"/>
      <c r="AN103" s="361"/>
    </row>
    <row r="104" spans="1:40" ht="13.5" customHeight="1">
      <c r="A104" s="362" t="s">
        <v>236</v>
      </c>
      <c r="B104" s="363" t="s">
        <v>224</v>
      </c>
      <c r="C104" s="363" t="s">
        <v>225</v>
      </c>
      <c r="D104" s="363" t="s">
        <v>226</v>
      </c>
      <c r="E104" s="363" t="s">
        <v>29</v>
      </c>
      <c r="F104" s="363" t="s">
        <v>30</v>
      </c>
      <c r="G104" s="363" t="s">
        <v>227</v>
      </c>
      <c r="H104" s="363" t="s">
        <v>228</v>
      </c>
      <c r="I104" s="363" t="s">
        <v>430</v>
      </c>
      <c r="J104" s="364" t="s">
        <v>431</v>
      </c>
      <c r="K104" s="365" t="s">
        <v>237</v>
      </c>
      <c r="L104" s="346"/>
      <c r="AL104" s="366"/>
    </row>
    <row r="105" spans="1:40" ht="13.5" customHeight="1">
      <c r="A105" s="367" t="s">
        <v>432</v>
      </c>
      <c r="B105" s="368">
        <f t="shared" ref="B105:H105" si="111">SUMIF($E$5:$E$98,$A$103,AF5:AF98)</f>
        <v>7131923.6091479082</v>
      </c>
      <c r="C105" s="368">
        <f t="shared" si="111"/>
        <v>10685.97420088427</v>
      </c>
      <c r="D105" s="368">
        <f t="shared" si="111"/>
        <v>31504.844458028703</v>
      </c>
      <c r="E105" s="368">
        <f t="shared" si="111"/>
        <v>570.54</v>
      </c>
      <c r="F105" s="368">
        <f t="shared" si="111"/>
        <v>0</v>
      </c>
      <c r="G105" s="368">
        <f t="shared" si="111"/>
        <v>0</v>
      </c>
      <c r="H105" s="368">
        <f t="shared" si="111"/>
        <v>0</v>
      </c>
      <c r="I105" s="368">
        <f>SUM(B105:H105)</f>
        <v>7174684.9678068208</v>
      </c>
      <c r="J105" s="364">
        <v>7122248.8339860998</v>
      </c>
      <c r="K105" s="369">
        <f>I105-J105</f>
        <v>52436.133820720948</v>
      </c>
      <c r="L105" s="346"/>
      <c r="AL105" s="366"/>
    </row>
    <row r="106" spans="1:40" ht="13.5" customHeight="1">
      <c r="L106" s="349"/>
      <c r="M106" s="346"/>
      <c r="AM106" s="366"/>
      <c r="AN106" s="366"/>
    </row>
    <row r="107" spans="1:40" ht="13.5" customHeight="1">
      <c r="A107" s="358" t="s">
        <v>312</v>
      </c>
      <c r="B107" s="574" t="s">
        <v>433</v>
      </c>
      <c r="C107" s="575"/>
      <c r="D107" s="576"/>
      <c r="L107" s="349"/>
      <c r="M107" s="346"/>
    </row>
    <row r="108" spans="1:40" ht="13.5" customHeight="1">
      <c r="A108" s="362" t="s">
        <v>236</v>
      </c>
      <c r="B108" s="370" t="s">
        <v>434</v>
      </c>
      <c r="C108" s="363" t="s">
        <v>224</v>
      </c>
      <c r="D108" s="363" t="s">
        <v>430</v>
      </c>
      <c r="E108" s="364" t="s">
        <v>431</v>
      </c>
      <c r="F108" s="365" t="s">
        <v>237</v>
      </c>
    </row>
    <row r="109" spans="1:40" ht="13.5" customHeight="1">
      <c r="A109" s="371" t="s">
        <v>435</v>
      </c>
      <c r="B109" s="372" t="s">
        <v>310</v>
      </c>
      <c r="C109" s="373">
        <f>SUMIF($C$5:$C$98,B109,$AF$5:$AF$98)</f>
        <v>1043611.0503979999</v>
      </c>
      <c r="D109" s="373">
        <f>SUM(C109)</f>
        <v>1043611.0503979999</v>
      </c>
      <c r="E109" s="374">
        <v>1069378.747982</v>
      </c>
      <c r="F109" s="374">
        <f>D109-E109</f>
        <v>-25767.697584000067</v>
      </c>
      <c r="I109" s="375"/>
      <c r="J109" s="376"/>
    </row>
    <row r="110" spans="1:40" ht="13.5" customHeight="1">
      <c r="A110" s="371" t="s">
        <v>435</v>
      </c>
      <c r="B110" s="372" t="s">
        <v>316</v>
      </c>
      <c r="C110" s="373">
        <f>SUMIF($C$5:$C$98,B110,$AF$5:$AF$98)</f>
        <v>1186800.2659680001</v>
      </c>
      <c r="D110" s="373">
        <f>SUM(C110)</f>
        <v>1186800.2659680001</v>
      </c>
      <c r="E110" s="374">
        <v>1161900.3323520001</v>
      </c>
      <c r="F110" s="374">
        <f>D110-E110</f>
        <v>24899.933615999995</v>
      </c>
      <c r="H110" s="244"/>
      <c r="I110" s="377"/>
    </row>
    <row r="111" spans="1:40" ht="13.5" customHeight="1">
      <c r="E111" s="21"/>
      <c r="H111" s="244"/>
    </row>
    <row r="112" spans="1:40" ht="13.5" customHeight="1">
      <c r="A112" s="588" t="s">
        <v>436</v>
      </c>
      <c r="B112" s="589"/>
      <c r="C112" s="589"/>
      <c r="D112" s="364"/>
      <c r="E112" s="21"/>
    </row>
    <row r="113" spans="1:5" ht="13.5" customHeight="1">
      <c r="A113" s="378" t="s">
        <v>67</v>
      </c>
      <c r="B113" s="585" t="s">
        <v>437</v>
      </c>
      <c r="C113" s="586"/>
      <c r="D113" s="364"/>
      <c r="E113" s="21"/>
    </row>
    <row r="114" spans="1:5" ht="13.5" customHeight="1">
      <c r="A114" s="379" t="s">
        <v>236</v>
      </c>
      <c r="B114" s="380" t="s">
        <v>224</v>
      </c>
      <c r="C114" s="380" t="s">
        <v>430</v>
      </c>
      <c r="D114" s="364" t="s">
        <v>431</v>
      </c>
      <c r="E114" s="365" t="s">
        <v>237</v>
      </c>
    </row>
    <row r="115" spans="1:5" ht="13.5" customHeight="1">
      <c r="A115" s="381" t="s">
        <v>435</v>
      </c>
      <c r="B115" s="382">
        <f>SUMIF($E$5:$E$98,$A$113,AF5:AF98)</f>
        <v>2179317.5099891252</v>
      </c>
      <c r="C115" s="382">
        <f>SUM(B115)</f>
        <v>2179317.5099891252</v>
      </c>
      <c r="D115" s="364">
        <v>2710165.6193504599</v>
      </c>
      <c r="E115" s="369">
        <f>C115-D115</f>
        <v>-530848.1093613347</v>
      </c>
    </row>
    <row r="116" spans="1:5" ht="13.5" customHeight="1">
      <c r="A116" s="383"/>
      <c r="B116" s="364"/>
      <c r="C116" s="364"/>
      <c r="D116" s="364"/>
      <c r="E116" s="374"/>
    </row>
    <row r="117" spans="1:5" ht="13.5" customHeight="1">
      <c r="A117" s="378" t="s">
        <v>93</v>
      </c>
      <c r="B117" s="585" t="s">
        <v>438</v>
      </c>
      <c r="C117" s="586"/>
      <c r="D117" s="384"/>
      <c r="E117" s="374"/>
    </row>
    <row r="118" spans="1:5" ht="13.5" customHeight="1">
      <c r="A118" s="379" t="s">
        <v>236</v>
      </c>
      <c r="B118" s="380" t="s">
        <v>224</v>
      </c>
      <c r="C118" s="380" t="s">
        <v>430</v>
      </c>
      <c r="D118" s="364"/>
      <c r="E118" s="374"/>
    </row>
    <row r="119" spans="1:5" ht="13.5" customHeight="1">
      <c r="A119" s="381" t="s">
        <v>435</v>
      </c>
      <c r="B119" s="382">
        <f>SUMIF($E$5:$E$98,$A$117,AF5:AF98)</f>
        <v>46877.218976500008</v>
      </c>
      <c r="C119" s="382">
        <f>B119</f>
        <v>46877.218976500008</v>
      </c>
      <c r="D119" s="364">
        <v>51806.970343360001</v>
      </c>
      <c r="E119" s="374">
        <f>C119-D119</f>
        <v>-4929.7513668599931</v>
      </c>
    </row>
    <row r="120" spans="1:5" ht="13.5" customHeight="1">
      <c r="A120" s="383"/>
      <c r="B120" s="364"/>
      <c r="C120" s="364"/>
      <c r="D120" s="364"/>
      <c r="E120" s="374"/>
    </row>
    <row r="121" spans="1:5" ht="13.5" customHeight="1">
      <c r="A121" s="378" t="s">
        <v>105</v>
      </c>
      <c r="B121" s="585" t="s">
        <v>439</v>
      </c>
      <c r="C121" s="586"/>
      <c r="D121" s="384"/>
      <c r="E121" s="374"/>
    </row>
    <row r="122" spans="1:5" ht="13.5" customHeight="1">
      <c r="A122" s="379" t="s">
        <v>236</v>
      </c>
      <c r="B122" s="380" t="s">
        <v>224</v>
      </c>
      <c r="C122" s="380" t="s">
        <v>430</v>
      </c>
      <c r="D122" s="364"/>
      <c r="E122" s="374"/>
    </row>
    <row r="123" spans="1:5" ht="13.5" customHeight="1">
      <c r="A123" s="381" t="s">
        <v>435</v>
      </c>
      <c r="B123" s="382">
        <f>SUMIF($E$5:$E$98,$A$121,AF5:AF98)</f>
        <v>1756664.8022970185</v>
      </c>
      <c r="C123" s="382">
        <f>B123</f>
        <v>1756664.8022970185</v>
      </c>
      <c r="D123" s="364">
        <v>2016736.07196272</v>
      </c>
      <c r="E123" s="374">
        <f>C123-D123</f>
        <v>-260071.26966570155</v>
      </c>
    </row>
    <row r="124" spans="1:5" ht="13.5" customHeight="1">
      <c r="A124" s="383"/>
      <c r="B124" s="364"/>
      <c r="C124" s="364"/>
      <c r="D124" s="364"/>
      <c r="E124" s="374"/>
    </row>
    <row r="125" spans="1:5" ht="13.5" customHeight="1">
      <c r="A125" s="378" t="s">
        <v>116</v>
      </c>
      <c r="B125" s="585" t="s">
        <v>376</v>
      </c>
      <c r="C125" s="586"/>
      <c r="D125" s="364"/>
      <c r="E125" s="374"/>
    </row>
    <row r="126" spans="1:5" ht="13.5" customHeight="1">
      <c r="A126" s="379" t="s">
        <v>236</v>
      </c>
      <c r="B126" s="380" t="s">
        <v>224</v>
      </c>
      <c r="C126" s="380" t="s">
        <v>430</v>
      </c>
      <c r="D126" s="364"/>
      <c r="E126" s="374"/>
    </row>
    <row r="127" spans="1:5" ht="13.5" customHeight="1">
      <c r="A127" s="381" t="s">
        <v>435</v>
      </c>
      <c r="B127" s="382">
        <f>SUMIF($E$5:$E$98,$A$125,AF5:AF98)</f>
        <v>400727.02820844552</v>
      </c>
      <c r="C127" s="382">
        <f>SUM(B127)</f>
        <v>400727.02820844552</v>
      </c>
      <c r="D127" s="364">
        <v>362284.25267030101</v>
      </c>
      <c r="E127" s="374">
        <f>C127-D127</f>
        <v>38442.775538144517</v>
      </c>
    </row>
    <row r="128" spans="1:5" ht="13.5" customHeight="1">
      <c r="A128" s="383"/>
      <c r="B128" s="364"/>
      <c r="C128" s="364"/>
      <c r="D128" s="364"/>
      <c r="E128" s="374"/>
    </row>
    <row r="129" spans="1:5" ht="13.5" customHeight="1">
      <c r="A129" s="378" t="s">
        <v>120</v>
      </c>
      <c r="B129" s="585" t="s">
        <v>440</v>
      </c>
      <c r="C129" s="586"/>
      <c r="D129" s="364"/>
      <c r="E129" s="374"/>
    </row>
    <row r="130" spans="1:5" ht="13.5" customHeight="1">
      <c r="A130" s="379" t="s">
        <v>236</v>
      </c>
      <c r="B130" s="380" t="s">
        <v>224</v>
      </c>
      <c r="C130" s="380" t="s">
        <v>430</v>
      </c>
      <c r="D130" s="364"/>
      <c r="E130" s="374"/>
    </row>
    <row r="131" spans="1:5" ht="13.5" customHeight="1">
      <c r="A131" s="371" t="s">
        <v>435</v>
      </c>
      <c r="B131" s="373">
        <f>SUMIF($E$5:$E$98,$A$129,AF5:AF98)</f>
        <v>30952.018420116066</v>
      </c>
      <c r="C131" s="373">
        <f>SUM(B131)</f>
        <v>30952.018420116066</v>
      </c>
      <c r="D131" s="364">
        <v>147636.03187622401</v>
      </c>
      <c r="E131" s="374">
        <f>C131-D131</f>
        <v>-116684.01345610793</v>
      </c>
    </row>
    <row r="132" spans="1:5" ht="13.5" customHeight="1">
      <c r="D132" s="364"/>
      <c r="E132" s="374"/>
    </row>
    <row r="133" spans="1:5" ht="13.5" customHeight="1">
      <c r="A133" s="378" t="s">
        <v>126</v>
      </c>
      <c r="B133" s="585" t="s">
        <v>391</v>
      </c>
      <c r="C133" s="586"/>
    </row>
    <row r="134" spans="1:5" ht="13.5" customHeight="1">
      <c r="A134" s="379" t="s">
        <v>236</v>
      </c>
      <c r="B134" s="380" t="s">
        <v>224</v>
      </c>
      <c r="C134" s="380" t="s">
        <v>430</v>
      </c>
    </row>
    <row r="135" spans="1:5" ht="13.5" customHeight="1">
      <c r="A135" s="371" t="s">
        <v>435</v>
      </c>
      <c r="B135" s="373">
        <f>SUMIF($E$5:$E$98,$A$133,AF5:AF98)</f>
        <v>1804.7455494943988</v>
      </c>
      <c r="C135" s="373">
        <f>SUM(B135)</f>
        <v>1804.7455494943988</v>
      </c>
      <c r="D135" s="364">
        <v>1670.17345373528</v>
      </c>
      <c r="E135" s="374">
        <f>C135-D135</f>
        <v>134.57209575911884</v>
      </c>
    </row>
    <row r="137" spans="1:5" ht="13.5" customHeight="1">
      <c r="A137" s="378" t="s">
        <v>130</v>
      </c>
      <c r="B137" s="585" t="s">
        <v>398</v>
      </c>
      <c r="C137" s="586"/>
    </row>
    <row r="138" spans="1:5" ht="13.5" customHeight="1">
      <c r="A138" s="379" t="s">
        <v>236</v>
      </c>
      <c r="B138" s="380" t="s">
        <v>224</v>
      </c>
      <c r="C138" s="380" t="s">
        <v>430</v>
      </c>
    </row>
    <row r="139" spans="1:5" ht="13.5" customHeight="1">
      <c r="A139" s="371" t="s">
        <v>435</v>
      </c>
      <c r="B139" s="373">
        <f>SUMIF($E$5:$E$98,$A$137,AF5:AF98)</f>
        <v>5447.4723256107236</v>
      </c>
      <c r="C139" s="373">
        <f>SUM(B139)</f>
        <v>5447.4723256107236</v>
      </c>
      <c r="D139" s="364">
        <v>13322.57648759</v>
      </c>
      <c r="E139" s="374">
        <f>C139-D139</f>
        <v>-7875.1041619792768</v>
      </c>
    </row>
    <row r="140" spans="1:5" ht="13.5" customHeight="1">
      <c r="A140" s="385"/>
      <c r="B140" s="374"/>
      <c r="C140" s="374"/>
    </row>
    <row r="141" spans="1:5" ht="13.5" customHeight="1">
      <c r="A141" s="378" t="s">
        <v>441</v>
      </c>
      <c r="B141" s="585" t="s">
        <v>442</v>
      </c>
      <c r="C141" s="586"/>
      <c r="D141" s="386" t="s">
        <v>443</v>
      </c>
    </row>
    <row r="142" spans="1:5" ht="13.5" customHeight="1">
      <c r="A142" s="379" t="s">
        <v>236</v>
      </c>
      <c r="B142" s="380" t="s">
        <v>224</v>
      </c>
      <c r="C142" s="380" t="s">
        <v>430</v>
      </c>
    </row>
    <row r="143" spans="1:5" ht="13.5" customHeight="1">
      <c r="A143" s="371" t="s">
        <v>435</v>
      </c>
      <c r="B143" s="373">
        <f>SUMIF($E$5:$E$98,$A$141,AF5:AF98)</f>
        <v>0</v>
      </c>
      <c r="C143" s="373">
        <f>SUM(B143)</f>
        <v>0</v>
      </c>
    </row>
    <row r="145" spans="1:11" ht="13.5" customHeight="1">
      <c r="A145" s="378" t="s">
        <v>135</v>
      </c>
      <c r="B145" s="585" t="s">
        <v>407</v>
      </c>
      <c r="C145" s="586"/>
    </row>
    <row r="146" spans="1:11" ht="13.5" customHeight="1">
      <c r="A146" s="379" t="s">
        <v>236</v>
      </c>
      <c r="B146" s="380" t="s">
        <v>224</v>
      </c>
      <c r="C146" s="380" t="s">
        <v>430</v>
      </c>
    </row>
    <row r="147" spans="1:11" ht="13.5" customHeight="1">
      <c r="A147" s="371" t="s">
        <v>435</v>
      </c>
      <c r="B147" s="373">
        <f>SUMIF($E$5:$E$98,$A$145,AF5:AF98)</f>
        <v>281081.73888085666</v>
      </c>
      <c r="C147" s="373">
        <f>SUM(B147)</f>
        <v>281081.73888085666</v>
      </c>
      <c r="D147" s="364">
        <v>274585.60716191097</v>
      </c>
      <c r="E147" s="374">
        <f>C147-D147</f>
        <v>6496.1317189456895</v>
      </c>
    </row>
    <row r="149" spans="1:11" ht="13.5" customHeight="1">
      <c r="A149" s="378" t="s">
        <v>140</v>
      </c>
      <c r="B149" s="585" t="s">
        <v>411</v>
      </c>
      <c r="C149" s="586"/>
    </row>
    <row r="150" spans="1:11" ht="13.5" customHeight="1">
      <c r="A150" s="379" t="s">
        <v>236</v>
      </c>
      <c r="B150" s="380" t="s">
        <v>224</v>
      </c>
      <c r="C150" s="380" t="s">
        <v>430</v>
      </c>
    </row>
    <row r="151" spans="1:11" ht="13.5" customHeight="1">
      <c r="A151" s="371" t="s">
        <v>435</v>
      </c>
      <c r="B151" s="373">
        <f>SUMIF($E$5:$E$98,$A$149,AF5:AF98)</f>
        <v>2449392.9070232175</v>
      </c>
      <c r="C151" s="373">
        <f>SUM(B151)</f>
        <v>2449392.9070232175</v>
      </c>
      <c r="D151" s="364">
        <v>1746619.9596895301</v>
      </c>
      <c r="E151" s="374">
        <f>C151-D151</f>
        <v>702772.94733368745</v>
      </c>
    </row>
    <row r="152" spans="1:11" ht="13.5" customHeight="1">
      <c r="A152" s="385"/>
      <c r="B152" s="374"/>
      <c r="C152" s="374"/>
    </row>
    <row r="153" spans="1:11" ht="13.5" customHeight="1">
      <c r="A153" s="378" t="s">
        <v>419</v>
      </c>
      <c r="B153" s="585" t="s">
        <v>417</v>
      </c>
      <c r="C153" s="587"/>
      <c r="D153" s="587"/>
      <c r="E153" s="587"/>
      <c r="F153" s="587"/>
      <c r="G153" s="587"/>
      <c r="H153" s="587"/>
      <c r="I153" s="586"/>
      <c r="J153" s="359"/>
    </row>
    <row r="154" spans="1:11" ht="13.5" customHeight="1">
      <c r="A154" s="380" t="s">
        <v>236</v>
      </c>
      <c r="B154" s="380" t="str">
        <f>I3</f>
        <v>CO2</v>
      </c>
      <c r="C154" s="380" t="str">
        <f>L3</f>
        <v>CH4</v>
      </c>
      <c r="D154" s="380" t="str">
        <f>O3</f>
        <v>N2O</v>
      </c>
      <c r="E154" s="380" t="str">
        <f>R3</f>
        <v>HFCs</v>
      </c>
      <c r="F154" s="380" t="str">
        <f>V3</f>
        <v>PFCs</v>
      </c>
      <c r="G154" s="380" t="str">
        <f>Z3</f>
        <v>SF6</v>
      </c>
      <c r="H154" s="380" t="str">
        <f>AC3</f>
        <v>NF3</v>
      </c>
      <c r="I154" s="380" t="s">
        <v>430</v>
      </c>
    </row>
    <row r="155" spans="1:11" ht="13.5" customHeight="1">
      <c r="A155" s="367" t="s">
        <v>432</v>
      </c>
      <c r="B155" s="373">
        <f t="shared" ref="B155:H155" si="112">SUMIF($E$5:$E$98,$A$153,AF5:AF98)</f>
        <v>6027.4166284015209</v>
      </c>
      <c r="C155" s="373">
        <f t="shared" si="112"/>
        <v>3.7874982867658202</v>
      </c>
      <c r="D155" s="373">
        <f t="shared" si="112"/>
        <v>3.7060467107063406</v>
      </c>
      <c r="E155" s="373">
        <f t="shared" si="112"/>
        <v>0</v>
      </c>
      <c r="F155" s="373">
        <f t="shared" si="112"/>
        <v>0</v>
      </c>
      <c r="G155" s="373">
        <f t="shared" si="112"/>
        <v>0</v>
      </c>
      <c r="H155" s="373">
        <f t="shared" si="112"/>
        <v>0</v>
      </c>
      <c r="I155" s="373">
        <f>SUM(B155:H155)</f>
        <v>6034.9101733989937</v>
      </c>
      <c r="J155" s="364">
        <v>3833.1354830774699</v>
      </c>
      <c r="K155" s="374">
        <f>I155-J155</f>
        <v>2201.7746903215238</v>
      </c>
    </row>
    <row r="156" spans="1:11" ht="13.5" customHeight="1">
      <c r="A156" s="385"/>
      <c r="B156" s="374"/>
      <c r="C156" s="374"/>
    </row>
    <row r="157" spans="1:11" ht="13.5" customHeight="1">
      <c r="A157" s="378" t="s">
        <v>145</v>
      </c>
      <c r="B157" s="585" t="s">
        <v>421</v>
      </c>
      <c r="C157" s="586"/>
      <c r="D157" s="386"/>
    </row>
    <row r="158" spans="1:11" ht="13.5" customHeight="1">
      <c r="A158" s="379" t="s">
        <v>236</v>
      </c>
      <c r="B158" s="380" t="s">
        <v>224</v>
      </c>
      <c r="C158" s="380" t="s">
        <v>430</v>
      </c>
    </row>
    <row r="159" spans="1:11" ht="13.5" customHeight="1">
      <c r="A159" s="371" t="s">
        <v>435</v>
      </c>
      <c r="B159" s="373">
        <f>SUMIF($E$5:$E$98,$A$157,AF5:AF98)</f>
        <v>3589.1150200565844</v>
      </c>
      <c r="C159" s="373">
        <f>B159</f>
        <v>3589.1150200565844</v>
      </c>
      <c r="D159" s="364">
        <v>3747.3469595889401</v>
      </c>
      <c r="E159" s="374">
        <f>C159-D159</f>
        <v>-158.23193953235568</v>
      </c>
    </row>
    <row r="160" spans="1:11" ht="13.5" customHeight="1">
      <c r="A160" s="385"/>
      <c r="B160" s="374"/>
      <c r="C160" s="374"/>
    </row>
    <row r="161" spans="1:12" ht="13.5" customHeight="1">
      <c r="A161" s="378" t="s">
        <v>444</v>
      </c>
      <c r="B161" s="585" t="s">
        <v>445</v>
      </c>
      <c r="C161" s="586"/>
      <c r="D161" s="386" t="s">
        <v>446</v>
      </c>
    </row>
    <row r="162" spans="1:12" ht="13.5" customHeight="1">
      <c r="A162" s="379" t="s">
        <v>236</v>
      </c>
      <c r="B162" s="380" t="s">
        <v>224</v>
      </c>
      <c r="C162" s="380" t="s">
        <v>430</v>
      </c>
    </row>
    <row r="163" spans="1:12" ht="13.5" customHeight="1">
      <c r="A163" s="371" t="s">
        <v>435</v>
      </c>
      <c r="B163" s="373">
        <f>SUMIF($E$5:$E$98,$A$161,AF5:AF98)</f>
        <v>0</v>
      </c>
      <c r="C163" s="373">
        <f>B163</f>
        <v>0</v>
      </c>
    </row>
    <row r="164" spans="1:12" ht="13.5" customHeight="1">
      <c r="A164" s="385"/>
      <c r="B164" s="374"/>
      <c r="C164" s="374"/>
    </row>
    <row r="165" spans="1:12" ht="13.5" customHeight="1">
      <c r="A165" s="378" t="s">
        <v>447</v>
      </c>
      <c r="B165" s="585" t="s">
        <v>448</v>
      </c>
      <c r="C165" s="586"/>
      <c r="D165" s="386" t="s">
        <v>449</v>
      </c>
    </row>
    <row r="166" spans="1:12" ht="13.5" customHeight="1">
      <c r="A166" s="379" t="s">
        <v>236</v>
      </c>
      <c r="B166" s="380" t="s">
        <v>224</v>
      </c>
      <c r="C166" s="380" t="s">
        <v>430</v>
      </c>
    </row>
    <row r="167" spans="1:12" ht="13.5" customHeight="1">
      <c r="A167" s="371" t="s">
        <v>435</v>
      </c>
      <c r="B167" s="373">
        <f>SUMIF($E$5:$E$98,$A$165,AF5:AF98)</f>
        <v>0</v>
      </c>
      <c r="C167" s="373">
        <f>B167</f>
        <v>0</v>
      </c>
    </row>
    <row r="168" spans="1:12" ht="13.5" customHeight="1">
      <c r="A168" s="385"/>
      <c r="B168" s="374"/>
      <c r="C168" s="374"/>
    </row>
    <row r="169" spans="1:12" ht="13.5" customHeight="1">
      <c r="A169" s="378" t="s">
        <v>450</v>
      </c>
      <c r="B169" s="585" t="s">
        <v>451</v>
      </c>
      <c r="C169" s="586"/>
      <c r="D169" s="386" t="s">
        <v>452</v>
      </c>
    </row>
    <row r="170" spans="1:12" ht="13.5" customHeight="1">
      <c r="A170" s="379" t="s">
        <v>236</v>
      </c>
      <c r="B170" s="380" t="s">
        <v>224</v>
      </c>
      <c r="C170" s="380" t="s">
        <v>430</v>
      </c>
    </row>
    <row r="171" spans="1:12" ht="13.5" customHeight="1">
      <c r="A171" s="371" t="s">
        <v>435</v>
      </c>
      <c r="B171" s="373">
        <f>SUMIF($E$5:$E$98,$A$169,AF5:AF98)</f>
        <v>0</v>
      </c>
      <c r="C171" s="373">
        <f>B171</f>
        <v>0</v>
      </c>
    </row>
    <row r="172" spans="1:12" ht="13.5" customHeight="1">
      <c r="G172" s="590" t="s">
        <v>453</v>
      </c>
      <c r="H172" s="590"/>
      <c r="I172" s="590"/>
      <c r="J172" s="590"/>
    </row>
    <row r="173" spans="1:12" ht="13.5" customHeight="1">
      <c r="A173" s="379" t="s">
        <v>236</v>
      </c>
      <c r="B173" s="387" t="s">
        <v>241</v>
      </c>
      <c r="C173" s="387" t="s">
        <v>312</v>
      </c>
      <c r="D173" s="387" t="s">
        <v>436</v>
      </c>
      <c r="E173" s="387" t="s">
        <v>430</v>
      </c>
      <c r="F173" s="388"/>
      <c r="G173" s="379" t="s">
        <v>236</v>
      </c>
      <c r="H173" s="387" t="s">
        <v>241</v>
      </c>
      <c r="I173" s="387" t="s">
        <v>312</v>
      </c>
      <c r="J173" s="387" t="s">
        <v>436</v>
      </c>
      <c r="K173" s="387" t="s">
        <v>454</v>
      </c>
      <c r="L173" s="388"/>
    </row>
    <row r="174" spans="1:12" ht="13.5" customHeight="1">
      <c r="A174" s="381" t="s">
        <v>455</v>
      </c>
      <c r="B174" s="382">
        <f>I105</f>
        <v>7174684.9678068208</v>
      </c>
      <c r="C174" s="382">
        <f>D109</f>
        <v>1043611.0503979999</v>
      </c>
      <c r="D174" s="382">
        <f>C115+C119+C123+C127+C131+C135+C139+C147+C151+C159+I155</f>
        <v>7161889.4668638408</v>
      </c>
      <c r="E174" s="368">
        <f>SUM(B174:D174)</f>
        <v>15380185.48506866</v>
      </c>
      <c r="F174" s="388" t="s">
        <v>456</v>
      </c>
      <c r="G174" s="381" t="s">
        <v>25</v>
      </c>
      <c r="H174" s="382">
        <v>7122248.8339860998</v>
      </c>
      <c r="I174" s="382">
        <v>1069378.747982</v>
      </c>
      <c r="J174" s="382">
        <v>7332407.7454385096</v>
      </c>
      <c r="K174" s="368">
        <v>15524035.3274066</v>
      </c>
      <c r="L174" s="388" t="s">
        <v>456</v>
      </c>
    </row>
    <row r="175" spans="1:12" ht="13.5" customHeight="1">
      <c r="A175" s="381" t="s">
        <v>457</v>
      </c>
      <c r="B175" s="389">
        <f>B174/$E$174</f>
        <v>0.46648884532453294</v>
      </c>
      <c r="C175" s="389">
        <f>C174/$E$174</f>
        <v>6.7854256465967516E-2</v>
      </c>
      <c r="D175" s="389">
        <f>D174/$E$174</f>
        <v>0.46565689820949963</v>
      </c>
      <c r="E175" s="390">
        <f>SUM(B175:D175)</f>
        <v>1</v>
      </c>
      <c r="G175" s="381" t="s">
        <v>458</v>
      </c>
      <c r="H175" s="389">
        <v>0.45878849691950002</v>
      </c>
      <c r="I175" s="389">
        <v>6.8885359085345904E-2</v>
      </c>
      <c r="J175" s="389">
        <v>0.47232614399515399</v>
      </c>
      <c r="K175" s="390">
        <v>1</v>
      </c>
    </row>
    <row r="176" spans="1:12" ht="13.5" customHeight="1">
      <c r="K176" s="258"/>
    </row>
    <row r="177" spans="1:12" ht="13.5" customHeight="1">
      <c r="A177" s="379" t="s">
        <v>236</v>
      </c>
      <c r="B177" s="387" t="s">
        <v>241</v>
      </c>
      <c r="C177" s="387" t="s">
        <v>312</v>
      </c>
      <c r="D177" s="387" t="s">
        <v>436</v>
      </c>
      <c r="E177" s="387" t="s">
        <v>430</v>
      </c>
      <c r="G177" s="379" t="s">
        <v>236</v>
      </c>
      <c r="H177" s="387" t="s">
        <v>241</v>
      </c>
      <c r="I177" s="387" t="s">
        <v>312</v>
      </c>
      <c r="J177" s="387" t="s">
        <v>436</v>
      </c>
      <c r="K177" s="387" t="s">
        <v>454</v>
      </c>
    </row>
    <row r="178" spans="1:12" ht="13.5" customHeight="1">
      <c r="A178" s="381" t="s">
        <v>455</v>
      </c>
      <c r="B178" s="382">
        <f>B174</f>
        <v>7174684.9678068208</v>
      </c>
      <c r="C178" s="382">
        <f>D110</f>
        <v>1186800.2659680001</v>
      </c>
      <c r="D178" s="382">
        <f>D174</f>
        <v>7161889.4668638408</v>
      </c>
      <c r="E178" s="368">
        <f>SUM(B178:D178)</f>
        <v>15523374.700638661</v>
      </c>
      <c r="F178" s="388" t="s">
        <v>459</v>
      </c>
      <c r="G178" s="381" t="s">
        <v>25</v>
      </c>
      <c r="H178" s="382">
        <v>7122248.8339860998</v>
      </c>
      <c r="I178" s="382">
        <v>1161900.3323520001</v>
      </c>
      <c r="J178" s="382">
        <v>7332407.7454385096</v>
      </c>
      <c r="K178" s="368">
        <v>15616556.9117766</v>
      </c>
      <c r="L178" s="388" t="s">
        <v>459</v>
      </c>
    </row>
    <row r="179" spans="1:12" ht="13.5" customHeight="1">
      <c r="A179" s="381" t="s">
        <v>457</v>
      </c>
      <c r="B179" s="389">
        <f>B178/$E$178</f>
        <v>0.46218590391376951</v>
      </c>
      <c r="C179" s="389">
        <f>C178/$E$178</f>
        <v>7.6452465321163246E-2</v>
      </c>
      <c r="D179" s="389">
        <f>D178/$E$178</f>
        <v>0.46136163076506725</v>
      </c>
      <c r="E179" s="390">
        <f>SUM(B179:D179)</f>
        <v>1</v>
      </c>
      <c r="G179" s="381" t="s">
        <v>458</v>
      </c>
      <c r="H179" s="389">
        <v>0.45607036648489002</v>
      </c>
      <c r="I179" s="389">
        <v>7.44018248654926E-2</v>
      </c>
      <c r="J179" s="389">
        <v>0.46952780864961702</v>
      </c>
      <c r="K179" s="390">
        <v>1</v>
      </c>
    </row>
    <row r="182" spans="1:12" ht="13.5" customHeight="1">
      <c r="G182" s="591" t="s">
        <v>460</v>
      </c>
      <c r="H182" s="591"/>
      <c r="I182" s="591"/>
      <c r="J182" s="591"/>
      <c r="K182" s="591"/>
    </row>
    <row r="183" spans="1:12" ht="13.5" customHeight="1">
      <c r="G183" s="379" t="s">
        <v>236</v>
      </c>
      <c r="H183" s="387" t="s">
        <v>241</v>
      </c>
      <c r="I183" s="387" t="s">
        <v>312</v>
      </c>
      <c r="J183" s="387" t="s">
        <v>436</v>
      </c>
      <c r="K183" s="387" t="s">
        <v>454</v>
      </c>
    </row>
    <row r="184" spans="1:12" ht="13.5" customHeight="1">
      <c r="G184" s="381" t="s">
        <v>25</v>
      </c>
      <c r="H184" s="382">
        <f>B174-H174</f>
        <v>52436.133820720948</v>
      </c>
      <c r="I184" s="382">
        <f t="shared" ref="I184:J184" si="113">C174-I174</f>
        <v>-25767.697584000067</v>
      </c>
      <c r="J184" s="382">
        <f t="shared" si="113"/>
        <v>-170518.2785746688</v>
      </c>
      <c r="K184" s="368">
        <v>15524035.3274066</v>
      </c>
    </row>
    <row r="185" spans="1:12" ht="13.5" customHeight="1">
      <c r="I185" s="382">
        <f>C178-I178</f>
        <v>24899.933615999995</v>
      </c>
    </row>
  </sheetData>
  <mergeCells count="42">
    <mergeCell ref="B165:C165"/>
    <mergeCell ref="B169:C169"/>
    <mergeCell ref="G172:J172"/>
    <mergeCell ref="G182:K182"/>
    <mergeCell ref="B161:C161"/>
    <mergeCell ref="B107:D107"/>
    <mergeCell ref="A112:C112"/>
    <mergeCell ref="B113:C113"/>
    <mergeCell ref="B117:C117"/>
    <mergeCell ref="B121:C121"/>
    <mergeCell ref="B145:C145"/>
    <mergeCell ref="B149:C149"/>
    <mergeCell ref="B153:I153"/>
    <mergeCell ref="B157:C157"/>
    <mergeCell ref="B125:C125"/>
    <mergeCell ref="B129:C129"/>
    <mergeCell ref="B133:C133"/>
    <mergeCell ref="B137:C137"/>
    <mergeCell ref="B141:C141"/>
    <mergeCell ref="AD99:AE99"/>
    <mergeCell ref="B100:D100"/>
    <mergeCell ref="AD100:AE100"/>
    <mergeCell ref="B103:I103"/>
    <mergeCell ref="A1:Q1"/>
    <mergeCell ref="I2:AE2"/>
    <mergeCell ref="A2:A4"/>
    <mergeCell ref="F2:H3"/>
    <mergeCell ref="A99:A100"/>
    <mergeCell ref="B99:D99"/>
    <mergeCell ref="E2:E4"/>
    <mergeCell ref="AF4:AM4"/>
    <mergeCell ref="B2:B4"/>
    <mergeCell ref="C2:C4"/>
    <mergeCell ref="D2:D4"/>
    <mergeCell ref="AF2:AM2"/>
    <mergeCell ref="I3:K3"/>
    <mergeCell ref="L3:N3"/>
    <mergeCell ref="O3:Q3"/>
    <mergeCell ref="R3:U3"/>
    <mergeCell ref="V3:Y3"/>
    <mergeCell ref="Z3:AB3"/>
    <mergeCell ref="AC3:AE3"/>
  </mergeCells>
  <phoneticPr fontId="89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31" max="53" man="1"/>
  </colBreak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14"/>
  <sheetViews>
    <sheetView showOutlineSymbols="0" topLeftCell="A64" zoomScale="85" zoomScaleNormal="85" workbookViewId="0">
      <selection activeCell="H88" sqref="H88"/>
    </sheetView>
  </sheetViews>
  <sheetFormatPr defaultColWidth="8.75" defaultRowHeight="15"/>
  <cols>
    <col min="1" max="1" width="9" customWidth="1"/>
    <col min="2" max="2" width="18.25" customWidth="1"/>
    <col min="3" max="3" width="19.25" customWidth="1"/>
    <col min="4" max="4" width="18.625" customWidth="1"/>
    <col min="5" max="5" width="20" customWidth="1"/>
    <col min="6" max="6" width="31.75" customWidth="1"/>
    <col min="7" max="7" width="14.625" customWidth="1"/>
    <col min="8" max="8" width="9.5" customWidth="1"/>
    <col min="9" max="9" width="10.75" customWidth="1"/>
    <col min="10" max="10" width="11.5" customWidth="1"/>
    <col min="11" max="11" width="21.75" customWidth="1"/>
    <col min="12" max="13" width="14.25" customWidth="1"/>
    <col min="14" max="14" width="10.375" customWidth="1"/>
  </cols>
  <sheetData>
    <row r="1" spans="1:13" ht="28.9" customHeight="1">
      <c r="A1" s="616" t="s">
        <v>461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</row>
    <row r="2" spans="1:13" s="229" customFormat="1" ht="38.65" customHeight="1">
      <c r="A2" s="230" t="s">
        <v>462</v>
      </c>
      <c r="B2" s="230" t="s">
        <v>463</v>
      </c>
      <c r="C2" s="230" t="s">
        <v>464</v>
      </c>
      <c r="D2" s="230" t="s">
        <v>465</v>
      </c>
      <c r="E2" s="230" t="s">
        <v>466</v>
      </c>
      <c r="F2" s="230" t="s">
        <v>467</v>
      </c>
      <c r="G2" s="231" t="s">
        <v>468</v>
      </c>
      <c r="H2" s="231" t="s">
        <v>469</v>
      </c>
      <c r="I2" s="231" t="s">
        <v>470</v>
      </c>
      <c r="J2" s="232" t="s">
        <v>471</v>
      </c>
      <c r="K2" s="231" t="s">
        <v>472</v>
      </c>
      <c r="L2" s="231" t="s">
        <v>473</v>
      </c>
      <c r="M2" s="233" t="s">
        <v>474</v>
      </c>
    </row>
    <row r="3" spans="1:13">
      <c r="A3" s="234">
        <v>1</v>
      </c>
      <c r="B3" s="235" t="str">
        <f>表1温室气体盘查表!C5</f>
        <v>天然气燃烧</v>
      </c>
      <c r="C3" s="235" t="str">
        <f>表1温室气体盘查表!D5</f>
        <v>热处理炉（加热炉）</v>
      </c>
      <c r="D3" s="236" t="s">
        <v>475</v>
      </c>
      <c r="E3" s="236" t="s">
        <v>476</v>
      </c>
      <c r="F3" s="236" t="s">
        <v>477</v>
      </c>
      <c r="G3" s="237">
        <f t="shared" ref="G3" si="0">IF(D3="自动连续量测",6,IF(D3="定期量测/抄表/铭牌",3,1))</f>
        <v>6</v>
      </c>
      <c r="H3" s="238">
        <f t="shared" ref="H3" si="1">IF(E3="量测/质量平衡排放因子",6,IF(E3="制程/设备排放因子",5,IF(E3="制造商提供的排放因子",4,IF(E3="区域排放因子",3,IF(E3="国家排放因子",2,1)))))</f>
        <v>1</v>
      </c>
      <c r="I3" s="237">
        <f t="shared" ref="I3" si="2">IF(F3="校准且合格",6,IF(F3="未校准",1,3))</f>
        <v>6</v>
      </c>
      <c r="J3" s="239">
        <f t="shared" ref="J3" si="3">AVERAGE(G3:I3)</f>
        <v>4.333333333333333</v>
      </c>
      <c r="K3" s="240">
        <f>表1温室气体盘查表!AM5</f>
        <v>31469.159151587519</v>
      </c>
      <c r="L3" s="241">
        <f t="shared" ref="L3:L34" si="4">K3/$K$96</f>
        <v>2.046084501525569E-3</v>
      </c>
      <c r="M3" s="242">
        <f>J3*L3</f>
        <v>8.8663661732774658E-3</v>
      </c>
    </row>
    <row r="4" spans="1:13">
      <c r="A4" s="234">
        <v>2</v>
      </c>
      <c r="B4" s="235" t="str">
        <f>表1温室气体盘查表!C6</f>
        <v>液化石油气燃烧</v>
      </c>
      <c r="C4" s="235" t="str">
        <f>表1温室气体盘查表!D6</f>
        <v>冶钢宾馆</v>
      </c>
      <c r="D4" s="236" t="s">
        <v>478</v>
      </c>
      <c r="E4" s="236" t="s">
        <v>476</v>
      </c>
      <c r="F4" s="236" t="s">
        <v>477</v>
      </c>
      <c r="G4" s="237">
        <f t="shared" ref="G4:G62" si="5">IF(D4="自动连续量测",6,IF(D4="定期量测/抄表/铭牌",3,1))</f>
        <v>3</v>
      </c>
      <c r="H4" s="238">
        <f t="shared" ref="H4:H62" si="6">IF(E4="量测/质量平衡排放因子",6,IF(E4="制程/设备排放因子",5,IF(E4="制造商提供的排放因子",4,IF(E4="区域排放因子",3,IF(E4="国家排放因子",2,1)))))</f>
        <v>1</v>
      </c>
      <c r="I4" s="237">
        <f t="shared" ref="I4:I62" si="7">IF(F4="校准且合格",6,IF(F4="未校准",1,3))</f>
        <v>6</v>
      </c>
      <c r="J4" s="239">
        <f t="shared" ref="J4:J62" si="8">AVERAGE(G4:I4)</f>
        <v>3.3333333333333335</v>
      </c>
      <c r="K4" s="240">
        <f>表1温室气体盘查表!AM6</f>
        <v>29.286595265285126</v>
      </c>
      <c r="L4" s="241">
        <f t="shared" si="4"/>
        <v>1.904176987573851E-6</v>
      </c>
      <c r="M4" s="242">
        <f t="shared" ref="M4:M62" si="9">J4*L4</f>
        <v>6.3472566252461705E-6</v>
      </c>
    </row>
    <row r="5" spans="1:13">
      <c r="A5" s="234">
        <v>3</v>
      </c>
      <c r="B5" s="235" t="str">
        <f>表1温室气体盘查表!C7</f>
        <v>烟煤燃烧</v>
      </c>
      <c r="C5" s="235" t="str">
        <f>表1温室气体盘查表!D7</f>
        <v>高炉</v>
      </c>
      <c r="D5" s="236" t="s">
        <v>475</v>
      </c>
      <c r="E5" s="236" t="s">
        <v>476</v>
      </c>
      <c r="F5" s="236" t="s">
        <v>477</v>
      </c>
      <c r="G5" s="237">
        <f t="shared" si="5"/>
        <v>6</v>
      </c>
      <c r="H5" s="238">
        <f t="shared" si="6"/>
        <v>1</v>
      </c>
      <c r="I5" s="237">
        <f t="shared" si="7"/>
        <v>6</v>
      </c>
      <c r="J5" s="239">
        <f t="shared" si="8"/>
        <v>4.333333333333333</v>
      </c>
      <c r="K5" s="240">
        <f>表1温室气体盘查表!AM7</f>
        <v>749580.33294359304</v>
      </c>
      <c r="L5" s="241">
        <f t="shared" si="4"/>
        <v>4.8736755071731593E-2</v>
      </c>
      <c r="M5" s="242">
        <f t="shared" si="9"/>
        <v>0.21119260531083689</v>
      </c>
    </row>
    <row r="6" spans="1:13">
      <c r="A6" s="234">
        <v>4</v>
      </c>
      <c r="B6" s="235" t="str">
        <f>表1温室气体盘查表!C8</f>
        <v>无烟煤燃烧</v>
      </c>
      <c r="C6" s="235" t="str">
        <f>表1温室气体盘查表!D8</f>
        <v>高炉、烧结</v>
      </c>
      <c r="D6" s="236" t="s">
        <v>475</v>
      </c>
      <c r="E6" s="236" t="s">
        <v>476</v>
      </c>
      <c r="F6" s="236" t="s">
        <v>477</v>
      </c>
      <c r="G6" s="237">
        <f t="shared" si="5"/>
        <v>6</v>
      </c>
      <c r="H6" s="238">
        <f t="shared" si="6"/>
        <v>1</v>
      </c>
      <c r="I6" s="237">
        <f t="shared" si="7"/>
        <v>6</v>
      </c>
      <c r="J6" s="239">
        <f t="shared" si="8"/>
        <v>4.333333333333333</v>
      </c>
      <c r="K6" s="240">
        <f>表1温室气体盘查表!AM8</f>
        <v>820622.20375653554</v>
      </c>
      <c r="L6" s="241">
        <f t="shared" si="4"/>
        <v>5.3355806700329383E-2</v>
      </c>
      <c r="M6" s="242">
        <f t="shared" si="9"/>
        <v>0.23120849570142732</v>
      </c>
    </row>
    <row r="7" spans="1:13">
      <c r="A7" s="234">
        <v>5</v>
      </c>
      <c r="B7" s="235" t="str">
        <f>表1温室气体盘查表!C9</f>
        <v>洗精煤燃烧</v>
      </c>
      <c r="C7" s="235" t="str">
        <f>表1温室气体盘查表!D9</f>
        <v>焦炉</v>
      </c>
      <c r="D7" s="236" t="s">
        <v>475</v>
      </c>
      <c r="E7" s="236" t="s">
        <v>476</v>
      </c>
      <c r="F7" s="236" t="s">
        <v>477</v>
      </c>
      <c r="G7" s="237">
        <f t="shared" si="5"/>
        <v>6</v>
      </c>
      <c r="H7" s="238">
        <f t="shared" si="6"/>
        <v>1</v>
      </c>
      <c r="I7" s="237">
        <f t="shared" si="7"/>
        <v>6</v>
      </c>
      <c r="J7" s="239">
        <f t="shared" si="8"/>
        <v>4.333333333333333</v>
      </c>
      <c r="K7" s="240">
        <f>表1温室气体盘查表!AM9</f>
        <v>5189313.3024330754</v>
      </c>
      <c r="L7" s="241">
        <f t="shared" si="4"/>
        <v>0.33740251751000949</v>
      </c>
      <c r="M7" s="242">
        <f t="shared" si="9"/>
        <v>1.4620775758767077</v>
      </c>
    </row>
    <row r="8" spans="1:13">
      <c r="A8" s="234">
        <v>6</v>
      </c>
      <c r="B8" s="235" t="str">
        <f>表1温室气体盘查表!C10</f>
        <v>焦炭燃烧</v>
      </c>
      <c r="C8" s="235" t="str">
        <f>表1温室气体盘查表!D10</f>
        <v>高炉</v>
      </c>
      <c r="D8" s="236" t="s">
        <v>475</v>
      </c>
      <c r="E8" s="236" t="s">
        <v>476</v>
      </c>
      <c r="F8" s="236" t="s">
        <v>477</v>
      </c>
      <c r="G8" s="237">
        <f t="shared" si="5"/>
        <v>6</v>
      </c>
      <c r="H8" s="238">
        <f t="shared" si="6"/>
        <v>1</v>
      </c>
      <c r="I8" s="237">
        <f t="shared" si="7"/>
        <v>6</v>
      </c>
      <c r="J8" s="239">
        <f t="shared" si="8"/>
        <v>4.333333333333333</v>
      </c>
      <c r="K8" s="240">
        <f>表1温室气体盘查表!AM10</f>
        <v>669939.56476201338</v>
      </c>
      <c r="L8" s="241">
        <f t="shared" si="4"/>
        <v>4.3558614128054667E-2</v>
      </c>
      <c r="M8" s="242">
        <f t="shared" si="9"/>
        <v>0.18875399455490355</v>
      </c>
    </row>
    <row r="9" spans="1:13">
      <c r="A9" s="234">
        <v>7</v>
      </c>
      <c r="B9" s="235" t="str">
        <f>表1温室气体盘查表!C11</f>
        <v>焦炉煤气燃烧</v>
      </c>
      <c r="C9" s="235" t="str">
        <f>表1温室气体盘查表!D11</f>
        <v>外售</v>
      </c>
      <c r="D9" s="236" t="s">
        <v>475</v>
      </c>
      <c r="E9" s="236" t="s">
        <v>476</v>
      </c>
      <c r="F9" s="236" t="s">
        <v>477</v>
      </c>
      <c r="G9" s="237">
        <f t="shared" si="5"/>
        <v>6</v>
      </c>
      <c r="H9" s="238">
        <f t="shared" si="6"/>
        <v>1</v>
      </c>
      <c r="I9" s="237">
        <f t="shared" si="7"/>
        <v>6</v>
      </c>
      <c r="J9" s="239">
        <f t="shared" si="8"/>
        <v>4.333333333333333</v>
      </c>
      <c r="K9" s="240">
        <f>表1温室气体盘查表!AM11</f>
        <v>-6034.9101733989937</v>
      </c>
      <c r="L9" s="241">
        <f t="shared" si="4"/>
        <v>-3.9238214514758496E-4</v>
      </c>
      <c r="M9" s="242">
        <f t="shared" si="9"/>
        <v>-1.7003226289728681E-3</v>
      </c>
    </row>
    <row r="10" spans="1:13">
      <c r="A10" s="234">
        <v>8</v>
      </c>
      <c r="B10" s="235" t="str">
        <f>表1温室气体盘查表!C12</f>
        <v>柴油燃烧</v>
      </c>
      <c r="C10" s="235" t="str">
        <f>表1温室气体盘查表!D12</f>
        <v>场内运输</v>
      </c>
      <c r="D10" s="236" t="s">
        <v>478</v>
      </c>
      <c r="E10" s="236" t="s">
        <v>476</v>
      </c>
      <c r="F10" s="236" t="s">
        <v>479</v>
      </c>
      <c r="G10" s="237">
        <f t="shared" si="5"/>
        <v>3</v>
      </c>
      <c r="H10" s="238">
        <f t="shared" si="6"/>
        <v>1</v>
      </c>
      <c r="I10" s="237">
        <f t="shared" si="7"/>
        <v>3</v>
      </c>
      <c r="J10" s="239">
        <f t="shared" si="8"/>
        <v>2.3333333333333335</v>
      </c>
      <c r="K10" s="240">
        <f>表1温室气体盘查表!AM12</f>
        <v>4476.2869890666807</v>
      </c>
      <c r="L10" s="241">
        <f t="shared" si="4"/>
        <v>2.9104245806478292E-4</v>
      </c>
      <c r="M10" s="242">
        <f t="shared" si="9"/>
        <v>6.7909906881782683E-4</v>
      </c>
    </row>
    <row r="11" spans="1:13">
      <c r="A11" s="234">
        <v>9</v>
      </c>
      <c r="B11" s="235" t="str">
        <f>表1温室气体盘查表!C13</f>
        <v>汽油燃烧</v>
      </c>
      <c r="C11" s="235" t="str">
        <f>表1温室气体盘查表!D13</f>
        <v>公务车</v>
      </c>
      <c r="D11" s="236" t="s">
        <v>478</v>
      </c>
      <c r="E11" s="236" t="s">
        <v>476</v>
      </c>
      <c r="F11" s="236" t="s">
        <v>479</v>
      </c>
      <c r="G11" s="237">
        <f t="shared" si="5"/>
        <v>3</v>
      </c>
      <c r="H11" s="238">
        <f t="shared" si="6"/>
        <v>1</v>
      </c>
      <c r="I11" s="237">
        <f t="shared" si="7"/>
        <v>3</v>
      </c>
      <c r="J11" s="239">
        <f t="shared" si="8"/>
        <v>2.3333333333333335</v>
      </c>
      <c r="K11" s="240">
        <f>表1温室气体盘查表!AM13</f>
        <v>144.22983408300601</v>
      </c>
      <c r="L11" s="241">
        <f t="shared" si="4"/>
        <v>9.3776394454427531E-6</v>
      </c>
      <c r="M11" s="242">
        <f t="shared" si="9"/>
        <v>2.1881158706033093E-5</v>
      </c>
    </row>
    <row r="12" spans="1:13" ht="18" customHeight="1">
      <c r="A12" s="234">
        <v>10</v>
      </c>
      <c r="B12" s="235" t="str">
        <f>表1温室气体盘查表!C14</f>
        <v>制冷剂逸散（R32）</v>
      </c>
      <c r="C12" s="235" t="str">
        <f>表1温室气体盘查表!D14</f>
        <v>分体式空调</v>
      </c>
      <c r="D12" s="236" t="s">
        <v>478</v>
      </c>
      <c r="E12" s="236" t="s">
        <v>480</v>
      </c>
      <c r="F12" s="236" t="s">
        <v>477</v>
      </c>
      <c r="G12" s="237">
        <f t="shared" si="5"/>
        <v>3</v>
      </c>
      <c r="H12" s="238">
        <f t="shared" si="6"/>
        <v>2</v>
      </c>
      <c r="I12" s="237">
        <f t="shared" si="7"/>
        <v>6</v>
      </c>
      <c r="J12" s="239">
        <f t="shared" si="8"/>
        <v>3.6666666666666665</v>
      </c>
      <c r="K12" s="240">
        <f>表1温室气体盘查表!AM14</f>
        <v>570.54</v>
      </c>
      <c r="L12" s="241">
        <f t="shared" si="4"/>
        <v>3.7095781488063941E-5</v>
      </c>
      <c r="M12" s="242">
        <f t="shared" si="9"/>
        <v>1.3601786545623445E-4</v>
      </c>
    </row>
    <row r="13" spans="1:13" ht="18" customHeight="1">
      <c r="A13" s="234">
        <v>11</v>
      </c>
      <c r="B13" s="235" t="str">
        <f>表1温室气体盘查表!C15</f>
        <v>CO2逸散</v>
      </c>
      <c r="C13" s="235" t="str">
        <f>表1温室气体盘查表!D15</f>
        <v>二氧化碳灭火器</v>
      </c>
      <c r="D13" s="236" t="s">
        <v>478</v>
      </c>
      <c r="E13" s="236" t="s">
        <v>480</v>
      </c>
      <c r="F13" s="236" t="s">
        <v>477</v>
      </c>
      <c r="G13" s="237">
        <f t="shared" si="5"/>
        <v>3</v>
      </c>
      <c r="H13" s="238">
        <f t="shared" si="6"/>
        <v>2</v>
      </c>
      <c r="I13" s="237">
        <f t="shared" si="7"/>
        <v>6</v>
      </c>
      <c r="J13" s="239">
        <f t="shared" si="8"/>
        <v>3.6666666666666665</v>
      </c>
      <c r="K13" s="240">
        <f>表1温室气体盘查表!AM15</f>
        <v>0.56000000000000005</v>
      </c>
      <c r="L13" s="241">
        <f t="shared" si="4"/>
        <v>3.6410484161173292E-8</v>
      </c>
      <c r="M13" s="242">
        <f t="shared" si="9"/>
        <v>1.3350510859096874E-7</v>
      </c>
    </row>
    <row r="14" spans="1:13" ht="18" customHeight="1">
      <c r="A14" s="234">
        <v>12</v>
      </c>
      <c r="B14" s="235" t="str">
        <f>表1温室气体盘查表!C16</f>
        <v>CH4逸散</v>
      </c>
      <c r="C14" s="235" t="str">
        <f>表1温室气体盘查表!D16</f>
        <v>化粪池</v>
      </c>
      <c r="D14" s="236" t="s">
        <v>478</v>
      </c>
      <c r="E14" s="236" t="s">
        <v>476</v>
      </c>
      <c r="F14" s="236" t="s">
        <v>477</v>
      </c>
      <c r="G14" s="237">
        <f t="shared" si="5"/>
        <v>3</v>
      </c>
      <c r="H14" s="238">
        <f t="shared" si="6"/>
        <v>1</v>
      </c>
      <c r="I14" s="237">
        <f t="shared" si="7"/>
        <v>6</v>
      </c>
      <c r="J14" s="239">
        <f t="shared" si="8"/>
        <v>3.3333333333333335</v>
      </c>
      <c r="K14" s="240">
        <f>表1温室气体盘查表!AM16</f>
        <v>116.30951999999999</v>
      </c>
      <c r="L14" s="241">
        <f t="shared" si="4"/>
        <v>7.5622963138458345E-6</v>
      </c>
      <c r="M14" s="242">
        <f t="shared" si="9"/>
        <v>2.5207654379486115E-5</v>
      </c>
    </row>
    <row r="15" spans="1:13" ht="18" customHeight="1">
      <c r="A15" s="234">
        <v>13</v>
      </c>
      <c r="B15" s="235" t="str">
        <f>表1温室气体盘查表!C17</f>
        <v>CH4逸散</v>
      </c>
      <c r="C15" s="235" t="str">
        <f>表1温室气体盘查表!D17</f>
        <v>耗氧池</v>
      </c>
      <c r="D15" s="236" t="s">
        <v>478</v>
      </c>
      <c r="E15" s="236" t="s">
        <v>480</v>
      </c>
      <c r="F15" s="236" t="s">
        <v>477</v>
      </c>
      <c r="G15" s="237">
        <f t="shared" si="5"/>
        <v>3</v>
      </c>
      <c r="H15" s="238">
        <f t="shared" si="6"/>
        <v>2</v>
      </c>
      <c r="I15" s="237">
        <f t="shared" si="7"/>
        <v>6</v>
      </c>
      <c r="J15" s="239">
        <f t="shared" si="8"/>
        <v>3.6666666666666665</v>
      </c>
      <c r="K15" s="240">
        <f>表1温室气体盘查表!AM17</f>
        <v>8408.8577249999998</v>
      </c>
      <c r="L15" s="241">
        <f t="shared" si="4"/>
        <v>5.467331803744145E-4</v>
      </c>
      <c r="M15" s="242">
        <f t="shared" si="9"/>
        <v>2.0046883280395197E-3</v>
      </c>
    </row>
    <row r="16" spans="1:13" ht="18" customHeight="1">
      <c r="A16" s="234">
        <v>14</v>
      </c>
      <c r="B16" s="235" t="str">
        <f>表1温室气体盘查表!C18</f>
        <v>白云石</v>
      </c>
      <c r="C16" s="235" t="str">
        <f>表1温室气体盘查表!D18</f>
        <v>高炉</v>
      </c>
      <c r="D16" s="236" t="s">
        <v>478</v>
      </c>
      <c r="E16" s="236" t="s">
        <v>480</v>
      </c>
      <c r="F16" s="236" t="s">
        <v>477</v>
      </c>
      <c r="G16" s="237">
        <f t="shared" si="5"/>
        <v>3</v>
      </c>
      <c r="H16" s="238">
        <f t="shared" si="6"/>
        <v>2</v>
      </c>
      <c r="I16" s="237">
        <f t="shared" si="7"/>
        <v>6</v>
      </c>
      <c r="J16" s="239">
        <f t="shared" si="8"/>
        <v>3.6666666666666665</v>
      </c>
      <c r="K16" s="240">
        <f>表1温室气体盘查表!AM18</f>
        <v>18406.658199999998</v>
      </c>
      <c r="L16" s="241">
        <f t="shared" si="4"/>
        <v>1.1967773872343399E-3</v>
      </c>
      <c r="M16" s="242">
        <f t="shared" si="9"/>
        <v>4.388183753192579E-3</v>
      </c>
    </row>
    <row r="17" spans="1:13" ht="18" customHeight="1">
      <c r="A17" s="234">
        <v>15</v>
      </c>
      <c r="B17" s="235" t="str">
        <f>表1温室气体盘查表!C19</f>
        <v>电极</v>
      </c>
      <c r="C17" s="235" t="str">
        <f>表1温室气体盘查表!D19</f>
        <v>炼钢</v>
      </c>
      <c r="D17" s="236" t="s">
        <v>478</v>
      </c>
      <c r="E17" s="236" t="s">
        <v>476</v>
      </c>
      <c r="F17" s="236" t="s">
        <v>477</v>
      </c>
      <c r="G17" s="237">
        <f t="shared" si="5"/>
        <v>3</v>
      </c>
      <c r="H17" s="238">
        <f t="shared" si="6"/>
        <v>1</v>
      </c>
      <c r="I17" s="237">
        <f t="shared" si="7"/>
        <v>6</v>
      </c>
      <c r="J17" s="239">
        <f t="shared" si="8"/>
        <v>3.3333333333333335</v>
      </c>
      <c r="K17" s="240">
        <f>表1温室气体盘查表!AM19</f>
        <v>18334.963349999998</v>
      </c>
      <c r="L17" s="241">
        <f t="shared" si="4"/>
        <v>1.1921158797336922E-3</v>
      </c>
      <c r="M17" s="242">
        <f t="shared" si="9"/>
        <v>3.9737195991123081E-3</v>
      </c>
    </row>
    <row r="18" spans="1:13" ht="18" customHeight="1">
      <c r="A18" s="234">
        <v>16</v>
      </c>
      <c r="B18" s="235" t="str">
        <f>表1温室气体盘查表!C20</f>
        <v>废钢</v>
      </c>
      <c r="C18" s="235" t="str">
        <f>表1温室气体盘查表!D20</f>
        <v>炼钢</v>
      </c>
      <c r="D18" s="236" t="s">
        <v>478</v>
      </c>
      <c r="E18" s="236" t="s">
        <v>480</v>
      </c>
      <c r="F18" s="236" t="s">
        <v>477</v>
      </c>
      <c r="G18" s="237">
        <f t="shared" si="5"/>
        <v>3</v>
      </c>
      <c r="H18" s="238">
        <f t="shared" si="6"/>
        <v>2</v>
      </c>
      <c r="I18" s="237">
        <f t="shared" si="7"/>
        <v>6</v>
      </c>
      <c r="J18" s="239">
        <f t="shared" si="8"/>
        <v>3.6666666666666665</v>
      </c>
      <c r="K18" s="240">
        <f>表1温室气体盘查表!AM20</f>
        <v>41425.779419999992</v>
      </c>
      <c r="L18" s="241">
        <f t="shared" si="4"/>
        <v>2.6934512239931573E-3</v>
      </c>
      <c r="M18" s="242">
        <f t="shared" si="9"/>
        <v>9.8759878213082429E-3</v>
      </c>
    </row>
    <row r="19" spans="1:13" ht="18" customHeight="1">
      <c r="A19" s="234">
        <v>17</v>
      </c>
      <c r="B19" s="235" t="str">
        <f>表1温室气体盘查表!C21</f>
        <v>高碳锰铁</v>
      </c>
      <c r="C19" s="235" t="str">
        <f>表1温室气体盘查表!D21</f>
        <v>炼钢</v>
      </c>
      <c r="D19" s="236" t="s">
        <v>478</v>
      </c>
      <c r="E19" s="236" t="s">
        <v>480</v>
      </c>
      <c r="F19" s="236" t="s">
        <v>477</v>
      </c>
      <c r="G19" s="237">
        <f t="shared" si="5"/>
        <v>3</v>
      </c>
      <c r="H19" s="238">
        <f t="shared" si="6"/>
        <v>2</v>
      </c>
      <c r="I19" s="237">
        <f t="shared" si="7"/>
        <v>6</v>
      </c>
      <c r="J19" s="239">
        <f t="shared" si="8"/>
        <v>3.6666666666666665</v>
      </c>
      <c r="K19" s="240">
        <f>表1温室气体盘查表!AM21</f>
        <v>11407.87175</v>
      </c>
      <c r="L19" s="241">
        <f t="shared" si="4"/>
        <v>7.4172523868941279E-4</v>
      </c>
      <c r="M19" s="242">
        <f t="shared" si="9"/>
        <v>2.7196592085278466E-3</v>
      </c>
    </row>
    <row r="20" spans="1:13" ht="18" customHeight="1">
      <c r="A20" s="234">
        <v>18</v>
      </c>
      <c r="B20" s="235" t="str">
        <f>表1温室气体盘查表!C22</f>
        <v>锰硅合金</v>
      </c>
      <c r="C20" s="235" t="str">
        <f>表1温室气体盘查表!D22</f>
        <v>炼钢</v>
      </c>
      <c r="D20" s="236" t="s">
        <v>478</v>
      </c>
      <c r="E20" s="236" t="s">
        <v>480</v>
      </c>
      <c r="F20" s="236" t="s">
        <v>477</v>
      </c>
      <c r="G20" s="237">
        <f t="shared" ref="G20" si="10">IF(D20="自动连续量测",6,IF(D20="定期量测/抄表/铭牌",3,1))</f>
        <v>3</v>
      </c>
      <c r="H20" s="238">
        <f t="shared" ref="H20" si="11">IF(E20="量测/质量平衡排放因子",6,IF(E20="制程/设备排放因子",5,IF(E20="制造商提供的排放因子",4,IF(E20="区域排放因子",3,IF(E20="国家排放因子",2,1)))))</f>
        <v>2</v>
      </c>
      <c r="I20" s="237">
        <f t="shared" ref="I20" si="12">IF(F20="校准且合格",6,IF(F20="未校准",1,3))</f>
        <v>6</v>
      </c>
      <c r="J20" s="239">
        <f t="shared" ref="J20" si="13">AVERAGE(G20:I20)</f>
        <v>3.6666666666666665</v>
      </c>
      <c r="K20" s="240">
        <f>表1温室气体盘查表!AM22</f>
        <v>265.66748000000001</v>
      </c>
      <c r="L20" s="241">
        <f t="shared" si="4"/>
        <v>1.727335995121218E-5</v>
      </c>
      <c r="M20" s="242">
        <f t="shared" ref="M20" si="14">J20*L20</f>
        <v>6.3335653154444663E-5</v>
      </c>
    </row>
    <row r="21" spans="1:13" ht="18" customHeight="1">
      <c r="A21" s="234">
        <v>19</v>
      </c>
      <c r="B21" s="235" t="str">
        <f>表1温室气体盘查表!C23</f>
        <v>镍铁</v>
      </c>
      <c r="C21" s="235" t="str">
        <f>表1温室气体盘查表!D23</f>
        <v>炼钢</v>
      </c>
      <c r="D21" s="236" t="s">
        <v>478</v>
      </c>
      <c r="E21" s="236" t="s">
        <v>480</v>
      </c>
      <c r="F21" s="236" t="s">
        <v>477</v>
      </c>
      <c r="G21" s="237">
        <f t="shared" si="5"/>
        <v>3</v>
      </c>
      <c r="H21" s="238">
        <f t="shared" si="6"/>
        <v>2</v>
      </c>
      <c r="I21" s="237">
        <f t="shared" si="7"/>
        <v>6</v>
      </c>
      <c r="J21" s="239">
        <f t="shared" si="8"/>
        <v>3.6666666666666665</v>
      </c>
      <c r="K21" s="240">
        <f>表1温室气体盘查表!AM23</f>
        <v>367.89839999999998</v>
      </c>
      <c r="L21" s="241">
        <f t="shared" si="4"/>
        <v>2.3920283689501775E-5</v>
      </c>
      <c r="M21" s="242">
        <f t="shared" si="9"/>
        <v>8.7707706861506508E-5</v>
      </c>
    </row>
    <row r="22" spans="1:13" ht="18" customHeight="1">
      <c r="A22" s="234">
        <v>20</v>
      </c>
      <c r="B22" s="235" t="str">
        <f>表1温室气体盘查表!C24</f>
        <v>高碳铬铁</v>
      </c>
      <c r="C22" s="235" t="str">
        <f>表1温室气体盘查表!D24</f>
        <v>炼钢</v>
      </c>
      <c r="D22" s="236" t="s">
        <v>478</v>
      </c>
      <c r="E22" s="236" t="s">
        <v>480</v>
      </c>
      <c r="F22" s="236" t="s">
        <v>477</v>
      </c>
      <c r="G22" s="237">
        <f t="shared" si="5"/>
        <v>3</v>
      </c>
      <c r="H22" s="238">
        <f t="shared" si="6"/>
        <v>2</v>
      </c>
      <c r="I22" s="237">
        <f t="shared" si="7"/>
        <v>6</v>
      </c>
      <c r="J22" s="239">
        <f t="shared" si="8"/>
        <v>3.6666666666666665</v>
      </c>
      <c r="K22" s="240">
        <f>表1温室气体盘查表!AM24</f>
        <v>13992.429239999998</v>
      </c>
      <c r="L22" s="241">
        <f t="shared" si="4"/>
        <v>9.097698628917105E-4</v>
      </c>
      <c r="M22" s="242">
        <f t="shared" si="9"/>
        <v>3.3358228306029384E-3</v>
      </c>
    </row>
    <row r="23" spans="1:13" ht="18" customHeight="1">
      <c r="A23" s="234">
        <v>21</v>
      </c>
      <c r="B23" s="235" t="str">
        <f>表1温室气体盘查表!C25</f>
        <v>硅铁</v>
      </c>
      <c r="C23" s="235" t="str">
        <f>表1温室气体盘查表!D25</f>
        <v>炼钢</v>
      </c>
      <c r="D23" s="236" t="s">
        <v>478</v>
      </c>
      <c r="E23" s="236" t="s">
        <v>480</v>
      </c>
      <c r="F23" s="236" t="s">
        <v>477</v>
      </c>
      <c r="G23" s="237">
        <f t="shared" si="5"/>
        <v>3</v>
      </c>
      <c r="H23" s="238">
        <f t="shared" si="6"/>
        <v>2</v>
      </c>
      <c r="I23" s="237">
        <f t="shared" si="7"/>
        <v>6</v>
      </c>
      <c r="J23" s="239">
        <f t="shared" si="8"/>
        <v>3.6666666666666665</v>
      </c>
      <c r="K23" s="240">
        <f>表1温室气体盘查表!AM25</f>
        <v>82.656559999999999</v>
      </c>
      <c r="L23" s="241">
        <f t="shared" si="4"/>
        <v>5.3742238726733382E-6</v>
      </c>
      <c r="M23" s="242">
        <f t="shared" si="9"/>
        <v>1.9705487533135572E-5</v>
      </c>
    </row>
    <row r="24" spans="1:13" ht="18" customHeight="1">
      <c r="A24" s="234">
        <v>22</v>
      </c>
      <c r="B24" s="235" t="str">
        <f>表1温室气体盘查表!C26</f>
        <v>钼铁</v>
      </c>
      <c r="C24" s="235" t="str">
        <f>表1温室气体盘查表!D26</f>
        <v>炼钢</v>
      </c>
      <c r="D24" s="236" t="s">
        <v>478</v>
      </c>
      <c r="E24" s="236" t="s">
        <v>480</v>
      </c>
      <c r="F24" s="236" t="s">
        <v>477</v>
      </c>
      <c r="G24" s="237">
        <f t="shared" si="5"/>
        <v>3</v>
      </c>
      <c r="H24" s="238">
        <f t="shared" si="6"/>
        <v>2</v>
      </c>
      <c r="I24" s="237">
        <f t="shared" si="7"/>
        <v>6</v>
      </c>
      <c r="J24" s="239">
        <f t="shared" si="8"/>
        <v>3.6666666666666665</v>
      </c>
      <c r="K24" s="240">
        <f>表1温室气体盘查表!AM26</f>
        <v>130.83696</v>
      </c>
      <c r="L24" s="241">
        <f t="shared" si="4"/>
        <v>8.5068518924572549E-6</v>
      </c>
      <c r="M24" s="242">
        <f t="shared" si="9"/>
        <v>3.1191790272343266E-5</v>
      </c>
    </row>
    <row r="25" spans="1:13" ht="18" customHeight="1">
      <c r="A25" s="234">
        <v>23</v>
      </c>
      <c r="B25" s="235" t="str">
        <f>表1温室气体盘查表!C27</f>
        <v>粗钢</v>
      </c>
      <c r="C25" s="235" t="str">
        <f>表1温室气体盘查表!D27</f>
        <v>固碳产品</v>
      </c>
      <c r="D25" s="236" t="s">
        <v>478</v>
      </c>
      <c r="E25" s="236" t="s">
        <v>480</v>
      </c>
      <c r="F25" s="236" t="s">
        <v>477</v>
      </c>
      <c r="G25" s="237">
        <f t="shared" si="5"/>
        <v>3</v>
      </c>
      <c r="H25" s="238">
        <f t="shared" si="6"/>
        <v>2</v>
      </c>
      <c r="I25" s="237">
        <f t="shared" si="7"/>
        <v>6</v>
      </c>
      <c r="J25" s="239">
        <f t="shared" si="8"/>
        <v>3.6666666666666665</v>
      </c>
      <c r="K25" s="240">
        <f>表1温室气体盘查表!AM27</f>
        <v>-165928.07805000001</v>
      </c>
      <c r="L25" s="241">
        <f t="shared" si="4"/>
        <v>-1.0788431531666875E-2</v>
      </c>
      <c r="M25" s="242">
        <f t="shared" si="9"/>
        <v>-3.9557582282778538E-2</v>
      </c>
    </row>
    <row r="26" spans="1:13" ht="18" customHeight="1">
      <c r="A26" s="234">
        <v>24</v>
      </c>
      <c r="B26" s="235" t="str">
        <f>表1温室气体盘查表!C28</f>
        <v>粗苯</v>
      </c>
      <c r="C26" s="235" t="str">
        <f>表1温室气体盘查表!D28</f>
        <v>外售</v>
      </c>
      <c r="D26" s="236" t="s">
        <v>478</v>
      </c>
      <c r="E26" s="236" t="s">
        <v>480</v>
      </c>
      <c r="F26" s="236" t="s">
        <v>477</v>
      </c>
      <c r="G26" s="237">
        <f t="shared" si="5"/>
        <v>3</v>
      </c>
      <c r="H26" s="238">
        <f t="shared" si="6"/>
        <v>2</v>
      </c>
      <c r="I26" s="237">
        <f t="shared" si="7"/>
        <v>6</v>
      </c>
      <c r="J26" s="239">
        <f t="shared" si="8"/>
        <v>3.6666666666666665</v>
      </c>
      <c r="K26" s="240">
        <f>表1温室气体盘查表!AM28</f>
        <v>-68970.884640000004</v>
      </c>
      <c r="L26" s="241">
        <f t="shared" si="4"/>
        <v>-4.4843987549407676E-3</v>
      </c>
      <c r="M26" s="242">
        <f t="shared" si="9"/>
        <v>-1.6442795434782814E-2</v>
      </c>
    </row>
    <row r="27" spans="1:13" ht="18" customHeight="1">
      <c r="A27" s="234">
        <v>25</v>
      </c>
      <c r="B27" s="235" t="str">
        <f>表1温室气体盘查表!C29</f>
        <v>焦油</v>
      </c>
      <c r="C27" s="235" t="str">
        <f>表1温室气体盘查表!D29</f>
        <v>危废处置</v>
      </c>
      <c r="D27" s="236" t="s">
        <v>478</v>
      </c>
      <c r="E27" s="236" t="s">
        <v>480</v>
      </c>
      <c r="F27" s="236" t="s">
        <v>477</v>
      </c>
      <c r="G27" s="237">
        <f t="shared" si="5"/>
        <v>3</v>
      </c>
      <c r="H27" s="238">
        <f t="shared" si="6"/>
        <v>2</v>
      </c>
      <c r="I27" s="237">
        <f t="shared" si="7"/>
        <v>6</v>
      </c>
      <c r="J27" s="239">
        <f t="shared" si="8"/>
        <v>3.6666666666666665</v>
      </c>
      <c r="K27" s="240">
        <f>表1温室气体盘查表!AM29</f>
        <v>-163466.55439999999</v>
      </c>
      <c r="L27" s="241">
        <f t="shared" si="4"/>
        <v>-1.0628386410469233E-2</v>
      </c>
      <c r="M27" s="242">
        <f t="shared" si="9"/>
        <v>-3.8970750171720518E-2</v>
      </c>
    </row>
    <row r="28" spans="1:13" ht="18" customHeight="1">
      <c r="A28" s="234">
        <v>26</v>
      </c>
      <c r="B28" s="235" t="str">
        <f>表1温室气体盘查表!C30</f>
        <v>外购电力（基于位置）</v>
      </c>
      <c r="C28" s="235" t="str">
        <f>表1温室气体盘查表!D30</f>
        <v>用电设备</v>
      </c>
      <c r="D28" s="236" t="s">
        <v>475</v>
      </c>
      <c r="E28" s="236" t="s">
        <v>480</v>
      </c>
      <c r="F28" s="236" t="s">
        <v>477</v>
      </c>
      <c r="G28" s="237">
        <f t="shared" si="5"/>
        <v>6</v>
      </c>
      <c r="H28" s="238">
        <f t="shared" si="6"/>
        <v>2</v>
      </c>
      <c r="I28" s="237">
        <f t="shared" si="7"/>
        <v>6</v>
      </c>
      <c r="J28" s="239">
        <f t="shared" si="8"/>
        <v>4.666666666666667</v>
      </c>
      <c r="K28" s="240">
        <f>表1温室气体盘查表!AM30</f>
        <v>1043611.0503979999</v>
      </c>
      <c r="L28" s="241">
        <f t="shared" si="4"/>
        <v>6.7854256465967488E-2</v>
      </c>
      <c r="M28" s="242">
        <f t="shared" si="9"/>
        <v>0.31665319684118165</v>
      </c>
    </row>
    <row r="29" spans="1:13" ht="18" customHeight="1">
      <c r="A29" s="234">
        <v>27</v>
      </c>
      <c r="B29" s="235" t="str">
        <f>表1温室气体盘查表!C32</f>
        <v>铁矿石生产</v>
      </c>
      <c r="C29" s="235" t="str">
        <f>表1温室气体盘查表!D32</f>
        <v>烧结</v>
      </c>
      <c r="D29" s="236" t="s">
        <v>478</v>
      </c>
      <c r="E29" s="236" t="s">
        <v>480</v>
      </c>
      <c r="F29" s="236" t="s">
        <v>477</v>
      </c>
      <c r="G29" s="237">
        <f t="shared" si="5"/>
        <v>3</v>
      </c>
      <c r="H29" s="238">
        <f t="shared" si="6"/>
        <v>2</v>
      </c>
      <c r="I29" s="237">
        <f t="shared" si="7"/>
        <v>6</v>
      </c>
      <c r="J29" s="239">
        <f t="shared" si="8"/>
        <v>3.6666666666666665</v>
      </c>
      <c r="K29" s="240">
        <f>表1温室气体盘查表!AM32</f>
        <v>479835.37134729006</v>
      </c>
      <c r="L29" s="241">
        <f t="shared" si="4"/>
        <v>3.1198282479305728E-2</v>
      </c>
      <c r="M29" s="242">
        <f t="shared" si="9"/>
        <v>0.114393702424121</v>
      </c>
    </row>
    <row r="30" spans="1:13" ht="18" customHeight="1">
      <c r="A30" s="234">
        <v>28</v>
      </c>
      <c r="B30" s="235" t="str">
        <f>表1温室气体盘查表!C33</f>
        <v>生石灰生产</v>
      </c>
      <c r="C30" s="235" t="str">
        <f>表1温室气体盘查表!D33</f>
        <v>烧结、转炉、电炉</v>
      </c>
      <c r="D30" s="236" t="s">
        <v>478</v>
      </c>
      <c r="E30" s="236" t="s">
        <v>476</v>
      </c>
      <c r="F30" s="236" t="s">
        <v>477</v>
      </c>
      <c r="G30" s="237">
        <f t="shared" si="5"/>
        <v>3</v>
      </c>
      <c r="H30" s="238">
        <f t="shared" si="6"/>
        <v>1</v>
      </c>
      <c r="I30" s="237">
        <f t="shared" si="7"/>
        <v>6</v>
      </c>
      <c r="J30" s="239">
        <f t="shared" si="8"/>
        <v>3.3333333333333335</v>
      </c>
      <c r="K30" s="240">
        <f>表1温室气体盘查表!AM33</f>
        <v>236961.26162730961</v>
      </c>
      <c r="L30" s="241">
        <f t="shared" si="4"/>
        <v>1.5406918327308564E-2</v>
      </c>
      <c r="M30" s="242">
        <f t="shared" si="9"/>
        <v>5.1356394424361886E-2</v>
      </c>
    </row>
    <row r="31" spans="1:13" ht="18" customHeight="1">
      <c r="A31" s="234">
        <v>29</v>
      </c>
      <c r="B31" s="235" t="str">
        <f>表1温室气体盘查表!C34</f>
        <v>白云石生产</v>
      </c>
      <c r="C31" s="235" t="str">
        <f>表1温室气体盘查表!D34</f>
        <v>烧结、转炉、电炉</v>
      </c>
      <c r="D31" s="236" t="s">
        <v>478</v>
      </c>
      <c r="E31" s="236" t="s">
        <v>476</v>
      </c>
      <c r="F31" s="236" t="s">
        <v>477</v>
      </c>
      <c r="G31" s="237">
        <f t="shared" si="5"/>
        <v>3</v>
      </c>
      <c r="H31" s="238">
        <f t="shared" si="6"/>
        <v>1</v>
      </c>
      <c r="I31" s="237">
        <f t="shared" si="7"/>
        <v>6</v>
      </c>
      <c r="J31" s="239">
        <f t="shared" si="8"/>
        <v>3.3333333333333335</v>
      </c>
      <c r="K31" s="240">
        <f>表1温室气体盘查表!AM34</f>
        <v>5039.7894184999996</v>
      </c>
      <c r="L31" s="241">
        <f t="shared" si="4"/>
        <v>3.276806657106124E-4</v>
      </c>
      <c r="M31" s="242">
        <f t="shared" si="9"/>
        <v>1.0922688857020414E-3</v>
      </c>
    </row>
    <row r="32" spans="1:13" ht="18" customHeight="1">
      <c r="A32" s="234">
        <v>30</v>
      </c>
      <c r="B32" s="235" t="str">
        <f>表1温室气体盘查表!C35</f>
        <v>球团生产</v>
      </c>
      <c r="C32" s="235" t="str">
        <f>表1温室气体盘查表!D35</f>
        <v>高炉、转炉</v>
      </c>
      <c r="D32" s="236" t="s">
        <v>478</v>
      </c>
      <c r="E32" s="236" t="s">
        <v>476</v>
      </c>
      <c r="F32" s="236" t="s">
        <v>477</v>
      </c>
      <c r="G32" s="237">
        <f t="shared" si="5"/>
        <v>3</v>
      </c>
      <c r="H32" s="238">
        <f t="shared" si="6"/>
        <v>1</v>
      </c>
      <c r="I32" s="237">
        <f t="shared" si="7"/>
        <v>6</v>
      </c>
      <c r="J32" s="239">
        <f t="shared" si="8"/>
        <v>3.3333333333333335</v>
      </c>
      <c r="K32" s="240">
        <f>表1温室气体盘查表!AM35</f>
        <v>71241.081749399993</v>
      </c>
      <c r="L32" s="241">
        <f t="shared" si="4"/>
        <v>4.6320040690381783E-3</v>
      </c>
      <c r="M32" s="242">
        <f t="shared" si="9"/>
        <v>1.5440013563460595E-2</v>
      </c>
    </row>
    <row r="33" spans="1:13" ht="18" customHeight="1">
      <c r="A33" s="234">
        <v>31</v>
      </c>
      <c r="B33" s="235" t="str">
        <f>表1温室气体盘查表!C36</f>
        <v>废钢生产</v>
      </c>
      <c r="C33" s="235" t="str">
        <f>表1温室气体盘查表!D36</f>
        <v>转炉、电炉</v>
      </c>
      <c r="D33" s="236" t="s">
        <v>478</v>
      </c>
      <c r="E33" s="236" t="s">
        <v>476</v>
      </c>
      <c r="F33" s="236" t="s">
        <v>477</v>
      </c>
      <c r="G33" s="237">
        <f t="shared" si="5"/>
        <v>3</v>
      </c>
      <c r="H33" s="238">
        <f t="shared" si="6"/>
        <v>1</v>
      </c>
      <c r="I33" s="237">
        <f t="shared" si="7"/>
        <v>6</v>
      </c>
      <c r="J33" s="239">
        <f t="shared" si="8"/>
        <v>3.3333333333333335</v>
      </c>
      <c r="K33" s="240">
        <f>表1温室气体盘查表!AM36</f>
        <v>83051.970043139983</v>
      </c>
      <c r="L33" s="241">
        <f t="shared" si="4"/>
        <v>5.3999329282321193E-3</v>
      </c>
      <c r="M33" s="242">
        <f t="shared" si="9"/>
        <v>1.7999776427440398E-2</v>
      </c>
    </row>
    <row r="34" spans="1:13" ht="18" customHeight="1">
      <c r="A34" s="234">
        <v>32</v>
      </c>
      <c r="B34" s="235" t="str">
        <f>表1温室气体盘查表!C37</f>
        <v>电极生产</v>
      </c>
      <c r="C34" s="235" t="str">
        <f>表1温室气体盘查表!D37</f>
        <v>转炉、电炉</v>
      </c>
      <c r="D34" s="236" t="s">
        <v>478</v>
      </c>
      <c r="E34" s="236" t="s">
        <v>476</v>
      </c>
      <c r="F34" s="236" t="s">
        <v>477</v>
      </c>
      <c r="G34" s="237">
        <f t="shared" si="5"/>
        <v>3</v>
      </c>
      <c r="H34" s="238">
        <f t="shared" si="6"/>
        <v>1</v>
      </c>
      <c r="I34" s="237">
        <f t="shared" si="7"/>
        <v>6</v>
      </c>
      <c r="J34" s="239">
        <f t="shared" si="8"/>
        <v>3.3333333333333335</v>
      </c>
      <c r="K34" s="240">
        <f>表1温室气体盘查表!AM37</f>
        <v>60962.024357421578</v>
      </c>
      <c r="L34" s="241">
        <f t="shared" si="4"/>
        <v>3.9636728969624259E-3</v>
      </c>
      <c r="M34" s="242">
        <f t="shared" si="9"/>
        <v>1.3212242989874754E-2</v>
      </c>
    </row>
    <row r="35" spans="1:13" ht="18" customHeight="1">
      <c r="A35" s="234">
        <v>33</v>
      </c>
      <c r="B35" s="235" t="str">
        <f>表1温室气体盘查表!C38</f>
        <v>锰铁生产</v>
      </c>
      <c r="C35" s="235" t="str">
        <f>表1温室气体盘查表!D38</f>
        <v>转炉、电炉</v>
      </c>
      <c r="D35" s="236" t="s">
        <v>478</v>
      </c>
      <c r="E35" s="236" t="s">
        <v>476</v>
      </c>
      <c r="F35" s="236" t="s">
        <v>477</v>
      </c>
      <c r="G35" s="237">
        <f t="shared" si="5"/>
        <v>3</v>
      </c>
      <c r="H35" s="238">
        <f t="shared" si="6"/>
        <v>1</v>
      </c>
      <c r="I35" s="237">
        <f t="shared" si="7"/>
        <v>6</v>
      </c>
      <c r="J35" s="239">
        <f t="shared" si="8"/>
        <v>3.3333333333333335</v>
      </c>
      <c r="K35" s="240">
        <f>表1温室气体盘查表!AM38</f>
        <v>123503.69372399998</v>
      </c>
      <c r="L35" s="241">
        <f t="shared" ref="L35:L68" si="15">K35/$K$96</f>
        <v>8.0300522931858898E-3</v>
      </c>
      <c r="M35" s="242">
        <f t="shared" si="9"/>
        <v>2.6766840977286301E-2</v>
      </c>
    </row>
    <row r="36" spans="1:13" ht="18" customHeight="1">
      <c r="A36" s="234">
        <v>34</v>
      </c>
      <c r="B36" s="235" t="str">
        <f>表1温室气体盘查表!C39</f>
        <v>镍铁生产</v>
      </c>
      <c r="C36" s="235" t="str">
        <f>表1温室气体盘查表!D39</f>
        <v>转炉、电炉</v>
      </c>
      <c r="D36" s="236" t="s">
        <v>478</v>
      </c>
      <c r="E36" s="236" t="s">
        <v>476</v>
      </c>
      <c r="F36" s="236" t="s">
        <v>477</v>
      </c>
      <c r="G36" s="237">
        <f t="shared" si="5"/>
        <v>3</v>
      </c>
      <c r="H36" s="238">
        <f t="shared" si="6"/>
        <v>1</v>
      </c>
      <c r="I36" s="237">
        <f t="shared" si="7"/>
        <v>6</v>
      </c>
      <c r="J36" s="239">
        <f t="shared" si="8"/>
        <v>3.3333333333333335</v>
      </c>
      <c r="K36" s="240">
        <f>表1温室气体盘查表!AM39</f>
        <v>87049.733040000006</v>
      </c>
      <c r="L36" s="241">
        <f t="shared" si="15"/>
        <v>5.6598623680130054E-3</v>
      </c>
      <c r="M36" s="242">
        <f t="shared" si="9"/>
        <v>1.8866207893376685E-2</v>
      </c>
    </row>
    <row r="37" spans="1:13" ht="18" customHeight="1">
      <c r="A37" s="234">
        <v>35</v>
      </c>
      <c r="B37" s="235" t="str">
        <f>表1温室气体盘查表!C40</f>
        <v>铬铁生产</v>
      </c>
      <c r="C37" s="235" t="str">
        <f>表1温室气体盘查表!D40</f>
        <v>转炉、电炉</v>
      </c>
      <c r="D37" s="236" t="s">
        <v>478</v>
      </c>
      <c r="E37" s="236" t="s">
        <v>476</v>
      </c>
      <c r="F37" s="236" t="s">
        <v>477</v>
      </c>
      <c r="G37" s="237">
        <f t="shared" si="5"/>
        <v>3</v>
      </c>
      <c r="H37" s="238">
        <f t="shared" si="6"/>
        <v>1</v>
      </c>
      <c r="I37" s="237">
        <f t="shared" si="7"/>
        <v>6</v>
      </c>
      <c r="J37" s="239">
        <f t="shared" si="8"/>
        <v>3.3333333333333335</v>
      </c>
      <c r="K37" s="240">
        <f>表1温室气体盘查表!AM40</f>
        <v>204743.81877300001</v>
      </c>
      <c r="L37" s="241">
        <f t="shared" si="15"/>
        <v>1.3312181375950805E-2</v>
      </c>
      <c r="M37" s="242">
        <f t="shared" si="9"/>
        <v>4.4373937919836015E-2</v>
      </c>
    </row>
    <row r="38" spans="1:13" ht="18" customHeight="1">
      <c r="A38" s="234">
        <v>36</v>
      </c>
      <c r="B38" s="235" t="str">
        <f>表1温室气体盘查表!C41</f>
        <v>萤石生产</v>
      </c>
      <c r="C38" s="235" t="str">
        <f>表1温室气体盘查表!D41</f>
        <v>转炉、电炉</v>
      </c>
      <c r="D38" s="236" t="s">
        <v>478</v>
      </c>
      <c r="E38" s="236" t="s">
        <v>476</v>
      </c>
      <c r="F38" s="236" t="s">
        <v>477</v>
      </c>
      <c r="G38" s="237">
        <f t="shared" si="5"/>
        <v>3</v>
      </c>
      <c r="H38" s="238">
        <f t="shared" si="6"/>
        <v>1</v>
      </c>
      <c r="I38" s="237">
        <f t="shared" si="7"/>
        <v>6</v>
      </c>
      <c r="J38" s="239">
        <f t="shared" si="8"/>
        <v>3.3333333333333335</v>
      </c>
      <c r="K38" s="240">
        <f>表1温室气体盘查表!AM41</f>
        <v>88473.440132599993</v>
      </c>
      <c r="L38" s="241">
        <f t="shared" si="15"/>
        <v>5.7524299832724017E-3</v>
      </c>
      <c r="M38" s="242">
        <f t="shared" si="9"/>
        <v>1.9174766610908008E-2</v>
      </c>
    </row>
    <row r="39" spans="1:13" ht="18" customHeight="1">
      <c r="A39" s="234">
        <v>37</v>
      </c>
      <c r="B39" s="235" t="str">
        <f>表1温室气体盘查表!C42</f>
        <v>硅铁生产</v>
      </c>
      <c r="C39" s="235" t="str">
        <f>表1温室气体盘查表!D42</f>
        <v>转炉、电炉</v>
      </c>
      <c r="D39" s="236" t="s">
        <v>478</v>
      </c>
      <c r="E39" s="236" t="s">
        <v>476</v>
      </c>
      <c r="F39" s="236" t="s">
        <v>477</v>
      </c>
      <c r="G39" s="237">
        <f t="shared" si="5"/>
        <v>3</v>
      </c>
      <c r="H39" s="238">
        <f t="shared" si="6"/>
        <v>1</v>
      </c>
      <c r="I39" s="237">
        <f t="shared" si="7"/>
        <v>6</v>
      </c>
      <c r="J39" s="239">
        <f t="shared" si="8"/>
        <v>3.3333333333333335</v>
      </c>
      <c r="K39" s="240">
        <f>表1温室气体盘查表!AM42</f>
        <v>149088.58665000001</v>
      </c>
      <c r="L39" s="241">
        <f t="shared" si="15"/>
        <v>9.693549326484887E-3</v>
      </c>
      <c r="M39" s="242">
        <f t="shared" si="9"/>
        <v>3.2311831088282957E-2</v>
      </c>
    </row>
    <row r="40" spans="1:13" ht="18" customHeight="1">
      <c r="A40" s="234">
        <v>38</v>
      </c>
      <c r="B40" s="235" t="str">
        <f>表1温室气体盘查表!C43</f>
        <v>钼铁生产</v>
      </c>
      <c r="C40" s="235" t="str">
        <f>表1温室气体盘查表!D43</f>
        <v>转炉、电炉</v>
      </c>
      <c r="D40" s="236" t="s">
        <v>478</v>
      </c>
      <c r="E40" s="236" t="s">
        <v>476</v>
      </c>
      <c r="F40" s="236" t="s">
        <v>477</v>
      </c>
      <c r="G40" s="237">
        <f t="shared" si="5"/>
        <v>3</v>
      </c>
      <c r="H40" s="238">
        <f t="shared" si="6"/>
        <v>1</v>
      </c>
      <c r="I40" s="237">
        <f t="shared" si="7"/>
        <v>6</v>
      </c>
      <c r="J40" s="239">
        <f t="shared" si="8"/>
        <v>3.3333333333333335</v>
      </c>
      <c r="K40" s="240">
        <f>表1温室气体盘查表!AM43</f>
        <v>58876.631999999998</v>
      </c>
      <c r="L40" s="241">
        <f t="shared" si="15"/>
        <v>3.8280833516057644E-3</v>
      </c>
      <c r="M40" s="242">
        <f t="shared" si="9"/>
        <v>1.2760277838685882E-2</v>
      </c>
    </row>
    <row r="41" spans="1:13" ht="18" customHeight="1">
      <c r="A41" s="234">
        <v>39</v>
      </c>
      <c r="B41" s="235" t="str">
        <f>表1温室气体盘查表!C44</f>
        <v>铝铁生产</v>
      </c>
      <c r="C41" s="235" t="str">
        <f>表1温室气体盘查表!D44</f>
        <v>转炉、电炉</v>
      </c>
      <c r="D41" s="236" t="s">
        <v>478</v>
      </c>
      <c r="E41" s="236" t="s">
        <v>480</v>
      </c>
      <c r="F41" s="236" t="s">
        <v>477</v>
      </c>
      <c r="G41" s="237">
        <f t="shared" si="5"/>
        <v>3</v>
      </c>
      <c r="H41" s="238">
        <f t="shared" si="6"/>
        <v>2</v>
      </c>
      <c r="I41" s="237">
        <f t="shared" si="7"/>
        <v>6</v>
      </c>
      <c r="J41" s="239">
        <f t="shared" si="8"/>
        <v>3.6666666666666665</v>
      </c>
      <c r="K41" s="240">
        <f>表1温室气体盘查表!AM44</f>
        <v>13585.604688791962</v>
      </c>
      <c r="L41" s="241">
        <f t="shared" si="15"/>
        <v>8.833186506093237E-4</v>
      </c>
      <c r="M41" s="242">
        <f t="shared" si="9"/>
        <v>3.2388350522341868E-3</v>
      </c>
    </row>
    <row r="42" spans="1:13" ht="18" customHeight="1">
      <c r="A42" s="234">
        <v>40</v>
      </c>
      <c r="B42" s="235" t="str">
        <f>表1温室气体盘查表!C45</f>
        <v>铝生产</v>
      </c>
      <c r="C42" s="235" t="str">
        <f>表1温室气体盘查表!D45</f>
        <v>转炉、电炉</v>
      </c>
      <c r="D42" s="236" t="s">
        <v>478</v>
      </c>
      <c r="E42" s="236" t="s">
        <v>476</v>
      </c>
      <c r="F42" s="236" t="s">
        <v>477</v>
      </c>
      <c r="G42" s="237">
        <f t="shared" si="5"/>
        <v>3</v>
      </c>
      <c r="H42" s="238">
        <f t="shared" si="6"/>
        <v>1</v>
      </c>
      <c r="I42" s="237">
        <f t="shared" si="7"/>
        <v>6</v>
      </c>
      <c r="J42" s="239">
        <f t="shared" si="8"/>
        <v>3.3333333333333335</v>
      </c>
      <c r="K42" s="240">
        <f>表1温室气体盘查表!AM45</f>
        <v>165810.56564347973</v>
      </c>
      <c r="L42" s="241">
        <f t="shared" si="15"/>
        <v>1.078079102520911E-2</v>
      </c>
      <c r="M42" s="242">
        <f t="shared" si="9"/>
        <v>3.5935970084030371E-2</v>
      </c>
    </row>
    <row r="43" spans="1:13" ht="18" customHeight="1">
      <c r="A43" s="234">
        <v>41</v>
      </c>
      <c r="B43" s="235" t="str">
        <f>表1温室气体盘查表!C46</f>
        <v>增碳剂生产</v>
      </c>
      <c r="C43" s="235" t="str">
        <f>表1温室气体盘查表!D46</f>
        <v>转炉、电炉</v>
      </c>
      <c r="D43" s="236" t="s">
        <v>478</v>
      </c>
      <c r="E43" s="236" t="s">
        <v>476</v>
      </c>
      <c r="F43" s="236" t="s">
        <v>477</v>
      </c>
      <c r="G43" s="237">
        <f t="shared" si="5"/>
        <v>3</v>
      </c>
      <c r="H43" s="238">
        <f t="shared" si="6"/>
        <v>1</v>
      </c>
      <c r="I43" s="237">
        <f t="shared" si="7"/>
        <v>6</v>
      </c>
      <c r="J43" s="239">
        <f t="shared" si="8"/>
        <v>3.3333333333333335</v>
      </c>
      <c r="K43" s="240">
        <f>表1温室气体盘查表!AM46</f>
        <v>14447.768081031645</v>
      </c>
      <c r="L43" s="241">
        <f t="shared" si="15"/>
        <v>9.3937541228340652E-4</v>
      </c>
      <c r="M43" s="242">
        <f t="shared" si="9"/>
        <v>3.131251374278022E-3</v>
      </c>
    </row>
    <row r="44" spans="1:13" ht="18" customHeight="1">
      <c r="A44" s="234">
        <v>42</v>
      </c>
      <c r="B44" s="235" t="str">
        <f>表1温室气体盘查表!C47</f>
        <v>铁鳞生产</v>
      </c>
      <c r="C44" s="235" t="str">
        <f>表1温室气体盘查表!D47</f>
        <v>炼钢</v>
      </c>
      <c r="D44" s="236" t="s">
        <v>478</v>
      </c>
      <c r="E44" s="236" t="s">
        <v>476</v>
      </c>
      <c r="F44" s="236" t="s">
        <v>477</v>
      </c>
      <c r="G44" s="237">
        <f t="shared" si="5"/>
        <v>3</v>
      </c>
      <c r="H44" s="238">
        <f t="shared" si="6"/>
        <v>1</v>
      </c>
      <c r="I44" s="237">
        <f t="shared" si="7"/>
        <v>6</v>
      </c>
      <c r="J44" s="239">
        <f t="shared" si="8"/>
        <v>3.3333333333333335</v>
      </c>
      <c r="K44" s="240">
        <f>表1温室气体盘查表!AM47</f>
        <v>29.192523942209355</v>
      </c>
      <c r="L44" s="241">
        <f t="shared" si="15"/>
        <v>1.8980605903972958E-6</v>
      </c>
      <c r="M44" s="242">
        <f t="shared" si="9"/>
        <v>6.3268686346576532E-6</v>
      </c>
    </row>
    <row r="45" spans="1:13" ht="18" customHeight="1">
      <c r="A45" s="234">
        <v>43</v>
      </c>
      <c r="B45" s="235" t="str">
        <f>表1温室气体盘查表!C48</f>
        <v>氨水生产</v>
      </c>
      <c r="C45" s="235" t="str">
        <f>表1温室气体盘查表!D48</f>
        <v>烧结</v>
      </c>
      <c r="D45" s="236" t="s">
        <v>478</v>
      </c>
      <c r="E45" s="236" t="s">
        <v>476</v>
      </c>
      <c r="F45" s="236" t="s">
        <v>477</v>
      </c>
      <c r="G45" s="237">
        <f t="shared" si="5"/>
        <v>3</v>
      </c>
      <c r="H45" s="238">
        <f t="shared" si="6"/>
        <v>1</v>
      </c>
      <c r="I45" s="237">
        <f t="shared" si="7"/>
        <v>6</v>
      </c>
      <c r="J45" s="239">
        <f t="shared" si="8"/>
        <v>3.3333333333333335</v>
      </c>
      <c r="K45" s="240">
        <f>表1温室气体盘查表!AM48</f>
        <v>26510.816290815455</v>
      </c>
      <c r="L45" s="241">
        <f t="shared" si="15"/>
        <v>1.7236993868866264E-3</v>
      </c>
      <c r="M45" s="242">
        <f t="shared" si="9"/>
        <v>5.7456646229554218E-3</v>
      </c>
    </row>
    <row r="46" spans="1:13" ht="18" customHeight="1">
      <c r="A46" s="234">
        <v>44</v>
      </c>
      <c r="B46" s="235" t="str">
        <f>表1温室气体盘查表!C49</f>
        <v>盐酸生产</v>
      </c>
      <c r="C46" s="235" t="str">
        <f>表1温室气体盘查表!D49</f>
        <v>焦化</v>
      </c>
      <c r="D46" s="236" t="s">
        <v>478</v>
      </c>
      <c r="E46" s="236" t="s">
        <v>476</v>
      </c>
      <c r="F46" s="236" t="s">
        <v>477</v>
      </c>
      <c r="G46" s="237">
        <f t="shared" ref="G46:G47" si="16">IF(D46="自动连续量测",6,IF(D46="定期量测/抄表/铭牌",3,1))</f>
        <v>3</v>
      </c>
      <c r="H46" s="238">
        <f t="shared" ref="H46:H47" si="17">IF(E46="量测/质量平衡排放因子",6,IF(E46="制程/设备排放因子",5,IF(E46="制造商提供的排放因子",4,IF(E46="区域排放因子",3,IF(E46="国家排放因子",2,1)))))</f>
        <v>1</v>
      </c>
      <c r="I46" s="237">
        <f t="shared" ref="I46:I47" si="18">IF(F46="校准且合格",6,IF(F46="未校准",1,3))</f>
        <v>6</v>
      </c>
      <c r="J46" s="239">
        <f t="shared" ref="J46:J47" si="19">AVERAGE(G46:I46)</f>
        <v>3.3333333333333335</v>
      </c>
      <c r="K46" s="240">
        <f>表1温室气体盘查表!AM49</f>
        <v>2.1173455277962305</v>
      </c>
      <c r="L46" s="241">
        <f t="shared" si="15"/>
        <v>1.3766709964920668E-7</v>
      </c>
      <c r="M46" s="242">
        <f t="shared" ref="M46:M47" si="20">J46*L46</f>
        <v>4.5889033216402231E-7</v>
      </c>
    </row>
    <row r="47" spans="1:13" ht="18" customHeight="1">
      <c r="A47" s="234">
        <v>45</v>
      </c>
      <c r="B47" s="235" t="str">
        <f>表1温室气体盘查表!C50</f>
        <v>氢氧化钠生产</v>
      </c>
      <c r="C47" s="235" t="str">
        <f>表1温室气体盘查表!D50</f>
        <v>焦化</v>
      </c>
      <c r="D47" s="236" t="s">
        <v>478</v>
      </c>
      <c r="E47" s="236" t="s">
        <v>476</v>
      </c>
      <c r="F47" s="236" t="s">
        <v>477</v>
      </c>
      <c r="G47" s="237">
        <f t="shared" si="16"/>
        <v>3</v>
      </c>
      <c r="H47" s="238">
        <f t="shared" si="17"/>
        <v>1</v>
      </c>
      <c r="I47" s="237">
        <f t="shared" si="18"/>
        <v>6</v>
      </c>
      <c r="J47" s="239">
        <f t="shared" si="19"/>
        <v>3.3333333333333335</v>
      </c>
      <c r="K47" s="240">
        <f>表1温室气体盘查表!AM50</f>
        <v>3.2806275245320866</v>
      </c>
      <c r="L47" s="241">
        <f t="shared" si="15"/>
        <v>2.1330220807265118E-7</v>
      </c>
      <c r="M47" s="242">
        <f t="shared" si="20"/>
        <v>7.110073602421706E-7</v>
      </c>
    </row>
    <row r="48" spans="1:13" ht="18" customHeight="1">
      <c r="A48" s="234">
        <v>46</v>
      </c>
      <c r="B48" s="235" t="str">
        <f>表1温室气体盘查表!C51</f>
        <v>碳化硅生产</v>
      </c>
      <c r="C48" s="235" t="str">
        <f>表1温室气体盘查表!D51</f>
        <v>-</v>
      </c>
      <c r="D48" s="236" t="s">
        <v>478</v>
      </c>
      <c r="E48" s="236" t="s">
        <v>476</v>
      </c>
      <c r="F48" s="236" t="s">
        <v>477</v>
      </c>
      <c r="G48" s="237">
        <f t="shared" si="5"/>
        <v>3</v>
      </c>
      <c r="H48" s="238">
        <f t="shared" si="6"/>
        <v>1</v>
      </c>
      <c r="I48" s="237">
        <f t="shared" si="7"/>
        <v>6</v>
      </c>
      <c r="J48" s="239">
        <f t="shared" si="8"/>
        <v>3.3333333333333335</v>
      </c>
      <c r="K48" s="240">
        <f>表1温室气体盘查表!AM51</f>
        <v>26760.682458681189</v>
      </c>
      <c r="L48" s="241">
        <f t="shared" si="15"/>
        <v>1.7399453657214272E-3</v>
      </c>
      <c r="M48" s="242">
        <f t="shared" si="9"/>
        <v>5.799817885738091E-3</v>
      </c>
    </row>
    <row r="49" spans="1:13" ht="18" customHeight="1">
      <c r="A49" s="234">
        <v>47</v>
      </c>
      <c r="B49" s="235" t="str">
        <f>表1温室气体盘查表!C52</f>
        <v>镁生产</v>
      </c>
      <c r="C49" s="235" t="str">
        <f>表1温室气体盘查表!D52</f>
        <v>-</v>
      </c>
      <c r="D49" s="243" t="s">
        <v>478</v>
      </c>
      <c r="E49" s="243" t="s">
        <v>476</v>
      </c>
      <c r="F49" s="236" t="s">
        <v>477</v>
      </c>
      <c r="G49" s="237">
        <f t="shared" si="5"/>
        <v>3</v>
      </c>
      <c r="H49" s="238">
        <f t="shared" si="6"/>
        <v>1</v>
      </c>
      <c r="I49" s="237">
        <f t="shared" si="7"/>
        <v>6</v>
      </c>
      <c r="J49" s="239">
        <f t="shared" si="8"/>
        <v>3.3333333333333335</v>
      </c>
      <c r="K49" s="240">
        <f>表1温室气体盘查表!AM52</f>
        <v>256865.11189706987</v>
      </c>
      <c r="L49" s="241">
        <f t="shared" si="15"/>
        <v>1.6701041229082617E-2</v>
      </c>
      <c r="M49" s="242">
        <f t="shared" si="9"/>
        <v>5.5670137430275393E-2</v>
      </c>
    </row>
    <row r="50" spans="1:13" ht="18" customHeight="1">
      <c r="A50" s="234">
        <v>48</v>
      </c>
      <c r="B50" s="235" t="str">
        <f>表1温室气体盘查表!C53</f>
        <v>所有其他纸制品加工制造</v>
      </c>
      <c r="C50" s="235" t="str">
        <f>表1温室气体盘查表!D53</f>
        <v>办公室</v>
      </c>
      <c r="D50" s="243" t="s">
        <v>478</v>
      </c>
      <c r="E50" s="243" t="s">
        <v>476</v>
      </c>
      <c r="F50" s="236" t="s">
        <v>479</v>
      </c>
      <c r="G50" s="237">
        <f t="shared" si="5"/>
        <v>3</v>
      </c>
      <c r="H50" s="238">
        <f t="shared" si="6"/>
        <v>1</v>
      </c>
      <c r="I50" s="237">
        <f t="shared" si="7"/>
        <v>3</v>
      </c>
      <c r="J50" s="239">
        <f t="shared" si="8"/>
        <v>2.3333333333333335</v>
      </c>
      <c r="K50" s="240">
        <f>表1温室气体盘查表!AM53</f>
        <v>5.2434718699999996</v>
      </c>
      <c r="L50" s="241">
        <f t="shared" si="15"/>
        <v>3.4092383834320119E-7</v>
      </c>
      <c r="M50" s="242">
        <f t="shared" si="9"/>
        <v>7.9548895613413615E-7</v>
      </c>
    </row>
    <row r="51" spans="1:13" ht="18" customHeight="1">
      <c r="A51" s="234">
        <v>49</v>
      </c>
      <c r="B51" s="235" t="str">
        <f>表1温室气体盘查表!C54</f>
        <v>办公用品(纸张除外)制造</v>
      </c>
      <c r="C51" s="235" t="str">
        <f>表1温室气体盘查表!D54</f>
        <v>办公室</v>
      </c>
      <c r="D51" s="243" t="s">
        <v>478</v>
      </c>
      <c r="E51" s="243" t="s">
        <v>476</v>
      </c>
      <c r="F51" s="236" t="s">
        <v>479</v>
      </c>
      <c r="G51" s="237">
        <f t="shared" si="5"/>
        <v>3</v>
      </c>
      <c r="H51" s="238">
        <f t="shared" si="6"/>
        <v>1</v>
      </c>
      <c r="I51" s="237">
        <f t="shared" si="7"/>
        <v>3</v>
      </c>
      <c r="J51" s="239">
        <f t="shared" si="8"/>
        <v>2.3333333333333335</v>
      </c>
      <c r="K51" s="240">
        <f>表1温室气体盘查表!AM54</f>
        <v>72.312582549999988</v>
      </c>
      <c r="L51" s="241">
        <f t="shared" si="15"/>
        <v>4.7016716814112687E-6</v>
      </c>
      <c r="M51" s="242">
        <f t="shared" si="9"/>
        <v>1.0970567256626295E-5</v>
      </c>
    </row>
    <row r="52" spans="1:13" ht="18" customHeight="1">
      <c r="A52" s="234">
        <v>50</v>
      </c>
      <c r="B52" s="235" t="str">
        <f>表1温室气体盘查表!C55</f>
        <v>源水</v>
      </c>
      <c r="C52" s="235" t="str">
        <f>表1温室气体盘查表!D55</f>
        <v>水处理工序</v>
      </c>
      <c r="D52" s="243" t="s">
        <v>475</v>
      </c>
      <c r="E52" s="243" t="s">
        <v>476</v>
      </c>
      <c r="F52" s="236" t="s">
        <v>477</v>
      </c>
      <c r="G52" s="237">
        <f t="shared" si="5"/>
        <v>6</v>
      </c>
      <c r="H52" s="238">
        <f t="shared" si="6"/>
        <v>1</v>
      </c>
      <c r="I52" s="237">
        <f t="shared" si="7"/>
        <v>6</v>
      </c>
      <c r="J52" s="239">
        <f t="shared" si="8"/>
        <v>4.333333333333333</v>
      </c>
      <c r="K52" s="240">
        <f>表1温室气体盘查表!AM55</f>
        <v>26397.411515179178</v>
      </c>
      <c r="L52" s="241">
        <f t="shared" si="15"/>
        <v>1.7163259533382227E-3</v>
      </c>
      <c r="M52" s="242">
        <f t="shared" si="9"/>
        <v>7.4374124644656309E-3</v>
      </c>
    </row>
    <row r="53" spans="1:13" ht="18" customHeight="1">
      <c r="A53" s="234">
        <v>51</v>
      </c>
      <c r="B53" s="235" t="str">
        <f>表1温室气体盘查表!C56</f>
        <v>采购产品空调和暖空气加热设备和商业和工业制冷设备制造</v>
      </c>
      <c r="C53" s="235" t="str">
        <f>表1温室气体盘查表!D56</f>
        <v>办公室、各工序</v>
      </c>
      <c r="D53" s="243" t="s">
        <v>481</v>
      </c>
      <c r="E53" s="243" t="s">
        <v>476</v>
      </c>
      <c r="F53" s="236" t="s">
        <v>479</v>
      </c>
      <c r="G53" s="237">
        <f t="shared" si="5"/>
        <v>1</v>
      </c>
      <c r="H53" s="238">
        <f t="shared" si="6"/>
        <v>1</v>
      </c>
      <c r="I53" s="237">
        <f t="shared" si="7"/>
        <v>3</v>
      </c>
      <c r="J53" s="239">
        <f t="shared" si="8"/>
        <v>1.6666666666666667</v>
      </c>
      <c r="K53" s="240">
        <f>表1温室气体盘查表!AM56</f>
        <v>120.11822208</v>
      </c>
      <c r="L53" s="241">
        <f t="shared" si="15"/>
        <v>7.8099332544859548E-6</v>
      </c>
      <c r="M53" s="242">
        <f t="shared" si="9"/>
        <v>1.3016555424143258E-5</v>
      </c>
    </row>
    <row r="54" spans="1:13" ht="18" customHeight="1">
      <c r="A54" s="234">
        <v>52</v>
      </c>
      <c r="B54" s="235" t="str">
        <f>表1温室气体盘查表!C57</f>
        <v>电子计算机制造</v>
      </c>
      <c r="C54" s="235" t="str">
        <f>表1温室气体盘查表!D57</f>
        <v>办公室、各工序</v>
      </c>
      <c r="D54" s="243" t="s">
        <v>481</v>
      </c>
      <c r="E54" s="243" t="s">
        <v>476</v>
      </c>
      <c r="F54" s="236" t="s">
        <v>479</v>
      </c>
      <c r="G54" s="237">
        <f t="shared" si="5"/>
        <v>1</v>
      </c>
      <c r="H54" s="238">
        <f t="shared" si="6"/>
        <v>1</v>
      </c>
      <c r="I54" s="237">
        <f t="shared" si="7"/>
        <v>3</v>
      </c>
      <c r="J54" s="239">
        <f t="shared" si="8"/>
        <v>1.6666666666666667</v>
      </c>
      <c r="K54" s="240">
        <f>表1温室气体盘查表!AM57</f>
        <v>25.839091060000001</v>
      </c>
      <c r="L54" s="241">
        <f t="shared" si="15"/>
        <v>1.6800246710343648E-6</v>
      </c>
      <c r="M54" s="242">
        <f t="shared" si="9"/>
        <v>2.8000411183906081E-6</v>
      </c>
    </row>
    <row r="55" spans="1:13" ht="18" customHeight="1">
      <c r="A55" s="234">
        <v>53</v>
      </c>
      <c r="B55" s="235" t="str">
        <f>表1温室气体盘查表!C58</f>
        <v>其他工业设备制造</v>
      </c>
      <c r="C55" s="235" t="str">
        <f>表1温室气体盘查表!D58</f>
        <v>各工序</v>
      </c>
      <c r="D55" s="243" t="s">
        <v>481</v>
      </c>
      <c r="E55" s="243" t="s">
        <v>476</v>
      </c>
      <c r="F55" s="236" t="s">
        <v>479</v>
      </c>
      <c r="G55" s="237">
        <f t="shared" si="5"/>
        <v>1</v>
      </c>
      <c r="H55" s="238">
        <f t="shared" si="6"/>
        <v>1</v>
      </c>
      <c r="I55" s="237">
        <f t="shared" si="7"/>
        <v>3</v>
      </c>
      <c r="J55" s="239">
        <f t="shared" si="8"/>
        <v>1.6666666666666667</v>
      </c>
      <c r="K55" s="240">
        <f>表1温室气体盘查表!AM58</f>
        <v>518.69925190000004</v>
      </c>
      <c r="L55" s="241">
        <f t="shared" si="15"/>
        <v>3.3725162313781041E-5</v>
      </c>
      <c r="M55" s="242">
        <f t="shared" si="9"/>
        <v>5.6208603856301735E-5</v>
      </c>
    </row>
    <row r="56" spans="1:13" ht="18" customHeight="1">
      <c r="A56" s="234">
        <v>54</v>
      </c>
      <c r="B56" s="235" t="str">
        <f>表1温室气体盘查表!C59</f>
        <v>测量和测试电力和电气信号的仪器制造</v>
      </c>
      <c r="C56" s="235" t="str">
        <f>表1温室气体盘查表!D59</f>
        <v>各工序</v>
      </c>
      <c r="D56" s="243" t="s">
        <v>481</v>
      </c>
      <c r="E56" s="243" t="s">
        <v>476</v>
      </c>
      <c r="F56" s="236" t="s">
        <v>479</v>
      </c>
      <c r="G56" s="237">
        <f t="shared" si="5"/>
        <v>1</v>
      </c>
      <c r="H56" s="238">
        <f t="shared" si="6"/>
        <v>1</v>
      </c>
      <c r="I56" s="237">
        <f t="shared" si="7"/>
        <v>3</v>
      </c>
      <c r="J56" s="239">
        <f t="shared" si="8"/>
        <v>1.6666666666666667</v>
      </c>
      <c r="K56" s="240">
        <f>表1温室气体盘查表!AM59</f>
        <v>220.30499240999998</v>
      </c>
      <c r="L56" s="241">
        <f t="shared" si="15"/>
        <v>1.4323948994235188E-5</v>
      </c>
      <c r="M56" s="242">
        <f t="shared" si="9"/>
        <v>2.3873248323725315E-5</v>
      </c>
    </row>
    <row r="57" spans="1:13" ht="18" customHeight="1">
      <c r="A57" s="234">
        <v>55</v>
      </c>
      <c r="B57" s="235" t="str">
        <f>表1温室气体盘查表!C60</f>
        <v>机械动力传动设备制造</v>
      </c>
      <c r="C57" s="235" t="str">
        <f>表1温室气体盘查表!D60</f>
        <v>各工序</v>
      </c>
      <c r="D57" s="243" t="s">
        <v>481</v>
      </c>
      <c r="E57" s="243" t="s">
        <v>476</v>
      </c>
      <c r="F57" s="236" t="s">
        <v>479</v>
      </c>
      <c r="G57" s="237">
        <f t="shared" si="5"/>
        <v>1</v>
      </c>
      <c r="H57" s="238">
        <f t="shared" si="6"/>
        <v>1</v>
      </c>
      <c r="I57" s="237">
        <f t="shared" si="7"/>
        <v>3</v>
      </c>
      <c r="J57" s="239">
        <f t="shared" si="8"/>
        <v>1.6666666666666667</v>
      </c>
      <c r="K57" s="240">
        <f>表1温室气体盘查表!AM60</f>
        <v>1122.1194533999999</v>
      </c>
      <c r="L57" s="241">
        <f t="shared" si="15"/>
        <v>7.2958772473152001E-5</v>
      </c>
      <c r="M57" s="242">
        <f t="shared" si="9"/>
        <v>1.2159795412192E-4</v>
      </c>
    </row>
    <row r="58" spans="1:13" ht="18" customHeight="1">
      <c r="A58" s="234">
        <v>56</v>
      </c>
      <c r="B58" s="235" t="str">
        <f>表1温室气体盘查表!C61</f>
        <v>测量、分配及其他泵类设备制造</v>
      </c>
      <c r="C58" s="235" t="str">
        <f>表1温室气体盘查表!D61</f>
        <v>各工序</v>
      </c>
      <c r="D58" s="243" t="s">
        <v>481</v>
      </c>
      <c r="E58" s="243" t="s">
        <v>476</v>
      </c>
      <c r="F58" s="236" t="s">
        <v>479</v>
      </c>
      <c r="G58" s="237">
        <f t="shared" si="5"/>
        <v>1</v>
      </c>
      <c r="H58" s="238">
        <f t="shared" si="6"/>
        <v>1</v>
      </c>
      <c r="I58" s="237">
        <f t="shared" si="7"/>
        <v>3</v>
      </c>
      <c r="J58" s="239">
        <f t="shared" si="8"/>
        <v>1.6666666666666667</v>
      </c>
      <c r="K58" s="240">
        <f>表1温室气体盘查表!AM61</f>
        <v>604.19940005000001</v>
      </c>
      <c r="L58" s="241">
        <f t="shared" si="15"/>
        <v>3.9284272653055229E-5</v>
      </c>
      <c r="M58" s="242">
        <f t="shared" si="9"/>
        <v>6.5473787755092048E-5</v>
      </c>
    </row>
    <row r="59" spans="1:13" ht="18" customHeight="1">
      <c r="A59" s="234">
        <v>57</v>
      </c>
      <c r="B59" s="235" t="str">
        <f>表1温室气体盘查表!C62</f>
        <v>用于测量、显示和控制工业过程变量的仪器及相关产品制造</v>
      </c>
      <c r="C59" s="235" t="str">
        <f>表1温室气体盘查表!D62</f>
        <v>各工序</v>
      </c>
      <c r="D59" s="243" t="s">
        <v>481</v>
      </c>
      <c r="E59" s="243" t="s">
        <v>476</v>
      </c>
      <c r="F59" s="236" t="s">
        <v>479</v>
      </c>
      <c r="G59" s="237">
        <f t="shared" si="5"/>
        <v>1</v>
      </c>
      <c r="H59" s="238">
        <f t="shared" si="6"/>
        <v>1</v>
      </c>
      <c r="I59" s="237">
        <f t="shared" si="7"/>
        <v>3</v>
      </c>
      <c r="J59" s="239">
        <f t="shared" si="8"/>
        <v>1.6666666666666667</v>
      </c>
      <c r="K59" s="240">
        <f>表1温室气体盘查表!AM62</f>
        <v>140.41626984000001</v>
      </c>
      <c r="L59" s="241">
        <f t="shared" si="15"/>
        <v>9.1296863731792047E-6</v>
      </c>
      <c r="M59" s="242">
        <f t="shared" si="9"/>
        <v>1.5216143955298675E-5</v>
      </c>
    </row>
    <row r="60" spans="1:13" ht="18" customHeight="1">
      <c r="A60" s="234">
        <v>58</v>
      </c>
      <c r="B60" s="235" t="str">
        <f>表1温室气体盘查表!C63</f>
        <v>所有其他杂项电气设备及元件制造</v>
      </c>
      <c r="C60" s="235" t="str">
        <f>表1温室气体盘查表!D63</f>
        <v>各工序</v>
      </c>
      <c r="D60" s="243" t="s">
        <v>481</v>
      </c>
      <c r="E60" s="243" t="s">
        <v>476</v>
      </c>
      <c r="F60" s="236" t="s">
        <v>479</v>
      </c>
      <c r="G60" s="237">
        <f t="shared" si="5"/>
        <v>1</v>
      </c>
      <c r="H60" s="238">
        <f t="shared" si="6"/>
        <v>1</v>
      </c>
      <c r="I60" s="237">
        <f t="shared" si="7"/>
        <v>3</v>
      </c>
      <c r="J60" s="239">
        <f t="shared" si="8"/>
        <v>1.6666666666666667</v>
      </c>
      <c r="K60" s="240">
        <f>表1温室气体盘查表!AM63</f>
        <v>1091.32670592</v>
      </c>
      <c r="L60" s="241">
        <f t="shared" si="15"/>
        <v>7.0956667393867103E-5</v>
      </c>
      <c r="M60" s="242">
        <f t="shared" si="9"/>
        <v>1.1826111232311184E-4</v>
      </c>
    </row>
    <row r="61" spans="1:13" ht="18" customHeight="1">
      <c r="A61" s="234">
        <v>59</v>
      </c>
      <c r="B61" s="235" t="str">
        <f>表1温室气体盘查表!C64</f>
        <v>所有其他杂项制造</v>
      </c>
      <c r="C61" s="235" t="str">
        <f>表1温室气体盘查表!D64</f>
        <v>各工序</v>
      </c>
      <c r="D61" s="243" t="s">
        <v>481</v>
      </c>
      <c r="E61" s="243" t="s">
        <v>476</v>
      </c>
      <c r="F61" s="236" t="s">
        <v>479</v>
      </c>
      <c r="G61" s="237">
        <f t="shared" si="5"/>
        <v>1</v>
      </c>
      <c r="H61" s="238">
        <f t="shared" si="6"/>
        <v>1</v>
      </c>
      <c r="I61" s="237">
        <f t="shared" si="7"/>
        <v>3</v>
      </c>
      <c r="J61" s="239">
        <f t="shared" si="8"/>
        <v>1.6666666666666667</v>
      </c>
      <c r="K61" s="240">
        <f>表1温室气体盘查表!AM64</f>
        <v>43034.195589840005</v>
      </c>
      <c r="L61" s="241">
        <f t="shared" si="15"/>
        <v>2.7980283873441122E-3</v>
      </c>
      <c r="M61" s="242">
        <f t="shared" si="9"/>
        <v>4.6633806455735208E-3</v>
      </c>
    </row>
    <row r="62" spans="1:13" ht="18" customHeight="1">
      <c r="A62" s="234">
        <v>60</v>
      </c>
      <c r="B62" s="235" t="str">
        <f>表1温室气体盘查表!C65</f>
        <v>液化石油气生产</v>
      </c>
      <c r="C62" s="235" t="str">
        <f>表1温室气体盘查表!D65</f>
        <v>冶钢宾馆</v>
      </c>
      <c r="D62" s="243" t="s">
        <v>478</v>
      </c>
      <c r="E62" s="243" t="s">
        <v>476</v>
      </c>
      <c r="F62" s="236" t="s">
        <v>477</v>
      </c>
      <c r="G62" s="237">
        <f t="shared" si="5"/>
        <v>3</v>
      </c>
      <c r="H62" s="238">
        <f t="shared" si="6"/>
        <v>1</v>
      </c>
      <c r="I62" s="237">
        <f t="shared" si="7"/>
        <v>6</v>
      </c>
      <c r="J62" s="239">
        <f t="shared" si="8"/>
        <v>3.3333333333333335</v>
      </c>
      <c r="K62" s="240">
        <f>表1温室气体盘查表!AM65</f>
        <v>9.4887070688452404</v>
      </c>
      <c r="L62" s="241">
        <f t="shared" si="15"/>
        <v>6.1694360435750472E-7</v>
      </c>
      <c r="M62" s="242">
        <f t="shared" si="9"/>
        <v>2.0564786811916825E-6</v>
      </c>
    </row>
    <row r="63" spans="1:13" ht="18" customHeight="1">
      <c r="A63" s="234">
        <v>61</v>
      </c>
      <c r="B63" s="235" t="str">
        <f>表1温室气体盘查表!C66</f>
        <v>洗精煤生产</v>
      </c>
      <c r="C63" s="235" t="str">
        <f>表1温室气体盘查表!D66</f>
        <v>焦化</v>
      </c>
      <c r="D63" s="243" t="s">
        <v>478</v>
      </c>
      <c r="E63" s="243" t="s">
        <v>476</v>
      </c>
      <c r="F63" s="236" t="s">
        <v>477</v>
      </c>
      <c r="G63" s="237">
        <f t="shared" ref="G63:G95" si="21">IF(D63="自动连续量测",6,IF(D63="定期量测/抄表/铭牌",3,1))</f>
        <v>3</v>
      </c>
      <c r="H63" s="238">
        <f t="shared" ref="H63:H95" si="22">IF(E63="量测/质量平衡排放因子",6,IF(E63="制程/设备排放因子",5,IF(E63="制造商提供的排放因子",4,IF(E63="区域排放因子",3,IF(E63="国家排放因子",2,1)))))</f>
        <v>1</v>
      </c>
      <c r="I63" s="237">
        <f t="shared" ref="I63:I95" si="23">IF(F63="校准且合格",6,IF(F63="未校准",1,3))</f>
        <v>6</v>
      </c>
      <c r="J63" s="239">
        <f t="shared" ref="J63:J95" si="24">AVERAGE(G63:I63)</f>
        <v>3.3333333333333335</v>
      </c>
      <c r="K63" s="240">
        <f>表1温室气体盘查表!AM66</f>
        <v>1204984.5852735001</v>
      </c>
      <c r="L63" s="241">
        <f t="shared" si="15"/>
        <v>7.8346557422426313E-2</v>
      </c>
      <c r="M63" s="242">
        <f t="shared" ref="M63:M93" si="25">J63*L63</f>
        <v>0.26115519140808774</v>
      </c>
    </row>
    <row r="64" spans="1:13" ht="18" customHeight="1">
      <c r="A64" s="234">
        <v>62</v>
      </c>
      <c r="B64" s="235" t="str">
        <f>表1温室气体盘查表!C67</f>
        <v>柴油生产</v>
      </c>
      <c r="C64" s="235" t="str">
        <f>表1温室气体盘查表!D67</f>
        <v>各工序</v>
      </c>
      <c r="D64" s="243" t="s">
        <v>478</v>
      </c>
      <c r="E64" s="243" t="s">
        <v>476</v>
      </c>
      <c r="F64" s="236" t="s">
        <v>477</v>
      </c>
      <c r="G64" s="237">
        <f t="shared" si="21"/>
        <v>3</v>
      </c>
      <c r="H64" s="238">
        <f t="shared" si="22"/>
        <v>1</v>
      </c>
      <c r="I64" s="237">
        <f t="shared" si="23"/>
        <v>6</v>
      </c>
      <c r="J64" s="239">
        <f t="shared" si="24"/>
        <v>3.3333333333333335</v>
      </c>
      <c r="K64" s="240">
        <f>表1温室气体盘查表!AM67</f>
        <v>1198.0757028</v>
      </c>
      <c r="L64" s="241">
        <f t="shared" si="15"/>
        <v>7.7897350715510632E-5</v>
      </c>
      <c r="M64" s="242">
        <f t="shared" si="25"/>
        <v>2.596578357183688E-4</v>
      </c>
    </row>
    <row r="65" spans="1:13" ht="18" customHeight="1">
      <c r="A65" s="234">
        <v>63</v>
      </c>
      <c r="B65" s="235" t="str">
        <f>表1温室气体盘查表!C68</f>
        <v>汽油生产</v>
      </c>
      <c r="C65" s="235" t="str">
        <f>表1温室气体盘查表!D68</f>
        <v>车队</v>
      </c>
      <c r="D65" s="243" t="s">
        <v>478</v>
      </c>
      <c r="E65" s="243" t="s">
        <v>476</v>
      </c>
      <c r="F65" s="236" t="s">
        <v>477</v>
      </c>
      <c r="G65" s="237">
        <f t="shared" si="21"/>
        <v>3</v>
      </c>
      <c r="H65" s="238">
        <f t="shared" si="22"/>
        <v>1</v>
      </c>
      <c r="I65" s="237">
        <f t="shared" si="23"/>
        <v>6</v>
      </c>
      <c r="J65" s="239">
        <f t="shared" si="24"/>
        <v>3.3333333333333335</v>
      </c>
      <c r="K65" s="240">
        <f>表1温室气体盘查表!AM68</f>
        <v>46.740216649323479</v>
      </c>
      <c r="L65" s="241">
        <f t="shared" si="15"/>
        <v>3.0389891392857149E-6</v>
      </c>
      <c r="M65" s="242">
        <f t="shared" si="25"/>
        <v>1.0129963797619051E-5</v>
      </c>
    </row>
    <row r="66" spans="1:13" ht="18" customHeight="1">
      <c r="A66" s="234">
        <v>64</v>
      </c>
      <c r="B66" s="235" t="str">
        <f>表1温室气体盘查表!C69</f>
        <v>焦炭生产</v>
      </c>
      <c r="C66" s="235" t="str">
        <f>表1温室气体盘查表!D69</f>
        <v>烧结、高炉</v>
      </c>
      <c r="D66" s="243" t="s">
        <v>478</v>
      </c>
      <c r="E66" s="243" t="s">
        <v>476</v>
      </c>
      <c r="F66" s="236" t="s">
        <v>477</v>
      </c>
      <c r="G66" s="237">
        <f t="shared" si="21"/>
        <v>3</v>
      </c>
      <c r="H66" s="238">
        <f t="shared" si="22"/>
        <v>1</v>
      </c>
      <c r="I66" s="237">
        <f t="shared" si="23"/>
        <v>6</v>
      </c>
      <c r="J66" s="239">
        <f t="shared" si="24"/>
        <v>3.3333333333333335</v>
      </c>
      <c r="K66" s="240">
        <f>表1温室气体盘查表!AM69</f>
        <v>77306.700329999992</v>
      </c>
      <c r="L66" s="241">
        <f t="shared" si="15"/>
        <v>5.0263828355679189E-3</v>
      </c>
      <c r="M66" s="242">
        <f t="shared" si="25"/>
        <v>1.6754609451893065E-2</v>
      </c>
    </row>
    <row r="67" spans="1:13" ht="18" customHeight="1">
      <c r="A67" s="234">
        <v>65</v>
      </c>
      <c r="B67" s="235" t="str">
        <f>表1温室气体盘查表!C70</f>
        <v>烟煤生产</v>
      </c>
      <c r="C67" s="235" t="str">
        <f>表1温室气体盘查表!D70</f>
        <v>高炉</v>
      </c>
      <c r="D67" s="243" t="s">
        <v>478</v>
      </c>
      <c r="E67" s="243" t="s">
        <v>476</v>
      </c>
      <c r="F67" s="236" t="s">
        <v>477</v>
      </c>
      <c r="G67" s="237">
        <f t="shared" si="21"/>
        <v>3</v>
      </c>
      <c r="H67" s="238">
        <f t="shared" si="22"/>
        <v>1</v>
      </c>
      <c r="I67" s="237">
        <f t="shared" si="23"/>
        <v>6</v>
      </c>
      <c r="J67" s="239">
        <f t="shared" si="24"/>
        <v>3.3333333333333335</v>
      </c>
      <c r="K67" s="240">
        <f>表1温室气体盘查表!AM70</f>
        <v>57829.148730000008</v>
      </c>
      <c r="L67" s="241">
        <f t="shared" si="15"/>
        <v>3.7599773283710706E-3</v>
      </c>
      <c r="M67" s="242">
        <f t="shared" si="25"/>
        <v>1.2533257761236902E-2</v>
      </c>
    </row>
    <row r="68" spans="1:13" ht="18" customHeight="1">
      <c r="A68" s="234">
        <v>66</v>
      </c>
      <c r="B68" s="235" t="str">
        <f>表1温室气体盘查表!C71</f>
        <v>无烟煤生产</v>
      </c>
      <c r="C68" s="235" t="str">
        <f>表1温室气体盘查表!D71</f>
        <v>烧结、高炉</v>
      </c>
      <c r="D68" s="243" t="s">
        <v>478</v>
      </c>
      <c r="E68" s="243" t="s">
        <v>476</v>
      </c>
      <c r="F68" s="236" t="s">
        <v>477</v>
      </c>
      <c r="G68" s="237">
        <f t="shared" si="21"/>
        <v>3</v>
      </c>
      <c r="H68" s="238">
        <f t="shared" si="22"/>
        <v>1</v>
      </c>
      <c r="I68" s="237">
        <f t="shared" si="23"/>
        <v>6</v>
      </c>
      <c r="J68" s="239">
        <f t="shared" si="24"/>
        <v>3.3333333333333335</v>
      </c>
      <c r="K68" s="240">
        <f>表1温室气体盘查表!AM71</f>
        <v>229469.91372000004</v>
      </c>
      <c r="L68" s="241">
        <f t="shared" si="15"/>
        <v>1.491984046244261E-2</v>
      </c>
      <c r="M68" s="242">
        <f t="shared" si="25"/>
        <v>4.9732801541475372E-2</v>
      </c>
    </row>
    <row r="69" spans="1:13" ht="18" customHeight="1">
      <c r="A69" s="234">
        <v>67</v>
      </c>
      <c r="B69" s="235" t="str">
        <f>表1温室气体盘查表!C72</f>
        <v>天然气生产</v>
      </c>
      <c r="C69" s="235" t="str">
        <f>表1温室气体盘查表!D72</f>
        <v>转炉、电炉、锻造、热处理</v>
      </c>
      <c r="D69" s="243" t="s">
        <v>475</v>
      </c>
      <c r="E69" s="243" t="s">
        <v>476</v>
      </c>
      <c r="F69" s="236" t="s">
        <v>477</v>
      </c>
      <c r="G69" s="237">
        <f t="shared" si="21"/>
        <v>6</v>
      </c>
      <c r="H69" s="238">
        <f t="shared" si="22"/>
        <v>1</v>
      </c>
      <c r="I69" s="237">
        <f t="shared" si="23"/>
        <v>6</v>
      </c>
      <c r="J69" s="239">
        <f t="shared" si="24"/>
        <v>4.333333333333333</v>
      </c>
      <c r="K69" s="240">
        <f>表1温室气体盘查表!AM72</f>
        <v>9000.26</v>
      </c>
      <c r="L69" s="241">
        <f t="shared" ref="L69:L81" si="26">K69/$K$96</f>
        <v>5.8518540031507406E-4</v>
      </c>
      <c r="M69" s="242">
        <f t="shared" si="25"/>
        <v>2.5358034013653209E-3</v>
      </c>
    </row>
    <row r="70" spans="1:13" ht="18" customHeight="1">
      <c r="A70" s="234">
        <v>68</v>
      </c>
      <c r="B70" s="235" t="str">
        <f>表1温室气体盘查表!C73</f>
        <v>外购电力上游排放</v>
      </c>
      <c r="C70" s="235" t="str">
        <f>表1温室气体盘查表!D73</f>
        <v>各工序</v>
      </c>
      <c r="D70" s="243" t="s">
        <v>475</v>
      </c>
      <c r="E70" s="243" t="s">
        <v>480</v>
      </c>
      <c r="F70" s="236" t="s">
        <v>477</v>
      </c>
      <c r="G70" s="237">
        <f t="shared" si="21"/>
        <v>6</v>
      </c>
      <c r="H70" s="238">
        <f t="shared" si="22"/>
        <v>2</v>
      </c>
      <c r="I70" s="237">
        <f t="shared" si="23"/>
        <v>6</v>
      </c>
      <c r="J70" s="239">
        <f t="shared" si="24"/>
        <v>4.666666666666667</v>
      </c>
      <c r="K70" s="240">
        <f>表1温室气体盘查表!AM73</f>
        <v>176819.88961700018</v>
      </c>
      <c r="L70" s="241">
        <f t="shared" si="26"/>
        <v>1.1496603196928917E-2</v>
      </c>
      <c r="M70" s="242">
        <f t="shared" si="25"/>
        <v>5.3650814919001616E-2</v>
      </c>
    </row>
    <row r="71" spans="1:13" ht="18" customHeight="1">
      <c r="A71" s="234">
        <v>69</v>
      </c>
      <c r="B71" s="235" t="str">
        <f>表1温室气体盘查表!C74</f>
        <v>船运</v>
      </c>
      <c r="C71" s="235" t="str">
        <f>表1温室气体盘查表!D74</f>
        <v>-</v>
      </c>
      <c r="D71" s="243" t="s">
        <v>481</v>
      </c>
      <c r="E71" s="243" t="s">
        <v>476</v>
      </c>
      <c r="F71" s="236" t="s">
        <v>479</v>
      </c>
      <c r="G71" s="237">
        <f t="shared" si="21"/>
        <v>1</v>
      </c>
      <c r="H71" s="238">
        <f t="shared" si="22"/>
        <v>1</v>
      </c>
      <c r="I71" s="237">
        <f t="shared" si="23"/>
        <v>3</v>
      </c>
      <c r="J71" s="239">
        <f t="shared" si="24"/>
        <v>1.6666666666666667</v>
      </c>
      <c r="K71" s="240">
        <f>表1温室气体盘查表!AM74</f>
        <v>250587.64380757129</v>
      </c>
      <c r="L71" s="241">
        <f t="shared" si="26"/>
        <v>1.6292888278288051E-2</v>
      </c>
      <c r="M71" s="242">
        <f t="shared" si="25"/>
        <v>2.7154813797146751E-2</v>
      </c>
    </row>
    <row r="72" spans="1:13" ht="18" customHeight="1">
      <c r="A72" s="234">
        <v>70</v>
      </c>
      <c r="B72" s="235" t="str">
        <f>表1温室气体盘查表!C75</f>
        <v>汽运</v>
      </c>
      <c r="C72" s="235" t="str">
        <f>表1温室气体盘查表!D75</f>
        <v>-</v>
      </c>
      <c r="D72" s="243" t="s">
        <v>481</v>
      </c>
      <c r="E72" s="243" t="s">
        <v>476</v>
      </c>
      <c r="F72" s="236" t="s">
        <v>479</v>
      </c>
      <c r="G72" s="237">
        <f t="shared" si="21"/>
        <v>1</v>
      </c>
      <c r="H72" s="238">
        <f t="shared" si="22"/>
        <v>1</v>
      </c>
      <c r="I72" s="237">
        <f t="shared" si="23"/>
        <v>3</v>
      </c>
      <c r="J72" s="239">
        <f t="shared" si="24"/>
        <v>1.6666666666666667</v>
      </c>
      <c r="K72" s="240">
        <f>表1温室气体盘查表!AM75</f>
        <v>74635.120596859735</v>
      </c>
      <c r="L72" s="241">
        <f t="shared" si="26"/>
        <v>4.8526801363557494E-3</v>
      </c>
      <c r="M72" s="242">
        <f t="shared" si="25"/>
        <v>8.0878002272595836E-3</v>
      </c>
    </row>
    <row r="73" spans="1:13" ht="18" customHeight="1">
      <c r="A73" s="234">
        <v>71</v>
      </c>
      <c r="B73" s="235" t="str">
        <f>表1温室气体盘查表!C76</f>
        <v>铁路运输</v>
      </c>
      <c r="C73" s="235" t="str">
        <f>表1温室气体盘查表!D76</f>
        <v>-</v>
      </c>
      <c r="D73" s="243" t="s">
        <v>481</v>
      </c>
      <c r="E73" s="243" t="s">
        <v>476</v>
      </c>
      <c r="F73" s="236" t="s">
        <v>479</v>
      </c>
      <c r="G73" s="237">
        <f t="shared" si="21"/>
        <v>1</v>
      </c>
      <c r="H73" s="238">
        <f t="shared" si="22"/>
        <v>1</v>
      </c>
      <c r="I73" s="237">
        <f t="shared" si="23"/>
        <v>3</v>
      </c>
      <c r="J73" s="239">
        <f t="shared" si="24"/>
        <v>1.6666666666666667</v>
      </c>
      <c r="K73" s="240">
        <f>表1温室气体盘查表!AM76</f>
        <v>75504.263804014496</v>
      </c>
      <c r="L73" s="241">
        <f t="shared" si="26"/>
        <v>4.9091907166734271E-3</v>
      </c>
      <c r="M73" s="242">
        <f t="shared" si="25"/>
        <v>8.1819845277890449E-3</v>
      </c>
    </row>
    <row r="74" spans="1:13" ht="18" customHeight="1">
      <c r="A74" s="234">
        <v>72</v>
      </c>
      <c r="B74" s="235" t="str">
        <f>表1温室气体盘查表!C77</f>
        <v>生活垃圾和厨余垃圾</v>
      </c>
      <c r="C74" s="235" t="str">
        <f>表1温室气体盘查表!D77</f>
        <v>垃圾站</v>
      </c>
      <c r="D74" s="243" t="s">
        <v>478</v>
      </c>
      <c r="E74" s="243" t="s">
        <v>476</v>
      </c>
      <c r="F74" s="236" t="s">
        <v>479</v>
      </c>
      <c r="G74" s="237">
        <f t="shared" si="21"/>
        <v>3</v>
      </c>
      <c r="H74" s="238">
        <f t="shared" si="22"/>
        <v>1</v>
      </c>
      <c r="I74" s="237">
        <f t="shared" si="23"/>
        <v>3</v>
      </c>
      <c r="J74" s="239">
        <f t="shared" si="24"/>
        <v>2.3333333333333335</v>
      </c>
      <c r="K74" s="240">
        <f>表1温室气体盘查表!AM77</f>
        <v>1040.2559007235884</v>
      </c>
      <c r="L74" s="241">
        <f t="shared" si="26"/>
        <v>6.7636108922970118E-5</v>
      </c>
      <c r="M74" s="242">
        <f t="shared" si="25"/>
        <v>1.5781758748693029E-4</v>
      </c>
    </row>
    <row r="75" spans="1:13" ht="18" customHeight="1">
      <c r="A75" s="234">
        <v>73</v>
      </c>
      <c r="B75" s="235" t="str">
        <f>表1温室气体盘查表!C78</f>
        <v>废油</v>
      </c>
      <c r="C75" s="235" t="str">
        <f>表1温室气体盘查表!D78</f>
        <v>-</v>
      </c>
      <c r="D75" s="243" t="s">
        <v>478</v>
      </c>
      <c r="E75" s="243" t="s">
        <v>476</v>
      </c>
      <c r="F75" s="236" t="s">
        <v>479</v>
      </c>
      <c r="G75" s="237">
        <f t="shared" si="21"/>
        <v>3</v>
      </c>
      <c r="H75" s="238">
        <f t="shared" si="22"/>
        <v>1</v>
      </c>
      <c r="I75" s="237">
        <f t="shared" si="23"/>
        <v>3</v>
      </c>
      <c r="J75" s="239">
        <f t="shared" si="24"/>
        <v>2.3333333333333335</v>
      </c>
      <c r="K75" s="240">
        <f>表1温室气体盘查表!AM78</f>
        <v>4897.6714742239055</v>
      </c>
      <c r="L75" s="241">
        <f t="shared" si="26"/>
        <v>3.1844033864082097E-4</v>
      </c>
      <c r="M75" s="242">
        <f t="shared" si="25"/>
        <v>7.4302745682858229E-4</v>
      </c>
    </row>
    <row r="76" spans="1:13" ht="18" customHeight="1">
      <c r="A76" s="234">
        <v>74</v>
      </c>
      <c r="B76" s="235" t="str">
        <f>表1温室气体盘查表!C79</f>
        <v>废油水</v>
      </c>
      <c r="C76" s="235" t="str">
        <f>表1温室气体盘查表!D79</f>
        <v>-</v>
      </c>
      <c r="D76" s="243" t="s">
        <v>478</v>
      </c>
      <c r="E76" s="243" t="s">
        <v>476</v>
      </c>
      <c r="F76" s="236" t="s">
        <v>479</v>
      </c>
      <c r="G76" s="237">
        <f t="shared" si="21"/>
        <v>3</v>
      </c>
      <c r="H76" s="238">
        <f t="shared" si="22"/>
        <v>1</v>
      </c>
      <c r="I76" s="237">
        <f t="shared" si="23"/>
        <v>3</v>
      </c>
      <c r="J76" s="239">
        <f t="shared" si="24"/>
        <v>2.3333333333333335</v>
      </c>
      <c r="K76" s="240">
        <f>表1温室气体盘查表!AM79</f>
        <v>14824.498404251912</v>
      </c>
      <c r="L76" s="241">
        <f t="shared" si="26"/>
        <v>9.6386993633098726E-4</v>
      </c>
      <c r="M76" s="242">
        <f t="shared" si="25"/>
        <v>2.2490298514389706E-3</v>
      </c>
    </row>
    <row r="77" spans="1:13" ht="18" customHeight="1">
      <c r="A77" s="234">
        <v>75</v>
      </c>
      <c r="B77" s="235" t="str">
        <f>表1温室气体盘查表!C80</f>
        <v>废弃物运输</v>
      </c>
      <c r="C77" s="235" t="str">
        <f>表1温室气体盘查表!D80</f>
        <v>-</v>
      </c>
      <c r="D77" s="243" t="s">
        <v>481</v>
      </c>
      <c r="E77" s="243" t="s">
        <v>476</v>
      </c>
      <c r="F77" s="236" t="s">
        <v>479</v>
      </c>
      <c r="G77" s="237">
        <f t="shared" si="21"/>
        <v>1</v>
      </c>
      <c r="H77" s="238">
        <f t="shared" si="22"/>
        <v>1</v>
      </c>
      <c r="I77" s="237">
        <f t="shared" si="23"/>
        <v>3</v>
      </c>
      <c r="J77" s="239">
        <f t="shared" si="24"/>
        <v>1.6666666666666667</v>
      </c>
      <c r="K77" s="240">
        <f>表1温室气体盘查表!AM80</f>
        <v>10189.592640916659</v>
      </c>
      <c r="L77" s="241">
        <f t="shared" si="26"/>
        <v>6.6251428832304264E-4</v>
      </c>
      <c r="M77" s="242">
        <f t="shared" si="25"/>
        <v>1.1041904805384045E-3</v>
      </c>
    </row>
    <row r="78" spans="1:13" ht="18" customHeight="1">
      <c r="A78" s="234">
        <v>76</v>
      </c>
      <c r="B78" s="235" t="str">
        <f>表1温室气体盘查表!C81</f>
        <v>航运</v>
      </c>
      <c r="C78" s="235" t="str">
        <f>表1温室气体盘查表!D81</f>
        <v>-</v>
      </c>
      <c r="D78" s="243" t="s">
        <v>481</v>
      </c>
      <c r="E78" s="243" t="s">
        <v>480</v>
      </c>
      <c r="F78" s="236" t="s">
        <v>479</v>
      </c>
      <c r="G78" s="237">
        <f t="shared" si="21"/>
        <v>1</v>
      </c>
      <c r="H78" s="238">
        <f t="shared" si="22"/>
        <v>2</v>
      </c>
      <c r="I78" s="237">
        <f t="shared" si="23"/>
        <v>3</v>
      </c>
      <c r="J78" s="239">
        <f t="shared" si="24"/>
        <v>2</v>
      </c>
      <c r="K78" s="240">
        <f>表1温室气体盘查表!AM81</f>
        <v>311.60514000000001</v>
      </c>
      <c r="L78" s="241">
        <f t="shared" si="26"/>
        <v>2.02601678830539E-5</v>
      </c>
      <c r="M78" s="242">
        <f t="shared" si="25"/>
        <v>4.05203357661078E-5</v>
      </c>
    </row>
    <row r="79" spans="1:13" ht="18" customHeight="1">
      <c r="A79" s="234">
        <v>77</v>
      </c>
      <c r="B79" s="235" t="str">
        <f>表1温室气体盘查表!C82</f>
        <v>铁路运输</v>
      </c>
      <c r="C79" s="235" t="str">
        <f>表1温室气体盘查表!D82</f>
        <v>-</v>
      </c>
      <c r="D79" s="243" t="s">
        <v>481</v>
      </c>
      <c r="E79" s="243" t="s">
        <v>476</v>
      </c>
      <c r="F79" s="236" t="s">
        <v>479</v>
      </c>
      <c r="G79" s="237">
        <f t="shared" si="21"/>
        <v>1</v>
      </c>
      <c r="H79" s="238">
        <f t="shared" si="22"/>
        <v>1</v>
      </c>
      <c r="I79" s="237">
        <f t="shared" si="23"/>
        <v>3</v>
      </c>
      <c r="J79" s="239">
        <f t="shared" si="24"/>
        <v>1.6666666666666667</v>
      </c>
      <c r="K79" s="240">
        <f>表1温室气体盘查表!AM82</f>
        <v>725.30840949439869</v>
      </c>
      <c r="L79" s="241">
        <f t="shared" si="26"/>
        <v>4.715862563546713E-5</v>
      </c>
      <c r="M79" s="242">
        <f t="shared" si="25"/>
        <v>7.8597709392445224E-5</v>
      </c>
    </row>
    <row r="80" spans="1:13" ht="18" customHeight="1">
      <c r="A80" s="234">
        <v>78</v>
      </c>
      <c r="B80" s="235" t="str">
        <f>表1温室气体盘查表!C83</f>
        <v>员工差旅住宿</v>
      </c>
      <c r="C80" s="235" t="str">
        <f>表1温室气体盘查表!D83</f>
        <v>-</v>
      </c>
      <c r="D80" s="243" t="s">
        <v>481</v>
      </c>
      <c r="E80" s="243" t="s">
        <v>480</v>
      </c>
      <c r="F80" s="236" t="s">
        <v>479</v>
      </c>
      <c r="G80" s="237">
        <f t="shared" si="21"/>
        <v>1</v>
      </c>
      <c r="H80" s="238">
        <f t="shared" si="22"/>
        <v>2</v>
      </c>
      <c r="I80" s="237">
        <f t="shared" si="23"/>
        <v>3</v>
      </c>
      <c r="J80" s="239">
        <f t="shared" si="24"/>
        <v>2</v>
      </c>
      <c r="K80" s="240">
        <f>表1温室气体盘查表!AM83</f>
        <v>767.83199999999999</v>
      </c>
      <c r="L80" s="241">
        <f t="shared" si="26"/>
        <v>4.9923455132932152E-5</v>
      </c>
      <c r="M80" s="242">
        <f t="shared" si="25"/>
        <v>9.9846910265864305E-5</v>
      </c>
    </row>
    <row r="81" spans="1:14" ht="18" customHeight="1">
      <c r="A81" s="234">
        <v>79</v>
      </c>
      <c r="B81" s="235" t="str">
        <f>表1温室气体盘查表!C84</f>
        <v>通勤车</v>
      </c>
      <c r="C81" s="235" t="str">
        <f>表1温室气体盘查表!D84</f>
        <v>-</v>
      </c>
      <c r="D81" s="243" t="s">
        <v>481</v>
      </c>
      <c r="E81" s="243" t="s">
        <v>480</v>
      </c>
      <c r="F81" s="236" t="s">
        <v>479</v>
      </c>
      <c r="G81" s="237">
        <f t="shared" si="21"/>
        <v>1</v>
      </c>
      <c r="H81" s="238">
        <f t="shared" si="22"/>
        <v>2</v>
      </c>
      <c r="I81" s="237">
        <f t="shared" si="23"/>
        <v>3</v>
      </c>
      <c r="J81" s="239">
        <f t="shared" si="24"/>
        <v>2</v>
      </c>
      <c r="K81" s="240">
        <f>表1温室气体盘查表!AM84</f>
        <v>59.915075134693886</v>
      </c>
      <c r="L81" s="241">
        <f t="shared" si="26"/>
        <v>3.895601596798713E-6</v>
      </c>
      <c r="M81" s="242">
        <f t="shared" si="25"/>
        <v>7.791203193597426E-6</v>
      </c>
    </row>
    <row r="82" spans="1:14" ht="18" customHeight="1">
      <c r="A82" s="234">
        <v>80</v>
      </c>
      <c r="B82" s="235" t="str">
        <f>表1温室气体盘查表!C85</f>
        <v>电力公交</v>
      </c>
      <c r="C82" s="235" t="str">
        <f>表1温室气体盘查表!D85</f>
        <v>-</v>
      </c>
      <c r="D82" s="243" t="s">
        <v>481</v>
      </c>
      <c r="E82" s="243" t="s">
        <v>480</v>
      </c>
      <c r="F82" s="236" t="s">
        <v>479</v>
      </c>
      <c r="G82" s="237">
        <f t="shared" ref="G82" si="27">IF(D82="自动连续量测",6,IF(D82="定期量测/抄表/铭牌",3,1))</f>
        <v>1</v>
      </c>
      <c r="H82" s="238">
        <f t="shared" ref="H82" si="28">IF(E82="量测/质量平衡排放因子",6,IF(E82="制程/设备排放因子",5,IF(E82="制造商提供的排放因子",4,IF(E82="区域排放因子",3,IF(E82="国家排放因子",2,1)))))</f>
        <v>2</v>
      </c>
      <c r="I82" s="237">
        <f t="shared" ref="I82" si="29">IF(F82="校准且合格",6,IF(F82="未校准",1,3))</f>
        <v>3</v>
      </c>
      <c r="J82" s="239">
        <f t="shared" ref="J82" si="30">AVERAGE(G82:I82)</f>
        <v>2</v>
      </c>
      <c r="K82" s="240">
        <f>表1温室气体盘查表!AM85</f>
        <v>2.7815691903999999</v>
      </c>
      <c r="L82" s="241">
        <f t="shared" ref="L82" si="31">K82/$K$96</f>
        <v>1.8085407312547643E-7</v>
      </c>
      <c r="M82" s="242">
        <f t="shared" ref="M82" si="32">J82*L82</f>
        <v>3.6170814625095286E-7</v>
      </c>
    </row>
    <row r="83" spans="1:14" ht="18" customHeight="1">
      <c r="A83" s="234">
        <v>81</v>
      </c>
      <c r="B83" s="235" t="str">
        <f>表1温室气体盘查表!C86</f>
        <v>电瓶车</v>
      </c>
      <c r="C83" s="235" t="str">
        <f>表1温室气体盘查表!D86</f>
        <v>-</v>
      </c>
      <c r="D83" s="243" t="s">
        <v>481</v>
      </c>
      <c r="E83" s="243" t="s">
        <v>476</v>
      </c>
      <c r="F83" s="236" t="s">
        <v>479</v>
      </c>
      <c r="G83" s="237">
        <f t="shared" si="21"/>
        <v>1</v>
      </c>
      <c r="H83" s="238">
        <f t="shared" si="22"/>
        <v>1</v>
      </c>
      <c r="I83" s="237">
        <f t="shared" si="23"/>
        <v>3</v>
      </c>
      <c r="J83" s="239">
        <f t="shared" si="24"/>
        <v>1.6666666666666667</v>
      </c>
      <c r="K83" s="240">
        <f>表1温室气体盘查表!AM86</f>
        <v>286.29993180666088</v>
      </c>
      <c r="L83" s="241">
        <f t="shared" ref="L83:L93" si="33">K83/$K$96</f>
        <v>1.8614855593556102E-5</v>
      </c>
      <c r="M83" s="242">
        <f t="shared" si="25"/>
        <v>3.1024759322593504E-5</v>
      </c>
    </row>
    <row r="84" spans="1:14" ht="18" customHeight="1">
      <c r="A84" s="234">
        <v>82</v>
      </c>
      <c r="B84" s="235" t="str">
        <f>表1温室气体盘查表!C87</f>
        <v>自驾油车</v>
      </c>
      <c r="C84" s="235" t="str">
        <f>表1温室气体盘查表!D87</f>
        <v>-</v>
      </c>
      <c r="D84" s="243" t="s">
        <v>481</v>
      </c>
      <c r="E84" s="243" t="s">
        <v>476</v>
      </c>
      <c r="F84" s="236" t="s">
        <v>479</v>
      </c>
      <c r="G84" s="237">
        <f t="shared" si="21"/>
        <v>1</v>
      </c>
      <c r="H84" s="238">
        <f t="shared" si="22"/>
        <v>1</v>
      </c>
      <c r="I84" s="237">
        <f t="shared" si="23"/>
        <v>3</v>
      </c>
      <c r="J84" s="239">
        <f t="shared" si="24"/>
        <v>1.6666666666666667</v>
      </c>
      <c r="K84" s="240">
        <f>表1温室气体盘查表!AM87</f>
        <v>4531.2742832535278</v>
      </c>
      <c r="L84" s="241">
        <f t="shared" si="33"/>
        <v>2.9461766164345427E-4</v>
      </c>
      <c r="M84" s="242">
        <f t="shared" si="25"/>
        <v>4.9102943607242386E-4</v>
      </c>
    </row>
    <row r="85" spans="1:14" ht="18" customHeight="1">
      <c r="A85" s="234">
        <v>83</v>
      </c>
      <c r="B85" s="235" t="str">
        <f>表1温室气体盘查表!C88</f>
        <v>自驾电车</v>
      </c>
      <c r="C85" s="235" t="str">
        <f>表1温室气体盘查表!D88</f>
        <v>-</v>
      </c>
      <c r="D85" s="243" t="s">
        <v>481</v>
      </c>
      <c r="E85" s="243" t="s">
        <v>476</v>
      </c>
      <c r="F85" s="236" t="s">
        <v>479</v>
      </c>
      <c r="G85" s="237">
        <f t="shared" si="21"/>
        <v>1</v>
      </c>
      <c r="H85" s="238">
        <f t="shared" si="22"/>
        <v>1</v>
      </c>
      <c r="I85" s="237">
        <f t="shared" si="23"/>
        <v>3</v>
      </c>
      <c r="J85" s="239">
        <f t="shared" si="24"/>
        <v>1.6666666666666667</v>
      </c>
      <c r="K85" s="240">
        <f>表1温室气体盘查表!AM88</f>
        <v>567.20146622544166</v>
      </c>
      <c r="L85" s="241">
        <f t="shared" si="33"/>
        <v>3.6878714289635193E-5</v>
      </c>
      <c r="M85" s="242">
        <f t="shared" si="25"/>
        <v>6.1464523816058664E-5</v>
      </c>
    </row>
    <row r="86" spans="1:14" ht="18" customHeight="1">
      <c r="A86" s="234">
        <v>84</v>
      </c>
      <c r="B86" s="235" t="str">
        <f>表1温室气体盘查表!C89</f>
        <v>船运</v>
      </c>
      <c r="C86" s="235" t="str">
        <f>表1温室气体盘查表!D89</f>
        <v>-</v>
      </c>
      <c r="D86" s="243" t="s">
        <v>481</v>
      </c>
      <c r="E86" s="243" t="s">
        <v>476</v>
      </c>
      <c r="F86" s="236" t="s">
        <v>479</v>
      </c>
      <c r="G86" s="237">
        <f t="shared" si="21"/>
        <v>1</v>
      </c>
      <c r="H86" s="238">
        <f t="shared" si="22"/>
        <v>1</v>
      </c>
      <c r="I86" s="237">
        <f t="shared" si="23"/>
        <v>3</v>
      </c>
      <c r="J86" s="239">
        <f t="shared" si="24"/>
        <v>1.6666666666666667</v>
      </c>
      <c r="K86" s="240">
        <f>表1温室气体盘查表!AM89</f>
        <v>50174.491306491567</v>
      </c>
      <c r="L86" s="241">
        <f t="shared" si="33"/>
        <v>3.2622812875177463E-3</v>
      </c>
      <c r="M86" s="242">
        <f t="shared" si="25"/>
        <v>5.4371354791962444E-3</v>
      </c>
    </row>
    <row r="87" spans="1:14" ht="18" customHeight="1">
      <c r="A87" s="234">
        <v>85</v>
      </c>
      <c r="B87" s="235" t="str">
        <f>表1温室气体盘查表!C90</f>
        <v>汽运</v>
      </c>
      <c r="C87" s="235" t="str">
        <f>表1温室气体盘查表!D90</f>
        <v>-</v>
      </c>
      <c r="D87" s="243" t="s">
        <v>481</v>
      </c>
      <c r="E87" s="243" t="s">
        <v>476</v>
      </c>
      <c r="F87" s="236" t="s">
        <v>479</v>
      </c>
      <c r="G87" s="237">
        <f t="shared" si="21"/>
        <v>1</v>
      </c>
      <c r="H87" s="238">
        <f t="shared" si="22"/>
        <v>1</v>
      </c>
      <c r="I87" s="237">
        <f t="shared" si="23"/>
        <v>3</v>
      </c>
      <c r="J87" s="239">
        <f t="shared" si="24"/>
        <v>1.6666666666666667</v>
      </c>
      <c r="K87" s="240">
        <f>表1温室气体盘查表!AM90</f>
        <v>207696.57744565431</v>
      </c>
      <c r="L87" s="241">
        <f t="shared" si="33"/>
        <v>1.3504165970383746E-2</v>
      </c>
      <c r="M87" s="242">
        <f t="shared" si="25"/>
        <v>2.2506943283972909E-2</v>
      </c>
    </row>
    <row r="88" spans="1:14" ht="18" customHeight="1">
      <c r="A88" s="234">
        <v>86</v>
      </c>
      <c r="B88" s="235" t="str">
        <f>表1温室气体盘查表!C91</f>
        <v>铁路运输</v>
      </c>
      <c r="C88" s="235" t="str">
        <f>表1温室气体盘查表!D91</f>
        <v>-</v>
      </c>
      <c r="D88" s="243" t="s">
        <v>481</v>
      </c>
      <c r="E88" s="243" t="s">
        <v>476</v>
      </c>
      <c r="F88" s="236" t="s">
        <v>479</v>
      </c>
      <c r="G88" s="237">
        <f t="shared" si="21"/>
        <v>1</v>
      </c>
      <c r="H88" s="238">
        <f t="shared" si="22"/>
        <v>1</v>
      </c>
      <c r="I88" s="237">
        <f t="shared" si="23"/>
        <v>3</v>
      </c>
      <c r="J88" s="239">
        <f t="shared" si="24"/>
        <v>1.6666666666666667</v>
      </c>
      <c r="K88" s="240">
        <f>表1温室气体盘查表!AM91</f>
        <v>16671.614413395077</v>
      </c>
      <c r="L88" s="241">
        <f t="shared" si="33"/>
        <v>1.0839670581073387E-3</v>
      </c>
      <c r="M88" s="242">
        <f t="shared" si="25"/>
        <v>1.8066117635122314E-3</v>
      </c>
    </row>
    <row r="89" spans="1:14" ht="18" customHeight="1">
      <c r="A89" s="234">
        <v>87</v>
      </c>
      <c r="B89" s="235" t="str">
        <f>表1温室气体盘查表!C92</f>
        <v>汽运-副产品</v>
      </c>
      <c r="C89" s="235" t="str">
        <f>表1温室气体盘查表!D92</f>
        <v>-</v>
      </c>
      <c r="D89" s="243" t="s">
        <v>481</v>
      </c>
      <c r="E89" s="243" t="s">
        <v>476</v>
      </c>
      <c r="F89" s="236" t="s">
        <v>479</v>
      </c>
      <c r="G89" s="237">
        <f t="shared" si="21"/>
        <v>1</v>
      </c>
      <c r="H89" s="238">
        <f t="shared" si="22"/>
        <v>1</v>
      </c>
      <c r="I89" s="237">
        <f t="shared" si="23"/>
        <v>3</v>
      </c>
      <c r="J89" s="239">
        <f t="shared" si="24"/>
        <v>1.6666666666666667</v>
      </c>
      <c r="K89" s="240">
        <f>表1温室气体盘查表!AM92</f>
        <v>6539.0557153156715</v>
      </c>
      <c r="L89" s="241">
        <f t="shared" si="33"/>
        <v>4.251610438420195E-4</v>
      </c>
      <c r="M89" s="242">
        <f t="shared" si="25"/>
        <v>7.086017397366992E-4</v>
      </c>
    </row>
    <row r="90" spans="1:14" ht="18" customHeight="1">
      <c r="A90" s="234">
        <v>88</v>
      </c>
      <c r="B90" s="235" t="str">
        <f>表1温室气体盘查表!C93</f>
        <v>锻材加工</v>
      </c>
      <c r="C90" s="235" t="str">
        <f>表1温室气体盘查表!D93</f>
        <v>下游钢铁厂</v>
      </c>
      <c r="D90" s="243" t="s">
        <v>478</v>
      </c>
      <c r="E90" s="243" t="s">
        <v>481</v>
      </c>
      <c r="F90" s="236" t="s">
        <v>479</v>
      </c>
      <c r="G90" s="237">
        <f t="shared" si="21"/>
        <v>3</v>
      </c>
      <c r="H90" s="238">
        <f t="shared" si="22"/>
        <v>1</v>
      </c>
      <c r="I90" s="237">
        <f t="shared" si="23"/>
        <v>3</v>
      </c>
      <c r="J90" s="239">
        <f t="shared" si="24"/>
        <v>2.3333333333333335</v>
      </c>
      <c r="K90" s="240">
        <f>表1温室气体盘查表!AM93</f>
        <v>135333.26981830696</v>
      </c>
      <c r="L90" s="241">
        <f t="shared" si="33"/>
        <v>8.7991962092843854E-3</v>
      </c>
      <c r="M90" s="242">
        <f t="shared" si="25"/>
        <v>2.0531457821663567E-2</v>
      </c>
    </row>
    <row r="91" spans="1:14" ht="18" customHeight="1">
      <c r="A91" s="234">
        <v>89</v>
      </c>
      <c r="B91" s="235" t="str">
        <f>表1温室气体盘查表!C94</f>
        <v>棒材加工</v>
      </c>
      <c r="C91" s="235" t="str">
        <f>表1温室气体盘查表!D94</f>
        <v>下游钢铁厂</v>
      </c>
      <c r="D91" s="243" t="s">
        <v>478</v>
      </c>
      <c r="E91" s="243" t="s">
        <v>481</v>
      </c>
      <c r="F91" s="236" t="s">
        <v>479</v>
      </c>
      <c r="G91" s="237">
        <f t="shared" si="21"/>
        <v>3</v>
      </c>
      <c r="H91" s="238">
        <f t="shared" si="22"/>
        <v>1</v>
      </c>
      <c r="I91" s="237">
        <f t="shared" si="23"/>
        <v>3</v>
      </c>
      <c r="J91" s="239">
        <f t="shared" si="24"/>
        <v>2.3333333333333335</v>
      </c>
      <c r="K91" s="240">
        <f>表1温室气体盘查表!AM94</f>
        <v>2075519.7277605545</v>
      </c>
      <c r="L91" s="241">
        <f t="shared" si="33"/>
        <v>0.13494763959612208</v>
      </c>
      <c r="M91" s="242">
        <f t="shared" si="25"/>
        <v>0.31487782572428485</v>
      </c>
    </row>
    <row r="92" spans="1:14" ht="18" customHeight="1">
      <c r="A92" s="234">
        <v>90</v>
      </c>
      <c r="B92" s="235" t="str">
        <f>表1温室气体盘查表!C95</f>
        <v>钢管加工</v>
      </c>
      <c r="C92" s="235" t="str">
        <f>表1温室气体盘查表!D95</f>
        <v>下游钢铁厂</v>
      </c>
      <c r="D92" s="243" t="s">
        <v>478</v>
      </c>
      <c r="E92" s="243" t="s">
        <v>481</v>
      </c>
      <c r="F92" s="236" t="s">
        <v>479</v>
      </c>
      <c r="G92" s="237">
        <f t="shared" si="21"/>
        <v>3</v>
      </c>
      <c r="H92" s="238">
        <f t="shared" si="22"/>
        <v>1</v>
      </c>
      <c r="I92" s="237">
        <f t="shared" si="23"/>
        <v>3</v>
      </c>
      <c r="J92" s="239">
        <f t="shared" si="24"/>
        <v>2.3333333333333335</v>
      </c>
      <c r="K92" s="240">
        <f>表1温室气体盘查表!AM95</f>
        <v>61948.696404295377</v>
      </c>
      <c r="L92" s="241">
        <f t="shared" si="33"/>
        <v>4.0278250522034452E-3</v>
      </c>
      <c r="M92" s="242">
        <f t="shared" si="25"/>
        <v>9.3982584551413721E-3</v>
      </c>
    </row>
    <row r="93" spans="1:14" ht="18" customHeight="1">
      <c r="A93" s="234">
        <v>91</v>
      </c>
      <c r="B93" s="235" t="str">
        <f>表1温室气体盘查表!C96</f>
        <v>钢坯加工</v>
      </c>
      <c r="C93" s="235" t="str">
        <f>表1温室气体盘查表!D96</f>
        <v>下游钢铁厂</v>
      </c>
      <c r="D93" s="243" t="s">
        <v>478</v>
      </c>
      <c r="E93" s="243" t="s">
        <v>481</v>
      </c>
      <c r="F93" s="236" t="s">
        <v>479</v>
      </c>
      <c r="G93" s="237">
        <f t="shared" si="21"/>
        <v>3</v>
      </c>
      <c r="H93" s="238">
        <f t="shared" si="22"/>
        <v>1</v>
      </c>
      <c r="I93" s="237">
        <f t="shared" si="23"/>
        <v>3</v>
      </c>
      <c r="J93" s="239">
        <f t="shared" si="24"/>
        <v>2.3333333333333335</v>
      </c>
      <c r="K93" s="240">
        <f>表1温室气体盘查表!AM96</f>
        <v>176591.21304006039</v>
      </c>
      <c r="L93" s="241">
        <f t="shared" si="33"/>
        <v>1.1481734938209816E-2</v>
      </c>
      <c r="M93" s="242">
        <f t="shared" si="25"/>
        <v>2.6790714855822906E-2</v>
      </c>
    </row>
    <row r="94" spans="1:14" ht="18" customHeight="1">
      <c r="A94" s="234">
        <v>92</v>
      </c>
      <c r="B94" s="235" t="str">
        <f>表1温室气体盘查表!C97</f>
        <v>外售焦炉煤气燃烧</v>
      </c>
      <c r="C94" s="235" t="str">
        <f>表1温室气体盘查表!D97</f>
        <v>下游钢铁厂</v>
      </c>
      <c r="D94" s="243" t="s">
        <v>475</v>
      </c>
      <c r="E94" s="243" t="s">
        <v>476</v>
      </c>
      <c r="F94" s="236" t="s">
        <v>477</v>
      </c>
      <c r="G94" s="237">
        <f t="shared" ref="G94" si="34">IF(D94="自动连续量测",6,IF(D94="定期量测/抄表/铭牌",3,1))</f>
        <v>6</v>
      </c>
      <c r="H94" s="238">
        <f t="shared" ref="H94" si="35">IF(E94="量测/质量平衡排放因子",6,IF(E94="制程/设备排放因子",5,IF(E94="制造商提供的排放因子",4,IF(E94="区域排放因子",3,IF(E94="国家排放因子",2,1)))))</f>
        <v>1</v>
      </c>
      <c r="I94" s="237">
        <f t="shared" ref="I94" si="36">IF(F94="校准且合格",6,IF(F94="未校准",1,3))</f>
        <v>6</v>
      </c>
      <c r="J94" s="239">
        <f t="shared" ref="J94" si="37">AVERAGE(G94:I94)</f>
        <v>4.333333333333333</v>
      </c>
      <c r="K94" s="240">
        <f>表1温室气体盘查表!AM97</f>
        <v>6034.9101733989937</v>
      </c>
      <c r="L94" s="241">
        <f t="shared" ref="L94:L95" si="38">K94/$K$96</f>
        <v>3.9238214514758496E-4</v>
      </c>
      <c r="M94" s="242">
        <f t="shared" ref="M94:M95" si="39">J94*L94</f>
        <v>1.7003226289728681E-3</v>
      </c>
    </row>
    <row r="95" spans="1:14" ht="18" customHeight="1">
      <c r="A95" s="234">
        <v>93</v>
      </c>
      <c r="B95" s="235" t="str">
        <f>表1温室气体盘查表!C98</f>
        <v>产品报废</v>
      </c>
      <c r="C95" s="235" t="str">
        <f>表1温室气体盘查表!D98</f>
        <v>下游钢铁厂</v>
      </c>
      <c r="D95" s="243" t="s">
        <v>481</v>
      </c>
      <c r="E95" s="243" t="s">
        <v>476</v>
      </c>
      <c r="F95" s="236" t="s">
        <v>479</v>
      </c>
      <c r="G95" s="237">
        <f t="shared" si="21"/>
        <v>1</v>
      </c>
      <c r="H95" s="238">
        <f t="shared" si="22"/>
        <v>1</v>
      </c>
      <c r="I95" s="237">
        <f t="shared" si="23"/>
        <v>3</v>
      </c>
      <c r="J95" s="239">
        <f t="shared" si="24"/>
        <v>1.6666666666666667</v>
      </c>
      <c r="K95" s="240">
        <f>表1温室气体盘查表!AM98</f>
        <v>3589.1150200565844</v>
      </c>
      <c r="L95" s="241">
        <f t="shared" si="38"/>
        <v>2.333596706971418E-4</v>
      </c>
      <c r="M95" s="242">
        <f t="shared" si="39"/>
        <v>3.8893278449523633E-4</v>
      </c>
    </row>
    <row r="96" spans="1:14">
      <c r="A96" s="244"/>
      <c r="B96" s="244"/>
      <c r="C96" s="244"/>
      <c r="D96" s="244"/>
      <c r="E96" s="244"/>
      <c r="F96" s="244"/>
      <c r="G96" s="229"/>
      <c r="H96" s="229"/>
      <c r="I96" s="229"/>
      <c r="J96" s="229"/>
      <c r="K96" s="245">
        <f>SUM(K3:K95)</f>
        <v>15380185.485068668</v>
      </c>
      <c r="L96" s="246" t="s">
        <v>482</v>
      </c>
      <c r="M96" s="247">
        <f>SUM(M3:M95)</f>
        <v>3.6885263413126022</v>
      </c>
      <c r="N96" t="s">
        <v>483</v>
      </c>
    </row>
    <row r="97" spans="1:13">
      <c r="A97" s="244"/>
      <c r="B97" s="244"/>
      <c r="C97" s="244"/>
      <c r="D97" s="244"/>
      <c r="E97" s="244"/>
      <c r="F97" s="244"/>
      <c r="G97" s="229"/>
      <c r="H97" s="229"/>
      <c r="I97" s="229"/>
      <c r="J97" s="229"/>
      <c r="K97" s="229"/>
      <c r="L97" s="248" t="s">
        <v>484</v>
      </c>
      <c r="M97" s="249" t="str">
        <f>IF(M96&lt;2,"差",IF(M96&lt;3,"一般",IF(M96&lt;4,"良",IF(M96&lt;5,"优","优+"))))</f>
        <v>良</v>
      </c>
    </row>
    <row r="98" spans="1:13">
      <c r="A98" s="229"/>
      <c r="B98" s="229"/>
      <c r="C98" s="229"/>
      <c r="D98" s="229"/>
      <c r="E98" s="229"/>
      <c r="F98" s="229"/>
      <c r="G98" s="229"/>
      <c r="H98" s="229"/>
      <c r="I98" s="229"/>
      <c r="J98" s="250"/>
      <c r="K98" s="229"/>
      <c r="L98" s="229"/>
      <c r="M98" s="229"/>
    </row>
    <row r="99" spans="1:13">
      <c r="A99" s="229"/>
      <c r="B99" s="229"/>
      <c r="C99" s="229"/>
      <c r="D99" s="229"/>
      <c r="E99" s="229"/>
      <c r="F99" s="229"/>
      <c r="G99" s="251"/>
      <c r="H99" s="229"/>
      <c r="I99" s="229"/>
      <c r="J99" s="229"/>
      <c r="K99" s="229"/>
      <c r="L99" s="229"/>
      <c r="M99" s="229"/>
    </row>
    <row r="100" spans="1:13">
      <c r="A100" s="251"/>
      <c r="B100" s="229"/>
      <c r="C100" s="229"/>
      <c r="D100" s="229"/>
      <c r="E100" s="229"/>
      <c r="F100" s="229"/>
      <c r="G100" s="229"/>
      <c r="H100" s="229"/>
      <c r="I100" s="229"/>
      <c r="J100" s="250"/>
      <c r="K100" s="250"/>
      <c r="L100" s="229"/>
      <c r="M100" s="229"/>
    </row>
    <row r="101" spans="1:13">
      <c r="A101" s="229" t="s">
        <v>485</v>
      </c>
      <c r="B101" s="229"/>
      <c r="C101" s="229"/>
      <c r="D101" s="229"/>
      <c r="E101" s="229"/>
      <c r="F101" s="229"/>
      <c r="G101" s="229"/>
      <c r="H101" s="229"/>
      <c r="I101" s="229"/>
      <c r="J101" s="250"/>
      <c r="K101" s="250"/>
      <c r="L101" s="229"/>
      <c r="M101" s="229"/>
    </row>
    <row r="102" spans="1:13">
      <c r="A102" s="229" t="s">
        <v>485</v>
      </c>
      <c r="B102" s="229"/>
      <c r="C102" s="229"/>
      <c r="D102" s="229"/>
      <c r="E102" s="229"/>
      <c r="F102" s="229"/>
      <c r="G102" s="229"/>
      <c r="H102" s="229"/>
      <c r="I102" s="229"/>
      <c r="J102" s="250"/>
      <c r="K102" s="250"/>
      <c r="L102" s="229"/>
      <c r="M102" s="229"/>
    </row>
    <row r="103" spans="1:13">
      <c r="A103" s="229" t="s">
        <v>485</v>
      </c>
      <c r="B103" s="229"/>
      <c r="C103" s="229"/>
      <c r="D103" s="229"/>
      <c r="E103" s="229"/>
      <c r="F103" s="229"/>
      <c r="G103" s="229"/>
      <c r="H103" s="229"/>
      <c r="I103" s="229"/>
      <c r="J103" s="250"/>
      <c r="K103" s="250"/>
      <c r="L103" s="229"/>
      <c r="M103" s="229"/>
    </row>
    <row r="104" spans="1:13">
      <c r="A104" s="229" t="s">
        <v>485</v>
      </c>
      <c r="B104" s="229"/>
      <c r="C104" s="229"/>
      <c r="D104" s="229"/>
      <c r="E104" s="229"/>
      <c r="F104" s="229"/>
      <c r="G104" s="229"/>
      <c r="H104" s="229"/>
      <c r="I104" s="229"/>
      <c r="J104" s="250"/>
      <c r="K104" s="250"/>
      <c r="L104" s="229"/>
      <c r="M104" s="229"/>
    </row>
    <row r="105" spans="1:13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</row>
    <row r="106" spans="1:13">
      <c r="A106" s="229"/>
      <c r="G106" s="229"/>
      <c r="H106" s="229"/>
      <c r="I106" s="229"/>
      <c r="J106" s="229"/>
      <c r="K106" s="229"/>
      <c r="L106" s="229"/>
      <c r="M106" s="229"/>
    </row>
    <row r="107" spans="1:13">
      <c r="A107" s="252" t="s">
        <v>486</v>
      </c>
      <c r="B107" s="253" t="s">
        <v>487</v>
      </c>
      <c r="G107" s="229"/>
      <c r="H107" s="229"/>
      <c r="I107" s="229"/>
      <c r="J107" s="250"/>
      <c r="K107" s="229"/>
      <c r="L107" s="229"/>
      <c r="M107" s="229"/>
    </row>
    <row r="108" spans="1:13">
      <c r="A108" s="254" t="s">
        <v>488</v>
      </c>
      <c r="B108" s="255" t="s">
        <v>489</v>
      </c>
      <c r="G108" s="229"/>
      <c r="H108" s="229"/>
      <c r="I108" s="229"/>
      <c r="J108" s="250"/>
      <c r="K108" s="229"/>
      <c r="L108" s="229"/>
      <c r="M108" s="229"/>
    </row>
    <row r="109" spans="1:13">
      <c r="A109" s="254" t="s">
        <v>490</v>
      </c>
      <c r="B109" s="255" t="s">
        <v>491</v>
      </c>
      <c r="G109" s="229"/>
      <c r="H109" s="229"/>
      <c r="I109" s="229"/>
      <c r="J109" s="250"/>
      <c r="K109" s="229"/>
      <c r="L109" s="229"/>
      <c r="M109" s="229"/>
    </row>
    <row r="110" spans="1:13">
      <c r="A110" s="254" t="s">
        <v>492</v>
      </c>
      <c r="B110" s="255" t="s">
        <v>493</v>
      </c>
      <c r="G110" s="229"/>
      <c r="H110" s="229"/>
      <c r="I110" s="229"/>
      <c r="J110" s="250"/>
      <c r="K110" s="229"/>
      <c r="L110" s="229"/>
      <c r="M110" s="229"/>
    </row>
    <row r="111" spans="1:13">
      <c r="A111" s="256" t="s">
        <v>494</v>
      </c>
      <c r="B111" s="257" t="s">
        <v>495</v>
      </c>
      <c r="C111" s="229"/>
      <c r="D111" s="229"/>
      <c r="G111" s="229"/>
      <c r="H111" s="229"/>
      <c r="I111" s="229"/>
      <c r="J111" s="250"/>
      <c r="K111" s="229"/>
      <c r="L111" s="229"/>
      <c r="M111" s="229"/>
    </row>
    <row r="112" spans="1:13">
      <c r="A112" s="229"/>
      <c r="B112" s="229"/>
      <c r="C112" s="229"/>
      <c r="D112" s="229"/>
      <c r="G112" s="229"/>
      <c r="H112" s="229"/>
      <c r="I112" s="229"/>
      <c r="J112" s="250"/>
      <c r="K112" s="229"/>
      <c r="L112" s="229"/>
      <c r="M112" s="229"/>
    </row>
    <row r="113" spans="1:13">
      <c r="A113" s="229"/>
      <c r="B113" s="229"/>
      <c r="C113" s="229"/>
      <c r="D113" s="229"/>
      <c r="G113" s="229"/>
      <c r="H113" s="229"/>
      <c r="I113" s="229"/>
      <c r="J113" s="250"/>
      <c r="K113" s="229"/>
      <c r="L113" s="229"/>
      <c r="M113" s="229"/>
    </row>
    <row r="114" spans="1:13">
      <c r="A114" s="229"/>
      <c r="B114" s="229"/>
      <c r="C114" s="229"/>
      <c r="D114" s="229"/>
      <c r="E114" s="229"/>
      <c r="F114" s="229"/>
      <c r="G114" s="229"/>
      <c r="H114" s="229"/>
      <c r="I114" s="229"/>
      <c r="J114" s="250"/>
      <c r="K114" s="229"/>
      <c r="L114" s="229"/>
      <c r="M114" s="229"/>
    </row>
  </sheetData>
  <mergeCells count="1">
    <mergeCell ref="A1:M1"/>
  </mergeCells>
  <phoneticPr fontId="89" type="noConversion"/>
  <dataValidations count="6">
    <dataValidation type="list" allowBlank="1" showInputMessage="1" showErrorMessage="1" sqref="E15 E18 E23 E94 E30:E40 E3:E12 E71:E89 E42:E69" xr:uid="{00000000-0002-0000-0600-000000000000}">
      <formula1>"量测/质量平衡排放因子,制程/设备排放因子,制造商提供的排放因子,区域排放因子,国家排放因子,国际排放因子"</formula1>
    </dataValidation>
    <dataValidation type="list" allowBlank="1" showInputMessage="1" showErrorMessage="1" sqref="D16 D95 D12:D13 D53:D61 D71:D74 D77:D89 E90:E93" xr:uid="{00000000-0002-0000-0600-000001000000}">
      <formula1>"自动连续量测,定期量测/抄表/铭牌,自行推估"</formula1>
    </dataValidation>
    <dataValidation type="list" allowBlank="1" showInputMessage="1" showErrorMessage="1" sqref="E41 E24:E29 E95 E19:E22 E70" xr:uid="{00000000-0002-0000-0600-000002000000}">
      <formula1>"量测/质量平衡排放因子,制程/设备排放因子,制造商提供的排放因子,区域排放因子,国家排放因子"</formula1>
    </dataValidation>
    <dataValidation type="list" allowBlank="1" showInputMessage="1" showErrorMessage="1" sqref="D14:D15 D62:D70 D90:D94 D75:D76 D3:D11 D17:D52" xr:uid="{00000000-0002-0000-0600-000003000000}">
      <formula1>"自动连续量测,定期量测/抄表/铭牌"</formula1>
    </dataValidation>
    <dataValidation type="list" allowBlank="1" showInputMessage="1" showErrorMessage="1" sqref="E13:E14 E16:E17" xr:uid="{00000000-0002-0000-0600-000004000000}">
      <formula1>"量测/质量平衡排放因子,制程/设备排放因子,制造商提供的排放因子,区域排放因子,国家排放因子,国际排放因子,自行校准"</formula1>
    </dataValidation>
    <dataValidation type="list" allowBlank="1" showInputMessage="1" showErrorMessage="1" sqref="F66:F95 F3:F64" xr:uid="{00000000-0002-0000-0600-000005000000}">
      <formula1>"校准且合格,校准但不合格/未校准但数据可查证"</formula1>
    </dataValidation>
  </dataValidations>
  <pageMargins left="0.511811023622047" right="0.511811023622047" top="0.74803149606299202" bottom="0.74803149606299202" header="0.31496062992126" footer="0.31496062992126"/>
  <pageSetup paperSize="9" scale="60" fitToHeight="0" orientation="landscape"/>
  <headerFooter alignWithMargins="0"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14"/>
  <sheetViews>
    <sheetView showOutlineSymbols="0" topLeftCell="A64" zoomScale="85" zoomScaleNormal="85" workbookViewId="0">
      <selection activeCell="K96" sqref="K96"/>
    </sheetView>
  </sheetViews>
  <sheetFormatPr defaultColWidth="8.75" defaultRowHeight="15"/>
  <cols>
    <col min="1" max="1" width="10.375" customWidth="1"/>
    <col min="2" max="2" width="28.75" customWidth="1"/>
    <col min="3" max="3" width="19.25" customWidth="1"/>
    <col min="4" max="4" width="18.625" customWidth="1"/>
    <col min="5" max="5" width="20" customWidth="1"/>
    <col min="6" max="6" width="31.75" customWidth="1"/>
    <col min="7" max="7" width="14.625" customWidth="1"/>
    <col min="8" max="8" width="9.5" customWidth="1"/>
    <col min="9" max="9" width="10.75" customWidth="1"/>
    <col min="10" max="10" width="11.5" customWidth="1"/>
    <col min="11" max="11" width="21.75" customWidth="1"/>
    <col min="12" max="13" width="14.25" customWidth="1"/>
    <col min="14" max="14" width="17" hidden="1" customWidth="1"/>
  </cols>
  <sheetData>
    <row r="1" spans="1:13" ht="28.9" customHeight="1">
      <c r="A1" s="616" t="s">
        <v>461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</row>
    <row r="2" spans="1:13" s="229" customFormat="1" ht="38.65" customHeight="1">
      <c r="A2" s="230" t="s">
        <v>462</v>
      </c>
      <c r="B2" s="230" t="s">
        <v>463</v>
      </c>
      <c r="C2" s="230" t="s">
        <v>464</v>
      </c>
      <c r="D2" s="230" t="s">
        <v>465</v>
      </c>
      <c r="E2" s="230" t="s">
        <v>466</v>
      </c>
      <c r="F2" s="230" t="s">
        <v>467</v>
      </c>
      <c r="G2" s="231" t="s">
        <v>468</v>
      </c>
      <c r="H2" s="231" t="s">
        <v>469</v>
      </c>
      <c r="I2" s="231" t="s">
        <v>470</v>
      </c>
      <c r="J2" s="232" t="s">
        <v>471</v>
      </c>
      <c r="K2" s="231" t="s">
        <v>472</v>
      </c>
      <c r="L2" s="231" t="s">
        <v>473</v>
      </c>
      <c r="M2" s="233" t="s">
        <v>474</v>
      </c>
    </row>
    <row r="3" spans="1:13">
      <c r="A3" s="234">
        <v>1</v>
      </c>
      <c r="B3" s="235" t="str">
        <f>表1温室气体盘查表!C5</f>
        <v>天然气燃烧</v>
      </c>
      <c r="C3" s="235" t="str">
        <f>表1温室气体盘查表!D5</f>
        <v>热处理炉（加热炉）</v>
      </c>
      <c r="D3" s="236" t="s">
        <v>475</v>
      </c>
      <c r="E3" s="236" t="s">
        <v>476</v>
      </c>
      <c r="F3" s="236" t="s">
        <v>477</v>
      </c>
      <c r="G3" s="237">
        <f t="shared" ref="G3:G61" si="0">IF(D3="自动连续量测",6,IF(D3="定期量测/抄表/铭牌",3,1))</f>
        <v>6</v>
      </c>
      <c r="H3" s="238">
        <f t="shared" ref="H3:H61" si="1">IF(E3="量测/质量平衡排放因子",6,IF(E3="制程/设备排放因子",5,IF(E3="制造商提供的排放因子",4,IF(E3="区域排放因子",3,IF(E3="国家排放因子",2,1)))))</f>
        <v>1</v>
      </c>
      <c r="I3" s="237">
        <f t="shared" ref="I3:I61" si="2">IF(F3="校准且合格",6,IF(F3="未校准",1,3))</f>
        <v>6</v>
      </c>
      <c r="J3" s="239">
        <f t="shared" ref="J3:J61" si="3">AVERAGE(G3:I3)</f>
        <v>4.333333333333333</v>
      </c>
      <c r="K3" s="240">
        <f>表1温室气体盘查表!AM5</f>
        <v>31469.159151587519</v>
      </c>
      <c r="L3" s="241">
        <f t="shared" ref="L3:L34" si="4">K3/$K$96</f>
        <v>2.0272112062264917E-3</v>
      </c>
      <c r="M3" s="242">
        <f>J3*L3</f>
        <v>8.7845818936481308E-3</v>
      </c>
    </row>
    <row r="4" spans="1:13">
      <c r="A4" s="234">
        <v>2</v>
      </c>
      <c r="B4" s="235" t="str">
        <f>表1温室气体盘查表!C6</f>
        <v>液化石油气燃烧</v>
      </c>
      <c r="C4" s="235" t="str">
        <f>表1温室气体盘查表!D6</f>
        <v>冶钢宾馆</v>
      </c>
      <c r="D4" s="243" t="s">
        <v>478</v>
      </c>
      <c r="E4" s="243" t="s">
        <v>476</v>
      </c>
      <c r="F4" s="243" t="s">
        <v>477</v>
      </c>
      <c r="G4" s="237">
        <f t="shared" si="0"/>
        <v>3</v>
      </c>
      <c r="H4" s="238">
        <f t="shared" si="1"/>
        <v>1</v>
      </c>
      <c r="I4" s="237">
        <f t="shared" si="2"/>
        <v>6</v>
      </c>
      <c r="J4" s="239">
        <f t="shared" si="3"/>
        <v>3.3333333333333335</v>
      </c>
      <c r="K4" s="240">
        <f>表1温室气体盘查表!AM6</f>
        <v>29.286595265285126</v>
      </c>
      <c r="L4" s="241">
        <f t="shared" si="4"/>
        <v>1.886612661876944E-6</v>
      </c>
      <c r="M4" s="242">
        <f t="shared" ref="M4:M62" si="5">J4*L4</f>
        <v>6.2887088729231469E-6</v>
      </c>
    </row>
    <row r="5" spans="1:13">
      <c r="A5" s="234">
        <v>3</v>
      </c>
      <c r="B5" s="235" t="str">
        <f>表1温室气体盘查表!C7</f>
        <v>烟煤燃烧</v>
      </c>
      <c r="C5" s="235" t="str">
        <f>表1温室气体盘查表!D7</f>
        <v>高炉</v>
      </c>
      <c r="D5" s="243" t="s">
        <v>475</v>
      </c>
      <c r="E5" s="243" t="s">
        <v>476</v>
      </c>
      <c r="F5" s="243" t="s">
        <v>477</v>
      </c>
      <c r="G5" s="237">
        <f t="shared" si="0"/>
        <v>6</v>
      </c>
      <c r="H5" s="238">
        <f t="shared" si="1"/>
        <v>1</v>
      </c>
      <c r="I5" s="237">
        <f t="shared" si="2"/>
        <v>6</v>
      </c>
      <c r="J5" s="239">
        <f t="shared" si="3"/>
        <v>4.333333333333333</v>
      </c>
      <c r="K5" s="240">
        <f>表1温室气体盘查表!AM7</f>
        <v>749580.33294359304</v>
      </c>
      <c r="L5" s="241">
        <f t="shared" si="4"/>
        <v>4.8287202196617307E-2</v>
      </c>
      <c r="M5" s="242">
        <f t="shared" si="5"/>
        <v>0.2092445428520083</v>
      </c>
    </row>
    <row r="6" spans="1:13">
      <c r="A6" s="234">
        <v>4</v>
      </c>
      <c r="B6" s="235" t="str">
        <f>表1温室气体盘查表!C8</f>
        <v>无烟煤燃烧</v>
      </c>
      <c r="C6" s="235" t="str">
        <f>表1温室气体盘查表!D8</f>
        <v>高炉、烧结</v>
      </c>
      <c r="D6" s="243" t="s">
        <v>475</v>
      </c>
      <c r="E6" s="243" t="s">
        <v>476</v>
      </c>
      <c r="F6" s="243" t="s">
        <v>477</v>
      </c>
      <c r="G6" s="237">
        <f t="shared" si="0"/>
        <v>6</v>
      </c>
      <c r="H6" s="238">
        <f t="shared" si="1"/>
        <v>1</v>
      </c>
      <c r="I6" s="237">
        <f t="shared" si="2"/>
        <v>6</v>
      </c>
      <c r="J6" s="239">
        <f t="shared" si="3"/>
        <v>4.333333333333333</v>
      </c>
      <c r="K6" s="240">
        <f>表1温室气体盘查表!AM8</f>
        <v>820622.20375653554</v>
      </c>
      <c r="L6" s="241">
        <f t="shared" si="4"/>
        <v>5.2863647214724079E-2</v>
      </c>
      <c r="M6" s="242">
        <f t="shared" si="5"/>
        <v>0.22907580459713767</v>
      </c>
    </row>
    <row r="7" spans="1:13">
      <c r="A7" s="234">
        <v>5</v>
      </c>
      <c r="B7" s="235" t="str">
        <f>表1温室气体盘查表!C9</f>
        <v>洗精煤燃烧</v>
      </c>
      <c r="C7" s="235" t="str">
        <f>表1温室气体盘查表!D9</f>
        <v>焦炉</v>
      </c>
      <c r="D7" s="243" t="s">
        <v>475</v>
      </c>
      <c r="E7" s="243" t="s">
        <v>476</v>
      </c>
      <c r="F7" s="243" t="s">
        <v>477</v>
      </c>
      <c r="G7" s="237">
        <f t="shared" si="0"/>
        <v>6</v>
      </c>
      <c r="H7" s="238">
        <f t="shared" si="1"/>
        <v>1</v>
      </c>
      <c r="I7" s="237">
        <f t="shared" si="2"/>
        <v>6</v>
      </c>
      <c r="J7" s="239">
        <f t="shared" si="3"/>
        <v>4.333333333333333</v>
      </c>
      <c r="K7" s="240">
        <f>表1温室气体盘查表!AM9</f>
        <v>5189313.3024330754</v>
      </c>
      <c r="L7" s="241">
        <f t="shared" si="4"/>
        <v>0.33429028175294734</v>
      </c>
      <c r="M7" s="242">
        <f t="shared" si="5"/>
        <v>1.4485912209294383</v>
      </c>
    </row>
    <row r="8" spans="1:13">
      <c r="A8" s="234">
        <v>6</v>
      </c>
      <c r="B8" s="235" t="str">
        <f>表1温室气体盘查表!C10</f>
        <v>焦炭燃烧</v>
      </c>
      <c r="C8" s="235" t="str">
        <f>表1温室气体盘查表!D10</f>
        <v>高炉</v>
      </c>
      <c r="D8" s="243" t="s">
        <v>475</v>
      </c>
      <c r="E8" s="243" t="s">
        <v>476</v>
      </c>
      <c r="F8" s="243" t="s">
        <v>477</v>
      </c>
      <c r="G8" s="237">
        <f t="shared" si="0"/>
        <v>6</v>
      </c>
      <c r="H8" s="238">
        <f t="shared" si="1"/>
        <v>1</v>
      </c>
      <c r="I8" s="237">
        <f t="shared" si="2"/>
        <v>6</v>
      </c>
      <c r="J8" s="239">
        <f t="shared" si="3"/>
        <v>4.333333333333333</v>
      </c>
      <c r="K8" s="240">
        <f>表1温室气体盘查表!AM10</f>
        <v>669939.56476201338</v>
      </c>
      <c r="L8" s="241">
        <f t="shared" si="4"/>
        <v>4.3156824961163277E-2</v>
      </c>
      <c r="M8" s="242">
        <f t="shared" si="5"/>
        <v>0.18701290816504085</v>
      </c>
    </row>
    <row r="9" spans="1:13">
      <c r="A9" s="234">
        <v>7</v>
      </c>
      <c r="B9" s="235" t="str">
        <f>表1温室气体盘查表!C11</f>
        <v>焦炉煤气燃烧</v>
      </c>
      <c r="C9" s="235" t="str">
        <f>表1温室气体盘查表!D11</f>
        <v>外售</v>
      </c>
      <c r="D9" s="243" t="s">
        <v>475</v>
      </c>
      <c r="E9" s="243" t="s">
        <v>476</v>
      </c>
      <c r="F9" s="243" t="s">
        <v>477</v>
      </c>
      <c r="G9" s="237">
        <f t="shared" si="0"/>
        <v>6</v>
      </c>
      <c r="H9" s="238">
        <f t="shared" si="1"/>
        <v>1</v>
      </c>
      <c r="I9" s="237">
        <f t="shared" si="2"/>
        <v>6</v>
      </c>
      <c r="J9" s="239">
        <f t="shared" si="3"/>
        <v>4.333333333333333</v>
      </c>
      <c r="K9" s="240">
        <f>表1温室气体盘查表!AM11</f>
        <v>-6034.9101733989937</v>
      </c>
      <c r="L9" s="241">
        <f t="shared" si="4"/>
        <v>-3.8876277161245765E-4</v>
      </c>
      <c r="M9" s="242">
        <f t="shared" si="5"/>
        <v>-1.6846386769873163E-3</v>
      </c>
    </row>
    <row r="10" spans="1:13">
      <c r="A10" s="234">
        <v>8</v>
      </c>
      <c r="B10" s="235" t="str">
        <f>表1温室气体盘查表!C12</f>
        <v>柴油燃烧</v>
      </c>
      <c r="C10" s="235" t="str">
        <f>表1温室气体盘查表!D12</f>
        <v>场内运输</v>
      </c>
      <c r="D10" s="243" t="s">
        <v>478</v>
      </c>
      <c r="E10" s="243" t="s">
        <v>476</v>
      </c>
      <c r="F10" s="243" t="s">
        <v>479</v>
      </c>
      <c r="G10" s="237">
        <f t="shared" si="0"/>
        <v>3</v>
      </c>
      <c r="H10" s="238">
        <f t="shared" si="1"/>
        <v>1</v>
      </c>
      <c r="I10" s="237">
        <f t="shared" si="2"/>
        <v>3</v>
      </c>
      <c r="J10" s="239">
        <f t="shared" si="3"/>
        <v>2.3333333333333335</v>
      </c>
      <c r="K10" s="240">
        <f>表1温室气体盘查表!AM12</f>
        <v>4476.2869890666807</v>
      </c>
      <c r="L10" s="241">
        <f t="shared" si="4"/>
        <v>2.8835785229628681E-4</v>
      </c>
      <c r="M10" s="242">
        <f t="shared" si="5"/>
        <v>6.7283498869133592E-4</v>
      </c>
    </row>
    <row r="11" spans="1:13">
      <c r="A11" s="234">
        <v>9</v>
      </c>
      <c r="B11" s="235" t="str">
        <f>表1温室气体盘查表!C13</f>
        <v>汽油燃烧</v>
      </c>
      <c r="C11" s="235" t="str">
        <f>表1温室气体盘查表!D13</f>
        <v>公务车</v>
      </c>
      <c r="D11" s="243" t="s">
        <v>478</v>
      </c>
      <c r="E11" s="243" t="s">
        <v>476</v>
      </c>
      <c r="F11" s="243" t="s">
        <v>479</v>
      </c>
      <c r="G11" s="237">
        <f t="shared" si="0"/>
        <v>3</v>
      </c>
      <c r="H11" s="238">
        <f t="shared" si="1"/>
        <v>1</v>
      </c>
      <c r="I11" s="237">
        <f t="shared" si="2"/>
        <v>3</v>
      </c>
      <c r="J11" s="239">
        <f t="shared" si="3"/>
        <v>2.3333333333333335</v>
      </c>
      <c r="K11" s="240">
        <f>表1温室气体盘查表!AM13</f>
        <v>144.22983408300601</v>
      </c>
      <c r="L11" s="241">
        <f t="shared" si="4"/>
        <v>9.2911391282123752E-6</v>
      </c>
      <c r="M11" s="242">
        <f t="shared" si="5"/>
        <v>2.1679324632495544E-5</v>
      </c>
    </row>
    <row r="12" spans="1:13" ht="18" customHeight="1">
      <c r="A12" s="234">
        <v>10</v>
      </c>
      <c r="B12" s="235" t="str">
        <f>表1温室气体盘查表!C14</f>
        <v>制冷剂逸散（R32）</v>
      </c>
      <c r="C12" s="235" t="str">
        <f>表1温室气体盘查表!D14</f>
        <v>分体式空调</v>
      </c>
      <c r="D12" s="243" t="s">
        <v>478</v>
      </c>
      <c r="E12" s="243" t="s">
        <v>480</v>
      </c>
      <c r="F12" s="243" t="s">
        <v>477</v>
      </c>
      <c r="G12" s="237">
        <f t="shared" si="0"/>
        <v>3</v>
      </c>
      <c r="H12" s="238">
        <f t="shared" si="1"/>
        <v>2</v>
      </c>
      <c r="I12" s="237">
        <f t="shared" si="2"/>
        <v>6</v>
      </c>
      <c r="J12" s="239">
        <f t="shared" si="3"/>
        <v>3.6666666666666665</v>
      </c>
      <c r="K12" s="240">
        <f>表1温室气体盘查表!AM14</f>
        <v>570.54</v>
      </c>
      <c r="L12" s="241">
        <f t="shared" si="4"/>
        <v>3.6753606158622623E-5</v>
      </c>
      <c r="M12" s="242">
        <f t="shared" si="5"/>
        <v>1.3476322258161629E-4</v>
      </c>
    </row>
    <row r="13" spans="1:13" ht="18" customHeight="1">
      <c r="A13" s="234">
        <v>11</v>
      </c>
      <c r="B13" s="235" t="str">
        <f>表1温室气体盘查表!C15</f>
        <v>CO2逸散</v>
      </c>
      <c r="C13" s="235" t="str">
        <f>表1温室气体盘查表!D15</f>
        <v>二氧化碳灭火器</v>
      </c>
      <c r="D13" s="243" t="s">
        <v>478</v>
      </c>
      <c r="E13" s="243" t="s">
        <v>480</v>
      </c>
      <c r="F13" s="243" t="s">
        <v>477</v>
      </c>
      <c r="G13" s="237">
        <f t="shared" si="0"/>
        <v>3</v>
      </c>
      <c r="H13" s="238">
        <f t="shared" si="1"/>
        <v>2</v>
      </c>
      <c r="I13" s="237">
        <f t="shared" si="2"/>
        <v>6</v>
      </c>
      <c r="J13" s="239">
        <f t="shared" si="3"/>
        <v>3.6666666666666665</v>
      </c>
      <c r="K13" s="240">
        <f>表1温室气体盘查表!AM15</f>
        <v>0.56000000000000005</v>
      </c>
      <c r="L13" s="241">
        <f t="shared" si="4"/>
        <v>3.6074630085232708E-8</v>
      </c>
      <c r="M13" s="242">
        <f t="shared" si="5"/>
        <v>1.3227364364585326E-7</v>
      </c>
    </row>
    <row r="14" spans="1:13" ht="18" customHeight="1">
      <c r="A14" s="234">
        <v>12</v>
      </c>
      <c r="B14" s="235" t="str">
        <f>表1温室气体盘查表!C16</f>
        <v>CH4逸散</v>
      </c>
      <c r="C14" s="235" t="str">
        <f>表1温室气体盘查表!D16</f>
        <v>化粪池</v>
      </c>
      <c r="D14" s="243" t="s">
        <v>478</v>
      </c>
      <c r="E14" s="243" t="s">
        <v>476</v>
      </c>
      <c r="F14" s="243" t="s">
        <v>477</v>
      </c>
      <c r="G14" s="237">
        <f t="shared" si="0"/>
        <v>3</v>
      </c>
      <c r="H14" s="238">
        <f t="shared" si="1"/>
        <v>1</v>
      </c>
      <c r="I14" s="237">
        <f t="shared" si="2"/>
        <v>6</v>
      </c>
      <c r="J14" s="239">
        <f t="shared" si="3"/>
        <v>3.3333333333333335</v>
      </c>
      <c r="K14" s="240">
        <f>表1温室气体盘查表!AM16</f>
        <v>116.30951999999999</v>
      </c>
      <c r="L14" s="241">
        <f t="shared" si="4"/>
        <v>7.4925409096267416E-6</v>
      </c>
      <c r="M14" s="242">
        <f t="shared" si="5"/>
        <v>2.4975136365422474E-5</v>
      </c>
    </row>
    <row r="15" spans="1:13" ht="18" customHeight="1">
      <c r="A15" s="234">
        <v>13</v>
      </c>
      <c r="B15" s="235" t="str">
        <f>表1温室气体盘查表!C17</f>
        <v>CH4逸散</v>
      </c>
      <c r="C15" s="235" t="str">
        <f>表1温室气体盘查表!D17</f>
        <v>耗氧池</v>
      </c>
      <c r="D15" s="243" t="s">
        <v>478</v>
      </c>
      <c r="E15" s="243" t="s">
        <v>480</v>
      </c>
      <c r="F15" s="243" t="s">
        <v>477</v>
      </c>
      <c r="G15" s="237">
        <f t="shared" si="0"/>
        <v>3</v>
      </c>
      <c r="H15" s="238">
        <f t="shared" si="1"/>
        <v>2</v>
      </c>
      <c r="I15" s="237">
        <f t="shared" si="2"/>
        <v>6</v>
      </c>
      <c r="J15" s="239">
        <f t="shared" si="3"/>
        <v>3.6666666666666665</v>
      </c>
      <c r="K15" s="240">
        <f>表1温室气体盘查表!AM17</f>
        <v>8408.8577249999998</v>
      </c>
      <c r="L15" s="241">
        <f t="shared" si="4"/>
        <v>5.4169005690844014E-4</v>
      </c>
      <c r="M15" s="242">
        <f t="shared" si="5"/>
        <v>1.986196875330947E-3</v>
      </c>
    </row>
    <row r="16" spans="1:13" ht="18" customHeight="1">
      <c r="A16" s="234">
        <v>14</v>
      </c>
      <c r="B16" s="235" t="str">
        <f>表1温室气体盘查表!C18</f>
        <v>白云石</v>
      </c>
      <c r="C16" s="235" t="str">
        <f>表1温室气体盘查表!D18</f>
        <v>高炉</v>
      </c>
      <c r="D16" s="243" t="s">
        <v>478</v>
      </c>
      <c r="E16" s="243" t="s">
        <v>480</v>
      </c>
      <c r="F16" s="243" t="s">
        <v>477</v>
      </c>
      <c r="G16" s="237">
        <f t="shared" si="0"/>
        <v>3</v>
      </c>
      <c r="H16" s="238">
        <f t="shared" si="1"/>
        <v>2</v>
      </c>
      <c r="I16" s="237">
        <f t="shared" si="2"/>
        <v>6</v>
      </c>
      <c r="J16" s="239">
        <f t="shared" si="3"/>
        <v>3.6666666666666665</v>
      </c>
      <c r="K16" s="240">
        <f>表1温室气体盘查表!AM18</f>
        <v>18406.658199999998</v>
      </c>
      <c r="L16" s="241">
        <f t="shared" si="4"/>
        <v>1.1857381886969916E-3</v>
      </c>
      <c r="M16" s="242">
        <f t="shared" si="5"/>
        <v>4.3477066918889687E-3</v>
      </c>
    </row>
    <row r="17" spans="1:13" ht="18" customHeight="1">
      <c r="A17" s="234">
        <v>15</v>
      </c>
      <c r="B17" s="235" t="str">
        <f>表1温室气体盘查表!C19</f>
        <v>电极</v>
      </c>
      <c r="C17" s="235" t="str">
        <f>表1温室气体盘查表!D19</f>
        <v>炼钢</v>
      </c>
      <c r="D17" s="243" t="s">
        <v>478</v>
      </c>
      <c r="E17" s="243" t="s">
        <v>476</v>
      </c>
      <c r="F17" s="243" t="s">
        <v>477</v>
      </c>
      <c r="G17" s="237">
        <f t="shared" si="0"/>
        <v>3</v>
      </c>
      <c r="H17" s="238">
        <f t="shared" si="1"/>
        <v>1</v>
      </c>
      <c r="I17" s="237">
        <f t="shared" si="2"/>
        <v>6</v>
      </c>
      <c r="J17" s="239">
        <f t="shared" si="3"/>
        <v>3.3333333333333335</v>
      </c>
      <c r="K17" s="240">
        <f>表1温室气体盘查表!AM19</f>
        <v>18334.963349999998</v>
      </c>
      <c r="L17" s="241">
        <f t="shared" si="4"/>
        <v>1.1811196794241946E-3</v>
      </c>
      <c r="M17" s="242">
        <f t="shared" si="5"/>
        <v>3.9370655980806493E-3</v>
      </c>
    </row>
    <row r="18" spans="1:13" ht="18" customHeight="1">
      <c r="A18" s="234">
        <v>16</v>
      </c>
      <c r="B18" s="235" t="str">
        <f>表1温室气体盘查表!C20</f>
        <v>废钢</v>
      </c>
      <c r="C18" s="235" t="str">
        <f>表1温室气体盘查表!D20</f>
        <v>炼钢</v>
      </c>
      <c r="D18" s="243" t="s">
        <v>478</v>
      </c>
      <c r="E18" s="243" t="s">
        <v>480</v>
      </c>
      <c r="F18" s="243" t="s">
        <v>477</v>
      </c>
      <c r="G18" s="237">
        <f t="shared" si="0"/>
        <v>3</v>
      </c>
      <c r="H18" s="238">
        <f t="shared" si="1"/>
        <v>2</v>
      </c>
      <c r="I18" s="237">
        <f t="shared" si="2"/>
        <v>6</v>
      </c>
      <c r="J18" s="239">
        <f t="shared" si="3"/>
        <v>3.6666666666666665</v>
      </c>
      <c r="K18" s="240">
        <f>表1温室气体盘查表!AM20</f>
        <v>41425.779419999992</v>
      </c>
      <c r="L18" s="241">
        <f t="shared" si="4"/>
        <v>2.6686065510159746E-3</v>
      </c>
      <c r="M18" s="242">
        <f t="shared" si="5"/>
        <v>9.7848906870585724E-3</v>
      </c>
    </row>
    <row r="19" spans="1:13" ht="18" customHeight="1">
      <c r="A19" s="234">
        <v>17</v>
      </c>
      <c r="B19" s="235" t="str">
        <f>表1温室气体盘查表!C21</f>
        <v>高碳锰铁</v>
      </c>
      <c r="C19" s="235" t="str">
        <f>表1温室气体盘查表!D21</f>
        <v>炼钢</v>
      </c>
      <c r="D19" s="243" t="s">
        <v>478</v>
      </c>
      <c r="E19" s="243" t="s">
        <v>480</v>
      </c>
      <c r="F19" s="243" t="s">
        <v>477</v>
      </c>
      <c r="G19" s="237">
        <f t="shared" si="0"/>
        <v>3</v>
      </c>
      <c r="H19" s="238">
        <f t="shared" si="1"/>
        <v>2</v>
      </c>
      <c r="I19" s="237">
        <f t="shared" si="2"/>
        <v>6</v>
      </c>
      <c r="J19" s="239">
        <f t="shared" si="3"/>
        <v>3.6666666666666665</v>
      </c>
      <c r="K19" s="240">
        <f>表1温室气体盘查表!AM21</f>
        <v>11407.87175</v>
      </c>
      <c r="L19" s="241">
        <f t="shared" si="4"/>
        <v>7.3488348828754698E-4</v>
      </c>
      <c r="M19" s="242">
        <f t="shared" si="5"/>
        <v>2.6945727903876721E-3</v>
      </c>
    </row>
    <row r="20" spans="1:13" ht="18" customHeight="1">
      <c r="A20" s="234">
        <v>18</v>
      </c>
      <c r="B20" s="235" t="str">
        <f>表1温室气体盘查表!C22</f>
        <v>锰硅合金</v>
      </c>
      <c r="C20" s="235" t="str">
        <f>表1温室气体盘查表!D22</f>
        <v>炼钢</v>
      </c>
      <c r="D20" s="243" t="s">
        <v>478</v>
      </c>
      <c r="E20" s="243" t="s">
        <v>480</v>
      </c>
      <c r="F20" s="243" t="s">
        <v>477</v>
      </c>
      <c r="G20" s="237">
        <f t="shared" ref="G20" si="6">IF(D20="自动连续量测",6,IF(D20="定期量测/抄表/铭牌",3,1))</f>
        <v>3</v>
      </c>
      <c r="H20" s="238">
        <f t="shared" ref="H20" si="7">IF(E20="量测/质量平衡排放因子",6,IF(E20="制程/设备排放因子",5,IF(E20="制造商提供的排放因子",4,IF(E20="区域排放因子",3,IF(E20="国家排放因子",2,1)))))</f>
        <v>2</v>
      </c>
      <c r="I20" s="237">
        <f t="shared" ref="I20" si="8">IF(F20="校准且合格",6,IF(F20="未校准",1,3))</f>
        <v>6</v>
      </c>
      <c r="J20" s="239">
        <f t="shared" ref="J20" si="9">AVERAGE(G20:I20)</f>
        <v>3.6666666666666665</v>
      </c>
      <c r="K20" s="240">
        <f>表1温室气体盘查表!AM22</f>
        <v>265.66748000000001</v>
      </c>
      <c r="L20" s="241">
        <f t="shared" si="4"/>
        <v>1.7114028690492784E-5</v>
      </c>
      <c r="M20" s="242">
        <f t="shared" ref="M20" si="10">J20*L20</f>
        <v>6.2751438531806865E-5</v>
      </c>
    </row>
    <row r="21" spans="1:13" ht="18" customHeight="1">
      <c r="A21" s="234">
        <v>19</v>
      </c>
      <c r="B21" s="235" t="str">
        <f>表1温室气体盘查表!C23</f>
        <v>镍铁</v>
      </c>
      <c r="C21" s="235" t="str">
        <f>表1温室气体盘查表!D23</f>
        <v>炼钢</v>
      </c>
      <c r="D21" s="243" t="s">
        <v>478</v>
      </c>
      <c r="E21" s="243" t="s">
        <v>480</v>
      </c>
      <c r="F21" s="243" t="s">
        <v>477</v>
      </c>
      <c r="G21" s="237">
        <f t="shared" si="0"/>
        <v>3</v>
      </c>
      <c r="H21" s="238">
        <f t="shared" si="1"/>
        <v>2</v>
      </c>
      <c r="I21" s="237">
        <f t="shared" si="2"/>
        <v>6</v>
      </c>
      <c r="J21" s="239">
        <f t="shared" si="3"/>
        <v>3.6666666666666665</v>
      </c>
      <c r="K21" s="240">
        <f>表1温室气体盘查表!AM23</f>
        <v>367.89839999999998</v>
      </c>
      <c r="L21" s="241">
        <f t="shared" si="4"/>
        <v>2.3699640515980313E-5</v>
      </c>
      <c r="M21" s="242">
        <f t="shared" si="5"/>
        <v>8.6898681891927818E-5</v>
      </c>
    </row>
    <row r="22" spans="1:13" ht="18" customHeight="1">
      <c r="A22" s="234">
        <v>20</v>
      </c>
      <c r="B22" s="235" t="str">
        <f>表1温室气体盘查表!C24</f>
        <v>高碳铬铁</v>
      </c>
      <c r="C22" s="235" t="str">
        <f>表1温室气体盘查表!D24</f>
        <v>炼钢</v>
      </c>
      <c r="D22" s="243" t="s">
        <v>478</v>
      </c>
      <c r="E22" s="243" t="s">
        <v>480</v>
      </c>
      <c r="F22" s="243" t="s">
        <v>477</v>
      </c>
      <c r="G22" s="237">
        <f t="shared" si="0"/>
        <v>3</v>
      </c>
      <c r="H22" s="238">
        <f t="shared" si="1"/>
        <v>2</v>
      </c>
      <c r="I22" s="237">
        <f t="shared" si="2"/>
        <v>6</v>
      </c>
      <c r="J22" s="239">
        <f t="shared" si="3"/>
        <v>3.6666666666666665</v>
      </c>
      <c r="K22" s="240">
        <f>表1温室气体盘查表!AM24</f>
        <v>13992.429239999998</v>
      </c>
      <c r="L22" s="241">
        <f t="shared" si="4"/>
        <v>9.0137805147641741E-4</v>
      </c>
      <c r="M22" s="242">
        <f t="shared" si="5"/>
        <v>3.3050528554135305E-3</v>
      </c>
    </row>
    <row r="23" spans="1:13" ht="18" customHeight="1">
      <c r="A23" s="234">
        <v>21</v>
      </c>
      <c r="B23" s="235" t="str">
        <f>表1温室气体盘查表!C25</f>
        <v>硅铁</v>
      </c>
      <c r="C23" s="235" t="str">
        <f>表1温室气体盘查表!D25</f>
        <v>炼钢</v>
      </c>
      <c r="D23" s="243" t="s">
        <v>478</v>
      </c>
      <c r="E23" s="243" t="s">
        <v>480</v>
      </c>
      <c r="F23" s="243" t="s">
        <v>477</v>
      </c>
      <c r="G23" s="237">
        <f t="shared" si="0"/>
        <v>3</v>
      </c>
      <c r="H23" s="238">
        <f t="shared" si="1"/>
        <v>2</v>
      </c>
      <c r="I23" s="237">
        <f t="shared" si="2"/>
        <v>6</v>
      </c>
      <c r="J23" s="239">
        <f t="shared" si="3"/>
        <v>3.6666666666666665</v>
      </c>
      <c r="K23" s="240">
        <f>表1温室气体盘查表!AM25</f>
        <v>82.656559999999999</v>
      </c>
      <c r="L23" s="241">
        <f t="shared" si="4"/>
        <v>5.3246514752104329E-6</v>
      </c>
      <c r="M23" s="242">
        <f t="shared" si="5"/>
        <v>1.9523722075771587E-5</v>
      </c>
    </row>
    <row r="24" spans="1:13" ht="18" customHeight="1">
      <c r="A24" s="234">
        <v>22</v>
      </c>
      <c r="B24" s="235" t="str">
        <f>表1温室气体盘查表!C26</f>
        <v>钼铁</v>
      </c>
      <c r="C24" s="235" t="str">
        <f>表1温室气体盘查表!D26</f>
        <v>炼钢</v>
      </c>
      <c r="D24" s="243" t="s">
        <v>478</v>
      </c>
      <c r="E24" s="243" t="s">
        <v>480</v>
      </c>
      <c r="F24" s="243" t="s">
        <v>477</v>
      </c>
      <c r="G24" s="237">
        <f t="shared" si="0"/>
        <v>3</v>
      </c>
      <c r="H24" s="238">
        <f t="shared" si="1"/>
        <v>2</v>
      </c>
      <c r="I24" s="237">
        <f t="shared" si="2"/>
        <v>6</v>
      </c>
      <c r="J24" s="239">
        <f t="shared" si="3"/>
        <v>3.6666666666666665</v>
      </c>
      <c r="K24" s="240">
        <f>表1温室气体盘查表!AM26</f>
        <v>130.83696</v>
      </c>
      <c r="L24" s="241">
        <f t="shared" si="4"/>
        <v>8.4283838097792649E-6</v>
      </c>
      <c r="M24" s="242">
        <f t="shared" si="5"/>
        <v>3.0904073969190637E-5</v>
      </c>
    </row>
    <row r="25" spans="1:13" ht="18" customHeight="1">
      <c r="A25" s="234">
        <v>23</v>
      </c>
      <c r="B25" s="235" t="str">
        <f>表1温室气体盘查表!C27</f>
        <v>粗钢</v>
      </c>
      <c r="C25" s="235" t="str">
        <f>表1温室气体盘查表!D27</f>
        <v>固碳产品</v>
      </c>
      <c r="D25" s="243" t="s">
        <v>478</v>
      </c>
      <c r="E25" s="243" t="s">
        <v>480</v>
      </c>
      <c r="F25" s="243" t="s">
        <v>477</v>
      </c>
      <c r="G25" s="237">
        <f t="shared" si="0"/>
        <v>3</v>
      </c>
      <c r="H25" s="238">
        <f t="shared" si="1"/>
        <v>2</v>
      </c>
      <c r="I25" s="237">
        <f t="shared" si="2"/>
        <v>6</v>
      </c>
      <c r="J25" s="239">
        <f t="shared" si="3"/>
        <v>3.6666666666666665</v>
      </c>
      <c r="K25" s="240">
        <f>表1温室气体盘查表!AM27</f>
        <v>-165928.07805000001</v>
      </c>
      <c r="L25" s="241">
        <f t="shared" si="4"/>
        <v>-1.0688917922156021E-2</v>
      </c>
      <c r="M25" s="242">
        <f t="shared" si="5"/>
        <v>-3.9192699047905406E-2</v>
      </c>
    </row>
    <row r="26" spans="1:13" ht="18" customHeight="1">
      <c r="A26" s="234">
        <v>24</v>
      </c>
      <c r="B26" s="235" t="str">
        <f>表1温室气体盘查表!C28</f>
        <v>粗苯</v>
      </c>
      <c r="C26" s="235" t="str">
        <f>表1温室气体盘查表!D28</f>
        <v>外售</v>
      </c>
      <c r="D26" s="243" t="s">
        <v>478</v>
      </c>
      <c r="E26" s="243" t="s">
        <v>480</v>
      </c>
      <c r="F26" s="243" t="s">
        <v>477</v>
      </c>
      <c r="G26" s="237">
        <f t="shared" si="0"/>
        <v>3</v>
      </c>
      <c r="H26" s="238">
        <f t="shared" si="1"/>
        <v>2</v>
      </c>
      <c r="I26" s="237">
        <f t="shared" si="2"/>
        <v>6</v>
      </c>
      <c r="J26" s="239">
        <f t="shared" si="3"/>
        <v>3.6666666666666665</v>
      </c>
      <c r="K26" s="240">
        <f>表1温室气体盘查表!AM28</f>
        <v>-68970.884640000004</v>
      </c>
      <c r="L26" s="241">
        <f t="shared" si="4"/>
        <v>-4.4430341964986761E-3</v>
      </c>
      <c r="M26" s="242">
        <f t="shared" si="5"/>
        <v>-1.6291125387161813E-2</v>
      </c>
    </row>
    <row r="27" spans="1:13" ht="18" customHeight="1">
      <c r="A27" s="234">
        <v>25</v>
      </c>
      <c r="B27" s="235" t="str">
        <f>表1温室气体盘查表!C29</f>
        <v>焦油</v>
      </c>
      <c r="C27" s="235" t="str">
        <f>表1温室气体盘查表!D29</f>
        <v>危废处置</v>
      </c>
      <c r="D27" s="243" t="s">
        <v>478</v>
      </c>
      <c r="E27" s="243" t="s">
        <v>480</v>
      </c>
      <c r="F27" s="243" t="s">
        <v>477</v>
      </c>
      <c r="G27" s="237">
        <f t="shared" si="0"/>
        <v>3</v>
      </c>
      <c r="H27" s="238">
        <f t="shared" si="1"/>
        <v>2</v>
      </c>
      <c r="I27" s="237">
        <f t="shared" si="2"/>
        <v>6</v>
      </c>
      <c r="J27" s="239">
        <f t="shared" si="3"/>
        <v>3.6666666666666665</v>
      </c>
      <c r="K27" s="240">
        <f>表1温室气体盘查表!AM29</f>
        <v>-163466.55439999999</v>
      </c>
      <c r="L27" s="241">
        <f t="shared" si="4"/>
        <v>-1.0530349073727801E-2</v>
      </c>
      <c r="M27" s="242">
        <f t="shared" si="5"/>
        <v>-3.861127993700194E-2</v>
      </c>
    </row>
    <row r="28" spans="1:13" ht="18" customHeight="1">
      <c r="A28" s="234">
        <v>26</v>
      </c>
      <c r="B28" s="235" t="str">
        <f>表1温室气体盘查表!C31</f>
        <v>外购电力（基于市场）</v>
      </c>
      <c r="C28" s="235" t="str">
        <f>表1温室气体盘查表!D31</f>
        <v>用电设备</v>
      </c>
      <c r="D28" s="243" t="s">
        <v>475</v>
      </c>
      <c r="E28" s="243" t="s">
        <v>480</v>
      </c>
      <c r="F28" s="243" t="s">
        <v>477</v>
      </c>
      <c r="G28" s="237">
        <f t="shared" si="0"/>
        <v>6</v>
      </c>
      <c r="H28" s="238">
        <f t="shared" si="1"/>
        <v>2</v>
      </c>
      <c r="I28" s="237">
        <f t="shared" si="2"/>
        <v>6</v>
      </c>
      <c r="J28" s="239">
        <f t="shared" si="3"/>
        <v>4.666666666666667</v>
      </c>
      <c r="K28" s="240">
        <f>表1温室气体盘查表!AM31</f>
        <v>1186800.2659680001</v>
      </c>
      <c r="L28" s="241">
        <f t="shared" si="4"/>
        <v>7.6452465321163204E-2</v>
      </c>
      <c r="M28" s="242">
        <f t="shared" si="5"/>
        <v>0.35677817149876162</v>
      </c>
    </row>
    <row r="29" spans="1:13" ht="18" customHeight="1">
      <c r="A29" s="234">
        <v>27</v>
      </c>
      <c r="B29" s="235" t="str">
        <f>表1温室气体盘查表!C32</f>
        <v>铁矿石生产</v>
      </c>
      <c r="C29" s="235" t="str">
        <f>表1温室气体盘查表!D32</f>
        <v>烧结</v>
      </c>
      <c r="D29" s="243" t="s">
        <v>478</v>
      </c>
      <c r="E29" s="243" t="s">
        <v>480</v>
      </c>
      <c r="F29" s="243" t="s">
        <v>477</v>
      </c>
      <c r="G29" s="237">
        <f t="shared" si="0"/>
        <v>3</v>
      </c>
      <c r="H29" s="238">
        <f t="shared" si="1"/>
        <v>2</v>
      </c>
      <c r="I29" s="237">
        <f t="shared" si="2"/>
        <v>6</v>
      </c>
      <c r="J29" s="239">
        <f t="shared" si="3"/>
        <v>3.6666666666666665</v>
      </c>
      <c r="K29" s="240">
        <f>表1温室气体盘查表!AM32</f>
        <v>479835.37134729006</v>
      </c>
      <c r="L29" s="241">
        <f t="shared" si="4"/>
        <v>3.0910506291363854E-2</v>
      </c>
      <c r="M29" s="242">
        <f t="shared" si="5"/>
        <v>0.11333852306833413</v>
      </c>
    </row>
    <row r="30" spans="1:13" ht="18" customHeight="1">
      <c r="A30" s="234">
        <v>28</v>
      </c>
      <c r="B30" s="235" t="str">
        <f>表1温室气体盘查表!C33</f>
        <v>生石灰生产</v>
      </c>
      <c r="C30" s="235" t="str">
        <f>表1温室气体盘查表!D33</f>
        <v>烧结、转炉、电炉</v>
      </c>
      <c r="D30" s="243" t="s">
        <v>478</v>
      </c>
      <c r="E30" s="243" t="s">
        <v>476</v>
      </c>
      <c r="F30" s="243" t="s">
        <v>477</v>
      </c>
      <c r="G30" s="237">
        <f t="shared" si="0"/>
        <v>3</v>
      </c>
      <c r="H30" s="238">
        <f t="shared" si="1"/>
        <v>1</v>
      </c>
      <c r="I30" s="237">
        <f t="shared" si="2"/>
        <v>6</v>
      </c>
      <c r="J30" s="239">
        <f t="shared" si="3"/>
        <v>3.3333333333333335</v>
      </c>
      <c r="K30" s="240">
        <f>表1温室气体盘查表!AM33</f>
        <v>236961.26162730961</v>
      </c>
      <c r="L30" s="241">
        <f t="shared" si="4"/>
        <v>1.5264803317384361E-2</v>
      </c>
      <c r="M30" s="242">
        <f t="shared" si="5"/>
        <v>5.0882677724614536E-2</v>
      </c>
    </row>
    <row r="31" spans="1:13" ht="18" customHeight="1">
      <c r="A31" s="234">
        <v>29</v>
      </c>
      <c r="B31" s="235" t="str">
        <f>表1温室气体盘查表!C34</f>
        <v>白云石生产</v>
      </c>
      <c r="C31" s="235" t="str">
        <f>表1温室气体盘查表!D34</f>
        <v>烧结、转炉、电炉</v>
      </c>
      <c r="D31" s="243" t="s">
        <v>478</v>
      </c>
      <c r="E31" s="243" t="s">
        <v>476</v>
      </c>
      <c r="F31" s="243" t="s">
        <v>477</v>
      </c>
      <c r="G31" s="237">
        <f t="shared" si="0"/>
        <v>3</v>
      </c>
      <c r="H31" s="238">
        <f t="shared" si="1"/>
        <v>1</v>
      </c>
      <c r="I31" s="237">
        <f t="shared" si="2"/>
        <v>6</v>
      </c>
      <c r="J31" s="239">
        <f t="shared" si="3"/>
        <v>3.3333333333333335</v>
      </c>
      <c r="K31" s="240">
        <f>表1温室气体盘查表!AM34</f>
        <v>5039.7894184999996</v>
      </c>
      <c r="L31" s="241">
        <f t="shared" si="4"/>
        <v>3.2465810532117417E-4</v>
      </c>
      <c r="M31" s="242">
        <f t="shared" si="5"/>
        <v>1.0821936844039139E-3</v>
      </c>
    </row>
    <row r="32" spans="1:13" ht="18" customHeight="1">
      <c r="A32" s="234">
        <v>30</v>
      </c>
      <c r="B32" s="235" t="str">
        <f>表1温室气体盘查表!C35</f>
        <v>球团生产</v>
      </c>
      <c r="C32" s="235" t="str">
        <f>表1温室气体盘查表!D35</f>
        <v>高炉、转炉</v>
      </c>
      <c r="D32" s="243" t="s">
        <v>478</v>
      </c>
      <c r="E32" s="243" t="s">
        <v>476</v>
      </c>
      <c r="F32" s="243" t="s">
        <v>477</v>
      </c>
      <c r="G32" s="237">
        <f t="shared" si="0"/>
        <v>3</v>
      </c>
      <c r="H32" s="238">
        <f t="shared" si="1"/>
        <v>1</v>
      </c>
      <c r="I32" s="237">
        <f t="shared" si="2"/>
        <v>6</v>
      </c>
      <c r="J32" s="239">
        <f t="shared" si="3"/>
        <v>3.3333333333333335</v>
      </c>
      <c r="K32" s="240">
        <f>表1温室气体盘查表!AM35</f>
        <v>71241.081749399993</v>
      </c>
      <c r="L32" s="241">
        <f t="shared" si="4"/>
        <v>4.5892779838954071E-3</v>
      </c>
      <c r="M32" s="242">
        <f t="shared" si="5"/>
        <v>1.5297593279651358E-2</v>
      </c>
    </row>
    <row r="33" spans="1:13" ht="18" customHeight="1">
      <c r="A33" s="234">
        <v>31</v>
      </c>
      <c r="B33" s="235" t="str">
        <f>表1温室气体盘查表!C36</f>
        <v>废钢生产</v>
      </c>
      <c r="C33" s="235" t="str">
        <f>表1温室气体盘查表!D36</f>
        <v>转炉、电炉</v>
      </c>
      <c r="D33" s="243" t="s">
        <v>478</v>
      </c>
      <c r="E33" s="243" t="s">
        <v>476</v>
      </c>
      <c r="F33" s="243" t="s">
        <v>477</v>
      </c>
      <c r="G33" s="237">
        <f t="shared" si="0"/>
        <v>3</v>
      </c>
      <c r="H33" s="238">
        <f t="shared" si="1"/>
        <v>1</v>
      </c>
      <c r="I33" s="237">
        <f t="shared" si="2"/>
        <v>6</v>
      </c>
      <c r="J33" s="239">
        <f t="shared" si="3"/>
        <v>3.3333333333333335</v>
      </c>
      <c r="K33" s="240">
        <f>表1温室气体盘查表!AM36</f>
        <v>83051.970043139983</v>
      </c>
      <c r="L33" s="241">
        <f t="shared" si="4"/>
        <v>5.3501233877787562E-3</v>
      </c>
      <c r="M33" s="242">
        <f t="shared" si="5"/>
        <v>1.7833744625929189E-2</v>
      </c>
    </row>
    <row r="34" spans="1:13" ht="18" customHeight="1">
      <c r="A34" s="234">
        <v>32</v>
      </c>
      <c r="B34" s="235" t="str">
        <f>表1温室气体盘查表!C37</f>
        <v>电极生产</v>
      </c>
      <c r="C34" s="235" t="str">
        <f>表1温室气体盘查表!D37</f>
        <v>转炉、电炉</v>
      </c>
      <c r="D34" s="243" t="s">
        <v>478</v>
      </c>
      <c r="E34" s="243" t="s">
        <v>476</v>
      </c>
      <c r="F34" s="243" t="s">
        <v>477</v>
      </c>
      <c r="G34" s="237">
        <f t="shared" si="0"/>
        <v>3</v>
      </c>
      <c r="H34" s="238">
        <f t="shared" si="1"/>
        <v>1</v>
      </c>
      <c r="I34" s="237">
        <f t="shared" si="2"/>
        <v>6</v>
      </c>
      <c r="J34" s="239">
        <f t="shared" si="3"/>
        <v>3.3333333333333335</v>
      </c>
      <c r="K34" s="240">
        <f>表1温室气体盘查表!AM37</f>
        <v>60962.024357421578</v>
      </c>
      <c r="L34" s="241">
        <f t="shared" si="4"/>
        <v>3.9271115677516604E-3</v>
      </c>
      <c r="M34" s="242">
        <f t="shared" si="5"/>
        <v>1.3090371892505535E-2</v>
      </c>
    </row>
    <row r="35" spans="1:13" ht="18" customHeight="1">
      <c r="A35" s="234">
        <v>33</v>
      </c>
      <c r="B35" s="235" t="str">
        <f>表1温室气体盘查表!C38</f>
        <v>锰铁生产</v>
      </c>
      <c r="C35" s="235" t="str">
        <f>表1温室气体盘查表!D38</f>
        <v>转炉、电炉</v>
      </c>
      <c r="D35" s="243" t="s">
        <v>478</v>
      </c>
      <c r="E35" s="243" t="s">
        <v>476</v>
      </c>
      <c r="F35" s="243" t="s">
        <v>477</v>
      </c>
      <c r="G35" s="237">
        <f t="shared" si="0"/>
        <v>3</v>
      </c>
      <c r="H35" s="238">
        <f t="shared" si="1"/>
        <v>1</v>
      </c>
      <c r="I35" s="237">
        <f t="shared" si="2"/>
        <v>6</v>
      </c>
      <c r="J35" s="239">
        <f t="shared" si="3"/>
        <v>3.3333333333333335</v>
      </c>
      <c r="K35" s="240">
        <f>表1温室气体盘查表!AM38</f>
        <v>123503.69372399998</v>
      </c>
      <c r="L35" s="241">
        <f t="shared" ref="L35:L68" si="11">K35/$K$96</f>
        <v>7.9559822593806718E-3</v>
      </c>
      <c r="M35" s="242">
        <f t="shared" si="5"/>
        <v>2.6519940864602239E-2</v>
      </c>
    </row>
    <row r="36" spans="1:13" ht="18" customHeight="1">
      <c r="A36" s="234">
        <v>34</v>
      </c>
      <c r="B36" s="235" t="str">
        <f>表1温室气体盘查表!C39</f>
        <v>镍铁生产</v>
      </c>
      <c r="C36" s="235" t="str">
        <f>表1温室气体盘查表!D39</f>
        <v>转炉、电炉</v>
      </c>
      <c r="D36" s="243" t="s">
        <v>478</v>
      </c>
      <c r="E36" s="243" t="s">
        <v>476</v>
      </c>
      <c r="F36" s="243" t="s">
        <v>477</v>
      </c>
      <c r="G36" s="237">
        <f t="shared" si="0"/>
        <v>3</v>
      </c>
      <c r="H36" s="238">
        <f t="shared" si="1"/>
        <v>1</v>
      </c>
      <c r="I36" s="237">
        <f t="shared" si="2"/>
        <v>6</v>
      </c>
      <c r="J36" s="239">
        <f t="shared" si="3"/>
        <v>3.3333333333333335</v>
      </c>
      <c r="K36" s="240">
        <f>表1温室气体盘查表!AM39</f>
        <v>87049.733040000006</v>
      </c>
      <c r="L36" s="241">
        <f t="shared" si="11"/>
        <v>5.6076552114933216E-3</v>
      </c>
      <c r="M36" s="242">
        <f t="shared" si="5"/>
        <v>1.8692184038311074E-2</v>
      </c>
    </row>
    <row r="37" spans="1:13" ht="18" customHeight="1">
      <c r="A37" s="234">
        <v>35</v>
      </c>
      <c r="B37" s="235" t="str">
        <f>表1温室气体盘查表!C40</f>
        <v>铬铁生产</v>
      </c>
      <c r="C37" s="235" t="str">
        <f>表1温室气体盘查表!D40</f>
        <v>转炉、电炉</v>
      </c>
      <c r="D37" s="243" t="s">
        <v>478</v>
      </c>
      <c r="E37" s="243" t="s">
        <v>476</v>
      </c>
      <c r="F37" s="243" t="s">
        <v>477</v>
      </c>
      <c r="G37" s="237">
        <f t="shared" si="0"/>
        <v>3</v>
      </c>
      <c r="H37" s="238">
        <f t="shared" si="1"/>
        <v>1</v>
      </c>
      <c r="I37" s="237">
        <f t="shared" si="2"/>
        <v>6</v>
      </c>
      <c r="J37" s="239">
        <f t="shared" si="3"/>
        <v>3.3333333333333335</v>
      </c>
      <c r="K37" s="240">
        <f>表1温室气体盘查表!AM40</f>
        <v>204743.81877300001</v>
      </c>
      <c r="L37" s="241">
        <f t="shared" si="11"/>
        <v>1.3189388436560534E-2</v>
      </c>
      <c r="M37" s="242">
        <f t="shared" si="5"/>
        <v>4.3964628121868451E-2</v>
      </c>
    </row>
    <row r="38" spans="1:13" ht="18" customHeight="1">
      <c r="A38" s="234">
        <v>36</v>
      </c>
      <c r="B38" s="235" t="str">
        <f>表1温室气体盘查表!C41</f>
        <v>萤石生产</v>
      </c>
      <c r="C38" s="235" t="str">
        <f>表1温室气体盘查表!D41</f>
        <v>转炉、电炉</v>
      </c>
      <c r="D38" s="243" t="s">
        <v>478</v>
      </c>
      <c r="E38" s="243" t="s">
        <v>476</v>
      </c>
      <c r="F38" s="243" t="s">
        <v>477</v>
      </c>
      <c r="G38" s="237">
        <f t="shared" si="0"/>
        <v>3</v>
      </c>
      <c r="H38" s="238">
        <f t="shared" si="1"/>
        <v>1</v>
      </c>
      <c r="I38" s="237">
        <f t="shared" si="2"/>
        <v>6</v>
      </c>
      <c r="J38" s="239">
        <f t="shared" si="3"/>
        <v>3.3333333333333335</v>
      </c>
      <c r="K38" s="240">
        <f>表1温室气体盘查表!AM41</f>
        <v>88473.440132599993</v>
      </c>
      <c r="L38" s="241">
        <f t="shared" si="11"/>
        <v>5.6993689734848689E-3</v>
      </c>
      <c r="M38" s="242">
        <f t="shared" si="5"/>
        <v>1.8997896578282897E-2</v>
      </c>
    </row>
    <row r="39" spans="1:13" ht="18" customHeight="1">
      <c r="A39" s="234">
        <v>37</v>
      </c>
      <c r="B39" s="235" t="str">
        <f>表1温室气体盘查表!C42</f>
        <v>硅铁生产</v>
      </c>
      <c r="C39" s="235" t="str">
        <f>表1温室气体盘查表!D42</f>
        <v>转炉、电炉</v>
      </c>
      <c r="D39" s="243" t="s">
        <v>478</v>
      </c>
      <c r="E39" s="243" t="s">
        <v>476</v>
      </c>
      <c r="F39" s="243" t="s">
        <v>477</v>
      </c>
      <c r="G39" s="237">
        <f t="shared" si="0"/>
        <v>3</v>
      </c>
      <c r="H39" s="238">
        <f t="shared" si="1"/>
        <v>1</v>
      </c>
      <c r="I39" s="237">
        <f t="shared" si="2"/>
        <v>6</v>
      </c>
      <c r="J39" s="239">
        <f t="shared" si="3"/>
        <v>3.3333333333333335</v>
      </c>
      <c r="K39" s="240">
        <f>表1温室气体盘查表!AM42</f>
        <v>149088.58665000001</v>
      </c>
      <c r="L39" s="241">
        <f t="shared" si="11"/>
        <v>9.6041350238016323E-3</v>
      </c>
      <c r="M39" s="242">
        <f t="shared" si="5"/>
        <v>3.2013783412672109E-2</v>
      </c>
    </row>
    <row r="40" spans="1:13" ht="18" customHeight="1">
      <c r="A40" s="234">
        <v>38</v>
      </c>
      <c r="B40" s="235" t="str">
        <f>表1温室气体盘查表!C43</f>
        <v>钼铁生产</v>
      </c>
      <c r="C40" s="235" t="str">
        <f>表1温室气体盘查表!D43</f>
        <v>转炉、电炉</v>
      </c>
      <c r="D40" s="243" t="s">
        <v>478</v>
      </c>
      <c r="E40" s="243" t="s">
        <v>476</v>
      </c>
      <c r="F40" s="243" t="s">
        <v>477</v>
      </c>
      <c r="G40" s="237">
        <f t="shared" si="0"/>
        <v>3</v>
      </c>
      <c r="H40" s="238">
        <f t="shared" si="1"/>
        <v>1</v>
      </c>
      <c r="I40" s="237">
        <f t="shared" si="2"/>
        <v>6</v>
      </c>
      <c r="J40" s="239">
        <f t="shared" si="3"/>
        <v>3.3333333333333335</v>
      </c>
      <c r="K40" s="240">
        <f>表1温室气体盘查表!AM43</f>
        <v>58876.631999999998</v>
      </c>
      <c r="L40" s="241">
        <f t="shared" si="11"/>
        <v>3.7927727144006691E-3</v>
      </c>
      <c r="M40" s="242">
        <f t="shared" si="5"/>
        <v>1.2642575714668897E-2</v>
      </c>
    </row>
    <row r="41" spans="1:13" ht="18" customHeight="1">
      <c r="A41" s="234">
        <v>39</v>
      </c>
      <c r="B41" s="235" t="str">
        <f>表1温室气体盘查表!C44</f>
        <v>铝铁生产</v>
      </c>
      <c r="C41" s="235" t="str">
        <f>表1温室气体盘查表!D44</f>
        <v>转炉、电炉</v>
      </c>
      <c r="D41" s="243" t="s">
        <v>478</v>
      </c>
      <c r="E41" s="243" t="s">
        <v>480</v>
      </c>
      <c r="F41" s="243" t="s">
        <v>477</v>
      </c>
      <c r="G41" s="237">
        <f t="shared" si="0"/>
        <v>3</v>
      </c>
      <c r="H41" s="238">
        <f t="shared" si="1"/>
        <v>2</v>
      </c>
      <c r="I41" s="237">
        <f t="shared" si="2"/>
        <v>6</v>
      </c>
      <c r="J41" s="239">
        <f t="shared" si="3"/>
        <v>3.6666666666666665</v>
      </c>
      <c r="K41" s="240">
        <f>表1温室气体盘查表!AM44</f>
        <v>13585.604688791962</v>
      </c>
      <c r="L41" s="241">
        <f t="shared" si="11"/>
        <v>8.7517082791495186E-4</v>
      </c>
      <c r="M41" s="242">
        <f t="shared" si="5"/>
        <v>3.2089597023548235E-3</v>
      </c>
    </row>
    <row r="42" spans="1:13" ht="18" customHeight="1">
      <c r="A42" s="234">
        <v>40</v>
      </c>
      <c r="B42" s="235" t="str">
        <f>表1温室气体盘查表!C45</f>
        <v>铝生产</v>
      </c>
      <c r="C42" s="235" t="str">
        <f>表1温室气体盘查表!D45</f>
        <v>转炉、电炉</v>
      </c>
      <c r="D42" s="243" t="s">
        <v>478</v>
      </c>
      <c r="E42" s="243" t="s">
        <v>476</v>
      </c>
      <c r="F42" s="243" t="s">
        <v>477</v>
      </c>
      <c r="G42" s="237">
        <f t="shared" si="0"/>
        <v>3</v>
      </c>
      <c r="H42" s="238">
        <f t="shared" si="1"/>
        <v>1</v>
      </c>
      <c r="I42" s="237">
        <f t="shared" si="2"/>
        <v>6</v>
      </c>
      <c r="J42" s="239">
        <f t="shared" si="3"/>
        <v>3.3333333333333335</v>
      </c>
      <c r="K42" s="240">
        <f>表1温室气体盘查表!AM45</f>
        <v>165810.56564347973</v>
      </c>
      <c r="L42" s="241">
        <f t="shared" si="11"/>
        <v>1.068134789252094E-2</v>
      </c>
      <c r="M42" s="242">
        <f t="shared" si="5"/>
        <v>3.5604492975069804E-2</v>
      </c>
    </row>
    <row r="43" spans="1:13" ht="18" customHeight="1">
      <c r="A43" s="234">
        <v>41</v>
      </c>
      <c r="B43" s="235" t="str">
        <f>表1温室气体盘查表!C46</f>
        <v>增碳剂生产</v>
      </c>
      <c r="C43" s="235" t="str">
        <f>表1温室气体盘查表!D46</f>
        <v>转炉、电炉</v>
      </c>
      <c r="D43" s="243" t="s">
        <v>478</v>
      </c>
      <c r="E43" s="243" t="s">
        <v>476</v>
      </c>
      <c r="F43" s="243" t="s">
        <v>477</v>
      </c>
      <c r="G43" s="237">
        <f t="shared" si="0"/>
        <v>3</v>
      </c>
      <c r="H43" s="238">
        <f t="shared" si="1"/>
        <v>1</v>
      </c>
      <c r="I43" s="237">
        <f t="shared" si="2"/>
        <v>6</v>
      </c>
      <c r="J43" s="239">
        <f t="shared" si="3"/>
        <v>3.3333333333333335</v>
      </c>
      <c r="K43" s="240">
        <f>表1温室气体盘查表!AM46</f>
        <v>14447.768081031645</v>
      </c>
      <c r="L43" s="241">
        <f t="shared" si="11"/>
        <v>9.3071051621508756E-4</v>
      </c>
      <c r="M43" s="242">
        <f t="shared" si="5"/>
        <v>3.1023683873836255E-3</v>
      </c>
    </row>
    <row r="44" spans="1:13" ht="18" customHeight="1">
      <c r="A44" s="234">
        <v>42</v>
      </c>
      <c r="B44" s="235" t="str">
        <f>表1温室气体盘查表!C47</f>
        <v>铁鳞生产</v>
      </c>
      <c r="C44" s="235" t="str">
        <f>表1温室气体盘查表!D47</f>
        <v>炼钢</v>
      </c>
      <c r="D44" s="243" t="s">
        <v>478</v>
      </c>
      <c r="E44" s="243" t="s">
        <v>476</v>
      </c>
      <c r="F44" s="243" t="s">
        <v>477</v>
      </c>
      <c r="G44" s="237">
        <f t="shared" si="0"/>
        <v>3</v>
      </c>
      <c r="H44" s="238">
        <f t="shared" si="1"/>
        <v>1</v>
      </c>
      <c r="I44" s="237">
        <f t="shared" si="2"/>
        <v>6</v>
      </c>
      <c r="J44" s="239">
        <f t="shared" si="3"/>
        <v>3.3333333333333335</v>
      </c>
      <c r="K44" s="240">
        <f>表1温室气体盘查表!AM47</f>
        <v>29.192523942209355</v>
      </c>
      <c r="L44" s="241">
        <f t="shared" si="11"/>
        <v>1.8805526829812531E-6</v>
      </c>
      <c r="M44" s="242">
        <f t="shared" si="5"/>
        <v>6.268508943270844E-6</v>
      </c>
    </row>
    <row r="45" spans="1:13" ht="18" customHeight="1">
      <c r="A45" s="234">
        <v>43</v>
      </c>
      <c r="B45" s="235" t="str">
        <f>表1温室气体盘查表!C48</f>
        <v>氨水生产</v>
      </c>
      <c r="C45" s="235" t="str">
        <f>表1温室气体盘查表!D48</f>
        <v>烧结</v>
      </c>
      <c r="D45" s="243" t="s">
        <v>478</v>
      </c>
      <c r="E45" s="243" t="s">
        <v>476</v>
      </c>
      <c r="F45" s="243" t="s">
        <v>477</v>
      </c>
      <c r="G45" s="237">
        <f t="shared" si="0"/>
        <v>3</v>
      </c>
      <c r="H45" s="238">
        <f t="shared" si="1"/>
        <v>1</v>
      </c>
      <c r="I45" s="237">
        <f t="shared" si="2"/>
        <v>6</v>
      </c>
      <c r="J45" s="239">
        <f t="shared" si="3"/>
        <v>3.3333333333333335</v>
      </c>
      <c r="K45" s="240">
        <f>表1温室气体盘查表!AM48</f>
        <v>26510.816290815455</v>
      </c>
      <c r="L45" s="241">
        <f t="shared" si="11"/>
        <v>1.7077998052655869E-3</v>
      </c>
      <c r="M45" s="242">
        <f t="shared" si="5"/>
        <v>5.6926660175519563E-3</v>
      </c>
    </row>
    <row r="46" spans="1:13" ht="18" customHeight="1">
      <c r="A46" s="234">
        <v>44</v>
      </c>
      <c r="B46" s="235" t="str">
        <f>表1温室气体盘查表!C49</f>
        <v>盐酸生产</v>
      </c>
      <c r="C46" s="235" t="str">
        <f>表1温室气体盘查表!D49</f>
        <v>焦化</v>
      </c>
      <c r="D46" s="243" t="s">
        <v>478</v>
      </c>
      <c r="E46" s="243" t="s">
        <v>476</v>
      </c>
      <c r="F46" s="243" t="s">
        <v>477</v>
      </c>
      <c r="G46" s="237">
        <f t="shared" ref="G46:G47" si="12">IF(D46="自动连续量测",6,IF(D46="定期量测/抄表/铭牌",3,1))</f>
        <v>3</v>
      </c>
      <c r="H46" s="238">
        <f t="shared" ref="H46:H47" si="13">IF(E46="量测/质量平衡排放因子",6,IF(E46="制程/设备排放因子",5,IF(E46="制造商提供的排放因子",4,IF(E46="区域排放因子",3,IF(E46="国家排放因子",2,1)))))</f>
        <v>1</v>
      </c>
      <c r="I46" s="237">
        <f t="shared" ref="I46:I47" si="14">IF(F46="校准且合格",6,IF(F46="未校准",1,3))</f>
        <v>6</v>
      </c>
      <c r="J46" s="239">
        <f t="shared" ref="J46:J47" si="15">AVERAGE(G46:I46)</f>
        <v>3.3333333333333335</v>
      </c>
      <c r="K46" s="240">
        <f>表1温室气体盘查表!AM49</f>
        <v>2.1173455277962305</v>
      </c>
      <c r="L46" s="241">
        <f t="shared" si="11"/>
        <v>1.3639724406762646E-7</v>
      </c>
      <c r="M46" s="242">
        <f t="shared" ref="M46:M47" si="16">J46*L46</f>
        <v>4.5465748022542155E-7</v>
      </c>
    </row>
    <row r="47" spans="1:13" ht="18" customHeight="1">
      <c r="A47" s="234">
        <v>45</v>
      </c>
      <c r="B47" s="235" t="str">
        <f>表1温室气体盘查表!C50</f>
        <v>氢氧化钠生产</v>
      </c>
      <c r="C47" s="235" t="str">
        <f>表1温室气体盘查表!D50</f>
        <v>焦化</v>
      </c>
      <c r="D47" s="243" t="s">
        <v>478</v>
      </c>
      <c r="E47" s="243" t="s">
        <v>476</v>
      </c>
      <c r="F47" s="243" t="s">
        <v>477</v>
      </c>
      <c r="G47" s="237">
        <f t="shared" si="12"/>
        <v>3</v>
      </c>
      <c r="H47" s="238">
        <f t="shared" si="13"/>
        <v>1</v>
      </c>
      <c r="I47" s="237">
        <f t="shared" si="14"/>
        <v>6</v>
      </c>
      <c r="J47" s="239">
        <f t="shared" si="15"/>
        <v>3.3333333333333335</v>
      </c>
      <c r="K47" s="240">
        <f>表1温室气体盘查表!AM50</f>
        <v>3.2806275245320866</v>
      </c>
      <c r="L47" s="241">
        <f t="shared" si="11"/>
        <v>2.1133468641951377E-7</v>
      </c>
      <c r="M47" s="242">
        <f t="shared" si="16"/>
        <v>7.0444895473171259E-7</v>
      </c>
    </row>
    <row r="48" spans="1:13" ht="18" customHeight="1">
      <c r="A48" s="234">
        <v>46</v>
      </c>
      <c r="B48" s="235" t="str">
        <f>表1温室气体盘查表!C51</f>
        <v>碳化硅生产</v>
      </c>
      <c r="C48" s="235" t="str">
        <f>表1温室气体盘查表!D51</f>
        <v>-</v>
      </c>
      <c r="D48" s="243" t="s">
        <v>478</v>
      </c>
      <c r="E48" s="243" t="s">
        <v>476</v>
      </c>
      <c r="F48" s="243" t="s">
        <v>477</v>
      </c>
      <c r="G48" s="237">
        <f t="shared" si="0"/>
        <v>3</v>
      </c>
      <c r="H48" s="238">
        <f t="shared" si="1"/>
        <v>1</v>
      </c>
      <c r="I48" s="237">
        <f t="shared" si="2"/>
        <v>6</v>
      </c>
      <c r="J48" s="239">
        <f t="shared" si="3"/>
        <v>3.3333333333333335</v>
      </c>
      <c r="K48" s="240">
        <f>表1温室气体盘查表!AM51</f>
        <v>26760.682458681189</v>
      </c>
      <c r="L48" s="241">
        <f t="shared" si="11"/>
        <v>1.7238959295094636E-3</v>
      </c>
      <c r="M48" s="242">
        <f t="shared" si="5"/>
        <v>5.7463197650315457E-3</v>
      </c>
    </row>
    <row r="49" spans="1:13" ht="18" customHeight="1">
      <c r="A49" s="234">
        <v>47</v>
      </c>
      <c r="B49" s="235" t="str">
        <f>表1温室气体盘查表!C52</f>
        <v>镁生产</v>
      </c>
      <c r="C49" s="235" t="str">
        <f>表1温室气体盘查表!D52</f>
        <v>-</v>
      </c>
      <c r="D49" s="243" t="s">
        <v>478</v>
      </c>
      <c r="E49" s="243" t="s">
        <v>476</v>
      </c>
      <c r="F49" s="243" t="s">
        <v>477</v>
      </c>
      <c r="G49" s="237">
        <f t="shared" si="0"/>
        <v>3</v>
      </c>
      <c r="H49" s="238">
        <f t="shared" si="1"/>
        <v>1</v>
      </c>
      <c r="I49" s="237">
        <f t="shared" si="2"/>
        <v>6</v>
      </c>
      <c r="J49" s="239">
        <f t="shared" si="3"/>
        <v>3.3333333333333335</v>
      </c>
      <c r="K49" s="240">
        <f>表1温室气体盘查表!AM52</f>
        <v>256865.11189706987</v>
      </c>
      <c r="L49" s="241">
        <f t="shared" si="11"/>
        <v>1.6546989095515541E-2</v>
      </c>
      <c r="M49" s="242">
        <f t="shared" si="5"/>
        <v>5.5156630318385143E-2</v>
      </c>
    </row>
    <row r="50" spans="1:13" ht="18" customHeight="1">
      <c r="A50" s="234">
        <v>48</v>
      </c>
      <c r="B50" s="235" t="str">
        <f>表1温室气体盘查表!C53</f>
        <v>所有其他纸制品加工制造</v>
      </c>
      <c r="C50" s="235" t="str">
        <f>表1温室气体盘查表!D53</f>
        <v>办公室</v>
      </c>
      <c r="D50" s="243" t="s">
        <v>478</v>
      </c>
      <c r="E50" s="243" t="s">
        <v>476</v>
      </c>
      <c r="F50" s="243" t="s">
        <v>479</v>
      </c>
      <c r="G50" s="237">
        <f t="shared" si="0"/>
        <v>3</v>
      </c>
      <c r="H50" s="238">
        <f t="shared" si="1"/>
        <v>1</v>
      </c>
      <c r="I50" s="237">
        <f t="shared" si="2"/>
        <v>3</v>
      </c>
      <c r="J50" s="239">
        <f t="shared" si="3"/>
        <v>2.3333333333333335</v>
      </c>
      <c r="K50" s="240">
        <f>表1温室气体盘查表!AM53</f>
        <v>5.2434718699999996</v>
      </c>
      <c r="L50" s="241">
        <f t="shared" si="11"/>
        <v>3.377791215581668E-7</v>
      </c>
      <c r="M50" s="242">
        <f t="shared" si="5"/>
        <v>7.881512836357226E-7</v>
      </c>
    </row>
    <row r="51" spans="1:13" ht="18" customHeight="1">
      <c r="A51" s="234">
        <v>49</v>
      </c>
      <c r="B51" s="235" t="str">
        <f>表1温室气体盘查表!C54</f>
        <v>办公用品(纸张除外)制造</v>
      </c>
      <c r="C51" s="235" t="str">
        <f>表1温室气体盘查表!D54</f>
        <v>办公室</v>
      </c>
      <c r="D51" s="243" t="s">
        <v>478</v>
      </c>
      <c r="E51" s="243" t="s">
        <v>476</v>
      </c>
      <c r="F51" s="243" t="s">
        <v>479</v>
      </c>
      <c r="G51" s="237">
        <f t="shared" si="0"/>
        <v>3</v>
      </c>
      <c r="H51" s="238">
        <f t="shared" si="1"/>
        <v>1</v>
      </c>
      <c r="I51" s="237">
        <f t="shared" si="2"/>
        <v>3</v>
      </c>
      <c r="J51" s="239">
        <f t="shared" si="3"/>
        <v>2.3333333333333335</v>
      </c>
      <c r="K51" s="240">
        <f>表1温室气体盘查表!AM54</f>
        <v>72.312582549999988</v>
      </c>
      <c r="L51" s="241">
        <f t="shared" si="11"/>
        <v>4.6583029749983985E-6</v>
      </c>
      <c r="M51" s="242">
        <f t="shared" si="5"/>
        <v>1.0869373608329597E-5</v>
      </c>
    </row>
    <row r="52" spans="1:13" ht="18" customHeight="1">
      <c r="A52" s="234">
        <v>50</v>
      </c>
      <c r="B52" s="235" t="str">
        <f>表1温室气体盘查表!C55</f>
        <v>源水</v>
      </c>
      <c r="C52" s="235" t="str">
        <f>表1温室气体盘查表!D55</f>
        <v>水处理工序</v>
      </c>
      <c r="D52" s="243" t="s">
        <v>475</v>
      </c>
      <c r="E52" s="243" t="s">
        <v>476</v>
      </c>
      <c r="F52" s="243" t="s">
        <v>477</v>
      </c>
      <c r="G52" s="237">
        <f t="shared" si="0"/>
        <v>6</v>
      </c>
      <c r="H52" s="238">
        <f t="shared" si="1"/>
        <v>1</v>
      </c>
      <c r="I52" s="237">
        <f t="shared" si="2"/>
        <v>6</v>
      </c>
      <c r="J52" s="239">
        <f t="shared" si="3"/>
        <v>4.333333333333333</v>
      </c>
      <c r="K52" s="240">
        <f>表1温室气体盘查表!AM55</f>
        <v>26397.411515179178</v>
      </c>
      <c r="L52" s="241">
        <f t="shared" si="11"/>
        <v>1.7004943850316985E-3</v>
      </c>
      <c r="M52" s="242">
        <f t="shared" si="5"/>
        <v>7.3688090018040261E-3</v>
      </c>
    </row>
    <row r="53" spans="1:13" ht="18" customHeight="1">
      <c r="A53" s="234">
        <v>51</v>
      </c>
      <c r="B53" s="235" t="str">
        <f>表1温室气体盘查表!C56</f>
        <v>采购产品空调和暖空气加热设备和商业和工业制冷设备制造</v>
      </c>
      <c r="C53" s="235" t="str">
        <f>表1温室气体盘查表!D56</f>
        <v>办公室、各工序</v>
      </c>
      <c r="D53" s="243" t="s">
        <v>481</v>
      </c>
      <c r="E53" s="243" t="s">
        <v>476</v>
      </c>
      <c r="F53" s="243" t="s">
        <v>479</v>
      </c>
      <c r="G53" s="237">
        <f t="shared" si="0"/>
        <v>1</v>
      </c>
      <c r="H53" s="238">
        <f t="shared" si="1"/>
        <v>1</v>
      </c>
      <c r="I53" s="237">
        <f t="shared" si="2"/>
        <v>3</v>
      </c>
      <c r="J53" s="239">
        <f t="shared" si="3"/>
        <v>1.6666666666666667</v>
      </c>
      <c r="K53" s="240">
        <f>表1温室气体盘查表!AM56</f>
        <v>120.11822208</v>
      </c>
      <c r="L53" s="241">
        <f t="shared" si="11"/>
        <v>7.7378936214854139E-6</v>
      </c>
      <c r="M53" s="242">
        <f t="shared" si="5"/>
        <v>1.2896489369142357E-5</v>
      </c>
    </row>
    <row r="54" spans="1:13" ht="18" customHeight="1">
      <c r="A54" s="234">
        <v>52</v>
      </c>
      <c r="B54" s="235" t="str">
        <f>表1温室气体盘查表!C57</f>
        <v>电子计算机制造</v>
      </c>
      <c r="C54" s="235" t="str">
        <f>表1温室气体盘查表!D57</f>
        <v>办公室、各工序</v>
      </c>
      <c r="D54" s="243" t="s">
        <v>481</v>
      </c>
      <c r="E54" s="243" t="s">
        <v>476</v>
      </c>
      <c r="F54" s="243" t="s">
        <v>479</v>
      </c>
      <c r="G54" s="237">
        <f t="shared" si="0"/>
        <v>1</v>
      </c>
      <c r="H54" s="238">
        <f t="shared" si="1"/>
        <v>1</v>
      </c>
      <c r="I54" s="237">
        <f t="shared" si="2"/>
        <v>3</v>
      </c>
      <c r="J54" s="239">
        <f t="shared" si="3"/>
        <v>1.6666666666666667</v>
      </c>
      <c r="K54" s="240">
        <f>表1温室气体盘查表!AM57</f>
        <v>25.839091060000001</v>
      </c>
      <c r="L54" s="241">
        <f t="shared" si="11"/>
        <v>1.664527949514542E-6</v>
      </c>
      <c r="M54" s="242">
        <f t="shared" si="5"/>
        <v>2.7742132491909036E-6</v>
      </c>
    </row>
    <row r="55" spans="1:13" ht="18" customHeight="1">
      <c r="A55" s="234">
        <v>53</v>
      </c>
      <c r="B55" s="235" t="str">
        <f>表1温室气体盘查表!C58</f>
        <v>其他工业设备制造</v>
      </c>
      <c r="C55" s="235" t="str">
        <f>表1温室气体盘查表!D58</f>
        <v>各工序</v>
      </c>
      <c r="D55" s="243" t="s">
        <v>481</v>
      </c>
      <c r="E55" s="243" t="s">
        <v>476</v>
      </c>
      <c r="F55" s="243" t="s">
        <v>479</v>
      </c>
      <c r="G55" s="237">
        <f t="shared" si="0"/>
        <v>1</v>
      </c>
      <c r="H55" s="238">
        <f t="shared" si="1"/>
        <v>1</v>
      </c>
      <c r="I55" s="237">
        <f t="shared" si="2"/>
        <v>3</v>
      </c>
      <c r="J55" s="239">
        <f t="shared" si="3"/>
        <v>1.6666666666666667</v>
      </c>
      <c r="K55" s="240">
        <f>表1温室气体盘查表!AM58</f>
        <v>518.69925190000004</v>
      </c>
      <c r="L55" s="241">
        <f t="shared" si="11"/>
        <v>3.3414077924606142E-5</v>
      </c>
      <c r="M55" s="242">
        <f t="shared" si="5"/>
        <v>5.569012987434357E-5</v>
      </c>
    </row>
    <row r="56" spans="1:13" ht="18" customHeight="1">
      <c r="A56" s="234">
        <v>54</v>
      </c>
      <c r="B56" s="235" t="str">
        <f>表1温室气体盘查表!C59</f>
        <v>测量和测试电力和电气信号的仪器制造</v>
      </c>
      <c r="C56" s="235" t="str">
        <f>表1温室气体盘查表!D59</f>
        <v>各工序</v>
      </c>
      <c r="D56" s="243" t="s">
        <v>481</v>
      </c>
      <c r="E56" s="243" t="s">
        <v>476</v>
      </c>
      <c r="F56" s="243" t="s">
        <v>479</v>
      </c>
      <c r="G56" s="237">
        <f t="shared" si="0"/>
        <v>1</v>
      </c>
      <c r="H56" s="238">
        <f t="shared" si="1"/>
        <v>1</v>
      </c>
      <c r="I56" s="237">
        <f t="shared" si="2"/>
        <v>3</v>
      </c>
      <c r="J56" s="239">
        <f t="shared" si="3"/>
        <v>1.6666666666666667</v>
      </c>
      <c r="K56" s="240">
        <f>表1温室气体盘查表!AM59</f>
        <v>220.30499240999998</v>
      </c>
      <c r="L56" s="241">
        <f t="shared" si="11"/>
        <v>1.4191823405572767E-5</v>
      </c>
      <c r="M56" s="242">
        <f t="shared" si="5"/>
        <v>2.3653039009287945E-5</v>
      </c>
    </row>
    <row r="57" spans="1:13" ht="18" customHeight="1">
      <c r="A57" s="234">
        <v>55</v>
      </c>
      <c r="B57" s="235" t="str">
        <f>表1温室气体盘查表!C60</f>
        <v>机械动力传动设备制造</v>
      </c>
      <c r="C57" s="235" t="str">
        <f>表1温室气体盘查表!D60</f>
        <v>各工序</v>
      </c>
      <c r="D57" s="243" t="s">
        <v>481</v>
      </c>
      <c r="E57" s="243" t="s">
        <v>476</v>
      </c>
      <c r="F57" s="243" t="s">
        <v>479</v>
      </c>
      <c r="G57" s="237">
        <f t="shared" si="0"/>
        <v>1</v>
      </c>
      <c r="H57" s="238">
        <f t="shared" si="1"/>
        <v>1</v>
      </c>
      <c r="I57" s="237">
        <f t="shared" si="2"/>
        <v>3</v>
      </c>
      <c r="J57" s="239">
        <f t="shared" si="3"/>
        <v>1.6666666666666667</v>
      </c>
      <c r="K57" s="240">
        <f>表1温室气体盘查表!AM60</f>
        <v>1122.1194533999999</v>
      </c>
      <c r="L57" s="241">
        <f t="shared" si="11"/>
        <v>7.2285793201515216E-5</v>
      </c>
      <c r="M57" s="242">
        <f t="shared" si="5"/>
        <v>1.2047632200252537E-4</v>
      </c>
    </row>
    <row r="58" spans="1:13" ht="18" customHeight="1">
      <c r="A58" s="234">
        <v>56</v>
      </c>
      <c r="B58" s="235" t="str">
        <f>表1温室气体盘查表!C61</f>
        <v>测量、分配及其他泵类设备制造</v>
      </c>
      <c r="C58" s="235" t="str">
        <f>表1温室气体盘查表!D61</f>
        <v>各工序</v>
      </c>
      <c r="D58" s="243" t="s">
        <v>481</v>
      </c>
      <c r="E58" s="243" t="s">
        <v>476</v>
      </c>
      <c r="F58" s="243" t="s">
        <v>479</v>
      </c>
      <c r="G58" s="237">
        <f t="shared" si="0"/>
        <v>1</v>
      </c>
      <c r="H58" s="238">
        <f t="shared" si="1"/>
        <v>1</v>
      </c>
      <c r="I58" s="237">
        <f t="shared" si="2"/>
        <v>3</v>
      </c>
      <c r="J58" s="239">
        <f t="shared" si="3"/>
        <v>1.6666666666666667</v>
      </c>
      <c r="K58" s="240">
        <f>表1温室气体盘查表!AM61</f>
        <v>604.19940005000001</v>
      </c>
      <c r="L58" s="241">
        <f t="shared" si="11"/>
        <v>3.8921910454505863E-5</v>
      </c>
      <c r="M58" s="242">
        <f t="shared" si="5"/>
        <v>6.4869850757509774E-5</v>
      </c>
    </row>
    <row r="59" spans="1:13" ht="18" customHeight="1">
      <c r="A59" s="234">
        <v>57</v>
      </c>
      <c r="B59" s="235" t="str">
        <f>表1温室气体盘查表!C62</f>
        <v>用于测量、显示和控制工业过程变量的仪器及相关产品制造</v>
      </c>
      <c r="C59" s="235" t="str">
        <f>表1温室气体盘查表!D62</f>
        <v>各工序</v>
      </c>
      <c r="D59" s="243" t="s">
        <v>481</v>
      </c>
      <c r="E59" s="243" t="s">
        <v>476</v>
      </c>
      <c r="F59" s="243" t="s">
        <v>479</v>
      </c>
      <c r="G59" s="237">
        <f t="shared" si="0"/>
        <v>1</v>
      </c>
      <c r="H59" s="238">
        <f t="shared" si="1"/>
        <v>1</v>
      </c>
      <c r="I59" s="237">
        <f t="shared" si="2"/>
        <v>3</v>
      </c>
      <c r="J59" s="239">
        <f t="shared" si="3"/>
        <v>1.6666666666666667</v>
      </c>
      <c r="K59" s="240">
        <f>表1温室气体盘查表!AM62</f>
        <v>140.41626984000001</v>
      </c>
      <c r="L59" s="241">
        <f t="shared" si="11"/>
        <v>9.0454732007611042E-6</v>
      </c>
      <c r="M59" s="242">
        <f t="shared" si="5"/>
        <v>1.5075788667935174E-5</v>
      </c>
    </row>
    <row r="60" spans="1:13" ht="18" customHeight="1">
      <c r="A60" s="234">
        <v>58</v>
      </c>
      <c r="B60" s="235" t="str">
        <f>表1温室气体盘查表!C63</f>
        <v>所有其他杂项电气设备及元件制造</v>
      </c>
      <c r="C60" s="235" t="str">
        <f>表1温室气体盘查表!D63</f>
        <v>各工序</v>
      </c>
      <c r="D60" s="243" t="s">
        <v>481</v>
      </c>
      <c r="E60" s="243" t="s">
        <v>476</v>
      </c>
      <c r="F60" s="243" t="s">
        <v>479</v>
      </c>
      <c r="G60" s="237">
        <f t="shared" si="0"/>
        <v>1</v>
      </c>
      <c r="H60" s="238">
        <f t="shared" si="1"/>
        <v>1</v>
      </c>
      <c r="I60" s="237">
        <f t="shared" si="2"/>
        <v>3</v>
      </c>
      <c r="J60" s="239">
        <f t="shared" si="3"/>
        <v>1.6666666666666667</v>
      </c>
      <c r="K60" s="240">
        <f>表1温室气体盘查表!AM63</f>
        <v>1091.32670592</v>
      </c>
      <c r="L60" s="241">
        <f t="shared" si="11"/>
        <v>7.0302155746784886E-5</v>
      </c>
      <c r="M60" s="242">
        <f t="shared" si="5"/>
        <v>1.1717025957797482E-4</v>
      </c>
    </row>
    <row r="61" spans="1:13" ht="18" customHeight="1">
      <c r="A61" s="234">
        <v>59</v>
      </c>
      <c r="B61" s="235" t="str">
        <f>表1温室气体盘查表!C64</f>
        <v>所有其他杂项制造</v>
      </c>
      <c r="C61" s="235" t="str">
        <f>表1温室气体盘查表!D64</f>
        <v>各工序</v>
      </c>
      <c r="D61" s="243" t="s">
        <v>481</v>
      </c>
      <c r="E61" s="243" t="s">
        <v>476</v>
      </c>
      <c r="F61" s="243" t="s">
        <v>479</v>
      </c>
      <c r="G61" s="237">
        <f t="shared" si="0"/>
        <v>1</v>
      </c>
      <c r="H61" s="238">
        <f t="shared" si="1"/>
        <v>1</v>
      </c>
      <c r="I61" s="237">
        <f t="shared" si="2"/>
        <v>3</v>
      </c>
      <c r="J61" s="239">
        <f t="shared" si="3"/>
        <v>1.6666666666666667</v>
      </c>
      <c r="K61" s="240">
        <f>表1温室气体盘查表!AM64</f>
        <v>43034.195589840005</v>
      </c>
      <c r="L61" s="241">
        <f t="shared" si="11"/>
        <v>2.7722190837839839E-3</v>
      </c>
      <c r="M61" s="242">
        <f t="shared" si="5"/>
        <v>4.6203651396399736E-3</v>
      </c>
    </row>
    <row r="62" spans="1:13" ht="18" customHeight="1">
      <c r="A62" s="234">
        <v>60</v>
      </c>
      <c r="B62" s="235" t="str">
        <f>表1温室气体盘查表!C65</f>
        <v>液化石油气生产</v>
      </c>
      <c r="C62" s="235" t="str">
        <f>表1温室气体盘查表!D65</f>
        <v>冶钢宾馆</v>
      </c>
      <c r="D62" s="243" t="s">
        <v>478</v>
      </c>
      <c r="E62" s="243" t="s">
        <v>476</v>
      </c>
      <c r="F62" s="243" t="s">
        <v>477</v>
      </c>
      <c r="G62" s="237">
        <f t="shared" ref="G62:G95" si="17">IF(D62="自动连续量测",6,IF(D62="定期量测/抄表/铭牌",3,1))</f>
        <v>3</v>
      </c>
      <c r="H62" s="238">
        <f t="shared" ref="H62:H95" si="18">IF(E62="量测/质量平衡排放因子",6,IF(E62="制程/设备排放因子",5,IF(E62="制造商提供的排放因子",4,IF(E62="区域排放因子",3,IF(E62="国家排放因子",2,1)))))</f>
        <v>1</v>
      </c>
      <c r="I62" s="237">
        <f t="shared" ref="I62:I95" si="19">IF(F62="校准且合格",6,IF(F62="未校准",1,3))</f>
        <v>6</v>
      </c>
      <c r="J62" s="239">
        <f t="shared" ref="J62:J95" si="20">AVERAGE(G62:I62)</f>
        <v>3.3333333333333335</v>
      </c>
      <c r="K62" s="240">
        <f>表1温室气体盘查表!AM65</f>
        <v>9.4887070688452404</v>
      </c>
      <c r="L62" s="241">
        <f t="shared" si="11"/>
        <v>6.1125285267093707E-7</v>
      </c>
      <c r="M62" s="242">
        <f t="shared" si="5"/>
        <v>2.0375095089031236E-6</v>
      </c>
    </row>
    <row r="63" spans="1:13" ht="18" customHeight="1">
      <c r="A63" s="234">
        <v>61</v>
      </c>
      <c r="B63" s="235" t="str">
        <f>表1温室气体盘查表!C66</f>
        <v>洗精煤生产</v>
      </c>
      <c r="C63" s="235" t="str">
        <f>表1温室气体盘查表!D66</f>
        <v>焦化</v>
      </c>
      <c r="D63" s="243" t="s">
        <v>478</v>
      </c>
      <c r="E63" s="243" t="s">
        <v>476</v>
      </c>
      <c r="F63" s="243" t="s">
        <v>477</v>
      </c>
      <c r="G63" s="237">
        <f t="shared" si="17"/>
        <v>3</v>
      </c>
      <c r="H63" s="238">
        <f t="shared" si="18"/>
        <v>1</v>
      </c>
      <c r="I63" s="237">
        <f t="shared" si="19"/>
        <v>6</v>
      </c>
      <c r="J63" s="239">
        <f t="shared" si="20"/>
        <v>3.3333333333333335</v>
      </c>
      <c r="K63" s="240">
        <f>表1温室气体盘查表!AM66</f>
        <v>1204984.5852735001</v>
      </c>
      <c r="L63" s="241">
        <f t="shared" si="11"/>
        <v>7.7623880664551892E-2</v>
      </c>
      <c r="M63" s="242">
        <f t="shared" ref="M63:M95" si="21">J63*L63</f>
        <v>0.25874626888183966</v>
      </c>
    </row>
    <row r="64" spans="1:13" ht="18" customHeight="1">
      <c r="A64" s="234">
        <v>62</v>
      </c>
      <c r="B64" s="235" t="str">
        <f>表1温室气体盘查表!C67</f>
        <v>柴油生产</v>
      </c>
      <c r="C64" s="235" t="str">
        <f>表1温室气体盘查表!D67</f>
        <v>各工序</v>
      </c>
      <c r="D64" s="243" t="s">
        <v>478</v>
      </c>
      <c r="E64" s="243" t="s">
        <v>476</v>
      </c>
      <c r="F64" s="243" t="s">
        <v>477</v>
      </c>
      <c r="G64" s="237">
        <f t="shared" si="17"/>
        <v>3</v>
      </c>
      <c r="H64" s="238">
        <f t="shared" si="18"/>
        <v>1</v>
      </c>
      <c r="I64" s="237">
        <f t="shared" si="19"/>
        <v>6</v>
      </c>
      <c r="J64" s="239">
        <f t="shared" si="20"/>
        <v>3.3333333333333335</v>
      </c>
      <c r="K64" s="240">
        <f>表1温室气体盘查表!AM67</f>
        <v>1198.0757028</v>
      </c>
      <c r="L64" s="241">
        <f t="shared" si="11"/>
        <v>7.7178817486812861E-5</v>
      </c>
      <c r="M64" s="242">
        <f t="shared" si="21"/>
        <v>2.5726272495604286E-4</v>
      </c>
    </row>
    <row r="65" spans="1:13" ht="18" customHeight="1">
      <c r="A65" s="234">
        <v>63</v>
      </c>
      <c r="B65" s="235" t="str">
        <f>表1温室气体盘查表!C68</f>
        <v>汽油生产</v>
      </c>
      <c r="C65" s="235" t="str">
        <f>表1温室气体盘查表!D68</f>
        <v>车队</v>
      </c>
      <c r="D65" s="243" t="s">
        <v>478</v>
      </c>
      <c r="E65" s="243" t="s">
        <v>476</v>
      </c>
      <c r="F65" s="243" t="s">
        <v>477</v>
      </c>
      <c r="G65" s="237">
        <f t="shared" si="17"/>
        <v>3</v>
      </c>
      <c r="H65" s="238">
        <f t="shared" si="18"/>
        <v>1</v>
      </c>
      <c r="I65" s="237">
        <f t="shared" si="19"/>
        <v>6</v>
      </c>
      <c r="J65" s="239">
        <f t="shared" si="20"/>
        <v>3.3333333333333335</v>
      </c>
      <c r="K65" s="240">
        <f>表1温室气体盘查表!AM68</f>
        <v>46.740216649323479</v>
      </c>
      <c r="L65" s="241">
        <f t="shared" si="11"/>
        <v>3.0109571887999635E-6</v>
      </c>
      <c r="M65" s="242">
        <f t="shared" si="21"/>
        <v>1.0036523962666545E-5</v>
      </c>
    </row>
    <row r="66" spans="1:13" ht="18" customHeight="1">
      <c r="A66" s="234">
        <v>64</v>
      </c>
      <c r="B66" s="235" t="str">
        <f>表1温室气体盘查表!C69</f>
        <v>焦炭生产</v>
      </c>
      <c r="C66" s="235" t="str">
        <f>表1温室气体盘查表!D69</f>
        <v>烧结、高炉</v>
      </c>
      <c r="D66" s="243" t="s">
        <v>478</v>
      </c>
      <c r="E66" s="243" t="s">
        <v>476</v>
      </c>
      <c r="F66" s="243" t="s">
        <v>477</v>
      </c>
      <c r="G66" s="237">
        <f t="shared" si="17"/>
        <v>3</v>
      </c>
      <c r="H66" s="238">
        <f t="shared" si="18"/>
        <v>1</v>
      </c>
      <c r="I66" s="237">
        <f t="shared" si="19"/>
        <v>6</v>
      </c>
      <c r="J66" s="239">
        <f t="shared" si="20"/>
        <v>3.3333333333333335</v>
      </c>
      <c r="K66" s="240">
        <f>表1温室气体盘查表!AM69</f>
        <v>77306.700329999992</v>
      </c>
      <c r="L66" s="241">
        <f t="shared" si="11"/>
        <v>4.9800189598476555E-3</v>
      </c>
      <c r="M66" s="242">
        <f t="shared" si="21"/>
        <v>1.6600063199492185E-2</v>
      </c>
    </row>
    <row r="67" spans="1:13" ht="18" customHeight="1">
      <c r="A67" s="234">
        <v>65</v>
      </c>
      <c r="B67" s="235" t="str">
        <f>表1温室气体盘查表!C70</f>
        <v>烟煤生产</v>
      </c>
      <c r="C67" s="235" t="str">
        <f>表1温室气体盘查表!D70</f>
        <v>高炉</v>
      </c>
      <c r="D67" s="243" t="s">
        <v>478</v>
      </c>
      <c r="E67" s="243" t="s">
        <v>476</v>
      </c>
      <c r="F67" s="243" t="s">
        <v>477</v>
      </c>
      <c r="G67" s="237">
        <f t="shared" si="17"/>
        <v>3</v>
      </c>
      <c r="H67" s="238">
        <f t="shared" si="18"/>
        <v>1</v>
      </c>
      <c r="I67" s="237">
        <f t="shared" si="19"/>
        <v>6</v>
      </c>
      <c r="J67" s="239">
        <f t="shared" si="20"/>
        <v>3.3333333333333335</v>
      </c>
      <c r="K67" s="240">
        <f>表1温室气体盘查表!AM70</f>
        <v>57829.148730000008</v>
      </c>
      <c r="L67" s="241">
        <f t="shared" si="11"/>
        <v>3.7252949081761698E-3</v>
      </c>
      <c r="M67" s="242">
        <f t="shared" si="21"/>
        <v>1.2417649693920566E-2</v>
      </c>
    </row>
    <row r="68" spans="1:13" ht="18" customHeight="1">
      <c r="A68" s="234">
        <v>66</v>
      </c>
      <c r="B68" s="235" t="str">
        <f>表1温室气体盘查表!C71</f>
        <v>无烟煤生产</v>
      </c>
      <c r="C68" s="235" t="str">
        <f>表1温室气体盘查表!D71</f>
        <v>烧结、高炉</v>
      </c>
      <c r="D68" s="243" t="s">
        <v>478</v>
      </c>
      <c r="E68" s="243" t="s">
        <v>476</v>
      </c>
      <c r="F68" s="243" t="s">
        <v>477</v>
      </c>
      <c r="G68" s="237">
        <f t="shared" si="17"/>
        <v>3</v>
      </c>
      <c r="H68" s="238">
        <f t="shared" si="18"/>
        <v>1</v>
      </c>
      <c r="I68" s="237">
        <f t="shared" si="19"/>
        <v>6</v>
      </c>
      <c r="J68" s="239">
        <f t="shared" si="20"/>
        <v>3.3333333333333335</v>
      </c>
      <c r="K68" s="240">
        <f>表1温室气体盘查表!AM71</f>
        <v>229469.91372000004</v>
      </c>
      <c r="L68" s="241">
        <f t="shared" si="11"/>
        <v>1.4782218309177263E-2</v>
      </c>
      <c r="M68" s="242">
        <f t="shared" si="21"/>
        <v>4.9274061030590878E-2</v>
      </c>
    </row>
    <row r="69" spans="1:13" ht="18" customHeight="1">
      <c r="A69" s="234">
        <v>67</v>
      </c>
      <c r="B69" s="235" t="str">
        <f>表1温室气体盘查表!C72</f>
        <v>天然气生产</v>
      </c>
      <c r="C69" s="235" t="str">
        <f>表1温室气体盘查表!D72</f>
        <v>转炉、电炉、锻造、热处理</v>
      </c>
      <c r="D69" s="243" t="s">
        <v>475</v>
      </c>
      <c r="E69" s="243" t="s">
        <v>476</v>
      </c>
      <c r="F69" s="243" t="s">
        <v>477</v>
      </c>
      <c r="G69" s="237">
        <f t="shared" si="17"/>
        <v>6</v>
      </c>
      <c r="H69" s="238">
        <f t="shared" si="18"/>
        <v>1</v>
      </c>
      <c r="I69" s="237">
        <f t="shared" si="19"/>
        <v>6</v>
      </c>
      <c r="J69" s="239">
        <f t="shared" si="20"/>
        <v>4.333333333333333</v>
      </c>
      <c r="K69" s="240">
        <f>表1温室气体盘查表!AM72</f>
        <v>9000.26</v>
      </c>
      <c r="L69" s="241">
        <f t="shared" ref="L69:L93" si="22">K69/$K$96</f>
        <v>5.7978758959092243E-4</v>
      </c>
      <c r="M69" s="242">
        <f t="shared" si="21"/>
        <v>2.5124128882273306E-3</v>
      </c>
    </row>
    <row r="70" spans="1:13" ht="18" customHeight="1">
      <c r="A70" s="234">
        <v>68</v>
      </c>
      <c r="B70" s="235" t="str">
        <f>表1温室气体盘查表!C73</f>
        <v>外购电力上游排放</v>
      </c>
      <c r="C70" s="235" t="str">
        <f>表1温室气体盘查表!D73</f>
        <v>各工序</v>
      </c>
      <c r="D70" s="243" t="s">
        <v>475</v>
      </c>
      <c r="E70" s="243" t="s">
        <v>480</v>
      </c>
      <c r="F70" s="243" t="s">
        <v>477</v>
      </c>
      <c r="G70" s="237">
        <f t="shared" si="17"/>
        <v>6</v>
      </c>
      <c r="H70" s="238">
        <f t="shared" si="18"/>
        <v>2</v>
      </c>
      <c r="I70" s="237">
        <f t="shared" si="19"/>
        <v>6</v>
      </c>
      <c r="J70" s="239">
        <f t="shared" si="20"/>
        <v>4.666666666666667</v>
      </c>
      <c r="K70" s="240">
        <f>表1温室气体盘查表!AM73</f>
        <v>176819.88961700018</v>
      </c>
      <c r="L70" s="241">
        <f t="shared" si="22"/>
        <v>1.1390557338651717E-2</v>
      </c>
      <c r="M70" s="242">
        <f t="shared" si="21"/>
        <v>5.3155934247041348E-2</v>
      </c>
    </row>
    <row r="71" spans="1:13" ht="18" customHeight="1">
      <c r="A71" s="234">
        <v>69</v>
      </c>
      <c r="B71" s="235" t="str">
        <f>表1温室气体盘查表!C74</f>
        <v>船运</v>
      </c>
      <c r="C71" s="235" t="str">
        <f>表1温室气体盘查表!D74</f>
        <v>-</v>
      </c>
      <c r="D71" s="243" t="s">
        <v>481</v>
      </c>
      <c r="E71" s="243" t="s">
        <v>476</v>
      </c>
      <c r="F71" s="243" t="s">
        <v>479</v>
      </c>
      <c r="G71" s="237">
        <f t="shared" si="17"/>
        <v>1</v>
      </c>
      <c r="H71" s="238">
        <f t="shared" si="18"/>
        <v>1</v>
      </c>
      <c r="I71" s="237">
        <f t="shared" si="19"/>
        <v>3</v>
      </c>
      <c r="J71" s="239">
        <f t="shared" si="20"/>
        <v>1.6666666666666667</v>
      </c>
      <c r="K71" s="240">
        <f>表1温室气体盘查表!AM74</f>
        <v>250587.64380757129</v>
      </c>
      <c r="L71" s="241">
        <f t="shared" si="22"/>
        <v>1.6142600989800339E-2</v>
      </c>
      <c r="M71" s="242">
        <f t="shared" si="21"/>
        <v>2.6904334983000565E-2</v>
      </c>
    </row>
    <row r="72" spans="1:13" ht="18" customHeight="1">
      <c r="A72" s="234">
        <v>70</v>
      </c>
      <c r="B72" s="235" t="str">
        <f>表1温室气体盘查表!C75</f>
        <v>汽运</v>
      </c>
      <c r="C72" s="235" t="str">
        <f>表1温室气体盘查表!D75</f>
        <v>-</v>
      </c>
      <c r="D72" s="243" t="s">
        <v>481</v>
      </c>
      <c r="E72" s="243" t="s">
        <v>476</v>
      </c>
      <c r="F72" s="243" t="s">
        <v>479</v>
      </c>
      <c r="G72" s="237">
        <f t="shared" si="17"/>
        <v>1</v>
      </c>
      <c r="H72" s="238">
        <f t="shared" si="18"/>
        <v>1</v>
      </c>
      <c r="I72" s="237">
        <f t="shared" si="19"/>
        <v>3</v>
      </c>
      <c r="J72" s="239">
        <f t="shared" si="20"/>
        <v>1.6666666666666667</v>
      </c>
      <c r="K72" s="240">
        <f>表1温室气体盘查表!AM75</f>
        <v>74635.120596859735</v>
      </c>
      <c r="L72" s="241">
        <f t="shared" si="22"/>
        <v>4.8079185123186567E-3</v>
      </c>
      <c r="M72" s="242">
        <f t="shared" si="21"/>
        <v>8.0131975205310953E-3</v>
      </c>
    </row>
    <row r="73" spans="1:13" ht="18" customHeight="1">
      <c r="A73" s="234">
        <v>71</v>
      </c>
      <c r="B73" s="235" t="str">
        <f>表1温室气体盘查表!C76</f>
        <v>铁路运输</v>
      </c>
      <c r="C73" s="235" t="str">
        <f>表1温室气体盘查表!D76</f>
        <v>-</v>
      </c>
      <c r="D73" s="243" t="s">
        <v>481</v>
      </c>
      <c r="E73" s="243" t="s">
        <v>476</v>
      </c>
      <c r="F73" s="243" t="s">
        <v>479</v>
      </c>
      <c r="G73" s="237">
        <f t="shared" si="17"/>
        <v>1</v>
      </c>
      <c r="H73" s="238">
        <f t="shared" si="18"/>
        <v>1</v>
      </c>
      <c r="I73" s="237">
        <f t="shared" si="19"/>
        <v>3</v>
      </c>
      <c r="J73" s="239">
        <f t="shared" si="20"/>
        <v>1.6666666666666667</v>
      </c>
      <c r="K73" s="240">
        <f>表1温室气体盘查表!AM76</f>
        <v>75504.263804014496</v>
      </c>
      <c r="L73" s="241">
        <f t="shared" si="22"/>
        <v>4.8639078331922294E-3</v>
      </c>
      <c r="M73" s="242">
        <f t="shared" si="21"/>
        <v>8.1065130553203829E-3</v>
      </c>
    </row>
    <row r="74" spans="1:13" ht="18" customHeight="1">
      <c r="A74" s="234">
        <v>72</v>
      </c>
      <c r="B74" s="235" t="str">
        <f>表1温室气体盘查表!C77</f>
        <v>生活垃圾和厨余垃圾</v>
      </c>
      <c r="C74" s="235" t="str">
        <f>表1温室气体盘查表!D77</f>
        <v>垃圾站</v>
      </c>
      <c r="D74" s="243" t="s">
        <v>478</v>
      </c>
      <c r="E74" s="243" t="s">
        <v>476</v>
      </c>
      <c r="F74" s="243" t="s">
        <v>479</v>
      </c>
      <c r="G74" s="237">
        <f t="shared" si="17"/>
        <v>3</v>
      </c>
      <c r="H74" s="238">
        <f t="shared" si="18"/>
        <v>1</v>
      </c>
      <c r="I74" s="237">
        <f t="shared" si="19"/>
        <v>3</v>
      </c>
      <c r="J74" s="239">
        <f t="shared" si="20"/>
        <v>2.3333333333333335</v>
      </c>
      <c r="K74" s="240">
        <f>表1温室气体盘查表!AM77</f>
        <v>1040.2559007235884</v>
      </c>
      <c r="L74" s="241">
        <f t="shared" si="22"/>
        <v>6.7012226451042882E-5</v>
      </c>
      <c r="M74" s="242">
        <f t="shared" si="21"/>
        <v>1.5636186171910006E-4</v>
      </c>
    </row>
    <row r="75" spans="1:13" ht="18" customHeight="1">
      <c r="A75" s="234">
        <v>73</v>
      </c>
      <c r="B75" s="235" t="str">
        <f>表1温室气体盘查表!C78</f>
        <v>废油</v>
      </c>
      <c r="C75" s="235" t="str">
        <f>表1温室气体盘查表!D78</f>
        <v>-</v>
      </c>
      <c r="D75" s="243" t="s">
        <v>478</v>
      </c>
      <c r="E75" s="243" t="s">
        <v>476</v>
      </c>
      <c r="F75" s="243" t="s">
        <v>479</v>
      </c>
      <c r="G75" s="237">
        <f t="shared" si="17"/>
        <v>3</v>
      </c>
      <c r="H75" s="238">
        <f t="shared" si="18"/>
        <v>1</v>
      </c>
      <c r="I75" s="237">
        <f t="shared" si="19"/>
        <v>3</v>
      </c>
      <c r="J75" s="239">
        <f t="shared" si="20"/>
        <v>2.3333333333333335</v>
      </c>
      <c r="K75" s="240">
        <f>表1温室气体盘查表!AM78</f>
        <v>4897.6714742239055</v>
      </c>
      <c r="L75" s="241">
        <f t="shared" si="22"/>
        <v>3.1550301198504237E-4</v>
      </c>
      <c r="M75" s="242">
        <f t="shared" si="21"/>
        <v>7.3617369463176553E-4</v>
      </c>
    </row>
    <row r="76" spans="1:13" ht="18" customHeight="1">
      <c r="A76" s="234">
        <v>74</v>
      </c>
      <c r="B76" s="235" t="str">
        <f>表1温室气体盘查表!C79</f>
        <v>废油水</v>
      </c>
      <c r="C76" s="235" t="str">
        <f>表1温室气体盘查表!D79</f>
        <v>-</v>
      </c>
      <c r="D76" s="243" t="s">
        <v>478</v>
      </c>
      <c r="E76" s="243" t="s">
        <v>476</v>
      </c>
      <c r="F76" s="243" t="s">
        <v>479</v>
      </c>
      <c r="G76" s="237">
        <f t="shared" si="17"/>
        <v>3</v>
      </c>
      <c r="H76" s="238">
        <f t="shared" si="18"/>
        <v>1</v>
      </c>
      <c r="I76" s="237">
        <f t="shared" si="19"/>
        <v>3</v>
      </c>
      <c r="J76" s="239">
        <f t="shared" si="20"/>
        <v>2.3333333333333335</v>
      </c>
      <c r="K76" s="240">
        <f>表1温室气体盘查表!AM79</f>
        <v>14824.498404251912</v>
      </c>
      <c r="L76" s="241">
        <f t="shared" si="22"/>
        <v>9.5497910023662554E-4</v>
      </c>
      <c r="M76" s="242">
        <f t="shared" si="21"/>
        <v>2.2282845672187928E-3</v>
      </c>
    </row>
    <row r="77" spans="1:13" ht="18" customHeight="1">
      <c r="A77" s="234">
        <v>75</v>
      </c>
      <c r="B77" s="235" t="str">
        <f>表1温室气体盘查表!C80</f>
        <v>废弃物运输</v>
      </c>
      <c r="C77" s="235" t="str">
        <f>表1温室气体盘查表!D80</f>
        <v>-</v>
      </c>
      <c r="D77" s="243" t="s">
        <v>481</v>
      </c>
      <c r="E77" s="243" t="s">
        <v>476</v>
      </c>
      <c r="F77" s="243" t="s">
        <v>479</v>
      </c>
      <c r="G77" s="237">
        <f t="shared" si="17"/>
        <v>1</v>
      </c>
      <c r="H77" s="238">
        <f t="shared" si="18"/>
        <v>1</v>
      </c>
      <c r="I77" s="237">
        <f t="shared" si="19"/>
        <v>3</v>
      </c>
      <c r="J77" s="239">
        <f t="shared" si="20"/>
        <v>1.6666666666666667</v>
      </c>
      <c r="K77" s="240">
        <f>表1温室气体盘查表!AM80</f>
        <v>10189.592640916659</v>
      </c>
      <c r="L77" s="241">
        <f t="shared" si="22"/>
        <v>6.5640318792906766E-4</v>
      </c>
      <c r="M77" s="242">
        <f t="shared" si="21"/>
        <v>1.0940053132151128E-3</v>
      </c>
    </row>
    <row r="78" spans="1:13" ht="18" customHeight="1">
      <c r="A78" s="234">
        <v>76</v>
      </c>
      <c r="B78" s="235" t="str">
        <f>表1温室气体盘查表!C81</f>
        <v>航运</v>
      </c>
      <c r="C78" s="235" t="str">
        <f>表1温室气体盘查表!D81</f>
        <v>-</v>
      </c>
      <c r="D78" s="243" t="s">
        <v>481</v>
      </c>
      <c r="E78" s="243" t="s">
        <v>480</v>
      </c>
      <c r="F78" s="243" t="s">
        <v>479</v>
      </c>
      <c r="G78" s="237">
        <f t="shared" si="17"/>
        <v>1</v>
      </c>
      <c r="H78" s="238">
        <f t="shared" si="18"/>
        <v>2</v>
      </c>
      <c r="I78" s="237">
        <f t="shared" si="19"/>
        <v>3</v>
      </c>
      <c r="J78" s="239">
        <f t="shared" si="20"/>
        <v>2</v>
      </c>
      <c r="K78" s="240">
        <f>表1温室气体盘查表!AM81</f>
        <v>311.60514000000001</v>
      </c>
      <c r="L78" s="241">
        <f t="shared" si="22"/>
        <v>2.0073285996709197E-5</v>
      </c>
      <c r="M78" s="242">
        <f t="shared" si="21"/>
        <v>4.0146571993418394E-5</v>
      </c>
    </row>
    <row r="79" spans="1:13" ht="18" customHeight="1">
      <c r="A79" s="234">
        <v>77</v>
      </c>
      <c r="B79" s="235" t="str">
        <f>表1温室气体盘查表!C82</f>
        <v>铁路运输</v>
      </c>
      <c r="C79" s="235" t="str">
        <f>表1温室气体盘查表!D82</f>
        <v>-</v>
      </c>
      <c r="D79" s="243" t="s">
        <v>481</v>
      </c>
      <c r="E79" s="243" t="s">
        <v>476</v>
      </c>
      <c r="F79" s="243" t="s">
        <v>479</v>
      </c>
      <c r="G79" s="237">
        <f t="shared" si="17"/>
        <v>1</v>
      </c>
      <c r="H79" s="238">
        <f t="shared" si="18"/>
        <v>1</v>
      </c>
      <c r="I79" s="237">
        <f t="shared" si="19"/>
        <v>3</v>
      </c>
      <c r="J79" s="239">
        <f t="shared" si="20"/>
        <v>1.6666666666666667</v>
      </c>
      <c r="K79" s="240">
        <f>表1温室气体盘查表!AM82</f>
        <v>725.30840949439869</v>
      </c>
      <c r="L79" s="241">
        <f t="shared" si="22"/>
        <v>4.6723629589676644E-5</v>
      </c>
      <c r="M79" s="242">
        <f t="shared" si="21"/>
        <v>7.7872715982794404E-5</v>
      </c>
    </row>
    <row r="80" spans="1:13" ht="18" customHeight="1">
      <c r="A80" s="234">
        <v>78</v>
      </c>
      <c r="B80" s="235" t="str">
        <f>表1温室气体盘查表!C83</f>
        <v>员工差旅住宿</v>
      </c>
      <c r="C80" s="235" t="str">
        <f>表1温室气体盘查表!D83</f>
        <v>-</v>
      </c>
      <c r="D80" s="243" t="s">
        <v>481</v>
      </c>
      <c r="E80" s="243" t="s">
        <v>480</v>
      </c>
      <c r="F80" s="243" t="s">
        <v>479</v>
      </c>
      <c r="G80" s="237">
        <f t="shared" si="17"/>
        <v>1</v>
      </c>
      <c r="H80" s="238">
        <f t="shared" si="18"/>
        <v>2</v>
      </c>
      <c r="I80" s="237">
        <f t="shared" si="19"/>
        <v>3</v>
      </c>
      <c r="J80" s="239">
        <f t="shared" si="20"/>
        <v>2</v>
      </c>
      <c r="K80" s="240">
        <f>表1温室气体盘查表!AM83</f>
        <v>767.83199999999999</v>
      </c>
      <c r="L80" s="241">
        <f t="shared" si="22"/>
        <v>4.9462956013579283E-5</v>
      </c>
      <c r="M80" s="242">
        <f t="shared" si="21"/>
        <v>9.8925912027158567E-5</v>
      </c>
    </row>
    <row r="81" spans="1:14" ht="18" customHeight="1">
      <c r="A81" s="234">
        <v>79</v>
      </c>
      <c r="B81" s="235" t="str">
        <f>表1温室气体盘查表!C84</f>
        <v>通勤车</v>
      </c>
      <c r="C81" s="235" t="str">
        <f>表1温室气体盘查表!D84</f>
        <v>-</v>
      </c>
      <c r="D81" s="243" t="s">
        <v>481</v>
      </c>
      <c r="E81" s="243" t="s">
        <v>480</v>
      </c>
      <c r="F81" s="243" t="s">
        <v>479</v>
      </c>
      <c r="G81" s="237">
        <f t="shared" si="17"/>
        <v>1</v>
      </c>
      <c r="H81" s="238">
        <f t="shared" si="18"/>
        <v>2</v>
      </c>
      <c r="I81" s="237">
        <f t="shared" si="19"/>
        <v>3</v>
      </c>
      <c r="J81" s="239">
        <f t="shared" si="20"/>
        <v>2</v>
      </c>
      <c r="K81" s="240">
        <f>表1温室气体盘查表!AM84</f>
        <v>59.915075134693886</v>
      </c>
      <c r="L81" s="241">
        <f t="shared" si="22"/>
        <v>3.8596681643089398E-6</v>
      </c>
      <c r="M81" s="242">
        <f t="shared" si="21"/>
        <v>7.7193363286178796E-6</v>
      </c>
    </row>
    <row r="82" spans="1:14" ht="18" customHeight="1">
      <c r="A82" s="234">
        <v>80</v>
      </c>
      <c r="B82" s="235" t="str">
        <f>表1温室气体盘查表!C85</f>
        <v>电力公交</v>
      </c>
      <c r="C82" s="235" t="str">
        <f>表1温室气体盘查表!D85</f>
        <v>-</v>
      </c>
      <c r="D82" s="243" t="s">
        <v>481</v>
      </c>
      <c r="E82" s="243" t="s">
        <v>480</v>
      </c>
      <c r="F82" s="243" t="s">
        <v>479</v>
      </c>
      <c r="G82" s="237">
        <f t="shared" ref="G82" si="23">IF(D82="自动连续量测",6,IF(D82="定期量测/抄表/铭牌",3,1))</f>
        <v>1</v>
      </c>
      <c r="H82" s="238">
        <f t="shared" ref="H82" si="24">IF(E82="量测/质量平衡排放因子",6,IF(E82="制程/设备排放因子",5,IF(E82="制造商提供的排放因子",4,IF(E82="区域排放因子",3,IF(E82="国家排放因子",2,1)))))</f>
        <v>2</v>
      </c>
      <c r="I82" s="237">
        <f t="shared" ref="I82" si="25">IF(F82="校准且合格",6,IF(F82="未校准",1,3))</f>
        <v>3</v>
      </c>
      <c r="J82" s="239">
        <f t="shared" ref="J82" si="26">AVERAGE(G82:I82)</f>
        <v>2</v>
      </c>
      <c r="K82" s="240">
        <f>表1温室气体盘查表!AM85</f>
        <v>2.7815691903999999</v>
      </c>
      <c r="L82" s="241">
        <f t="shared" si="22"/>
        <v>1.7918585642885755E-7</v>
      </c>
      <c r="M82" s="242">
        <f t="shared" si="21"/>
        <v>3.5837171285771511E-7</v>
      </c>
    </row>
    <row r="83" spans="1:14" ht="18" customHeight="1">
      <c r="A83" s="234">
        <v>81</v>
      </c>
      <c r="B83" s="235" t="str">
        <f>表1温室气体盘查表!C86</f>
        <v>电瓶车</v>
      </c>
      <c r="C83" s="235" t="str">
        <f>表1温室气体盘查表!D86</f>
        <v>-</v>
      </c>
      <c r="D83" s="243" t="s">
        <v>481</v>
      </c>
      <c r="E83" s="243" t="s">
        <v>476</v>
      </c>
      <c r="F83" s="243" t="s">
        <v>479</v>
      </c>
      <c r="G83" s="237">
        <f t="shared" si="17"/>
        <v>1</v>
      </c>
      <c r="H83" s="238">
        <f t="shared" si="18"/>
        <v>1</v>
      </c>
      <c r="I83" s="237">
        <f t="shared" si="19"/>
        <v>3</v>
      </c>
      <c r="J83" s="239">
        <f t="shared" si="20"/>
        <v>1.6666666666666667</v>
      </c>
      <c r="K83" s="240">
        <f>表1温室气体盘查表!AM86</f>
        <v>286.29993180666088</v>
      </c>
      <c r="L83" s="241">
        <f t="shared" si="22"/>
        <v>1.8443150238129716E-5</v>
      </c>
      <c r="M83" s="242">
        <f t="shared" si="21"/>
        <v>3.0738583730216198E-5</v>
      </c>
    </row>
    <row r="84" spans="1:14" ht="18" customHeight="1">
      <c r="A84" s="234">
        <v>82</v>
      </c>
      <c r="B84" s="235" t="str">
        <f>表1温室气体盘查表!C87</f>
        <v>自驾油车</v>
      </c>
      <c r="C84" s="235" t="str">
        <f>表1温室气体盘查表!D87</f>
        <v>-</v>
      </c>
      <c r="D84" s="243" t="s">
        <v>481</v>
      </c>
      <c r="E84" s="243" t="s">
        <v>476</v>
      </c>
      <c r="F84" s="243" t="s">
        <v>479</v>
      </c>
      <c r="G84" s="237">
        <f t="shared" si="17"/>
        <v>1</v>
      </c>
      <c r="H84" s="238">
        <f t="shared" si="18"/>
        <v>1</v>
      </c>
      <c r="I84" s="237">
        <f t="shared" si="19"/>
        <v>3</v>
      </c>
      <c r="J84" s="239">
        <f t="shared" si="20"/>
        <v>1.6666666666666667</v>
      </c>
      <c r="K84" s="240">
        <f>表1温室气体盘查表!AM87</f>
        <v>4531.2742832535278</v>
      </c>
      <c r="L84" s="241">
        <f t="shared" si="22"/>
        <v>2.9190007782696248E-4</v>
      </c>
      <c r="M84" s="242">
        <f t="shared" si="21"/>
        <v>4.8650012971160415E-4</v>
      </c>
    </row>
    <row r="85" spans="1:14" ht="18" customHeight="1">
      <c r="A85" s="234">
        <v>83</v>
      </c>
      <c r="B85" s="235" t="str">
        <f>表1温室气体盘查表!C88</f>
        <v>自驾电车</v>
      </c>
      <c r="C85" s="235" t="str">
        <f>表1温室气体盘查表!D88</f>
        <v>-</v>
      </c>
      <c r="D85" s="243" t="s">
        <v>481</v>
      </c>
      <c r="E85" s="243" t="s">
        <v>476</v>
      </c>
      <c r="F85" s="243" t="s">
        <v>479</v>
      </c>
      <c r="G85" s="237">
        <f t="shared" si="17"/>
        <v>1</v>
      </c>
      <c r="H85" s="238">
        <f t="shared" si="18"/>
        <v>1</v>
      </c>
      <c r="I85" s="237">
        <f t="shared" si="19"/>
        <v>3</v>
      </c>
      <c r="J85" s="239">
        <f t="shared" si="20"/>
        <v>1.6666666666666667</v>
      </c>
      <c r="K85" s="240">
        <f>表1温室气体盘查表!AM88</f>
        <v>567.20146622544166</v>
      </c>
      <c r="L85" s="241">
        <f t="shared" si="22"/>
        <v>3.6538541210507896E-5</v>
      </c>
      <c r="M85" s="242">
        <f t="shared" si="21"/>
        <v>6.0897568684179828E-5</v>
      </c>
    </row>
    <row r="86" spans="1:14" ht="18" customHeight="1">
      <c r="A86" s="234">
        <v>84</v>
      </c>
      <c r="B86" s="235" t="str">
        <f>表1温室气体盘查表!C89</f>
        <v>船运</v>
      </c>
      <c r="C86" s="235" t="str">
        <f>表1温室气体盘查表!D89</f>
        <v>-</v>
      </c>
      <c r="D86" s="243" t="s">
        <v>481</v>
      </c>
      <c r="E86" s="243" t="s">
        <v>476</v>
      </c>
      <c r="F86" s="243" t="s">
        <v>479</v>
      </c>
      <c r="G86" s="237">
        <f t="shared" si="17"/>
        <v>1</v>
      </c>
      <c r="H86" s="238">
        <f t="shared" si="18"/>
        <v>1</v>
      </c>
      <c r="I86" s="237">
        <f t="shared" si="19"/>
        <v>3</v>
      </c>
      <c r="J86" s="239">
        <f t="shared" si="20"/>
        <v>1.6666666666666667</v>
      </c>
      <c r="K86" s="240">
        <f>表1温室气体盘查表!AM89</f>
        <v>50174.491306491567</v>
      </c>
      <c r="L86" s="241">
        <f t="shared" si="22"/>
        <v>3.2321896671364423E-3</v>
      </c>
      <c r="M86" s="242">
        <f t="shared" si="21"/>
        <v>5.3869827785607378E-3</v>
      </c>
    </row>
    <row r="87" spans="1:14" ht="18" customHeight="1">
      <c r="A87" s="234">
        <v>85</v>
      </c>
      <c r="B87" s="235" t="str">
        <f>表1温室气体盘查表!C90</f>
        <v>汽运</v>
      </c>
      <c r="C87" s="235" t="str">
        <f>表1温室气体盘查表!D90</f>
        <v>-</v>
      </c>
      <c r="D87" s="243" t="s">
        <v>481</v>
      </c>
      <c r="E87" s="243" t="s">
        <v>476</v>
      </c>
      <c r="F87" s="243" t="s">
        <v>479</v>
      </c>
      <c r="G87" s="237">
        <f t="shared" si="17"/>
        <v>1</v>
      </c>
      <c r="H87" s="238">
        <f t="shared" si="18"/>
        <v>1</v>
      </c>
      <c r="I87" s="237">
        <f t="shared" si="19"/>
        <v>3</v>
      </c>
      <c r="J87" s="239">
        <f t="shared" si="20"/>
        <v>1.6666666666666667</v>
      </c>
      <c r="K87" s="240">
        <f>表1温室气体盘查表!AM90</f>
        <v>207696.57744565431</v>
      </c>
      <c r="L87" s="241">
        <f t="shared" si="22"/>
        <v>1.3379602145215833E-2</v>
      </c>
      <c r="M87" s="242">
        <f t="shared" si="21"/>
        <v>2.2299336908693058E-2</v>
      </c>
    </row>
    <row r="88" spans="1:14" ht="18" customHeight="1">
      <c r="A88" s="234">
        <v>86</v>
      </c>
      <c r="B88" s="235" t="str">
        <f>表1温室气体盘查表!C91</f>
        <v>铁路运输</v>
      </c>
      <c r="C88" s="235" t="str">
        <f>表1温室气体盘查表!D91</f>
        <v>-</v>
      </c>
      <c r="D88" s="243" t="s">
        <v>481</v>
      </c>
      <c r="E88" s="243" t="s">
        <v>476</v>
      </c>
      <c r="F88" s="243" t="s">
        <v>479</v>
      </c>
      <c r="G88" s="237">
        <f t="shared" si="17"/>
        <v>1</v>
      </c>
      <c r="H88" s="238">
        <f t="shared" si="18"/>
        <v>1</v>
      </c>
      <c r="I88" s="237">
        <f t="shared" si="19"/>
        <v>3</v>
      </c>
      <c r="J88" s="239">
        <f t="shared" si="20"/>
        <v>1.6666666666666667</v>
      </c>
      <c r="K88" s="240">
        <f>表1温室气体盘查表!AM91</f>
        <v>16671.614413395077</v>
      </c>
      <c r="L88" s="241">
        <f t="shared" si="22"/>
        <v>1.073968433726538E-3</v>
      </c>
      <c r="M88" s="242">
        <f t="shared" si="21"/>
        <v>1.7899473895442301E-3</v>
      </c>
    </row>
    <row r="89" spans="1:14" ht="18" customHeight="1">
      <c r="A89" s="234">
        <v>87</v>
      </c>
      <c r="B89" s="235" t="str">
        <f>表1温室气体盘查表!C92</f>
        <v>汽运-副产品</v>
      </c>
      <c r="C89" s="235" t="str">
        <f>表1温室气体盘查表!D92</f>
        <v>-</v>
      </c>
      <c r="D89" s="243" t="s">
        <v>481</v>
      </c>
      <c r="E89" s="243" t="s">
        <v>476</v>
      </c>
      <c r="F89" s="243" t="s">
        <v>479</v>
      </c>
      <c r="G89" s="237">
        <f t="shared" si="17"/>
        <v>1</v>
      </c>
      <c r="H89" s="238">
        <f t="shared" si="18"/>
        <v>1</v>
      </c>
      <c r="I89" s="237">
        <f t="shared" si="19"/>
        <v>3</v>
      </c>
      <c r="J89" s="239">
        <f t="shared" si="20"/>
        <v>1.6666666666666667</v>
      </c>
      <c r="K89" s="240">
        <f>表1温室气体盘查表!AM92</f>
        <v>6539.0557153156715</v>
      </c>
      <c r="L89" s="241">
        <f t="shared" si="22"/>
        <v>4.2123931435132075E-4</v>
      </c>
      <c r="M89" s="242">
        <f t="shared" si="21"/>
        <v>7.0206552391886791E-4</v>
      </c>
    </row>
    <row r="90" spans="1:14" ht="18" customHeight="1">
      <c r="A90" s="234">
        <v>88</v>
      </c>
      <c r="B90" s="235" t="str">
        <f>表1温室气体盘查表!C93</f>
        <v>锻材加工</v>
      </c>
      <c r="C90" s="235" t="str">
        <f>表1温室气体盘查表!D93</f>
        <v>下游钢铁厂</v>
      </c>
      <c r="D90" s="243" t="s">
        <v>478</v>
      </c>
      <c r="E90" s="243" t="s">
        <v>481</v>
      </c>
      <c r="F90" s="243" t="s">
        <v>479</v>
      </c>
      <c r="G90" s="237">
        <f t="shared" si="17"/>
        <v>3</v>
      </c>
      <c r="H90" s="238">
        <f t="shared" si="18"/>
        <v>1</v>
      </c>
      <c r="I90" s="237">
        <f t="shared" si="19"/>
        <v>3</v>
      </c>
      <c r="J90" s="239">
        <f t="shared" si="20"/>
        <v>2.3333333333333335</v>
      </c>
      <c r="K90" s="240">
        <f>表1温室气体盘查表!AM93</f>
        <v>135333.26981830696</v>
      </c>
      <c r="L90" s="241">
        <f t="shared" si="22"/>
        <v>8.7180315123578777E-3</v>
      </c>
      <c r="M90" s="242">
        <f t="shared" si="21"/>
        <v>2.0342073528835051E-2</v>
      </c>
    </row>
    <row r="91" spans="1:14" ht="18" customHeight="1">
      <c r="A91" s="234">
        <v>89</v>
      </c>
      <c r="B91" s="235" t="str">
        <f>表1温室气体盘查表!C94</f>
        <v>棒材加工</v>
      </c>
      <c r="C91" s="235" t="str">
        <f>表1温室气体盘查表!D94</f>
        <v>下游钢铁厂</v>
      </c>
      <c r="D91" s="243" t="s">
        <v>478</v>
      </c>
      <c r="E91" s="243" t="s">
        <v>481</v>
      </c>
      <c r="F91" s="243" t="s">
        <v>479</v>
      </c>
      <c r="G91" s="237">
        <f t="shared" si="17"/>
        <v>3</v>
      </c>
      <c r="H91" s="238">
        <f t="shared" si="18"/>
        <v>1</v>
      </c>
      <c r="I91" s="237">
        <f t="shared" si="19"/>
        <v>3</v>
      </c>
      <c r="J91" s="239">
        <f t="shared" si="20"/>
        <v>2.3333333333333335</v>
      </c>
      <c r="K91" s="240">
        <f>表1温室气体盘查表!AM94</f>
        <v>2075519.7277605545</v>
      </c>
      <c r="L91" s="241">
        <f t="shared" si="22"/>
        <v>0.13370286859565161</v>
      </c>
      <c r="M91" s="242">
        <f t="shared" si="21"/>
        <v>0.31197336005652043</v>
      </c>
    </row>
    <row r="92" spans="1:14" ht="18" customHeight="1">
      <c r="A92" s="234">
        <v>90</v>
      </c>
      <c r="B92" s="235" t="str">
        <f>表1温室气体盘查表!C95</f>
        <v>钢管加工</v>
      </c>
      <c r="C92" s="235" t="str">
        <f>表1温室气体盘查表!D95</f>
        <v>下游钢铁厂</v>
      </c>
      <c r="D92" s="243" t="s">
        <v>478</v>
      </c>
      <c r="E92" s="243" t="s">
        <v>481</v>
      </c>
      <c r="F92" s="243" t="s">
        <v>479</v>
      </c>
      <c r="G92" s="237">
        <f t="shared" si="17"/>
        <v>3</v>
      </c>
      <c r="H92" s="238">
        <f t="shared" si="18"/>
        <v>1</v>
      </c>
      <c r="I92" s="237">
        <f t="shared" si="19"/>
        <v>3</v>
      </c>
      <c r="J92" s="239">
        <f t="shared" si="20"/>
        <v>2.3333333333333335</v>
      </c>
      <c r="K92" s="240">
        <f>表1温室气体盘查表!AM95</f>
        <v>61948.696404295377</v>
      </c>
      <c r="L92" s="241">
        <f t="shared" si="22"/>
        <v>3.9906719768702525E-3</v>
      </c>
      <c r="M92" s="242">
        <f t="shared" si="21"/>
        <v>9.3115679460305904E-3</v>
      </c>
    </row>
    <row r="93" spans="1:14" ht="18" customHeight="1">
      <c r="A93" s="234">
        <v>91</v>
      </c>
      <c r="B93" s="235" t="str">
        <f>表1温室气体盘查表!C96</f>
        <v>钢坯加工</v>
      </c>
      <c r="C93" s="235" t="str">
        <f>表1温室气体盘查表!D96</f>
        <v>下游钢铁厂</v>
      </c>
      <c r="D93" s="243" t="s">
        <v>478</v>
      </c>
      <c r="E93" s="243" t="s">
        <v>481</v>
      </c>
      <c r="F93" s="243" t="s">
        <v>479</v>
      </c>
      <c r="G93" s="237">
        <f t="shared" si="17"/>
        <v>3</v>
      </c>
      <c r="H93" s="238">
        <f t="shared" si="18"/>
        <v>1</v>
      </c>
      <c r="I93" s="237">
        <f t="shared" si="19"/>
        <v>3</v>
      </c>
      <c r="J93" s="239">
        <f t="shared" si="20"/>
        <v>2.3333333333333335</v>
      </c>
      <c r="K93" s="240">
        <f>表1温室气体盘查表!AM96</f>
        <v>176591.21304006039</v>
      </c>
      <c r="L93" s="241">
        <f t="shared" si="22"/>
        <v>1.1375826226290537E-2</v>
      </c>
      <c r="M93" s="242">
        <f t="shared" si="21"/>
        <v>2.6543594528011253E-2</v>
      </c>
    </row>
    <row r="94" spans="1:14" ht="18" customHeight="1">
      <c r="A94" s="234">
        <v>92</v>
      </c>
      <c r="B94" s="235" t="str">
        <f>表1温室气体盘查表!C97</f>
        <v>外售焦炉煤气燃烧</v>
      </c>
      <c r="C94" s="235" t="str">
        <f>表1温室气体盘查表!D97</f>
        <v>下游钢铁厂</v>
      </c>
      <c r="D94" s="243" t="s">
        <v>475</v>
      </c>
      <c r="E94" s="243" t="s">
        <v>476</v>
      </c>
      <c r="F94" s="243" t="s">
        <v>477</v>
      </c>
      <c r="G94" s="237">
        <f t="shared" ref="G94" si="27">IF(D94="自动连续量测",6,IF(D94="定期量测/抄表/铭牌",3,1))</f>
        <v>6</v>
      </c>
      <c r="H94" s="238">
        <f t="shared" ref="H94" si="28">IF(E94="量测/质量平衡排放因子",6,IF(E94="制程/设备排放因子",5,IF(E94="制造商提供的排放因子",4,IF(E94="区域排放因子",3,IF(E94="国家排放因子",2,1)))))</f>
        <v>1</v>
      </c>
      <c r="I94" s="237">
        <f t="shared" ref="I94" si="29">IF(F94="校准且合格",6,IF(F94="未校准",1,3))</f>
        <v>6</v>
      </c>
      <c r="J94" s="239">
        <f t="shared" ref="J94" si="30">AVERAGE(G94:I94)</f>
        <v>4.333333333333333</v>
      </c>
      <c r="K94" s="240">
        <f>表1温室气体盘查表!AM97</f>
        <v>6034.9101733989937</v>
      </c>
      <c r="L94" s="241">
        <f t="shared" ref="L94" si="31">K94/$K$96</f>
        <v>3.8876277161245765E-4</v>
      </c>
      <c r="M94" s="242">
        <f t="shared" ref="M94" si="32">J94*L94</f>
        <v>1.6846386769873163E-3</v>
      </c>
    </row>
    <row r="95" spans="1:14" ht="18" customHeight="1">
      <c r="A95" s="234">
        <v>93</v>
      </c>
      <c r="B95" s="235" t="str">
        <f>表1温室气体盘查表!C98</f>
        <v>产品报废</v>
      </c>
      <c r="C95" s="235" t="str">
        <f>表1温室气体盘查表!D98</f>
        <v>下游钢铁厂</v>
      </c>
      <c r="D95" s="243" t="s">
        <v>481</v>
      </c>
      <c r="E95" s="243" t="s">
        <v>476</v>
      </c>
      <c r="F95" s="243" t="s">
        <v>479</v>
      </c>
      <c r="G95" s="237">
        <f t="shared" si="17"/>
        <v>1</v>
      </c>
      <c r="H95" s="238">
        <f t="shared" si="18"/>
        <v>1</v>
      </c>
      <c r="I95" s="237">
        <f t="shared" si="19"/>
        <v>3</v>
      </c>
      <c r="J95" s="239">
        <f t="shared" si="20"/>
        <v>1.6666666666666667</v>
      </c>
      <c r="K95" s="240">
        <f>表1温室气体盘查表!AM98</f>
        <v>3589.1150200565844</v>
      </c>
      <c r="L95" s="241">
        <f>K95/$K$96</f>
        <v>2.3120713693195331E-4</v>
      </c>
      <c r="M95" s="242">
        <f t="shared" si="21"/>
        <v>3.8534522821992217E-4</v>
      </c>
    </row>
    <row r="96" spans="1:14">
      <c r="A96" s="244"/>
      <c r="B96" s="244"/>
      <c r="C96" s="244"/>
      <c r="D96" s="244"/>
      <c r="E96" s="244"/>
      <c r="F96" s="244"/>
      <c r="G96" s="229"/>
      <c r="H96" s="229"/>
      <c r="I96" s="229"/>
      <c r="J96" s="229"/>
      <c r="K96" s="245">
        <f>SUM(K3:K95)</f>
        <v>15523374.700638669</v>
      </c>
      <c r="L96" s="246" t="s">
        <v>482</v>
      </c>
      <c r="M96" s="247">
        <f>SUM(M3:M95)</f>
        <v>3.6975488089529081</v>
      </c>
      <c r="N96" t="s">
        <v>496</v>
      </c>
    </row>
    <row r="97" spans="1:14">
      <c r="A97" s="244"/>
      <c r="B97" s="244"/>
      <c r="C97" s="244"/>
      <c r="D97" s="244"/>
      <c r="E97" s="244"/>
      <c r="F97" s="244"/>
      <c r="G97" s="229"/>
      <c r="H97" s="229"/>
      <c r="I97" s="229"/>
      <c r="J97" s="229"/>
      <c r="K97" s="229"/>
      <c r="L97" s="248" t="s">
        <v>484</v>
      </c>
      <c r="M97" s="249" t="str">
        <f>IF(M96&lt;2,"差",IF(M96&lt;3,"一般",IF(M96&lt;4,"良",IF(M96&lt;5,"优","优+"))))</f>
        <v>良</v>
      </c>
      <c r="N97" t="s">
        <v>497</v>
      </c>
    </row>
    <row r="98" spans="1:14">
      <c r="A98" s="229"/>
      <c r="B98" s="229"/>
      <c r="C98" s="229"/>
      <c r="D98" s="229"/>
      <c r="E98" s="229"/>
      <c r="F98" s="229"/>
      <c r="G98" s="229"/>
      <c r="H98" s="229"/>
      <c r="I98" s="229"/>
      <c r="J98" s="250"/>
      <c r="K98" s="229"/>
      <c r="L98" s="229"/>
      <c r="M98" s="229"/>
    </row>
    <row r="99" spans="1:14">
      <c r="A99" s="229"/>
      <c r="B99" s="229"/>
      <c r="C99" s="229"/>
      <c r="D99" s="229"/>
      <c r="E99" s="229"/>
      <c r="F99" s="229"/>
      <c r="G99" s="251"/>
      <c r="H99" s="229"/>
      <c r="I99" s="229"/>
      <c r="J99" s="229"/>
      <c r="K99" s="229"/>
      <c r="L99" s="229"/>
      <c r="M99" s="229"/>
    </row>
    <row r="100" spans="1:14">
      <c r="A100" s="251"/>
      <c r="B100" s="229"/>
      <c r="C100" s="229"/>
      <c r="D100" s="229"/>
      <c r="E100" s="229"/>
      <c r="F100" s="229"/>
      <c r="G100" s="229"/>
      <c r="H100" s="229"/>
      <c r="I100" s="229"/>
      <c r="J100" s="250"/>
      <c r="K100" s="250"/>
      <c r="L100" s="229"/>
      <c r="M100" s="229"/>
    </row>
    <row r="101" spans="1:14">
      <c r="A101" s="229" t="s">
        <v>485</v>
      </c>
      <c r="B101" s="229"/>
      <c r="C101" s="229"/>
      <c r="D101" s="229"/>
      <c r="E101" s="229"/>
      <c r="F101" s="229"/>
      <c r="G101" s="229"/>
      <c r="H101" s="229"/>
      <c r="I101" s="229"/>
      <c r="J101" s="250"/>
      <c r="K101" s="250"/>
      <c r="L101" s="229"/>
      <c r="M101" s="229"/>
    </row>
    <row r="102" spans="1:14">
      <c r="A102" s="229" t="s">
        <v>485</v>
      </c>
      <c r="B102" s="229"/>
      <c r="C102" s="229"/>
      <c r="D102" s="229"/>
      <c r="E102" s="229"/>
      <c r="F102" s="229"/>
      <c r="G102" s="229"/>
      <c r="H102" s="229"/>
      <c r="I102" s="229"/>
      <c r="J102" s="250"/>
      <c r="K102" s="250"/>
      <c r="L102" s="229"/>
      <c r="M102" s="229"/>
    </row>
    <row r="103" spans="1:14">
      <c r="A103" s="229" t="s">
        <v>485</v>
      </c>
      <c r="B103" s="229"/>
      <c r="C103" s="229"/>
      <c r="D103" s="229"/>
      <c r="E103" s="229"/>
      <c r="F103" s="229"/>
      <c r="G103" s="229"/>
      <c r="H103" s="229"/>
      <c r="I103" s="229"/>
      <c r="J103" s="250"/>
      <c r="K103" s="250"/>
      <c r="L103" s="229"/>
      <c r="M103" s="229"/>
    </row>
    <row r="104" spans="1:14">
      <c r="A104" s="229" t="s">
        <v>485</v>
      </c>
      <c r="B104" s="229"/>
      <c r="C104" s="229"/>
      <c r="D104" s="229"/>
      <c r="E104" s="229"/>
      <c r="F104" s="229"/>
      <c r="G104" s="229"/>
      <c r="H104" s="229"/>
      <c r="I104" s="229"/>
      <c r="J104" s="250"/>
      <c r="K104" s="250"/>
      <c r="L104" s="229"/>
      <c r="M104" s="229"/>
    </row>
    <row r="105" spans="1:14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</row>
    <row r="106" spans="1:14">
      <c r="A106" s="229"/>
      <c r="G106" s="229"/>
      <c r="H106" s="229"/>
      <c r="I106" s="229"/>
      <c r="J106" s="229"/>
      <c r="K106" s="229"/>
      <c r="L106" s="229"/>
      <c r="M106" s="229"/>
    </row>
    <row r="107" spans="1:14">
      <c r="A107" s="252" t="s">
        <v>486</v>
      </c>
      <c r="B107" s="253" t="s">
        <v>487</v>
      </c>
      <c r="G107" s="229"/>
      <c r="H107" s="229"/>
      <c r="I107" s="229"/>
      <c r="J107" s="250"/>
      <c r="K107" s="229"/>
      <c r="L107" s="229"/>
      <c r="M107" s="229"/>
    </row>
    <row r="108" spans="1:14">
      <c r="A108" s="254" t="s">
        <v>488</v>
      </c>
      <c r="B108" s="255" t="s">
        <v>489</v>
      </c>
      <c r="G108" s="229"/>
      <c r="H108" s="229"/>
      <c r="I108" s="229"/>
      <c r="J108" s="250"/>
      <c r="K108" s="229"/>
      <c r="L108" s="229"/>
      <c r="M108" s="229"/>
    </row>
    <row r="109" spans="1:14">
      <c r="A109" s="254" t="s">
        <v>490</v>
      </c>
      <c r="B109" s="255" t="s">
        <v>491</v>
      </c>
      <c r="G109" s="229"/>
      <c r="H109" s="229"/>
      <c r="I109" s="229"/>
      <c r="J109" s="250"/>
      <c r="K109" s="229"/>
      <c r="L109" s="229"/>
      <c r="M109" s="229"/>
    </row>
    <row r="110" spans="1:14">
      <c r="A110" s="254" t="s">
        <v>492</v>
      </c>
      <c r="B110" s="255" t="s">
        <v>493</v>
      </c>
      <c r="G110" s="229"/>
      <c r="H110" s="229"/>
      <c r="I110" s="229"/>
      <c r="J110" s="250"/>
      <c r="K110" s="229"/>
      <c r="L110" s="229"/>
      <c r="M110" s="229"/>
    </row>
    <row r="111" spans="1:14">
      <c r="A111" s="256" t="s">
        <v>494</v>
      </c>
      <c r="B111" s="257" t="s">
        <v>495</v>
      </c>
      <c r="C111" s="229"/>
      <c r="D111" s="229"/>
      <c r="G111" s="229"/>
      <c r="H111" s="229"/>
      <c r="I111" s="229"/>
      <c r="J111" s="250"/>
      <c r="K111" s="229"/>
      <c r="L111" s="229"/>
      <c r="M111" s="229"/>
    </row>
    <row r="112" spans="1:14">
      <c r="A112" s="229"/>
      <c r="B112" s="229"/>
      <c r="C112" s="229"/>
      <c r="D112" s="229"/>
      <c r="G112" s="229"/>
      <c r="H112" s="229"/>
      <c r="I112" s="229"/>
      <c r="J112" s="250"/>
      <c r="K112" s="229"/>
      <c r="L112" s="229"/>
      <c r="M112" s="229"/>
    </row>
    <row r="113" spans="1:13">
      <c r="A113" s="229"/>
      <c r="B113" s="229"/>
      <c r="C113" s="229"/>
      <c r="D113" s="229"/>
      <c r="G113" s="229"/>
      <c r="H113" s="229"/>
      <c r="I113" s="229"/>
      <c r="J113" s="250"/>
      <c r="K113" s="229"/>
      <c r="L113" s="229"/>
      <c r="M113" s="229"/>
    </row>
    <row r="114" spans="1:13">
      <c r="A114" s="229"/>
      <c r="B114" s="229"/>
      <c r="C114" s="229"/>
      <c r="D114" s="229"/>
      <c r="E114" s="229"/>
      <c r="F114" s="229"/>
      <c r="G114" s="229"/>
      <c r="H114" s="229"/>
      <c r="I114" s="229"/>
      <c r="J114" s="250"/>
      <c r="K114" s="229"/>
      <c r="L114" s="229"/>
      <c r="M114" s="229"/>
    </row>
  </sheetData>
  <mergeCells count="1">
    <mergeCell ref="A1:M1"/>
  </mergeCells>
  <phoneticPr fontId="89" type="noConversion"/>
  <dataValidations count="6">
    <dataValidation type="list" allowBlank="1" showInputMessage="1" showErrorMessage="1" sqref="E15 E18 E23 E94 E30:E40 E3:E12 E71:E89 E42:E69" xr:uid="{00000000-0002-0000-0700-000000000000}">
      <formula1>"量测/质量平衡排放因子,制程/设备排放因子,制造商提供的排放因子,区域排放因子,国家排放因子,国际排放因子"</formula1>
    </dataValidation>
    <dataValidation type="list" allowBlank="1" showInputMessage="1" showErrorMessage="1" sqref="D16 D95 D12:D13 D53:D61 D71:D74 D77:D89 E90:E93" xr:uid="{00000000-0002-0000-0700-000001000000}">
      <formula1>"自动连续量测,定期量测/抄表/铭牌,自行推估"</formula1>
    </dataValidation>
    <dataValidation type="list" allowBlank="1" showInputMessage="1" showErrorMessage="1" sqref="E41 E24:E29 E95 E19:E22 E70" xr:uid="{00000000-0002-0000-0700-000002000000}">
      <formula1>"量测/质量平衡排放因子,制程/设备排放因子,制造商提供的排放因子,区域排放因子,国家排放因子"</formula1>
    </dataValidation>
    <dataValidation type="list" allowBlank="1" showInputMessage="1" showErrorMessage="1" sqref="D14:D15 D62:D70 D90:D94 D75:D76 D3:D11 D17:D52" xr:uid="{00000000-0002-0000-0700-000003000000}">
      <formula1>"自动连续量测,定期量测/抄表/铭牌"</formula1>
    </dataValidation>
    <dataValidation type="list" allowBlank="1" showInputMessage="1" showErrorMessage="1" sqref="E13:E14 E16:E17" xr:uid="{00000000-0002-0000-0700-000004000000}">
      <formula1>"量测/质量平衡排放因子,制程/设备排放因子,制造商提供的排放因子,区域排放因子,国家排放因子,国际排放因子,自行校准"</formula1>
    </dataValidation>
    <dataValidation type="list" allowBlank="1" showInputMessage="1" showErrorMessage="1" sqref="F66:F95 F3:F64" xr:uid="{00000000-0002-0000-0700-000005000000}">
      <formula1>"校准且合格,校准但不合格/未校准但数据可查证"</formula1>
    </dataValidation>
  </dataValidations>
  <pageMargins left="0.511811023622047" right="0.511811023622047" top="0.74803149606299202" bottom="0.74803149606299202" header="0.31496062992126" footer="0.31496062992126"/>
  <pageSetup paperSize="9" scale="60" fitToHeight="0" orientation="landscape"/>
  <headerFooter alignWithMargins="0"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I48"/>
  <sheetViews>
    <sheetView showGridLines="0" zoomScale="115" zoomScaleNormal="115" workbookViewId="0">
      <pane xSplit="2" ySplit="2" topLeftCell="C3" activePane="bottomRight" state="frozenSplit"/>
      <selection pane="topRight"/>
      <selection pane="bottomLeft"/>
      <selection pane="bottomRight" activeCell="E44" sqref="E44"/>
    </sheetView>
  </sheetViews>
  <sheetFormatPr defaultColWidth="8.75" defaultRowHeight="12.75"/>
  <cols>
    <col min="1" max="1" width="1.25" style="170" customWidth="1"/>
    <col min="2" max="2" width="12.625" style="170" customWidth="1"/>
    <col min="3" max="3" width="58.5" style="170" customWidth="1"/>
    <col min="4" max="4" width="30.375" style="170" customWidth="1"/>
    <col min="5" max="5" width="7.625" style="171" customWidth="1"/>
    <col min="6" max="7" width="13.375" style="171" customWidth="1"/>
    <col min="8" max="8" width="29.25" style="171" customWidth="1"/>
    <col min="9" max="9" width="24.75" style="170" customWidth="1"/>
    <col min="10" max="32" width="9" style="170"/>
    <col min="33" max="16384" width="8.75" style="170"/>
  </cols>
  <sheetData>
    <row r="1" spans="2:9" ht="6" customHeight="1"/>
    <row r="2" spans="2:9" s="154" customFormat="1" ht="50.25" customHeight="1">
      <c r="B2" s="172" t="s">
        <v>498</v>
      </c>
      <c r="C2" s="173" t="s">
        <v>499</v>
      </c>
      <c r="D2" s="173" t="s">
        <v>500</v>
      </c>
      <c r="E2" s="174" t="s">
        <v>234</v>
      </c>
      <c r="F2" s="174" t="s">
        <v>501</v>
      </c>
      <c r="G2" s="174" t="s">
        <v>502</v>
      </c>
      <c r="H2" s="175" t="s">
        <v>503</v>
      </c>
      <c r="I2" s="176" t="s">
        <v>24</v>
      </c>
    </row>
    <row r="3" spans="2:9">
      <c r="B3" s="177" t="s">
        <v>224</v>
      </c>
      <c r="C3" s="178" t="s">
        <v>504</v>
      </c>
      <c r="D3" s="179"/>
      <c r="E3" s="180">
        <v>1</v>
      </c>
      <c r="F3" s="181"/>
      <c r="G3" s="182"/>
      <c r="H3" s="183" t="s">
        <v>505</v>
      </c>
      <c r="I3" s="184"/>
    </row>
    <row r="4" spans="2:9">
      <c r="B4" s="177" t="s">
        <v>225</v>
      </c>
      <c r="C4" s="178" t="s">
        <v>506</v>
      </c>
      <c r="D4" s="179"/>
      <c r="E4" s="185">
        <v>27.9</v>
      </c>
      <c r="F4" s="186"/>
      <c r="G4" s="187"/>
      <c r="H4" s="183" t="str">
        <f>H3</f>
        <v>2021年IPCC第六次评估报告AR6</v>
      </c>
      <c r="I4" s="184"/>
    </row>
    <row r="5" spans="2:9">
      <c r="B5" s="177" t="s">
        <v>226</v>
      </c>
      <c r="C5" s="178" t="s">
        <v>507</v>
      </c>
      <c r="D5" s="179"/>
      <c r="E5" s="188">
        <v>273</v>
      </c>
      <c r="F5" s="186"/>
      <c r="G5" s="187"/>
      <c r="H5" s="183" t="str">
        <f>H3</f>
        <v>2021年IPCC第六次评估报告AR6</v>
      </c>
      <c r="I5" s="184"/>
    </row>
    <row r="6" spans="2:9">
      <c r="B6" s="189" t="s">
        <v>508</v>
      </c>
      <c r="C6" s="190" t="s">
        <v>509</v>
      </c>
      <c r="D6" s="191"/>
      <c r="E6" s="192"/>
      <c r="F6" s="193">
        <v>1960</v>
      </c>
      <c r="G6" s="194"/>
      <c r="H6" s="195" t="str">
        <f t="shared" ref="H6:H46" si="0">H$3</f>
        <v>2021年IPCC第六次评估报告AR6</v>
      </c>
      <c r="I6" s="196"/>
    </row>
    <row r="7" spans="2:9">
      <c r="B7" s="189" t="s">
        <v>510</v>
      </c>
      <c r="C7" s="190" t="s">
        <v>511</v>
      </c>
      <c r="D7" s="191"/>
      <c r="E7" s="192"/>
      <c r="F7" s="193">
        <v>14600</v>
      </c>
      <c r="G7" s="194"/>
      <c r="H7" s="195" t="str">
        <f t="shared" si="0"/>
        <v>2021年IPCC第六次评估报告AR6</v>
      </c>
      <c r="I7" s="196"/>
    </row>
    <row r="8" spans="2:9">
      <c r="B8" s="189" t="s">
        <v>277</v>
      </c>
      <c r="C8" s="190" t="s">
        <v>512</v>
      </c>
      <c r="D8" s="191"/>
      <c r="E8" s="192"/>
      <c r="F8" s="193">
        <v>771</v>
      </c>
      <c r="G8" s="194"/>
      <c r="H8" s="195" t="str">
        <f t="shared" si="0"/>
        <v>2021年IPCC第六次评估报告AR6</v>
      </c>
      <c r="I8" s="196"/>
    </row>
    <row r="9" spans="2:9">
      <c r="B9" s="189" t="s">
        <v>513</v>
      </c>
      <c r="C9" s="197" t="s">
        <v>514</v>
      </c>
      <c r="D9" s="191"/>
      <c r="E9" s="192"/>
      <c r="F9" s="193">
        <v>135</v>
      </c>
      <c r="G9" s="194"/>
      <c r="H9" s="195" t="str">
        <f t="shared" si="0"/>
        <v>2021年IPCC第六次评估报告AR6</v>
      </c>
      <c r="I9" s="196"/>
    </row>
    <row r="10" spans="2:9">
      <c r="B10" s="189" t="s">
        <v>515</v>
      </c>
      <c r="C10" s="190" t="s">
        <v>516</v>
      </c>
      <c r="D10" s="191"/>
      <c r="E10" s="192"/>
      <c r="F10" s="193">
        <v>3740</v>
      </c>
      <c r="G10" s="194"/>
      <c r="H10" s="195" t="str">
        <f t="shared" si="0"/>
        <v>2021年IPCC第六次评估报告AR6</v>
      </c>
      <c r="I10" s="196"/>
    </row>
    <row r="11" spans="2:9">
      <c r="B11" s="189" t="s">
        <v>517</v>
      </c>
      <c r="C11" s="190" t="s">
        <v>518</v>
      </c>
      <c r="D11" s="191"/>
      <c r="E11" s="192"/>
      <c r="F11" s="193">
        <v>1260</v>
      </c>
      <c r="G11" s="194"/>
      <c r="H11" s="195" t="str">
        <f t="shared" si="0"/>
        <v>2021年IPCC第六次评估报告AR6</v>
      </c>
      <c r="I11" s="196"/>
    </row>
    <row r="12" spans="2:9">
      <c r="B12" s="189" t="s">
        <v>519</v>
      </c>
      <c r="C12" s="190" t="s">
        <v>520</v>
      </c>
      <c r="D12" s="191"/>
      <c r="E12" s="192"/>
      <c r="F12" s="193">
        <v>1530</v>
      </c>
      <c r="G12" s="194"/>
      <c r="H12" s="195" t="str">
        <f t="shared" si="0"/>
        <v>2021年IPCC第六次评估报告AR6</v>
      </c>
      <c r="I12" s="196"/>
    </row>
    <row r="13" spans="2:9">
      <c r="B13" s="189" t="s">
        <v>521</v>
      </c>
      <c r="C13" s="190" t="s">
        <v>522</v>
      </c>
      <c r="D13" s="191"/>
      <c r="E13" s="192"/>
      <c r="F13" s="193">
        <v>364</v>
      </c>
      <c r="G13" s="194"/>
      <c r="H13" s="195" t="str">
        <f t="shared" si="0"/>
        <v>2021年IPCC第六次评估报告AR6</v>
      </c>
      <c r="I13" s="196"/>
    </row>
    <row r="14" spans="2:9">
      <c r="B14" s="189" t="s">
        <v>523</v>
      </c>
      <c r="C14" s="190" t="s">
        <v>524</v>
      </c>
      <c r="D14" s="191"/>
      <c r="E14" s="192"/>
      <c r="F14" s="193">
        <v>5810</v>
      </c>
      <c r="G14" s="194"/>
      <c r="H14" s="195" t="str">
        <f t="shared" si="0"/>
        <v>2021年IPCC第六次评估报告AR6</v>
      </c>
      <c r="I14" s="196"/>
    </row>
    <row r="15" spans="2:9">
      <c r="B15" s="189" t="s">
        <v>525</v>
      </c>
      <c r="C15" s="190" t="s">
        <v>526</v>
      </c>
      <c r="D15" s="191"/>
      <c r="E15" s="192"/>
      <c r="F15" s="198">
        <v>21.5</v>
      </c>
      <c r="G15" s="194"/>
      <c r="H15" s="195" t="str">
        <f t="shared" si="0"/>
        <v>2021年IPCC第六次评估报告AR6</v>
      </c>
      <c r="I15" s="196"/>
    </row>
    <row r="16" spans="2:9">
      <c r="B16" s="189" t="s">
        <v>527</v>
      </c>
      <c r="C16" s="190" t="s">
        <v>528</v>
      </c>
      <c r="D16" s="191"/>
      <c r="E16" s="192"/>
      <c r="F16" s="193">
        <v>164</v>
      </c>
      <c r="G16" s="194"/>
      <c r="H16" s="195" t="str">
        <f t="shared" si="0"/>
        <v>2021年IPCC第六次评估报告AR6</v>
      </c>
      <c r="I16" s="196"/>
    </row>
    <row r="17" spans="2:9">
      <c r="B17" s="189" t="s">
        <v>529</v>
      </c>
      <c r="C17" s="190" t="s">
        <v>530</v>
      </c>
      <c r="D17" s="191"/>
      <c r="E17" s="192"/>
      <c r="F17" s="199">
        <v>4.84</v>
      </c>
      <c r="G17" s="194"/>
      <c r="H17" s="195" t="str">
        <f t="shared" si="0"/>
        <v>2021年IPCC第六次评估报告AR6</v>
      </c>
      <c r="I17" s="196"/>
    </row>
    <row r="18" spans="2:9">
      <c r="B18" s="189" t="s">
        <v>531</v>
      </c>
      <c r="C18" s="190" t="s">
        <v>532</v>
      </c>
      <c r="D18" s="191"/>
      <c r="E18" s="192"/>
      <c r="F18" s="200">
        <v>3600</v>
      </c>
      <c r="G18" s="194"/>
      <c r="H18" s="195" t="str">
        <f t="shared" si="0"/>
        <v>2021年IPCC第六次评估报告AR6</v>
      </c>
      <c r="I18" s="196"/>
    </row>
    <row r="19" spans="2:9">
      <c r="B19" s="189" t="s">
        <v>533</v>
      </c>
      <c r="C19" s="190" t="s">
        <v>534</v>
      </c>
      <c r="D19" s="191"/>
      <c r="E19" s="192"/>
      <c r="F19" s="193">
        <v>1350</v>
      </c>
      <c r="G19" s="194"/>
      <c r="H19" s="195" t="str">
        <f t="shared" si="0"/>
        <v>2021年IPCC第六次评估报告AR6</v>
      </c>
      <c r="I19" s="196"/>
    </row>
    <row r="20" spans="2:9">
      <c r="B20" s="189" t="s">
        <v>535</v>
      </c>
      <c r="C20" s="190" t="s">
        <v>536</v>
      </c>
      <c r="D20" s="191"/>
      <c r="E20" s="192"/>
      <c r="F20" s="193">
        <v>1500</v>
      </c>
      <c r="G20" s="194"/>
      <c r="H20" s="195" t="str">
        <f t="shared" si="0"/>
        <v>2021年IPCC第六次评估报告AR6</v>
      </c>
      <c r="I20" s="196"/>
    </row>
    <row r="21" spans="2:9">
      <c r="B21" s="189" t="s">
        <v>537</v>
      </c>
      <c r="C21" s="190" t="s">
        <v>538</v>
      </c>
      <c r="D21" s="191"/>
      <c r="E21" s="192"/>
      <c r="F21" s="193">
        <v>8690</v>
      </c>
      <c r="G21" s="194"/>
      <c r="H21" s="195" t="str">
        <f t="shared" si="0"/>
        <v>2021年IPCC第六次评估报告AR6</v>
      </c>
      <c r="I21" s="196"/>
    </row>
    <row r="22" spans="2:9">
      <c r="B22" s="189" t="s">
        <v>539</v>
      </c>
      <c r="C22" s="190" t="s">
        <v>540</v>
      </c>
      <c r="D22" s="191"/>
      <c r="E22" s="192"/>
      <c r="F22" s="193">
        <v>787</v>
      </c>
      <c r="G22" s="194"/>
      <c r="H22" s="195" t="str">
        <f t="shared" si="0"/>
        <v>2021年IPCC第六次评估报告AR6</v>
      </c>
      <c r="I22" s="196"/>
    </row>
    <row r="23" spans="2:9">
      <c r="B23" s="189" t="s">
        <v>541</v>
      </c>
      <c r="C23" s="190" t="s">
        <v>542</v>
      </c>
      <c r="D23" s="191"/>
      <c r="E23" s="192"/>
      <c r="F23" s="193">
        <v>962</v>
      </c>
      <c r="G23" s="194"/>
      <c r="H23" s="195" t="str">
        <f t="shared" si="0"/>
        <v>2021年IPCC第六次评估报告AR6</v>
      </c>
      <c r="I23" s="196"/>
    </row>
    <row r="24" spans="2:9">
      <c r="B24" s="189" t="s">
        <v>543</v>
      </c>
      <c r="C24" s="190" t="s">
        <v>544</v>
      </c>
      <c r="D24" s="191"/>
      <c r="E24" s="192"/>
      <c r="F24" s="193">
        <v>914</v>
      </c>
      <c r="G24" s="194"/>
      <c r="H24" s="195" t="str">
        <f t="shared" si="0"/>
        <v>2021年IPCC第六次评估报告AR6</v>
      </c>
      <c r="I24" s="196"/>
    </row>
    <row r="25" spans="2:9">
      <c r="B25" s="189" t="s">
        <v>545</v>
      </c>
      <c r="C25" s="190" t="s">
        <v>546</v>
      </c>
      <c r="D25" s="191"/>
      <c r="E25" s="192"/>
      <c r="F25" s="193">
        <v>1600</v>
      </c>
      <c r="G25" s="194"/>
      <c r="H25" s="195" t="str">
        <f t="shared" si="0"/>
        <v>2021年IPCC第六次评估报告AR6</v>
      </c>
      <c r="I25" s="196"/>
    </row>
    <row r="26" spans="2:9">
      <c r="B26" s="177" t="s">
        <v>547</v>
      </c>
      <c r="C26" s="201"/>
      <c r="D26" s="179" t="s">
        <v>548</v>
      </c>
      <c r="E26" s="202"/>
      <c r="F26" s="203">
        <f>F16*13%</f>
        <v>21.32</v>
      </c>
      <c r="G26" s="187"/>
      <c r="H26" s="183" t="str">
        <f t="shared" si="0"/>
        <v>2021年IPCC第六次评估报告AR6</v>
      </c>
      <c r="I26" s="204" t="s">
        <v>549</v>
      </c>
    </row>
    <row r="27" spans="2:9">
      <c r="B27" s="177" t="s">
        <v>550</v>
      </c>
      <c r="C27" s="201"/>
      <c r="D27" s="179" t="s">
        <v>551</v>
      </c>
      <c r="E27" s="202"/>
      <c r="F27" s="203">
        <f>F16*11%</f>
        <v>18.04</v>
      </c>
      <c r="G27" s="187"/>
      <c r="H27" s="183" t="str">
        <f t="shared" si="0"/>
        <v>2021年IPCC第六次评估报告AR6</v>
      </c>
      <c r="I27" s="204" t="s">
        <v>549</v>
      </c>
    </row>
    <row r="28" spans="2:9">
      <c r="B28" s="177" t="s">
        <v>552</v>
      </c>
      <c r="C28" s="201"/>
      <c r="D28" s="179" t="s">
        <v>553</v>
      </c>
      <c r="E28" s="202"/>
      <c r="F28" s="205">
        <f>F10*44%+F14*52%+F12*4%</f>
        <v>4728</v>
      </c>
      <c r="G28" s="187"/>
      <c r="H28" s="183" t="str">
        <f t="shared" si="0"/>
        <v>2021年IPCC第六次评估报告AR6</v>
      </c>
      <c r="I28" s="184"/>
    </row>
    <row r="29" spans="2:9">
      <c r="B29" s="177" t="s">
        <v>554</v>
      </c>
      <c r="C29" s="201"/>
      <c r="D29" s="179" t="s">
        <v>555</v>
      </c>
      <c r="E29" s="202"/>
      <c r="F29" s="206">
        <f>F8*20%+F10*40%+F12*40%</f>
        <v>2262.1999999999998</v>
      </c>
      <c r="G29" s="187"/>
      <c r="H29" s="183" t="str">
        <f t="shared" si="0"/>
        <v>2021年IPCC第六次评估报告AR6</v>
      </c>
      <c r="I29" s="184"/>
    </row>
    <row r="30" spans="2:9">
      <c r="B30" s="177" t="s">
        <v>556</v>
      </c>
      <c r="C30" s="201"/>
      <c r="D30" s="179" t="s">
        <v>557</v>
      </c>
      <c r="E30" s="202"/>
      <c r="F30" s="206">
        <f>F8*10%+F10*70%+F12*20%</f>
        <v>3001.1</v>
      </c>
      <c r="G30" s="187"/>
      <c r="H30" s="183" t="str">
        <f t="shared" si="0"/>
        <v>2021年IPCC第六次评估报告AR6</v>
      </c>
      <c r="I30" s="184"/>
    </row>
    <row r="31" spans="2:9">
      <c r="B31" s="177" t="s">
        <v>558</v>
      </c>
      <c r="C31" s="201"/>
      <c r="D31" s="179" t="s">
        <v>559</v>
      </c>
      <c r="E31" s="202"/>
      <c r="F31" s="206">
        <f>F8*23%+F10*25%+F12*52%</f>
        <v>1907.93</v>
      </c>
      <c r="G31" s="187"/>
      <c r="H31" s="183" t="str">
        <f t="shared" si="0"/>
        <v>2021年IPCC第六次评估报告AR6</v>
      </c>
      <c r="I31" s="184"/>
    </row>
    <row r="32" spans="2:9">
      <c r="B32" s="177" t="s">
        <v>560</v>
      </c>
      <c r="C32" s="201"/>
      <c r="D32" s="179" t="s">
        <v>561</v>
      </c>
      <c r="E32" s="202"/>
      <c r="F32" s="206">
        <f>F10*7%+F14*46%</f>
        <v>2934.4</v>
      </c>
      <c r="G32" s="187"/>
      <c r="H32" s="183" t="str">
        <f t="shared" si="0"/>
        <v>2021年IPCC第六次评估报告AR6</v>
      </c>
      <c r="I32" s="204" t="s">
        <v>562</v>
      </c>
    </row>
    <row r="33" spans="2:9">
      <c r="B33" s="177" t="s">
        <v>563</v>
      </c>
      <c r="C33" s="201"/>
      <c r="D33" s="179" t="s">
        <v>564</v>
      </c>
      <c r="E33" s="202"/>
      <c r="F33" s="206">
        <f>F8*50%+F10*50%</f>
        <v>2255.5</v>
      </c>
      <c r="G33" s="187"/>
      <c r="H33" s="183" t="str">
        <f t="shared" si="0"/>
        <v>2021年IPCC第六次评估报告AR6</v>
      </c>
      <c r="I33" s="184"/>
    </row>
    <row r="34" spans="2:9">
      <c r="B34" s="177" t="s">
        <v>565</v>
      </c>
      <c r="C34" s="201"/>
      <c r="D34" s="179" t="s">
        <v>566</v>
      </c>
      <c r="E34" s="188"/>
      <c r="F34" s="207">
        <f>G42*9%+F12*88%+0</f>
        <v>2182.5</v>
      </c>
      <c r="G34" s="187"/>
      <c r="H34" s="183" t="str">
        <f t="shared" si="0"/>
        <v>2021年IPCC第六次评估报告AR6</v>
      </c>
      <c r="I34" s="184"/>
    </row>
    <row r="35" spans="2:9">
      <c r="B35" s="177" t="s">
        <v>567</v>
      </c>
      <c r="C35" s="201"/>
      <c r="D35" s="179" t="s">
        <v>568</v>
      </c>
      <c r="E35" s="188"/>
      <c r="F35" s="207">
        <f>F10*46.6%+F12*50%+0</f>
        <v>2507.84</v>
      </c>
      <c r="G35" s="187"/>
      <c r="H35" s="183" t="str">
        <f t="shared" si="0"/>
        <v>2021年IPCC第六次评估报告AR6</v>
      </c>
      <c r="I35" s="184"/>
    </row>
    <row r="36" spans="2:9">
      <c r="B36" s="177" t="s">
        <v>569</v>
      </c>
      <c r="C36" s="201"/>
      <c r="D36" s="179" t="s">
        <v>570</v>
      </c>
      <c r="E36" s="202"/>
      <c r="F36" s="203">
        <f>F7*40.1%</f>
        <v>5854.6</v>
      </c>
      <c r="G36" s="187"/>
      <c r="H36" s="183" t="str">
        <f t="shared" si="0"/>
        <v>2021年IPCC第六次评估报告AR6</v>
      </c>
      <c r="I36" s="204" t="s">
        <v>571</v>
      </c>
    </row>
    <row r="37" spans="2:9">
      <c r="B37" s="177" t="s">
        <v>572</v>
      </c>
      <c r="C37" s="201"/>
      <c r="D37" s="179" t="s">
        <v>573</v>
      </c>
      <c r="E37" s="188"/>
      <c r="F37" s="208">
        <f>F10*50%+F14*50%</f>
        <v>4775</v>
      </c>
      <c r="G37" s="187"/>
      <c r="H37" s="183" t="str">
        <f t="shared" si="0"/>
        <v>2021年IPCC第六次评估报告AR6</v>
      </c>
      <c r="I37" s="184"/>
    </row>
    <row r="38" spans="2:9">
      <c r="B38" s="177" t="s">
        <v>574</v>
      </c>
      <c r="C38" s="201"/>
      <c r="D38" s="179" t="s">
        <v>575</v>
      </c>
      <c r="E38" s="209"/>
      <c r="F38" s="208">
        <f>F7*39%+G40*61%</f>
        <v>13258</v>
      </c>
      <c r="G38" s="210"/>
      <c r="H38" s="183" t="str">
        <f t="shared" si="0"/>
        <v>2021年IPCC第六次评估报告AR6</v>
      </c>
      <c r="I38" s="184"/>
    </row>
    <row r="39" spans="2:9">
      <c r="B39" s="177" t="s">
        <v>576</v>
      </c>
      <c r="C39" s="201"/>
      <c r="D39" s="179" t="s">
        <v>577</v>
      </c>
      <c r="E39" s="209"/>
      <c r="F39" s="205">
        <f>F7*46%+G40*54%</f>
        <v>13412</v>
      </c>
      <c r="G39" s="210"/>
      <c r="H39" s="183" t="str">
        <f t="shared" si="0"/>
        <v>2021年IPCC第六次评估报告AR6</v>
      </c>
      <c r="I39" s="184"/>
    </row>
    <row r="40" spans="2:9">
      <c r="B40" s="189" t="s">
        <v>578</v>
      </c>
      <c r="C40" s="190" t="s">
        <v>579</v>
      </c>
      <c r="D40" s="191"/>
      <c r="E40" s="192"/>
      <c r="F40" s="211"/>
      <c r="G40" s="194">
        <v>12400</v>
      </c>
      <c r="H40" s="212" t="str">
        <f t="shared" si="0"/>
        <v>2021年IPCC第六次评估报告AR6</v>
      </c>
      <c r="I40" s="196"/>
    </row>
    <row r="41" spans="2:9">
      <c r="B41" s="189" t="s">
        <v>580</v>
      </c>
      <c r="C41" s="190" t="s">
        <v>581</v>
      </c>
      <c r="D41" s="191"/>
      <c r="E41" s="192"/>
      <c r="F41" s="211"/>
      <c r="G41" s="194">
        <v>7380</v>
      </c>
      <c r="H41" s="212" t="str">
        <f t="shared" si="0"/>
        <v>2021年IPCC第六次评估报告AR6</v>
      </c>
      <c r="I41" s="196"/>
    </row>
    <row r="42" spans="2:9">
      <c r="B42" s="189" t="s">
        <v>582</v>
      </c>
      <c r="C42" s="190" t="s">
        <v>583</v>
      </c>
      <c r="D42" s="191"/>
      <c r="E42" s="192"/>
      <c r="F42" s="211"/>
      <c r="G42" s="194">
        <v>9290</v>
      </c>
      <c r="H42" s="212" t="str">
        <f t="shared" si="0"/>
        <v>2021年IPCC第六次评估报告AR6</v>
      </c>
      <c r="I42" s="196"/>
    </row>
    <row r="43" spans="2:9">
      <c r="B43" s="189" t="s">
        <v>584</v>
      </c>
      <c r="C43" s="190" t="s">
        <v>585</v>
      </c>
      <c r="D43" s="191"/>
      <c r="E43" s="192"/>
      <c r="F43" s="211"/>
      <c r="G43" s="194">
        <v>10200</v>
      </c>
      <c r="H43" s="212" t="str">
        <f t="shared" si="0"/>
        <v>2021年IPCC第六次评估报告AR6</v>
      </c>
      <c r="I43" s="196"/>
    </row>
    <row r="44" spans="2:9">
      <c r="B44" s="189" t="s">
        <v>586</v>
      </c>
      <c r="C44" s="190" t="s">
        <v>587</v>
      </c>
      <c r="D44" s="191"/>
      <c r="E44" s="192"/>
      <c r="F44" s="211"/>
      <c r="G44" s="194">
        <v>10000</v>
      </c>
      <c r="H44" s="212" t="str">
        <f t="shared" si="0"/>
        <v>2021年IPCC第六次评估报告AR6</v>
      </c>
      <c r="I44" s="196"/>
    </row>
    <row r="45" spans="2:9">
      <c r="B45" s="189" t="s">
        <v>588</v>
      </c>
      <c r="C45" s="190" t="s">
        <v>589</v>
      </c>
      <c r="D45" s="191"/>
      <c r="E45" s="192"/>
      <c r="F45" s="211"/>
      <c r="G45" s="194">
        <v>9220</v>
      </c>
      <c r="H45" s="212" t="str">
        <f t="shared" si="0"/>
        <v>2021年IPCC第六次评估报告AR6</v>
      </c>
      <c r="I45" s="196"/>
    </row>
    <row r="46" spans="2:9">
      <c r="B46" s="189" t="s">
        <v>590</v>
      </c>
      <c r="C46" s="190" t="s">
        <v>591</v>
      </c>
      <c r="D46" s="191"/>
      <c r="E46" s="192"/>
      <c r="F46" s="211"/>
      <c r="G46" s="194">
        <v>8620</v>
      </c>
      <c r="H46" s="212" t="str">
        <f t="shared" si="0"/>
        <v>2021年IPCC第六次评估报告AR6</v>
      </c>
      <c r="I46" s="196"/>
    </row>
    <row r="47" spans="2:9">
      <c r="B47" s="213" t="s">
        <v>228</v>
      </c>
      <c r="C47" s="214" t="s">
        <v>592</v>
      </c>
      <c r="D47" s="215"/>
      <c r="E47" s="216">
        <v>17400</v>
      </c>
      <c r="F47" s="217"/>
      <c r="G47" s="218"/>
      <c r="H47" s="219" t="str">
        <f>H3</f>
        <v>2021年IPCC第六次评估报告AR6</v>
      </c>
      <c r="I47" s="220"/>
    </row>
    <row r="48" spans="2:9">
      <c r="B48" s="221" t="s">
        <v>227</v>
      </c>
      <c r="C48" s="222" t="s">
        <v>593</v>
      </c>
      <c r="D48" s="223"/>
      <c r="E48" s="224">
        <v>24300</v>
      </c>
      <c r="F48" s="225"/>
      <c r="G48" s="226"/>
      <c r="H48" s="227" t="str">
        <f>H3</f>
        <v>2021年IPCC第六次评估报告AR6</v>
      </c>
      <c r="I48" s="228"/>
    </row>
  </sheetData>
  <phoneticPr fontId="89" type="noConversion"/>
  <pageMargins left="0.7" right="0.7" top="0.75" bottom="0.75" header="0.5" footer="0.5"/>
  <pageSetup paperSize="9" scale="65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K140"/>
  <sheetViews>
    <sheetView showGridLines="0" topLeftCell="A46" zoomScaleNormal="100" workbookViewId="0">
      <selection activeCell="F64" sqref="F64"/>
    </sheetView>
  </sheetViews>
  <sheetFormatPr defaultColWidth="8.75" defaultRowHeight="12.75"/>
  <cols>
    <col min="1" max="1" width="5.25" style="60" customWidth="1"/>
    <col min="2" max="2" width="6" style="60" customWidth="1"/>
    <col min="3" max="3" width="22.25" style="60" customWidth="1"/>
    <col min="4" max="4" width="14.875" style="60" customWidth="1"/>
    <col min="5" max="5" width="35.5" style="60" customWidth="1"/>
    <col min="6" max="7" width="14.875" style="60" customWidth="1"/>
    <col min="8" max="8" width="14.875" style="61" customWidth="1"/>
    <col min="9" max="14" width="14.875" style="60" customWidth="1"/>
    <col min="15" max="15" width="26.5" style="60" customWidth="1"/>
    <col min="16" max="16" width="80.375" style="60" customWidth="1"/>
    <col min="17" max="17" width="62" style="60" customWidth="1"/>
    <col min="18" max="18" width="13" style="60" customWidth="1"/>
    <col min="19" max="19" width="139.25" style="60" customWidth="1"/>
    <col min="20" max="20" width="9" style="60" customWidth="1"/>
    <col min="21" max="31" width="9" style="60"/>
    <col min="32" max="16384" width="8.75" style="60"/>
  </cols>
  <sheetData>
    <row r="1" spans="2:15" ht="18" customHeight="1">
      <c r="B1" s="62"/>
      <c r="C1" s="62"/>
      <c r="D1" s="62"/>
      <c r="E1" s="62"/>
      <c r="F1" s="62"/>
      <c r="G1" s="62"/>
      <c r="I1" s="62"/>
      <c r="J1" s="62"/>
      <c r="K1" s="62"/>
      <c r="L1" s="62"/>
      <c r="M1" s="62"/>
      <c r="N1" s="62"/>
      <c r="O1" s="62"/>
    </row>
    <row r="2" spans="2:15" s="56" customFormat="1" ht="15.75">
      <c r="B2" s="620" t="s">
        <v>462</v>
      </c>
      <c r="C2" s="620" t="s">
        <v>594</v>
      </c>
      <c r="D2" s="620" t="s">
        <v>463</v>
      </c>
      <c r="E2" s="620" t="s">
        <v>464</v>
      </c>
      <c r="F2" s="619" t="s">
        <v>595</v>
      </c>
      <c r="G2" s="620" t="s">
        <v>596</v>
      </c>
      <c r="H2" s="619" t="s">
        <v>597</v>
      </c>
      <c r="I2" s="619" t="s">
        <v>598</v>
      </c>
      <c r="J2" s="619"/>
      <c r="K2" s="619"/>
      <c r="L2" s="619" t="s">
        <v>599</v>
      </c>
      <c r="M2" s="619"/>
      <c r="N2" s="619"/>
    </row>
    <row r="3" spans="2:15" s="56" customFormat="1" ht="15.75">
      <c r="B3" s="620"/>
      <c r="C3" s="620"/>
      <c r="D3" s="620"/>
      <c r="E3" s="620"/>
      <c r="F3" s="619"/>
      <c r="G3" s="620"/>
      <c r="H3" s="619"/>
      <c r="I3" s="619" t="s">
        <v>600</v>
      </c>
      <c r="J3" s="619"/>
      <c r="K3" s="619"/>
      <c r="L3" s="633" t="s">
        <v>601</v>
      </c>
      <c r="M3" s="633"/>
      <c r="N3" s="633"/>
    </row>
    <row r="4" spans="2:15" s="56" customFormat="1" ht="15.75">
      <c r="B4" s="620"/>
      <c r="C4" s="620"/>
      <c r="D4" s="620"/>
      <c r="E4" s="620"/>
      <c r="F4" s="63" t="s">
        <v>602</v>
      </c>
      <c r="G4" s="620"/>
      <c r="H4" s="63" t="s">
        <v>602</v>
      </c>
      <c r="I4" s="63" t="s">
        <v>224</v>
      </c>
      <c r="J4" s="63" t="s">
        <v>225</v>
      </c>
      <c r="K4" s="63" t="s">
        <v>226</v>
      </c>
      <c r="L4" s="63" t="s">
        <v>224</v>
      </c>
      <c r="M4" s="63" t="s">
        <v>225</v>
      </c>
      <c r="N4" s="63" t="s">
        <v>226</v>
      </c>
    </row>
    <row r="5" spans="2:15" ht="20.65" customHeight="1">
      <c r="B5" s="65">
        <v>1</v>
      </c>
      <c r="C5" s="66" t="s">
        <v>603</v>
      </c>
      <c r="D5" s="67" t="s">
        <v>604</v>
      </c>
      <c r="E5" s="67" t="s">
        <v>605</v>
      </c>
      <c r="F5" s="68">
        <v>389.31</v>
      </c>
      <c r="G5" s="69" t="s">
        <v>606</v>
      </c>
      <c r="H5" s="70">
        <v>0.99</v>
      </c>
      <c r="I5" s="65">
        <f>56100/10^6</f>
        <v>5.6099999999999997E-2</v>
      </c>
      <c r="J5" s="65">
        <f t="shared" ref="J5:J13" si="0">1/10^6</f>
        <v>9.9999999999999995E-7</v>
      </c>
      <c r="K5" s="71">
        <f>0.1/10^6</f>
        <v>1.0000000000000001E-7</v>
      </c>
      <c r="L5" s="65">
        <f>F5*H5*I5</f>
        <v>21.621888089999999</v>
      </c>
      <c r="M5" s="72">
        <f t="shared" ref="M5:M13" si="1">F5*H5*J5</f>
        <v>3.8541690000000001E-4</v>
      </c>
      <c r="N5" s="65">
        <f t="shared" ref="N5:N13" si="2">F5*H5*K5</f>
        <v>3.8541690000000003E-5</v>
      </c>
    </row>
    <row r="6" spans="2:15" ht="20.65" customHeight="1">
      <c r="B6" s="65">
        <v>2</v>
      </c>
      <c r="C6" s="66" t="s">
        <v>603</v>
      </c>
      <c r="D6" s="73" t="s">
        <v>245</v>
      </c>
      <c r="E6" s="74" t="s">
        <v>246</v>
      </c>
      <c r="F6" s="68">
        <v>50.179000000000002</v>
      </c>
      <c r="G6" s="69" t="s">
        <v>607</v>
      </c>
      <c r="H6" s="70">
        <v>0.98</v>
      </c>
      <c r="I6" s="65">
        <f>63100/10^6</f>
        <v>6.3100000000000003E-2</v>
      </c>
      <c r="J6" s="65">
        <f t="shared" si="0"/>
        <v>9.9999999999999995E-7</v>
      </c>
      <c r="K6" s="71">
        <f>0.1/10^6</f>
        <v>1.0000000000000001E-7</v>
      </c>
      <c r="L6" s="65">
        <f>F6*H6*I6</f>
        <v>3.1029690020000005</v>
      </c>
      <c r="M6" s="72">
        <f t="shared" si="1"/>
        <v>4.9175419999999998E-5</v>
      </c>
      <c r="N6" s="65">
        <f t="shared" si="2"/>
        <v>4.9175420000000007E-6</v>
      </c>
    </row>
    <row r="7" spans="2:15" ht="20.65" customHeight="1">
      <c r="B7" s="65">
        <v>3</v>
      </c>
      <c r="C7" s="66" t="s">
        <v>603</v>
      </c>
      <c r="D7" s="67" t="s">
        <v>608</v>
      </c>
      <c r="E7" s="67" t="s">
        <v>259</v>
      </c>
      <c r="F7" s="68">
        <v>23.736000000000001</v>
      </c>
      <c r="G7" s="69" t="s">
        <v>607</v>
      </c>
      <c r="H7" s="70">
        <v>0.99</v>
      </c>
      <c r="I7" s="65">
        <f>98300/10^6</f>
        <v>9.8299999999999998E-2</v>
      </c>
      <c r="J7" s="65">
        <f t="shared" si="0"/>
        <v>9.9999999999999995E-7</v>
      </c>
      <c r="K7" s="71">
        <f t="shared" ref="K7:K12" si="3">1.5/10^6</f>
        <v>1.5E-6</v>
      </c>
      <c r="L7" s="65">
        <f>F7*H7*I7</f>
        <v>2.3099163119999999</v>
      </c>
      <c r="M7" s="72">
        <f t="shared" si="1"/>
        <v>2.3498640000000002E-5</v>
      </c>
      <c r="N7" s="65">
        <f t="shared" si="2"/>
        <v>3.5247960000000003E-5</v>
      </c>
    </row>
    <row r="8" spans="2:15" ht="20.65" customHeight="1">
      <c r="B8" s="65">
        <v>4</v>
      </c>
      <c r="C8" s="66" t="s">
        <v>603</v>
      </c>
      <c r="D8" s="67" t="s">
        <v>609</v>
      </c>
      <c r="E8" s="67" t="s">
        <v>259</v>
      </c>
      <c r="F8" s="68">
        <v>25.024000000000001</v>
      </c>
      <c r="G8" s="69" t="s">
        <v>607</v>
      </c>
      <c r="H8" s="70">
        <v>0.99</v>
      </c>
      <c r="I8" s="65">
        <f>98300/10^6</f>
        <v>9.8299999999999998E-2</v>
      </c>
      <c r="J8" s="65">
        <f t="shared" si="0"/>
        <v>9.9999999999999995E-7</v>
      </c>
      <c r="K8" s="71">
        <f t="shared" si="3"/>
        <v>1.5E-6</v>
      </c>
      <c r="L8" s="65">
        <f>F8*H8*I8</f>
        <v>2.4352606080000001</v>
      </c>
      <c r="M8" s="72">
        <f t="shared" si="1"/>
        <v>2.4773759999999997E-5</v>
      </c>
      <c r="N8" s="65">
        <f t="shared" si="2"/>
        <v>3.7160640000000001E-5</v>
      </c>
    </row>
    <row r="9" spans="2:15" ht="20.65" customHeight="1">
      <c r="B9" s="65">
        <v>5</v>
      </c>
      <c r="C9" s="66" t="s">
        <v>603</v>
      </c>
      <c r="D9" s="67" t="s">
        <v>256</v>
      </c>
      <c r="E9" s="67" t="s">
        <v>257</v>
      </c>
      <c r="F9" s="68">
        <v>26.344000000000001</v>
      </c>
      <c r="G9" s="69" t="s">
        <v>607</v>
      </c>
      <c r="H9" s="70">
        <v>0.99</v>
      </c>
      <c r="I9" s="65">
        <f>94600/10^6</f>
        <v>9.4600000000000004E-2</v>
      </c>
      <c r="J9" s="65">
        <f t="shared" si="0"/>
        <v>9.9999999999999995E-7</v>
      </c>
      <c r="K9" s="71">
        <f t="shared" si="3"/>
        <v>1.5E-6</v>
      </c>
      <c r="L9" s="65">
        <f>F9*H9*I9</f>
        <v>2.4672209760000001</v>
      </c>
      <c r="M9" s="72">
        <f t="shared" si="1"/>
        <v>2.608056E-5</v>
      </c>
      <c r="N9" s="65">
        <f t="shared" si="2"/>
        <v>3.9120840000000003E-5</v>
      </c>
    </row>
    <row r="10" spans="2:15" ht="20.65" customHeight="1">
      <c r="B10" s="65">
        <v>6</v>
      </c>
      <c r="C10" s="66" t="s">
        <v>603</v>
      </c>
      <c r="D10" s="67" t="s">
        <v>258</v>
      </c>
      <c r="E10" s="67" t="s">
        <v>257</v>
      </c>
      <c r="F10" s="68">
        <v>28.434999999999999</v>
      </c>
      <c r="G10" s="69" t="s">
        <v>607</v>
      </c>
      <c r="H10" s="70">
        <v>0.99</v>
      </c>
      <c r="I10" s="65">
        <f>107000/10^6</f>
        <v>0.107</v>
      </c>
      <c r="J10" s="65">
        <f t="shared" si="0"/>
        <v>9.9999999999999995E-7</v>
      </c>
      <c r="K10" s="71">
        <f t="shared" si="3"/>
        <v>1.5E-6</v>
      </c>
      <c r="L10" s="65">
        <f t="shared" ref="L10:L13" si="4">F10*H10*I10</f>
        <v>3.01211955</v>
      </c>
      <c r="M10" s="72">
        <f t="shared" si="1"/>
        <v>2.8150649999999998E-5</v>
      </c>
      <c r="N10" s="65">
        <f t="shared" si="2"/>
        <v>4.2225974999999997E-5</v>
      </c>
    </row>
    <row r="11" spans="2:15" ht="20.65" customHeight="1">
      <c r="B11" s="65">
        <v>7</v>
      </c>
      <c r="C11" s="66" t="s">
        <v>603</v>
      </c>
      <c r="D11" s="67" t="s">
        <v>260</v>
      </c>
      <c r="E11" s="67" t="s">
        <v>257</v>
      </c>
      <c r="F11" s="68">
        <v>28.434999999999999</v>
      </c>
      <c r="G11" s="69" t="s">
        <v>607</v>
      </c>
      <c r="H11" s="70">
        <v>0.99</v>
      </c>
      <c r="I11" s="65">
        <f>107000/10^6</f>
        <v>0.107</v>
      </c>
      <c r="J11" s="65">
        <f t="shared" si="0"/>
        <v>9.9999999999999995E-7</v>
      </c>
      <c r="K11" s="71">
        <f t="shared" si="3"/>
        <v>1.5E-6</v>
      </c>
      <c r="L11" s="65">
        <f t="shared" ref="L11:L12" si="5">F11*H11*I11</f>
        <v>3.01211955</v>
      </c>
      <c r="M11" s="72">
        <f t="shared" ref="M11:M12" si="6">F11*H11*J11</f>
        <v>2.8150649999999998E-5</v>
      </c>
      <c r="N11" s="65">
        <f t="shared" ref="N11:N12" si="7">F11*H11*K11</f>
        <v>4.2225974999999997E-5</v>
      </c>
    </row>
    <row r="12" spans="2:15" ht="20.65" customHeight="1">
      <c r="B12" s="65">
        <v>8</v>
      </c>
      <c r="C12" s="66" t="s">
        <v>603</v>
      </c>
      <c r="D12" s="67" t="s">
        <v>610</v>
      </c>
      <c r="E12" s="67" t="s">
        <v>257</v>
      </c>
      <c r="F12" s="68">
        <v>28.434999999999999</v>
      </c>
      <c r="G12" s="69" t="s">
        <v>607</v>
      </c>
      <c r="H12" s="70">
        <v>0.99</v>
      </c>
      <c r="I12" s="65">
        <f>107000/10^6</f>
        <v>0.107</v>
      </c>
      <c r="J12" s="65">
        <f t="shared" si="0"/>
        <v>9.9999999999999995E-7</v>
      </c>
      <c r="K12" s="71">
        <f t="shared" si="3"/>
        <v>1.5E-6</v>
      </c>
      <c r="L12" s="65">
        <f t="shared" si="5"/>
        <v>3.01211955</v>
      </c>
      <c r="M12" s="72">
        <f t="shared" si="6"/>
        <v>2.8150649999999998E-5</v>
      </c>
      <c r="N12" s="65">
        <f t="shared" si="7"/>
        <v>4.2225974999999997E-5</v>
      </c>
    </row>
    <row r="13" spans="2:15" ht="20.65" customHeight="1">
      <c r="B13" s="65">
        <v>9</v>
      </c>
      <c r="C13" s="66" t="s">
        <v>603</v>
      </c>
      <c r="D13" s="67" t="s">
        <v>262</v>
      </c>
      <c r="E13" s="67" t="s">
        <v>263</v>
      </c>
      <c r="F13" s="68">
        <v>173.85400000000001</v>
      </c>
      <c r="G13" s="69" t="s">
        <v>606</v>
      </c>
      <c r="H13" s="70">
        <v>0.99</v>
      </c>
      <c r="I13" s="65">
        <f>44400/10^6</f>
        <v>4.4400000000000002E-2</v>
      </c>
      <c r="J13" s="65">
        <f t="shared" si="0"/>
        <v>9.9999999999999995E-7</v>
      </c>
      <c r="K13" s="71">
        <f>0.1/10^6</f>
        <v>1.0000000000000001E-7</v>
      </c>
      <c r="L13" s="65">
        <f t="shared" si="4"/>
        <v>7.6419264240000011</v>
      </c>
      <c r="M13" s="72">
        <f t="shared" si="1"/>
        <v>1.7211546000000001E-4</v>
      </c>
      <c r="N13" s="65">
        <f t="shared" si="2"/>
        <v>1.7211546000000002E-5</v>
      </c>
    </row>
    <row r="14" spans="2:15">
      <c r="B14" s="65">
        <v>10</v>
      </c>
      <c r="C14" s="75" t="s">
        <v>611</v>
      </c>
      <c r="D14" s="67" t="s">
        <v>265</v>
      </c>
      <c r="E14" s="67" t="s">
        <v>612</v>
      </c>
      <c r="F14" s="68">
        <v>42.652000000000001</v>
      </c>
      <c r="G14" s="69" t="s">
        <v>607</v>
      </c>
      <c r="H14" s="76">
        <v>0.98</v>
      </c>
      <c r="I14" s="65">
        <v>7.4099999999999999E-2</v>
      </c>
      <c r="J14" s="65">
        <f>0.0039/10^3</f>
        <v>3.8999999999999999E-6</v>
      </c>
      <c r="K14" s="65">
        <f>0.0039/10^3</f>
        <v>3.8999999999999999E-6</v>
      </c>
      <c r="L14" s="65">
        <f>$F$14*$H$14*I14</f>
        <v>3.0973029360000002</v>
      </c>
      <c r="M14" s="65">
        <f>$F$14*$H$14*J14</f>
        <v>1.6301594399999999E-4</v>
      </c>
      <c r="N14" s="65">
        <f>$F$14*$H$14*K14</f>
        <v>1.6301594399999999E-4</v>
      </c>
    </row>
    <row r="15" spans="2:15">
      <c r="B15" s="65">
        <v>11</v>
      </c>
      <c r="C15" s="75" t="s">
        <v>611</v>
      </c>
      <c r="D15" s="67" t="s">
        <v>268</v>
      </c>
      <c r="E15" s="67" t="s">
        <v>613</v>
      </c>
      <c r="F15" s="68">
        <v>43.07</v>
      </c>
      <c r="G15" s="69" t="s">
        <v>607</v>
      </c>
      <c r="H15" s="76">
        <v>0.98</v>
      </c>
      <c r="I15" s="65">
        <v>6.93E-2</v>
      </c>
      <c r="J15" s="65">
        <f>0.025/10^3</f>
        <v>2.5000000000000001E-5</v>
      </c>
      <c r="K15" s="65">
        <f>0.008/10^3</f>
        <v>7.9999999999999996E-6</v>
      </c>
      <c r="L15" s="65">
        <f>$F$15*$H$15*I15</f>
        <v>2.9250559799999998</v>
      </c>
      <c r="M15" s="65">
        <f>$F$15*$H$15*J15</f>
        <v>1.055215E-3</v>
      </c>
      <c r="N15" s="65">
        <f>$F$15*$H$15*K15</f>
        <v>3.3766879999999995E-4</v>
      </c>
    </row>
    <row r="16" spans="2:15" ht="20.65" customHeight="1">
      <c r="B16" s="77"/>
      <c r="C16" s="78"/>
      <c r="D16" s="79"/>
      <c r="E16" s="79"/>
      <c r="F16" s="77"/>
      <c r="G16" s="80"/>
      <c r="H16" s="81"/>
      <c r="I16" s="77"/>
      <c r="J16" s="77"/>
      <c r="K16" s="82"/>
      <c r="L16" s="77"/>
      <c r="M16" s="83"/>
      <c r="N16" s="83"/>
    </row>
    <row r="17" spans="2:8" ht="20.65" customHeight="1">
      <c r="B17" s="620" t="s">
        <v>462</v>
      </c>
      <c r="C17" s="620" t="s">
        <v>594</v>
      </c>
      <c r="D17" s="620" t="s">
        <v>463</v>
      </c>
      <c r="E17" s="620" t="s">
        <v>464</v>
      </c>
      <c r="F17" s="64" t="s">
        <v>614</v>
      </c>
      <c r="G17" s="620" t="s">
        <v>596</v>
      </c>
      <c r="H17" s="60"/>
    </row>
    <row r="18" spans="2:8" ht="20.65" customHeight="1">
      <c r="B18" s="620"/>
      <c r="C18" s="620"/>
      <c r="D18" s="620"/>
      <c r="E18" s="620"/>
      <c r="F18" s="63" t="s">
        <v>602</v>
      </c>
      <c r="G18" s="620"/>
      <c r="H18" s="60"/>
    </row>
    <row r="19" spans="2:8" ht="20.65" customHeight="1">
      <c r="B19" s="65">
        <v>1</v>
      </c>
      <c r="C19" s="84" t="s">
        <v>615</v>
      </c>
      <c r="D19" s="67" t="s">
        <v>303</v>
      </c>
      <c r="E19" s="67" t="s">
        <v>263</v>
      </c>
      <c r="F19" s="85">
        <v>3.3820000000000001</v>
      </c>
      <c r="G19" s="86" t="s">
        <v>249</v>
      </c>
      <c r="H19" s="60"/>
    </row>
    <row r="20" spans="2:8" ht="20.65" customHeight="1">
      <c r="B20" s="65">
        <v>2</v>
      </c>
      <c r="C20" s="84" t="s">
        <v>615</v>
      </c>
      <c r="D20" s="67" t="s">
        <v>305</v>
      </c>
      <c r="E20" s="67" t="s">
        <v>263</v>
      </c>
      <c r="F20" s="85">
        <v>2.6989999999999998</v>
      </c>
      <c r="G20" s="86" t="s">
        <v>249</v>
      </c>
      <c r="H20" s="60"/>
    </row>
    <row r="21" spans="2:8" ht="20.65" customHeight="1">
      <c r="B21" s="65">
        <v>3</v>
      </c>
      <c r="C21" s="84" t="s">
        <v>615</v>
      </c>
      <c r="D21" s="67" t="s">
        <v>616</v>
      </c>
      <c r="E21" s="87" t="s">
        <v>617</v>
      </c>
      <c r="F21" s="85">
        <v>0.44</v>
      </c>
      <c r="G21" s="86" t="s">
        <v>249</v>
      </c>
      <c r="H21" s="60"/>
    </row>
    <row r="22" spans="2:8" ht="20.65" customHeight="1">
      <c r="B22" s="65">
        <v>4</v>
      </c>
      <c r="C22" s="84" t="s">
        <v>615</v>
      </c>
      <c r="D22" s="67" t="s">
        <v>288</v>
      </c>
      <c r="E22" s="87" t="s">
        <v>618</v>
      </c>
      <c r="F22" s="65">
        <v>0.47599999999999998</v>
      </c>
      <c r="G22" s="86" t="s">
        <v>249</v>
      </c>
      <c r="H22" s="60"/>
    </row>
    <row r="23" spans="2:8" ht="20.65" customHeight="1">
      <c r="B23" s="65">
        <v>5</v>
      </c>
      <c r="C23" s="84" t="s">
        <v>615</v>
      </c>
      <c r="D23" s="87" t="s">
        <v>619</v>
      </c>
      <c r="E23" s="87" t="s">
        <v>620</v>
      </c>
      <c r="F23" s="65">
        <v>3.6629999999999998</v>
      </c>
      <c r="G23" s="86" t="s">
        <v>249</v>
      </c>
      <c r="H23" s="60"/>
    </row>
    <row r="24" spans="2:8" ht="20.65" customHeight="1">
      <c r="B24" s="65">
        <v>6</v>
      </c>
      <c r="C24" s="84" t="s">
        <v>615</v>
      </c>
      <c r="D24" s="84" t="s">
        <v>295</v>
      </c>
      <c r="E24" s="87" t="s">
        <v>620</v>
      </c>
      <c r="F24" s="65">
        <v>3.6999999999999998E-2</v>
      </c>
      <c r="G24" s="86" t="s">
        <v>249</v>
      </c>
      <c r="H24" s="60"/>
    </row>
    <row r="25" spans="2:8" ht="20.65" customHeight="1">
      <c r="B25" s="65">
        <v>7</v>
      </c>
      <c r="C25" s="84" t="s">
        <v>615</v>
      </c>
      <c r="D25" s="84" t="s">
        <v>296</v>
      </c>
      <c r="E25" s="87" t="s">
        <v>620</v>
      </c>
      <c r="F25" s="65">
        <v>0.34799999999999998</v>
      </c>
      <c r="G25" s="86" t="s">
        <v>249</v>
      </c>
      <c r="H25" s="60"/>
    </row>
    <row r="26" spans="2:8" ht="20.65" customHeight="1">
      <c r="B26" s="65">
        <v>8</v>
      </c>
      <c r="C26" s="84" t="s">
        <v>615</v>
      </c>
      <c r="D26" s="84" t="s">
        <v>299</v>
      </c>
      <c r="E26" s="87" t="s">
        <v>620</v>
      </c>
      <c r="F26" s="65">
        <v>1.7999999999999999E-2</v>
      </c>
      <c r="G26" s="86" t="s">
        <v>249</v>
      </c>
      <c r="H26" s="60"/>
    </row>
    <row r="27" spans="2:8" ht="20.65" customHeight="1">
      <c r="B27" s="65">
        <v>9</v>
      </c>
      <c r="C27" s="84" t="s">
        <v>615</v>
      </c>
      <c r="D27" s="84" t="s">
        <v>298</v>
      </c>
      <c r="E27" s="87" t="s">
        <v>620</v>
      </c>
      <c r="F27" s="65">
        <v>7.0000000000000001E-3</v>
      </c>
      <c r="G27" s="86" t="s">
        <v>249</v>
      </c>
      <c r="H27" s="60"/>
    </row>
    <row r="28" spans="2:8" ht="20.65" customHeight="1">
      <c r="B28" s="65">
        <v>10</v>
      </c>
      <c r="C28" s="84" t="s">
        <v>615</v>
      </c>
      <c r="D28" s="84" t="s">
        <v>292</v>
      </c>
      <c r="E28" s="87" t="s">
        <v>620</v>
      </c>
      <c r="F28" s="65">
        <v>0.27500000000000002</v>
      </c>
      <c r="G28" s="86" t="s">
        <v>249</v>
      </c>
      <c r="H28" s="60"/>
    </row>
    <row r="29" spans="2:8" ht="20.65" customHeight="1">
      <c r="B29" s="65">
        <v>11</v>
      </c>
      <c r="C29" s="84" t="s">
        <v>615</v>
      </c>
      <c r="D29" s="84" t="s">
        <v>621</v>
      </c>
      <c r="E29" s="87" t="s">
        <v>620</v>
      </c>
      <c r="F29" s="65">
        <v>4.0000000000000001E-3</v>
      </c>
      <c r="G29" s="86" t="s">
        <v>249</v>
      </c>
      <c r="H29" s="60"/>
    </row>
    <row r="30" spans="2:8" ht="20.65" customHeight="1">
      <c r="B30" s="65">
        <v>12</v>
      </c>
      <c r="C30" s="84" t="s">
        <v>615</v>
      </c>
      <c r="D30" s="84" t="s">
        <v>294</v>
      </c>
      <c r="E30" s="87" t="s">
        <v>620</v>
      </c>
      <c r="F30" s="65">
        <v>9.1999999999999998E-2</v>
      </c>
      <c r="G30" s="86" t="s">
        <v>249</v>
      </c>
      <c r="H30" s="60"/>
    </row>
    <row r="31" spans="2:8" ht="20.65" customHeight="1">
      <c r="B31" s="65">
        <v>13</v>
      </c>
      <c r="C31" s="84" t="s">
        <v>615</v>
      </c>
      <c r="D31" s="87" t="s">
        <v>622</v>
      </c>
      <c r="E31" s="87" t="s">
        <v>620</v>
      </c>
      <c r="F31" s="65">
        <v>3.6999999999999998E-2</v>
      </c>
      <c r="G31" s="86" t="s">
        <v>249</v>
      </c>
      <c r="H31" s="60"/>
    </row>
    <row r="32" spans="2:8" ht="20.65" customHeight="1">
      <c r="B32" s="65">
        <v>14</v>
      </c>
      <c r="C32" s="84" t="s">
        <v>615</v>
      </c>
      <c r="D32" s="87" t="s">
        <v>623</v>
      </c>
      <c r="E32" s="67" t="s">
        <v>301</v>
      </c>
      <c r="F32" s="65">
        <v>3.6999999999999998E-2</v>
      </c>
      <c r="G32" s="65" t="s">
        <v>249</v>
      </c>
      <c r="H32" s="60"/>
    </row>
    <row r="33" spans="2:63">
      <c r="B33" s="77"/>
      <c r="C33" s="88"/>
      <c r="D33" s="88"/>
      <c r="E33" s="89"/>
      <c r="F33" s="90"/>
      <c r="G33" s="90"/>
      <c r="H33" s="90"/>
      <c r="I33" s="90"/>
      <c r="J33" s="90"/>
      <c r="K33" s="90"/>
      <c r="L33" s="90"/>
      <c r="M33" s="91"/>
      <c r="N33" s="92"/>
    </row>
    <row r="35" spans="2:63" s="57" customFormat="1" ht="15.75">
      <c r="B35" s="620" t="s">
        <v>462</v>
      </c>
      <c r="C35" s="620" t="s">
        <v>594</v>
      </c>
      <c r="D35" s="620" t="s">
        <v>463</v>
      </c>
      <c r="E35" s="620" t="s">
        <v>464</v>
      </c>
      <c r="F35" s="63" t="s">
        <v>624</v>
      </c>
      <c r="G35" s="93"/>
      <c r="H35" s="631" t="s">
        <v>625</v>
      </c>
      <c r="I35" s="617" t="s">
        <v>626</v>
      </c>
      <c r="J35" s="619" t="s">
        <v>627</v>
      </c>
      <c r="K35" s="620" t="s">
        <v>596</v>
      </c>
      <c r="L35" s="620" t="s">
        <v>628</v>
      </c>
    </row>
    <row r="36" spans="2:63" s="57" customFormat="1" ht="15.75">
      <c r="B36" s="620"/>
      <c r="C36" s="620"/>
      <c r="D36" s="620"/>
      <c r="E36" s="620"/>
      <c r="F36" s="63" t="s">
        <v>629</v>
      </c>
      <c r="G36" s="63" t="s">
        <v>596</v>
      </c>
      <c r="H36" s="632"/>
      <c r="I36" s="618"/>
      <c r="J36" s="620"/>
      <c r="K36" s="620"/>
      <c r="L36" s="620"/>
    </row>
    <row r="37" spans="2:63" ht="20.65" customHeight="1">
      <c r="B37" s="94">
        <v>1</v>
      </c>
      <c r="C37" s="95" t="s">
        <v>630</v>
      </c>
      <c r="D37" s="96" t="s">
        <v>631</v>
      </c>
      <c r="E37" s="97" t="s">
        <v>632</v>
      </c>
      <c r="F37" s="98">
        <v>1</v>
      </c>
      <c r="G37" s="99" t="s">
        <v>633</v>
      </c>
      <c r="H37" s="100"/>
      <c r="I37" s="100"/>
      <c r="J37" s="101"/>
      <c r="K37" s="101"/>
      <c r="L37" s="102" t="s">
        <v>634</v>
      </c>
    </row>
    <row r="38" spans="2:63" s="58" customFormat="1" ht="20.65" customHeight="1">
      <c r="B38" s="94">
        <v>2</v>
      </c>
      <c r="C38" s="95" t="s">
        <v>630</v>
      </c>
      <c r="D38" s="103" t="s">
        <v>635</v>
      </c>
      <c r="E38" s="104" t="s">
        <v>274</v>
      </c>
      <c r="F38" s="98">
        <v>1</v>
      </c>
      <c r="G38" s="99" t="s">
        <v>636</v>
      </c>
      <c r="H38" s="100"/>
      <c r="I38" s="100"/>
      <c r="J38" s="101"/>
      <c r="K38" s="101"/>
      <c r="L38" s="102" t="s">
        <v>634</v>
      </c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</row>
    <row r="39" spans="2:63" s="58" customFormat="1" ht="20.65" customHeight="1">
      <c r="B39" s="94">
        <v>3</v>
      </c>
      <c r="C39" s="95" t="s">
        <v>630</v>
      </c>
      <c r="D39" s="106" t="s">
        <v>280</v>
      </c>
      <c r="E39" s="107" t="s">
        <v>281</v>
      </c>
      <c r="F39" s="108"/>
      <c r="G39" s="109"/>
      <c r="H39" s="110">
        <v>0.3</v>
      </c>
      <c r="I39" s="110">
        <v>0.6</v>
      </c>
      <c r="J39" s="110">
        <f>H39*I39</f>
        <v>0.18</v>
      </c>
      <c r="K39" s="111" t="s">
        <v>637</v>
      </c>
      <c r="L39" s="107" t="s">
        <v>638</v>
      </c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</row>
    <row r="40" spans="2:63" s="58" customFormat="1" ht="20.65" customHeight="1">
      <c r="B40" s="94">
        <v>4</v>
      </c>
      <c r="C40" s="95" t="s">
        <v>630</v>
      </c>
      <c r="D40" s="106" t="s">
        <v>280</v>
      </c>
      <c r="E40" s="97" t="s">
        <v>639</v>
      </c>
      <c r="F40" s="108"/>
      <c r="G40" s="109"/>
      <c r="H40" s="110">
        <v>0.3</v>
      </c>
      <c r="I40" s="110">
        <v>0.25</v>
      </c>
      <c r="J40" s="110">
        <f>H40*I40</f>
        <v>7.4999999999999997E-2</v>
      </c>
      <c r="K40" s="112" t="s">
        <v>640</v>
      </c>
      <c r="L40" s="107" t="s">
        <v>638</v>
      </c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</row>
    <row r="41" spans="2:63" ht="15" customHeight="1">
      <c r="B41" s="94">
        <v>5</v>
      </c>
      <c r="C41" s="95" t="s">
        <v>630</v>
      </c>
      <c r="D41" s="106" t="s">
        <v>280</v>
      </c>
      <c r="E41" s="113" t="s">
        <v>641</v>
      </c>
      <c r="F41" s="108"/>
      <c r="G41" s="109"/>
      <c r="H41" s="638"/>
      <c r="I41" s="639"/>
      <c r="J41" s="110">
        <v>40</v>
      </c>
      <c r="K41" s="111" t="s">
        <v>642</v>
      </c>
      <c r="L41" s="107" t="s">
        <v>643</v>
      </c>
    </row>
    <row r="42" spans="2:63">
      <c r="C42" s="114"/>
    </row>
    <row r="43" spans="2:63" ht="25.5" customHeight="1">
      <c r="B43" s="63" t="s">
        <v>462</v>
      </c>
      <c r="C43" s="115" t="s">
        <v>594</v>
      </c>
      <c r="D43" s="116" t="s">
        <v>463</v>
      </c>
      <c r="E43" s="116" t="s">
        <v>464</v>
      </c>
      <c r="F43" s="115" t="s">
        <v>233</v>
      </c>
      <c r="G43" s="116" t="s">
        <v>596</v>
      </c>
      <c r="H43" s="634" t="s">
        <v>628</v>
      </c>
      <c r="I43" s="634"/>
      <c r="J43" s="634"/>
      <c r="K43" s="634"/>
      <c r="L43" s="634"/>
      <c r="M43" s="634"/>
      <c r="N43" s="634"/>
    </row>
    <row r="44" spans="2:63" ht="20.45" customHeight="1">
      <c r="B44" s="117">
        <v>1</v>
      </c>
      <c r="C44" s="118" t="s">
        <v>644</v>
      </c>
      <c r="D44" s="119" t="s">
        <v>645</v>
      </c>
      <c r="E44" s="120" t="s">
        <v>311</v>
      </c>
      <c r="F44" s="121">
        <v>0.53059999999999996</v>
      </c>
      <c r="G44" s="122" t="s">
        <v>315</v>
      </c>
      <c r="H44" s="635" t="s">
        <v>646</v>
      </c>
      <c r="I44" s="636"/>
      <c r="J44" s="636"/>
      <c r="K44" s="636"/>
      <c r="L44" s="636"/>
      <c r="M44" s="636"/>
      <c r="N44" s="637"/>
    </row>
    <row r="45" spans="2:63" ht="20.45" customHeight="1">
      <c r="B45" s="117">
        <v>2</v>
      </c>
      <c r="C45" s="118" t="s">
        <v>644</v>
      </c>
      <c r="D45" s="119" t="s">
        <v>645</v>
      </c>
      <c r="E45" s="120" t="s">
        <v>311</v>
      </c>
      <c r="F45" s="121">
        <v>0.60960000000000003</v>
      </c>
      <c r="G45" s="122" t="s">
        <v>315</v>
      </c>
      <c r="H45" s="635" t="s">
        <v>647</v>
      </c>
      <c r="I45" s="636"/>
      <c r="J45" s="636"/>
      <c r="K45" s="636"/>
      <c r="L45" s="636"/>
      <c r="M45" s="636"/>
      <c r="N45" s="637"/>
    </row>
    <row r="46" spans="2:63" ht="20.45" customHeight="1">
      <c r="B46" s="123"/>
      <c r="C46" s="124"/>
      <c r="D46" s="125"/>
      <c r="E46" s="125"/>
      <c r="F46" s="77"/>
      <c r="G46" s="77"/>
      <c r="H46" s="126"/>
      <c r="I46" s="126"/>
      <c r="J46" s="126"/>
      <c r="K46" s="126"/>
      <c r="L46" s="126"/>
      <c r="M46" s="126"/>
      <c r="N46" s="126"/>
    </row>
    <row r="47" spans="2:63" ht="15.75">
      <c r="B47" s="628" t="s">
        <v>462</v>
      </c>
      <c r="C47" s="628" t="s">
        <v>594</v>
      </c>
      <c r="D47" s="628" t="s">
        <v>463</v>
      </c>
      <c r="E47" s="630" t="s">
        <v>648</v>
      </c>
      <c r="F47" s="630" t="s">
        <v>649</v>
      </c>
      <c r="G47" s="625" t="s">
        <v>224</v>
      </c>
      <c r="H47" s="626"/>
      <c r="I47" s="127" t="s">
        <v>650</v>
      </c>
    </row>
    <row r="48" spans="2:63" ht="15.75">
      <c r="B48" s="629"/>
      <c r="C48" s="629"/>
      <c r="D48" s="629"/>
      <c r="E48" s="629"/>
      <c r="F48" s="629"/>
      <c r="G48" s="128" t="s">
        <v>627</v>
      </c>
      <c r="H48" s="129" t="s">
        <v>596</v>
      </c>
      <c r="I48" s="129" t="s">
        <v>651</v>
      </c>
    </row>
    <row r="49" spans="2:10" ht="15" customHeight="1">
      <c r="B49" s="65">
        <v>1</v>
      </c>
      <c r="C49" s="130" t="s">
        <v>652</v>
      </c>
      <c r="D49" s="73" t="str">
        <f>表1温室气体盘查表!C32</f>
        <v>铁矿石生产</v>
      </c>
      <c r="E49" s="130" t="s">
        <v>653</v>
      </c>
      <c r="F49" s="130" t="s">
        <v>654</v>
      </c>
      <c r="G49" s="131">
        <v>9.8847000000000004E-2</v>
      </c>
      <c r="H49" s="132" t="s">
        <v>249</v>
      </c>
      <c r="I49" s="85" t="s">
        <v>655</v>
      </c>
    </row>
    <row r="50" spans="2:10" ht="15" customHeight="1">
      <c r="B50" s="65">
        <v>2</v>
      </c>
      <c r="C50" s="130" t="s">
        <v>652</v>
      </c>
      <c r="D50" s="73" t="str">
        <f>表1温室气体盘查表!C33</f>
        <v>生石灰生产</v>
      </c>
      <c r="E50" s="130" t="s">
        <v>656</v>
      </c>
      <c r="F50" s="130" t="s">
        <v>657</v>
      </c>
      <c r="G50" s="131">
        <v>1.18966991668996</v>
      </c>
      <c r="H50" s="132" t="s">
        <v>249</v>
      </c>
      <c r="I50" s="85" t="s">
        <v>655</v>
      </c>
    </row>
    <row r="51" spans="2:10" ht="15" customHeight="1">
      <c r="B51" s="65">
        <v>3</v>
      </c>
      <c r="C51" s="130" t="s">
        <v>652</v>
      </c>
      <c r="D51" s="73" t="str">
        <f>表1温室气体盘查表!C34</f>
        <v>白云石生产</v>
      </c>
      <c r="E51" s="130" t="s">
        <v>658</v>
      </c>
      <c r="F51" s="130" t="s">
        <v>657</v>
      </c>
      <c r="G51" s="131">
        <v>0.13033</v>
      </c>
      <c r="H51" s="132" t="s">
        <v>249</v>
      </c>
      <c r="I51" s="85" t="s">
        <v>655</v>
      </c>
    </row>
    <row r="52" spans="2:10" ht="15" customHeight="1">
      <c r="B52" s="65">
        <v>4</v>
      </c>
      <c r="C52" s="130" t="s">
        <v>652</v>
      </c>
      <c r="D52" s="73" t="str">
        <f>表1温室气体盘查表!C35</f>
        <v>球团生产</v>
      </c>
      <c r="E52" s="130" t="s">
        <v>659</v>
      </c>
      <c r="F52" s="130" t="s">
        <v>654</v>
      </c>
      <c r="G52" s="131">
        <v>0.10446</v>
      </c>
      <c r="H52" s="132" t="s">
        <v>249</v>
      </c>
      <c r="I52" s="85" t="s">
        <v>655</v>
      </c>
    </row>
    <row r="53" spans="2:10" ht="15" customHeight="1">
      <c r="B53" s="65">
        <v>5</v>
      </c>
      <c r="C53" s="130" t="s">
        <v>652</v>
      </c>
      <c r="D53" s="73" t="str">
        <f>表1温室气体盘查表!C36</f>
        <v>废钢生产</v>
      </c>
      <c r="E53" s="130" t="s">
        <v>660</v>
      </c>
      <c r="F53" s="130" t="s">
        <v>657</v>
      </c>
      <c r="G53" s="131">
        <v>7.4178999999999995E-2</v>
      </c>
      <c r="H53" s="132" t="s">
        <v>249</v>
      </c>
      <c r="I53" s="85" t="s">
        <v>655</v>
      </c>
    </row>
    <row r="54" spans="2:10" ht="15" customHeight="1">
      <c r="B54" s="65">
        <v>6</v>
      </c>
      <c r="C54" s="130" t="s">
        <v>652</v>
      </c>
      <c r="D54" s="73" t="str">
        <f>表1温室气体盘查表!C37</f>
        <v>电极生产</v>
      </c>
      <c r="E54" s="130" t="s">
        <v>897</v>
      </c>
      <c r="F54" s="130" t="s">
        <v>654</v>
      </c>
      <c r="G54" s="131">
        <v>12.179129620198299</v>
      </c>
      <c r="H54" s="132" t="s">
        <v>249</v>
      </c>
      <c r="I54" s="85" t="s">
        <v>898</v>
      </c>
      <c r="J54" s="549"/>
    </row>
    <row r="55" spans="2:10" ht="15" customHeight="1">
      <c r="B55" s="65">
        <v>7</v>
      </c>
      <c r="C55" s="130" t="s">
        <v>652</v>
      </c>
      <c r="D55" s="73" t="str">
        <f>表1温室气体盘查表!C38</f>
        <v>锰铁生产</v>
      </c>
      <c r="E55" s="130" t="s">
        <v>661</v>
      </c>
      <c r="F55" s="130" t="s">
        <v>654</v>
      </c>
      <c r="G55" s="131">
        <v>2.9771999999999998</v>
      </c>
      <c r="H55" s="132" t="s">
        <v>249</v>
      </c>
      <c r="I55" s="85" t="s">
        <v>655</v>
      </c>
    </row>
    <row r="56" spans="2:10" ht="15" customHeight="1">
      <c r="B56" s="65">
        <v>8</v>
      </c>
      <c r="C56" s="130" t="s">
        <v>652</v>
      </c>
      <c r="D56" s="73" t="str">
        <f>表1温室气体盘查表!C39</f>
        <v>镍铁生产</v>
      </c>
      <c r="E56" s="130" t="s">
        <v>662</v>
      </c>
      <c r="F56" s="130" t="s">
        <v>654</v>
      </c>
      <c r="G56" s="131">
        <v>8.7546999999999997</v>
      </c>
      <c r="H56" s="132" t="s">
        <v>249</v>
      </c>
      <c r="I56" s="85" t="s">
        <v>655</v>
      </c>
    </row>
    <row r="57" spans="2:10" ht="15" customHeight="1">
      <c r="B57" s="65">
        <v>9</v>
      </c>
      <c r="C57" s="130" t="s">
        <v>652</v>
      </c>
      <c r="D57" s="73" t="str">
        <f>表1温室气体盘查表!C40</f>
        <v>铬铁生产</v>
      </c>
      <c r="E57" s="130" t="s">
        <v>663</v>
      </c>
      <c r="F57" s="130" t="s">
        <v>654</v>
      </c>
      <c r="G57" s="131">
        <v>5.0921000000000003</v>
      </c>
      <c r="H57" s="132" t="s">
        <v>249</v>
      </c>
      <c r="I57" s="85" t="s">
        <v>655</v>
      </c>
    </row>
    <row r="58" spans="2:10" ht="15" customHeight="1">
      <c r="B58" s="65">
        <v>10</v>
      </c>
      <c r="C58" s="130" t="s">
        <v>652</v>
      </c>
      <c r="D58" s="73" t="str">
        <f>表1温室气体盘查表!C41</f>
        <v>萤石生产</v>
      </c>
      <c r="E58" s="130" t="s">
        <v>664</v>
      </c>
      <c r="F58" s="130" t="s">
        <v>654</v>
      </c>
      <c r="G58" s="131">
        <v>0.21157999999999999</v>
      </c>
      <c r="H58" s="132" t="s">
        <v>249</v>
      </c>
      <c r="I58" s="85" t="s">
        <v>655</v>
      </c>
    </row>
    <row r="59" spans="2:10" ht="15" customHeight="1">
      <c r="B59" s="65">
        <v>11</v>
      </c>
      <c r="C59" s="130" t="s">
        <v>652</v>
      </c>
      <c r="D59" s="73" t="str">
        <f>表1温室气体盘查表!C42</f>
        <v>硅铁生产</v>
      </c>
      <c r="E59" s="130" t="s">
        <v>665</v>
      </c>
      <c r="F59" s="130" t="s">
        <v>666</v>
      </c>
      <c r="G59" s="131">
        <v>10.145</v>
      </c>
      <c r="H59" s="132" t="s">
        <v>249</v>
      </c>
      <c r="I59" s="85" t="s">
        <v>655</v>
      </c>
    </row>
    <row r="60" spans="2:10" ht="15" customHeight="1">
      <c r="B60" s="65">
        <v>12</v>
      </c>
      <c r="C60" s="130" t="s">
        <v>652</v>
      </c>
      <c r="D60" s="73" t="str">
        <f>表1温室气体盘查表!C43</f>
        <v>钼铁生产</v>
      </c>
      <c r="E60" s="130" t="s">
        <v>667</v>
      </c>
      <c r="F60" s="133"/>
      <c r="G60" s="131">
        <v>8.1</v>
      </c>
      <c r="H60" s="132" t="s">
        <v>249</v>
      </c>
      <c r="I60" s="85" t="s">
        <v>899</v>
      </c>
    </row>
    <row r="61" spans="2:10" ht="15" customHeight="1">
      <c r="B61" s="65">
        <v>13</v>
      </c>
      <c r="C61" s="130" t="s">
        <v>652</v>
      </c>
      <c r="D61" s="73" t="str">
        <f>表1温室气体盘查表!C44</f>
        <v>铝铁生产</v>
      </c>
      <c r="E61" s="130" t="s">
        <v>668</v>
      </c>
      <c r="F61" s="130" t="s">
        <v>669</v>
      </c>
      <c r="G61" s="131">
        <v>5.7320082395446503</v>
      </c>
      <c r="H61" s="132" t="s">
        <v>249</v>
      </c>
      <c r="I61" s="85" t="s">
        <v>655</v>
      </c>
    </row>
    <row r="62" spans="2:10" ht="15" customHeight="1">
      <c r="B62" s="65">
        <v>14</v>
      </c>
      <c r="C62" s="130" t="s">
        <v>652</v>
      </c>
      <c r="D62" s="73" t="str">
        <f>表1温室气体盘查表!C45</f>
        <v>铝生产</v>
      </c>
      <c r="E62" s="130" t="s">
        <v>670</v>
      </c>
      <c r="F62" s="130" t="s">
        <v>657</v>
      </c>
      <c r="G62" s="131">
        <v>22.290560810297599</v>
      </c>
      <c r="H62" s="132" t="s">
        <v>249</v>
      </c>
      <c r="I62" s="85" t="s">
        <v>655</v>
      </c>
    </row>
    <row r="63" spans="2:10" ht="15" customHeight="1">
      <c r="B63" s="65">
        <v>15</v>
      </c>
      <c r="C63" s="130" t="s">
        <v>652</v>
      </c>
      <c r="D63" s="73" t="str">
        <f>表1温室气体盘查表!C46</f>
        <v>增碳剂生产</v>
      </c>
      <c r="E63" s="130" t="s">
        <v>671</v>
      </c>
      <c r="F63" s="130" t="s">
        <v>666</v>
      </c>
      <c r="G63" s="131">
        <v>1.66453351655996</v>
      </c>
      <c r="H63" s="132" t="s">
        <v>249</v>
      </c>
      <c r="I63" s="85" t="s">
        <v>672</v>
      </c>
    </row>
    <row r="64" spans="2:10" ht="15" customHeight="1">
      <c r="B64" s="65">
        <v>16</v>
      </c>
      <c r="C64" s="130" t="s">
        <v>652</v>
      </c>
      <c r="D64" s="73" t="str">
        <f>表1温室气体盘查表!C47</f>
        <v>铁鳞生产</v>
      </c>
      <c r="E64" s="130" t="s">
        <v>673</v>
      </c>
      <c r="F64" s="130" t="s">
        <v>654</v>
      </c>
      <c r="G64" s="131">
        <v>3.5231056577475499E-3</v>
      </c>
      <c r="H64" s="132" t="s">
        <v>249</v>
      </c>
      <c r="I64" s="85" t="s">
        <v>655</v>
      </c>
    </row>
    <row r="65" spans="2:9" ht="15" customHeight="1">
      <c r="B65" s="65">
        <v>17</v>
      </c>
      <c r="C65" s="130" t="s">
        <v>652</v>
      </c>
      <c r="D65" s="73" t="str">
        <f>表1温室气体盘查表!C48</f>
        <v>氨水生产</v>
      </c>
      <c r="E65" s="130" t="s">
        <v>674</v>
      </c>
      <c r="F65" s="130" t="s">
        <v>666</v>
      </c>
      <c r="G65" s="131">
        <v>5.4368447769783996</v>
      </c>
      <c r="H65" s="132" t="s">
        <v>249</v>
      </c>
      <c r="I65" s="85" t="s">
        <v>655</v>
      </c>
    </row>
    <row r="66" spans="2:9" ht="15" customHeight="1">
      <c r="B66" s="65">
        <v>18</v>
      </c>
      <c r="C66" s="130" t="s">
        <v>652</v>
      </c>
      <c r="D66" s="73" t="str">
        <f>表1温室气体盘查表!C49</f>
        <v>盐酸生产</v>
      </c>
      <c r="E66" s="130" t="s">
        <v>910</v>
      </c>
      <c r="F66" s="130" t="s">
        <v>911</v>
      </c>
      <c r="G66" s="569">
        <v>0.97573526626554397</v>
      </c>
      <c r="H66" s="132" t="s">
        <v>249</v>
      </c>
      <c r="I66" s="85" t="s">
        <v>655</v>
      </c>
    </row>
    <row r="67" spans="2:9" ht="15" customHeight="1">
      <c r="B67" s="65">
        <v>19</v>
      </c>
      <c r="C67" s="130" t="s">
        <v>652</v>
      </c>
      <c r="D67" s="73" t="str">
        <f>表1温室气体盘查表!C50</f>
        <v>氢氧化钠生产</v>
      </c>
      <c r="E67" s="130" t="s">
        <v>909</v>
      </c>
      <c r="F67" s="130" t="s">
        <v>911</v>
      </c>
      <c r="G67" s="569">
        <v>1.4645658591661099</v>
      </c>
      <c r="H67" s="132" t="s">
        <v>249</v>
      </c>
      <c r="I67" s="85" t="s">
        <v>655</v>
      </c>
    </row>
    <row r="68" spans="2:9" ht="15" customHeight="1">
      <c r="B68" s="65">
        <v>20</v>
      </c>
      <c r="C68" s="130" t="s">
        <v>652</v>
      </c>
      <c r="D68" s="73" t="str">
        <f>表1温室气体盘查表!C51</f>
        <v>碳化硅生产</v>
      </c>
      <c r="E68" s="130" t="s">
        <v>675</v>
      </c>
      <c r="F68" s="130" t="s">
        <v>654</v>
      </c>
      <c r="G68" s="131">
        <v>7.2790711257223997</v>
      </c>
      <c r="H68" s="132" t="s">
        <v>249</v>
      </c>
      <c r="I68" s="85" t="s">
        <v>655</v>
      </c>
    </row>
    <row r="69" spans="2:9" ht="15" customHeight="1">
      <c r="B69" s="65">
        <v>21</v>
      </c>
      <c r="C69" s="130" t="s">
        <v>652</v>
      </c>
      <c r="D69" s="73" t="str">
        <f>表1温室气体盘查表!C52</f>
        <v>镁生产</v>
      </c>
      <c r="E69" s="130" t="s">
        <v>676</v>
      </c>
      <c r="F69" s="130" t="s">
        <v>654</v>
      </c>
      <c r="G69" s="131">
        <v>26.345188319021499</v>
      </c>
      <c r="H69" s="132" t="s">
        <v>249</v>
      </c>
      <c r="I69" s="85" t="s">
        <v>655</v>
      </c>
    </row>
    <row r="70" spans="2:9" ht="15" customHeight="1">
      <c r="B70" s="65">
        <v>22</v>
      </c>
      <c r="C70" s="130" t="s">
        <v>652</v>
      </c>
      <c r="D70" s="73" t="s">
        <v>343</v>
      </c>
      <c r="E70" s="74" t="s">
        <v>677</v>
      </c>
      <c r="F70" s="133"/>
      <c r="G70" s="131">
        <v>3.4299999999999999E-4</v>
      </c>
      <c r="H70" s="132" t="s">
        <v>346</v>
      </c>
      <c r="I70" s="85" t="s">
        <v>678</v>
      </c>
    </row>
    <row r="71" spans="2:9" ht="15" customHeight="1">
      <c r="B71" s="65">
        <v>23</v>
      </c>
      <c r="C71" s="130" t="s">
        <v>652</v>
      </c>
      <c r="D71" s="73" t="str">
        <f>表1温室气体盘查表!C54</f>
        <v>办公用品(纸张除外)制造</v>
      </c>
      <c r="E71" s="74" t="s">
        <v>679</v>
      </c>
      <c r="F71" s="133"/>
      <c r="G71" s="131">
        <v>2.6499999999999999E-4</v>
      </c>
      <c r="H71" s="132" t="s">
        <v>346</v>
      </c>
      <c r="I71" s="85" t="s">
        <v>678</v>
      </c>
    </row>
    <row r="72" spans="2:9" ht="15" customHeight="1">
      <c r="B72" s="65">
        <v>24</v>
      </c>
      <c r="C72" s="130" t="s">
        <v>652</v>
      </c>
      <c r="D72" s="73" t="str">
        <f>表1温室气体盘查表!C55</f>
        <v>源水</v>
      </c>
      <c r="E72" s="74" t="s">
        <v>680</v>
      </c>
      <c r="F72" s="130" t="s">
        <v>657</v>
      </c>
      <c r="G72" s="131">
        <v>1.2784698043450801E-3</v>
      </c>
      <c r="H72" s="132" t="s">
        <v>249</v>
      </c>
      <c r="I72" s="85" t="s">
        <v>655</v>
      </c>
    </row>
    <row r="74" spans="2:9" ht="15.75">
      <c r="B74" s="628" t="s">
        <v>462</v>
      </c>
      <c r="C74" s="628" t="s">
        <v>594</v>
      </c>
      <c r="D74" s="628" t="s">
        <v>463</v>
      </c>
      <c r="E74" s="630" t="s">
        <v>648</v>
      </c>
      <c r="F74" s="625" t="s">
        <v>224</v>
      </c>
      <c r="G74" s="626"/>
      <c r="H74" s="129" t="s">
        <v>650</v>
      </c>
    </row>
    <row r="75" spans="2:9" ht="15.75">
      <c r="B75" s="629"/>
      <c r="C75" s="629"/>
      <c r="D75" s="629"/>
      <c r="E75" s="629"/>
      <c r="F75" s="128" t="s">
        <v>627</v>
      </c>
      <c r="G75" s="129" t="s">
        <v>596</v>
      </c>
      <c r="H75" s="129" t="s">
        <v>651</v>
      </c>
    </row>
    <row r="76" spans="2:9" ht="15" customHeight="1">
      <c r="B76" s="65">
        <v>1</v>
      </c>
      <c r="C76" s="130" t="s">
        <v>681</v>
      </c>
      <c r="D76" s="73" t="str">
        <f>表1温室气体盘查表!C56</f>
        <v>采购产品空调和暖空气加热设备和商业和工业制冷设备制造</v>
      </c>
      <c r="E76" s="130" t="s">
        <v>682</v>
      </c>
      <c r="F76" s="131">
        <f>0.108/1000</f>
        <v>1.08E-4</v>
      </c>
      <c r="G76" s="132" t="s">
        <v>346</v>
      </c>
      <c r="H76" s="85" t="s">
        <v>678</v>
      </c>
    </row>
    <row r="77" spans="2:9" ht="15" customHeight="1">
      <c r="B77" s="65">
        <v>2</v>
      </c>
      <c r="C77" s="130" t="s">
        <v>681</v>
      </c>
      <c r="D77" s="73" t="str">
        <f>表1温室气体盘查表!C57</f>
        <v>电子计算机制造</v>
      </c>
      <c r="E77" s="130" t="s">
        <v>683</v>
      </c>
      <c r="F77" s="131">
        <f>0.058/1000</f>
        <v>5.8E-5</v>
      </c>
      <c r="G77" s="132" t="s">
        <v>346</v>
      </c>
      <c r="H77" s="85" t="s">
        <v>678</v>
      </c>
    </row>
    <row r="78" spans="2:9" ht="15" customHeight="1">
      <c r="B78" s="65">
        <v>3</v>
      </c>
      <c r="C78" s="130" t="s">
        <v>681</v>
      </c>
      <c r="D78" s="73" t="str">
        <f>表1温室气体盘查表!C58</f>
        <v>其他工业设备制造</v>
      </c>
      <c r="E78" s="130" t="s">
        <v>684</v>
      </c>
      <c r="F78" s="131">
        <f>0.185/1000</f>
        <v>1.85E-4</v>
      </c>
      <c r="G78" s="132" t="s">
        <v>346</v>
      </c>
      <c r="H78" s="85" t="s">
        <v>678</v>
      </c>
    </row>
    <row r="79" spans="2:9" ht="15" customHeight="1">
      <c r="B79" s="65">
        <v>4</v>
      </c>
      <c r="C79" s="130" t="s">
        <v>681</v>
      </c>
      <c r="D79" s="73" t="str">
        <f>表1温室气体盘查表!C59</f>
        <v>测量和测试电力和电气信号的仪器制造</v>
      </c>
      <c r="E79" s="130" t="s">
        <v>685</v>
      </c>
      <c r="F79" s="131">
        <f>0.079/1000</f>
        <v>7.8999999999999996E-5</v>
      </c>
      <c r="G79" s="132" t="s">
        <v>346</v>
      </c>
      <c r="H79" s="85" t="s">
        <v>678</v>
      </c>
    </row>
    <row r="80" spans="2:9" ht="15" customHeight="1">
      <c r="B80" s="65">
        <v>5</v>
      </c>
      <c r="C80" s="130" t="s">
        <v>681</v>
      </c>
      <c r="D80" s="73" t="s">
        <v>358</v>
      </c>
      <c r="E80" s="130" t="s">
        <v>686</v>
      </c>
      <c r="F80" s="131">
        <f>0.209/1000</f>
        <v>2.0899999999999998E-4</v>
      </c>
      <c r="G80" s="132" t="s">
        <v>346</v>
      </c>
      <c r="H80" s="85" t="s">
        <v>678</v>
      </c>
    </row>
    <row r="81" spans="2:17" ht="15" customHeight="1">
      <c r="B81" s="65">
        <v>6</v>
      </c>
      <c r="C81" s="130" t="s">
        <v>681</v>
      </c>
      <c r="D81" s="73" t="s">
        <v>359</v>
      </c>
      <c r="E81" s="130" t="s">
        <v>687</v>
      </c>
      <c r="F81" s="131">
        <f>0.223/1000</f>
        <v>2.23E-4</v>
      </c>
      <c r="G81" s="132" t="s">
        <v>346</v>
      </c>
      <c r="H81" s="85" t="s">
        <v>678</v>
      </c>
    </row>
    <row r="82" spans="2:17" ht="15" customHeight="1">
      <c r="B82" s="65">
        <v>7</v>
      </c>
      <c r="C82" s="130" t="s">
        <v>681</v>
      </c>
      <c r="D82" s="73" t="s">
        <v>360</v>
      </c>
      <c r="E82" s="130" t="s">
        <v>688</v>
      </c>
      <c r="F82" s="131">
        <f>0.063/1000</f>
        <v>6.3E-5</v>
      </c>
      <c r="G82" s="132" t="s">
        <v>346</v>
      </c>
      <c r="H82" s="85" t="s">
        <v>678</v>
      </c>
    </row>
    <row r="83" spans="2:17" ht="15" customHeight="1">
      <c r="B83" s="65">
        <v>8</v>
      </c>
      <c r="C83" s="130" t="s">
        <v>681</v>
      </c>
      <c r="D83" s="73" t="str">
        <f>表1温室气体盘查表!C63</f>
        <v>所有其他杂项电气设备及元件制造</v>
      </c>
      <c r="E83" s="130" t="s">
        <v>689</v>
      </c>
      <c r="F83" s="131">
        <f>0.128/1000</f>
        <v>1.2799999999999999E-4</v>
      </c>
      <c r="G83" s="132" t="s">
        <v>346</v>
      </c>
      <c r="H83" s="85" t="s">
        <v>678</v>
      </c>
    </row>
    <row r="84" spans="2:17" ht="15" customHeight="1">
      <c r="B84" s="65">
        <v>9</v>
      </c>
      <c r="C84" s="130" t="s">
        <v>681</v>
      </c>
      <c r="D84" s="73" t="str">
        <f>表1温室气体盘查表!C64</f>
        <v>所有其他杂项制造</v>
      </c>
      <c r="E84" s="130" t="s">
        <v>690</v>
      </c>
      <c r="F84" s="131">
        <f>0.182/1000</f>
        <v>1.8200000000000001E-4</v>
      </c>
      <c r="G84" s="132" t="s">
        <v>346</v>
      </c>
      <c r="H84" s="85" t="s">
        <v>678</v>
      </c>
    </row>
    <row r="85" spans="2:17" ht="15" customHeight="1">
      <c r="B85" s="77"/>
      <c r="C85" s="134"/>
      <c r="D85" s="135"/>
      <c r="E85" s="136"/>
      <c r="F85" s="136"/>
      <c r="G85" s="136"/>
      <c r="H85" s="136"/>
      <c r="I85" s="136"/>
      <c r="J85" s="137"/>
      <c r="K85" s="136"/>
      <c r="L85" s="137"/>
      <c r="M85" s="137"/>
      <c r="N85" s="137"/>
      <c r="O85" s="137"/>
      <c r="P85" s="137"/>
      <c r="Q85" s="137"/>
    </row>
    <row r="86" spans="2:17" ht="15.75">
      <c r="B86" s="628" t="s">
        <v>462</v>
      </c>
      <c r="C86" s="628" t="s">
        <v>594</v>
      </c>
      <c r="D86" s="628" t="s">
        <v>463</v>
      </c>
      <c r="E86" s="628" t="s">
        <v>648</v>
      </c>
      <c r="F86" s="630" t="s">
        <v>649</v>
      </c>
      <c r="G86" s="625" t="s">
        <v>224</v>
      </c>
      <c r="H86" s="626"/>
      <c r="I86" s="129" t="s">
        <v>650</v>
      </c>
    </row>
    <row r="87" spans="2:17" ht="15.75">
      <c r="B87" s="629"/>
      <c r="C87" s="629"/>
      <c r="D87" s="629"/>
      <c r="E87" s="629"/>
      <c r="F87" s="629"/>
      <c r="G87" s="128" t="s">
        <v>627</v>
      </c>
      <c r="H87" s="129" t="s">
        <v>596</v>
      </c>
      <c r="I87" s="129" t="s">
        <v>651</v>
      </c>
    </row>
    <row r="88" spans="2:17" ht="36">
      <c r="B88" s="551">
        <v>1</v>
      </c>
      <c r="C88" s="552" t="s">
        <v>691</v>
      </c>
      <c r="D88" s="553" t="str">
        <f>表1温室气体盘查表!C65</f>
        <v>液化石油气生产</v>
      </c>
      <c r="E88" s="552" t="s">
        <v>692</v>
      </c>
      <c r="F88" s="552" t="s">
        <v>657</v>
      </c>
      <c r="G88" s="554">
        <v>1.0062255640344899</v>
      </c>
      <c r="H88" s="555" t="s">
        <v>249</v>
      </c>
      <c r="I88" s="556" t="s">
        <v>655</v>
      </c>
    </row>
    <row r="89" spans="2:17" ht="36">
      <c r="B89" s="551">
        <v>2</v>
      </c>
      <c r="C89" s="552" t="s">
        <v>691</v>
      </c>
      <c r="D89" s="553" t="str">
        <f>表1温室气体盘查表!C66</f>
        <v>洗精煤生产</v>
      </c>
      <c r="E89" s="552" t="s">
        <v>693</v>
      </c>
      <c r="F89" s="552" t="s">
        <v>666</v>
      </c>
      <c r="G89" s="554">
        <v>0.57555000000000001</v>
      </c>
      <c r="H89" s="555" t="s">
        <v>249</v>
      </c>
      <c r="I89" s="556" t="s">
        <v>655</v>
      </c>
    </row>
    <row r="90" spans="2:17" ht="36">
      <c r="B90" s="551">
        <v>3</v>
      </c>
      <c r="C90" s="552" t="s">
        <v>691</v>
      </c>
      <c r="D90" s="553" t="str">
        <f>表1温室气体盘查表!C67</f>
        <v>柴油生产</v>
      </c>
      <c r="E90" s="552" t="s">
        <v>694</v>
      </c>
      <c r="F90" s="552" t="s">
        <v>657</v>
      </c>
      <c r="G90" s="554">
        <v>0.84211999999999998</v>
      </c>
      <c r="H90" s="555" t="s">
        <v>249</v>
      </c>
      <c r="I90" s="556" t="s">
        <v>655</v>
      </c>
    </row>
    <row r="91" spans="2:17" ht="36">
      <c r="B91" s="551">
        <v>4</v>
      </c>
      <c r="C91" s="552" t="s">
        <v>691</v>
      </c>
      <c r="D91" s="553" t="str">
        <f>表1温室气体盘查表!C68</f>
        <v>汽油生产</v>
      </c>
      <c r="E91" s="552" t="s">
        <v>695</v>
      </c>
      <c r="F91" s="552" t="s">
        <v>657</v>
      </c>
      <c r="G91" s="554">
        <v>0.98733030522440801</v>
      </c>
      <c r="H91" s="555" t="s">
        <v>249</v>
      </c>
      <c r="I91" s="556" t="s">
        <v>655</v>
      </c>
    </row>
    <row r="92" spans="2:17" ht="36">
      <c r="B92" s="551">
        <v>5</v>
      </c>
      <c r="C92" s="552" t="s">
        <v>691</v>
      </c>
      <c r="D92" s="553" t="str">
        <f>表1温室气体盘查表!C69</f>
        <v>焦炭生产</v>
      </c>
      <c r="E92" s="552" t="s">
        <v>900</v>
      </c>
      <c r="F92" s="552" t="s">
        <v>666</v>
      </c>
      <c r="G92" s="554">
        <v>0.34899999999999998</v>
      </c>
      <c r="H92" s="555" t="s">
        <v>249</v>
      </c>
      <c r="I92" s="556" t="s">
        <v>899</v>
      </c>
    </row>
    <row r="93" spans="2:17" ht="36">
      <c r="B93" s="551">
        <v>6</v>
      </c>
      <c r="C93" s="552" t="s">
        <v>691</v>
      </c>
      <c r="D93" s="553" t="str">
        <f>表1温室气体盘查表!C70</f>
        <v>烟煤生产</v>
      </c>
      <c r="E93" s="552" t="s">
        <v>901</v>
      </c>
      <c r="F93" s="552" t="s">
        <v>666</v>
      </c>
      <c r="G93" s="554">
        <v>0.17899999999999999</v>
      </c>
      <c r="H93" s="555" t="s">
        <v>249</v>
      </c>
      <c r="I93" s="556" t="s">
        <v>899</v>
      </c>
      <c r="J93" s="550"/>
    </row>
    <row r="94" spans="2:17" ht="36">
      <c r="B94" s="551">
        <v>7</v>
      </c>
      <c r="C94" s="552" t="s">
        <v>691</v>
      </c>
      <c r="D94" s="553" t="str">
        <f>表1温室气体盘查表!C71</f>
        <v>无烟煤生产</v>
      </c>
      <c r="E94" s="552" t="s">
        <v>902</v>
      </c>
      <c r="F94" s="552" t="s">
        <v>666</v>
      </c>
      <c r="G94" s="554">
        <v>0.68400000000000005</v>
      </c>
      <c r="H94" s="555" t="s">
        <v>249</v>
      </c>
      <c r="I94" s="556" t="s">
        <v>899</v>
      </c>
    </row>
    <row r="95" spans="2:17" ht="36">
      <c r="B95" s="551">
        <v>8</v>
      </c>
      <c r="C95" s="552" t="s">
        <v>691</v>
      </c>
      <c r="D95" s="553" t="str">
        <f>表1温室气体盘查表!C72</f>
        <v>天然气生产</v>
      </c>
      <c r="E95" s="552" t="s">
        <v>696</v>
      </c>
      <c r="F95" s="552" t="s">
        <v>666</v>
      </c>
      <c r="G95" s="554">
        <v>6.19</v>
      </c>
      <c r="H95" s="555" t="s">
        <v>697</v>
      </c>
      <c r="I95" s="556" t="s">
        <v>655</v>
      </c>
    </row>
    <row r="96" spans="2:17" ht="36">
      <c r="B96" s="551">
        <v>9</v>
      </c>
      <c r="C96" s="552" t="s">
        <v>691</v>
      </c>
      <c r="D96" s="553" t="str">
        <f>表1温室气体盘查表!C73</f>
        <v>外购电力上游排放</v>
      </c>
      <c r="E96" s="551"/>
      <c r="F96" s="552" t="s">
        <v>666</v>
      </c>
      <c r="G96" s="554">
        <f>0.6205-0.5306</f>
        <v>8.9900000000000091E-2</v>
      </c>
      <c r="H96" s="555" t="s">
        <v>315</v>
      </c>
      <c r="I96" s="556" t="s">
        <v>895</v>
      </c>
      <c r="J96" s="549"/>
    </row>
    <row r="97" spans="2:14" ht="20.45" customHeight="1">
      <c r="B97" s="123"/>
      <c r="C97" s="124"/>
      <c r="D97" s="125"/>
      <c r="E97" s="125"/>
      <c r="F97" s="77"/>
      <c r="G97" s="77"/>
      <c r="H97" s="126"/>
      <c r="I97" s="126"/>
      <c r="J97" s="126"/>
      <c r="K97" s="126"/>
      <c r="L97" s="126"/>
      <c r="M97" s="126"/>
      <c r="N97" s="126"/>
    </row>
    <row r="98" spans="2:14" ht="15.75">
      <c r="B98" s="628" t="s">
        <v>462</v>
      </c>
      <c r="C98" s="628" t="s">
        <v>594</v>
      </c>
      <c r="D98" s="628" t="s">
        <v>463</v>
      </c>
      <c r="E98" s="628" t="s">
        <v>648</v>
      </c>
      <c r="F98" s="630" t="s">
        <v>649</v>
      </c>
      <c r="G98" s="625" t="s">
        <v>224</v>
      </c>
      <c r="H98" s="626"/>
      <c r="I98" s="129" t="s">
        <v>650</v>
      </c>
    </row>
    <row r="99" spans="2:14" ht="15.75">
      <c r="B99" s="629"/>
      <c r="C99" s="629"/>
      <c r="D99" s="629"/>
      <c r="E99" s="629"/>
      <c r="F99" s="629"/>
      <c r="G99" s="128" t="s">
        <v>627</v>
      </c>
      <c r="H99" s="129" t="s">
        <v>596</v>
      </c>
      <c r="I99" s="129" t="s">
        <v>651</v>
      </c>
    </row>
    <row r="100" spans="2:14" ht="24">
      <c r="B100" s="110">
        <v>1</v>
      </c>
      <c r="C100" s="142" t="s">
        <v>698</v>
      </c>
      <c r="D100" s="143" t="s">
        <v>377</v>
      </c>
      <c r="E100" s="139" t="s">
        <v>699</v>
      </c>
      <c r="F100" s="142" t="s">
        <v>657</v>
      </c>
      <c r="G100" s="144">
        <v>5.1968558099999999E-5</v>
      </c>
      <c r="H100" s="111" t="s">
        <v>700</v>
      </c>
      <c r="I100" s="145" t="s">
        <v>655</v>
      </c>
      <c r="J100" s="549"/>
    </row>
    <row r="101" spans="2:14" ht="24">
      <c r="B101" s="110">
        <v>2</v>
      </c>
      <c r="C101" s="142" t="s">
        <v>698</v>
      </c>
      <c r="D101" s="143" t="s">
        <v>380</v>
      </c>
      <c r="E101" s="142" t="s">
        <v>701</v>
      </c>
      <c r="F101" s="142" t="s">
        <v>654</v>
      </c>
      <c r="G101" s="144">
        <v>1.5196287830000001E-4</v>
      </c>
      <c r="H101" s="111" t="s">
        <v>700</v>
      </c>
      <c r="I101" s="145" t="s">
        <v>655</v>
      </c>
    </row>
    <row r="102" spans="2:14" s="59" customFormat="1" ht="24">
      <c r="B102" s="146">
        <v>3</v>
      </c>
      <c r="C102" s="142" t="s">
        <v>698</v>
      </c>
      <c r="D102" s="147" t="s">
        <v>381</v>
      </c>
      <c r="E102" s="148" t="s">
        <v>702</v>
      </c>
      <c r="F102" s="148" t="s">
        <v>666</v>
      </c>
      <c r="G102" s="149">
        <v>4.8531850728157997E-5</v>
      </c>
      <c r="H102" s="150" t="s">
        <v>700</v>
      </c>
      <c r="I102" s="151" t="s">
        <v>655</v>
      </c>
    </row>
    <row r="103" spans="2:14" ht="20.45" customHeight="1">
      <c r="B103" s="123"/>
      <c r="C103" s="124"/>
      <c r="D103" s="125"/>
      <c r="E103" s="125"/>
      <c r="F103" s="77"/>
      <c r="G103" s="77"/>
      <c r="H103" s="126"/>
      <c r="I103" s="126"/>
      <c r="J103" s="152"/>
      <c r="K103" s="126"/>
      <c r="L103" s="126"/>
      <c r="M103" s="126"/>
      <c r="N103" s="126"/>
    </row>
    <row r="104" spans="2:14" ht="15.75">
      <c r="B104" s="628" t="s">
        <v>462</v>
      </c>
      <c r="C104" s="628" t="s">
        <v>594</v>
      </c>
      <c r="D104" s="628" t="s">
        <v>463</v>
      </c>
      <c r="E104" s="628" t="s">
        <v>648</v>
      </c>
      <c r="F104" s="630" t="s">
        <v>649</v>
      </c>
      <c r="G104" s="625" t="s">
        <v>224</v>
      </c>
      <c r="H104" s="626"/>
      <c r="I104" s="129" t="s">
        <v>650</v>
      </c>
    </row>
    <row r="105" spans="2:14" ht="15.75">
      <c r="B105" s="629"/>
      <c r="C105" s="629"/>
      <c r="D105" s="629"/>
      <c r="E105" s="629"/>
      <c r="F105" s="629"/>
      <c r="G105" s="128" t="s">
        <v>627</v>
      </c>
      <c r="H105" s="129" t="s">
        <v>596</v>
      </c>
      <c r="I105" s="129" t="s">
        <v>651</v>
      </c>
    </row>
    <row r="106" spans="2:14" ht="24">
      <c r="B106" s="138">
        <v>1</v>
      </c>
      <c r="C106" s="139" t="s">
        <v>703</v>
      </c>
      <c r="D106" s="143" t="s">
        <v>383</v>
      </c>
      <c r="E106" s="139" t="s">
        <v>704</v>
      </c>
      <c r="F106" s="139" t="s">
        <v>657</v>
      </c>
      <c r="G106" s="141">
        <v>0.37133429739544099</v>
      </c>
      <c r="H106" s="153" t="s">
        <v>249</v>
      </c>
      <c r="I106" s="141" t="s">
        <v>655</v>
      </c>
    </row>
    <row r="107" spans="2:14" ht="24">
      <c r="B107" s="138">
        <v>2</v>
      </c>
      <c r="C107" s="139" t="s">
        <v>703</v>
      </c>
      <c r="D107" s="143" t="s">
        <v>386</v>
      </c>
      <c r="E107" s="139" t="s">
        <v>705</v>
      </c>
      <c r="F107" s="139" t="s">
        <v>657</v>
      </c>
      <c r="G107" s="141">
        <v>2.8490570223227398</v>
      </c>
      <c r="H107" s="153" t="s">
        <v>249</v>
      </c>
      <c r="I107" s="141" t="s">
        <v>655</v>
      </c>
    </row>
    <row r="108" spans="2:14" ht="24">
      <c r="B108" s="138">
        <v>3</v>
      </c>
      <c r="C108" s="139" t="s">
        <v>703</v>
      </c>
      <c r="D108" s="143" t="s">
        <v>388</v>
      </c>
      <c r="E108" s="139" t="s">
        <v>705</v>
      </c>
      <c r="F108" s="139" t="s">
        <v>657</v>
      </c>
      <c r="G108" s="141">
        <v>2.8490570223227398</v>
      </c>
      <c r="H108" s="153" t="s">
        <v>249</v>
      </c>
      <c r="I108" s="141" t="s">
        <v>655</v>
      </c>
    </row>
    <row r="109" spans="2:14">
      <c r="B109" s="154"/>
      <c r="C109" s="155"/>
      <c r="D109" s="156"/>
      <c r="E109" s="155"/>
      <c r="F109" s="155"/>
      <c r="G109" s="157"/>
      <c r="H109" s="158"/>
      <c r="I109" s="157"/>
    </row>
    <row r="110" spans="2:14" ht="15.75">
      <c r="B110" s="628" t="s">
        <v>462</v>
      </c>
      <c r="C110" s="628" t="s">
        <v>594</v>
      </c>
      <c r="D110" s="628" t="s">
        <v>463</v>
      </c>
      <c r="E110" s="628" t="s">
        <v>648</v>
      </c>
      <c r="F110" s="630" t="s">
        <v>649</v>
      </c>
      <c r="G110" s="625" t="s">
        <v>224</v>
      </c>
      <c r="H110" s="626"/>
      <c r="I110" s="129" t="s">
        <v>650</v>
      </c>
    </row>
    <row r="111" spans="2:14" ht="15.75">
      <c r="B111" s="629"/>
      <c r="C111" s="629"/>
      <c r="D111" s="629"/>
      <c r="E111" s="629"/>
      <c r="F111" s="629"/>
      <c r="G111" s="128" t="s">
        <v>627</v>
      </c>
      <c r="H111" s="129" t="s">
        <v>596</v>
      </c>
      <c r="I111" s="129" t="s">
        <v>651</v>
      </c>
    </row>
    <row r="112" spans="2:14" ht="15" customHeight="1">
      <c r="B112" s="110">
        <v>1</v>
      </c>
      <c r="C112" s="142" t="s">
        <v>706</v>
      </c>
      <c r="D112" s="143" t="s">
        <v>392</v>
      </c>
      <c r="E112" s="142" t="s">
        <v>707</v>
      </c>
      <c r="F112" s="159"/>
      <c r="G112" s="145">
        <v>8.4000000000000005E-2</v>
      </c>
      <c r="H112" s="111" t="s">
        <v>708</v>
      </c>
      <c r="I112" s="145" t="s">
        <v>709</v>
      </c>
    </row>
    <row r="113" spans="2:14" ht="15" customHeight="1">
      <c r="B113" s="110">
        <v>2</v>
      </c>
      <c r="C113" s="142" t="s">
        <v>706</v>
      </c>
      <c r="D113" s="143" t="s">
        <v>381</v>
      </c>
      <c r="E113" s="142" t="s">
        <v>710</v>
      </c>
      <c r="F113" s="142" t="s">
        <v>657</v>
      </c>
      <c r="G113" s="145">
        <v>7.4873544302409098E-2</v>
      </c>
      <c r="H113" s="111" t="s">
        <v>708</v>
      </c>
      <c r="I113" s="145" t="s">
        <v>655</v>
      </c>
    </row>
    <row r="114" spans="2:14" ht="15" customHeight="1">
      <c r="B114" s="110">
        <v>3</v>
      </c>
      <c r="C114" s="142" t="s">
        <v>706</v>
      </c>
      <c r="D114" s="140" t="s">
        <v>395</v>
      </c>
      <c r="E114" s="142" t="s">
        <v>711</v>
      </c>
      <c r="F114" s="142" t="s">
        <v>712</v>
      </c>
      <c r="G114" s="144">
        <f>53.5/10^3</f>
        <v>5.3499999999999999E-2</v>
      </c>
      <c r="H114" s="160" t="s">
        <v>397</v>
      </c>
      <c r="I114" s="145" t="s">
        <v>709</v>
      </c>
    </row>
    <row r="115" spans="2:14" ht="14.25" customHeight="1">
      <c r="B115" s="123"/>
      <c r="C115" s="124"/>
      <c r="D115" s="125"/>
      <c r="E115" s="125"/>
      <c r="F115" s="77"/>
      <c r="G115" s="77"/>
      <c r="H115" s="126"/>
      <c r="I115" s="126"/>
      <c r="J115" s="126"/>
      <c r="K115" s="126"/>
      <c r="L115" s="126"/>
      <c r="M115" s="126"/>
      <c r="N115" s="126"/>
    </row>
    <row r="116" spans="2:14" ht="15.75">
      <c r="B116" s="624" t="s">
        <v>462</v>
      </c>
      <c r="C116" s="624" t="s">
        <v>594</v>
      </c>
      <c r="D116" s="624" t="s">
        <v>463</v>
      </c>
      <c r="E116" s="624" t="s">
        <v>648</v>
      </c>
      <c r="F116" s="623" t="s">
        <v>649</v>
      </c>
      <c r="G116" s="624" t="s">
        <v>224</v>
      </c>
      <c r="H116" s="624"/>
      <c r="I116" s="129" t="s">
        <v>650</v>
      </c>
    </row>
    <row r="117" spans="2:14" ht="15.75">
      <c r="B117" s="624"/>
      <c r="C117" s="624"/>
      <c r="D117" s="624"/>
      <c r="E117" s="624"/>
      <c r="F117" s="624"/>
      <c r="G117" s="128" t="s">
        <v>627</v>
      </c>
      <c r="H117" s="129" t="s">
        <v>596</v>
      </c>
      <c r="I117" s="129" t="s">
        <v>651</v>
      </c>
    </row>
    <row r="118" spans="2:14" ht="15" customHeight="1">
      <c r="B118" s="110">
        <v>1</v>
      </c>
      <c r="C118" s="142" t="s">
        <v>713</v>
      </c>
      <c r="D118" s="143" t="s">
        <v>399</v>
      </c>
      <c r="E118" s="142" t="s">
        <v>714</v>
      </c>
      <c r="F118" s="142" t="s">
        <v>657</v>
      </c>
      <c r="G118" s="145">
        <v>8.8000000000000005E-3</v>
      </c>
      <c r="H118" s="111" t="s">
        <v>708</v>
      </c>
      <c r="I118" s="145" t="s">
        <v>709</v>
      </c>
    </row>
    <row r="119" spans="2:14" ht="15" customHeight="1">
      <c r="B119" s="110">
        <v>2</v>
      </c>
      <c r="C119" s="142" t="s">
        <v>713</v>
      </c>
      <c r="D119" s="143" t="s">
        <v>401</v>
      </c>
      <c r="E119" s="142" t="s">
        <v>714</v>
      </c>
      <c r="F119" s="142" t="s">
        <v>657</v>
      </c>
      <c r="G119" s="145">
        <v>8.8000000000000005E-3</v>
      </c>
      <c r="H119" s="111" t="s">
        <v>708</v>
      </c>
      <c r="I119" s="145" t="s">
        <v>709</v>
      </c>
    </row>
    <row r="120" spans="2:14" ht="15" customHeight="1">
      <c r="B120" s="110">
        <v>3</v>
      </c>
      <c r="C120" s="142" t="s">
        <v>713</v>
      </c>
      <c r="D120" s="143" t="s">
        <v>402</v>
      </c>
      <c r="E120" s="142" t="s">
        <v>715</v>
      </c>
      <c r="F120" s="142" t="s">
        <v>657</v>
      </c>
      <c r="G120" s="145">
        <v>2.7020260104150901E-2</v>
      </c>
      <c r="H120" s="111" t="s">
        <v>708</v>
      </c>
      <c r="I120" s="145" t="s">
        <v>655</v>
      </c>
    </row>
    <row r="121" spans="2:14" ht="15" customHeight="1">
      <c r="B121" s="110">
        <v>4</v>
      </c>
      <c r="C121" s="142" t="s">
        <v>713</v>
      </c>
      <c r="D121" s="143" t="s">
        <v>404</v>
      </c>
      <c r="E121" s="142" t="s">
        <v>716</v>
      </c>
      <c r="F121" s="142" t="s">
        <v>657</v>
      </c>
      <c r="G121" s="145">
        <v>0.37142761569327498</v>
      </c>
      <c r="H121" s="111" t="s">
        <v>717</v>
      </c>
      <c r="I121" s="145" t="s">
        <v>655</v>
      </c>
    </row>
    <row r="122" spans="2:14" ht="15" customHeight="1">
      <c r="B122" s="110">
        <v>5</v>
      </c>
      <c r="C122" s="142" t="s">
        <v>713</v>
      </c>
      <c r="D122" s="143" t="s">
        <v>406</v>
      </c>
      <c r="E122" s="142" t="s">
        <v>716</v>
      </c>
      <c r="F122" s="142" t="s">
        <v>657</v>
      </c>
      <c r="G122" s="145">
        <v>0.37142761569327498</v>
      </c>
      <c r="H122" s="111" t="s">
        <v>717</v>
      </c>
      <c r="I122" s="145" t="s">
        <v>655</v>
      </c>
    </row>
    <row r="124" spans="2:14" ht="15.75">
      <c r="B124" s="624" t="s">
        <v>462</v>
      </c>
      <c r="C124" s="624" t="s">
        <v>594</v>
      </c>
      <c r="D124" s="624" t="s">
        <v>463</v>
      </c>
      <c r="E124" s="628" t="s">
        <v>648</v>
      </c>
      <c r="F124" s="625" t="s">
        <v>224</v>
      </c>
      <c r="G124" s="626"/>
      <c r="H124" s="623" t="s">
        <v>718</v>
      </c>
      <c r="I124" s="624"/>
      <c r="J124" s="623" t="s">
        <v>24</v>
      </c>
    </row>
    <row r="125" spans="2:14" ht="15.75">
      <c r="B125" s="624"/>
      <c r="C125" s="624"/>
      <c r="D125" s="624"/>
      <c r="E125" s="629"/>
      <c r="F125" s="128" t="s">
        <v>627</v>
      </c>
      <c r="G125" s="129" t="s">
        <v>596</v>
      </c>
      <c r="H125" s="624"/>
      <c r="I125" s="624"/>
      <c r="J125" s="624"/>
    </row>
    <row r="126" spans="2:14" ht="15" customHeight="1">
      <c r="B126" s="138">
        <v>1</v>
      </c>
      <c r="C126" s="139" t="s">
        <v>719</v>
      </c>
      <c r="D126" s="143" t="s">
        <v>412</v>
      </c>
      <c r="E126" s="138"/>
      <c r="F126" s="141">
        <v>0.78558814545949363</v>
      </c>
      <c r="G126" s="99" t="s">
        <v>633</v>
      </c>
      <c r="H126" s="621" t="s">
        <v>720</v>
      </c>
      <c r="I126" s="622"/>
      <c r="J126" s="102"/>
    </row>
    <row r="127" spans="2:14" ht="15" customHeight="1">
      <c r="B127" s="138">
        <v>2</v>
      </c>
      <c r="C127" s="139" t="s">
        <v>719</v>
      </c>
      <c r="D127" s="143" t="s">
        <v>414</v>
      </c>
      <c r="E127" s="138"/>
      <c r="F127" s="141">
        <v>1.0059728617810471</v>
      </c>
      <c r="G127" s="99" t="s">
        <v>633</v>
      </c>
      <c r="H127" s="621" t="s">
        <v>721</v>
      </c>
      <c r="I127" s="622"/>
      <c r="J127" s="161"/>
    </row>
    <row r="128" spans="2:14" ht="15" customHeight="1">
      <c r="B128" s="138">
        <v>3</v>
      </c>
      <c r="C128" s="139" t="s">
        <v>719</v>
      </c>
      <c r="D128" s="143" t="s">
        <v>415</v>
      </c>
      <c r="E128" s="138"/>
      <c r="F128" s="145">
        <v>9.545126316849975E-2</v>
      </c>
      <c r="G128" s="99" t="s">
        <v>633</v>
      </c>
      <c r="H128" s="621" t="s">
        <v>722</v>
      </c>
      <c r="I128" s="622"/>
      <c r="J128" s="161"/>
    </row>
    <row r="129" spans="2:14" ht="207.75">
      <c r="B129" s="138">
        <v>4</v>
      </c>
      <c r="C129" s="139" t="s">
        <v>719</v>
      </c>
      <c r="D129" s="143" t="s">
        <v>416</v>
      </c>
      <c r="E129" s="139" t="s">
        <v>723</v>
      </c>
      <c r="F129" s="141">
        <v>0.29021018284161199</v>
      </c>
      <c r="G129" s="99" t="s">
        <v>633</v>
      </c>
      <c r="H129" s="621" t="s">
        <v>655</v>
      </c>
      <c r="I129" s="622"/>
      <c r="J129" s="162" t="s">
        <v>724</v>
      </c>
    </row>
    <row r="130" spans="2:14">
      <c r="B130" s="77"/>
      <c r="C130" s="134"/>
      <c r="D130" s="156"/>
      <c r="E130" s="134"/>
      <c r="G130" s="163"/>
      <c r="H130" s="60"/>
      <c r="J130" s="164"/>
    </row>
    <row r="131" spans="2:14" ht="14.25">
      <c r="B131" s="627" t="s">
        <v>725</v>
      </c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</row>
    <row r="132" spans="2:14" ht="15" customHeight="1">
      <c r="B132" s="620" t="s">
        <v>462</v>
      </c>
      <c r="C132" s="620" t="s">
        <v>594</v>
      </c>
      <c r="D132" s="620" t="s">
        <v>463</v>
      </c>
      <c r="E132" s="620" t="s">
        <v>464</v>
      </c>
      <c r="F132" s="619" t="s">
        <v>595</v>
      </c>
      <c r="G132" s="620" t="s">
        <v>596</v>
      </c>
      <c r="H132" s="619" t="s">
        <v>597</v>
      </c>
      <c r="I132" s="619" t="s">
        <v>598</v>
      </c>
      <c r="J132" s="619"/>
      <c r="K132" s="619"/>
      <c r="L132" s="619" t="s">
        <v>599</v>
      </c>
      <c r="M132" s="619"/>
      <c r="N132" s="619"/>
    </row>
    <row r="133" spans="2:14" ht="15" customHeight="1">
      <c r="B133" s="620"/>
      <c r="C133" s="620"/>
      <c r="D133" s="620"/>
      <c r="E133" s="620"/>
      <c r="F133" s="619"/>
      <c r="G133" s="620"/>
      <c r="H133" s="619"/>
      <c r="I133" s="619" t="s">
        <v>600</v>
      </c>
      <c r="J133" s="619"/>
      <c r="K133" s="619"/>
      <c r="L133" s="633" t="s">
        <v>601</v>
      </c>
      <c r="M133" s="633"/>
      <c r="N133" s="633"/>
    </row>
    <row r="134" spans="2:14" ht="15.75">
      <c r="B134" s="620"/>
      <c r="C134" s="620"/>
      <c r="D134" s="620"/>
      <c r="E134" s="620"/>
      <c r="F134" s="63" t="s">
        <v>602</v>
      </c>
      <c r="G134" s="620"/>
      <c r="H134" s="63" t="s">
        <v>602</v>
      </c>
      <c r="I134" s="63" t="s">
        <v>224</v>
      </c>
      <c r="J134" s="63" t="s">
        <v>225</v>
      </c>
      <c r="K134" s="63" t="s">
        <v>226</v>
      </c>
      <c r="L134" s="63" t="s">
        <v>224</v>
      </c>
      <c r="M134" s="63" t="s">
        <v>225</v>
      </c>
      <c r="N134" s="63" t="s">
        <v>226</v>
      </c>
    </row>
    <row r="135" spans="2:14" ht="14.25">
      <c r="B135" s="110">
        <v>1</v>
      </c>
      <c r="C135" s="165" t="s">
        <v>726</v>
      </c>
      <c r="D135" s="113" t="s">
        <v>418</v>
      </c>
      <c r="E135" s="113" t="s">
        <v>263</v>
      </c>
      <c r="F135" s="110">
        <v>173.85400000000001</v>
      </c>
      <c r="G135" s="94" t="s">
        <v>606</v>
      </c>
      <c r="H135" s="166">
        <v>0.99</v>
      </c>
      <c r="I135" s="110">
        <f>44400/10^6</f>
        <v>4.4400000000000002E-2</v>
      </c>
      <c r="J135" s="110">
        <f t="shared" ref="J135" si="8">1/10^6</f>
        <v>9.9999999999999995E-7</v>
      </c>
      <c r="K135" s="167">
        <f>0.1/10^6</f>
        <v>1.0000000000000001E-7</v>
      </c>
      <c r="L135" s="110">
        <f t="shared" ref="L135" si="9">F135*H135*I135</f>
        <v>7.6419264240000011</v>
      </c>
      <c r="M135" s="168">
        <f t="shared" ref="M135" si="10">F135*H135*J135</f>
        <v>1.7211546000000001E-4</v>
      </c>
      <c r="N135" s="110">
        <f t="shared" ref="N135" si="11">F135*H135*K135</f>
        <v>1.7211546000000002E-5</v>
      </c>
    </row>
    <row r="136" spans="2:14">
      <c r="B136" s="77"/>
      <c r="C136" s="78"/>
      <c r="D136" s="79"/>
      <c r="E136" s="79"/>
      <c r="F136" s="77"/>
      <c r="G136" s="80"/>
      <c r="H136" s="81"/>
      <c r="I136" s="77"/>
      <c r="J136" s="77"/>
      <c r="K136" s="82"/>
      <c r="L136" s="77"/>
      <c r="M136" s="83"/>
      <c r="N136" s="77"/>
    </row>
    <row r="137" spans="2:14" ht="14.25">
      <c r="B137" s="627" t="s">
        <v>727</v>
      </c>
      <c r="C137" s="627"/>
      <c r="D137" s="627"/>
      <c r="E137" s="627"/>
      <c r="F137" s="627"/>
      <c r="G137" s="627"/>
      <c r="H137" s="627"/>
      <c r="I137" s="627"/>
      <c r="J137" s="82"/>
      <c r="K137" s="77"/>
      <c r="L137" s="83"/>
      <c r="M137" s="77"/>
    </row>
    <row r="138" spans="2:14" ht="15.75">
      <c r="B138" s="624" t="s">
        <v>462</v>
      </c>
      <c r="C138" s="624" t="s">
        <v>594</v>
      </c>
      <c r="D138" s="624" t="s">
        <v>463</v>
      </c>
      <c r="E138" s="624" t="s">
        <v>648</v>
      </c>
      <c r="F138" s="623" t="s">
        <v>649</v>
      </c>
      <c r="G138" s="624" t="s">
        <v>224</v>
      </c>
      <c r="H138" s="624"/>
      <c r="I138" s="129" t="s">
        <v>650</v>
      </c>
    </row>
    <row r="139" spans="2:14" ht="15.75">
      <c r="B139" s="624"/>
      <c r="C139" s="624"/>
      <c r="D139" s="624"/>
      <c r="E139" s="624"/>
      <c r="F139" s="624"/>
      <c r="G139" s="128" t="s">
        <v>627</v>
      </c>
      <c r="H139" s="129" t="s">
        <v>596</v>
      </c>
      <c r="I139" s="129" t="s">
        <v>651</v>
      </c>
    </row>
    <row r="140" spans="2:14" ht="24">
      <c r="B140" s="110">
        <v>1</v>
      </c>
      <c r="C140" s="169" t="s">
        <v>728</v>
      </c>
      <c r="D140" s="140" t="str">
        <f>表1温室气体盘查表!C98</f>
        <v>产品报废</v>
      </c>
      <c r="E140" s="169" t="s">
        <v>729</v>
      </c>
      <c r="F140" s="169" t="s">
        <v>657</v>
      </c>
      <c r="G140" s="145">
        <v>6.2630124048458496E-3</v>
      </c>
      <c r="H140" s="111" t="s">
        <v>633</v>
      </c>
      <c r="I140" s="145" t="s">
        <v>655</v>
      </c>
    </row>
  </sheetData>
  <mergeCells count="100">
    <mergeCell ref="K35:K36"/>
    <mergeCell ref="L35:L36"/>
    <mergeCell ref="H124:I125"/>
    <mergeCell ref="G2:G4"/>
    <mergeCell ref="G17:G18"/>
    <mergeCell ref="F124:G124"/>
    <mergeCell ref="H43:N43"/>
    <mergeCell ref="H44:N44"/>
    <mergeCell ref="H45:N45"/>
    <mergeCell ref="G47:H47"/>
    <mergeCell ref="F74:G74"/>
    <mergeCell ref="I2:K2"/>
    <mergeCell ref="L2:N2"/>
    <mergeCell ref="I3:K3"/>
    <mergeCell ref="L3:N3"/>
    <mergeCell ref="H41:I41"/>
    <mergeCell ref="G132:G134"/>
    <mergeCell ref="H2:H3"/>
    <mergeCell ref="H35:H36"/>
    <mergeCell ref="H132:H133"/>
    <mergeCell ref="E124:E125"/>
    <mergeCell ref="E132:E134"/>
    <mergeCell ref="E17:E18"/>
    <mergeCell ref="E35:E36"/>
    <mergeCell ref="E47:E48"/>
    <mergeCell ref="E74:E75"/>
    <mergeCell ref="B131:N131"/>
    <mergeCell ref="I132:K132"/>
    <mergeCell ref="L132:N132"/>
    <mergeCell ref="I133:K133"/>
    <mergeCell ref="L133:N133"/>
    <mergeCell ref="C132:C134"/>
    <mergeCell ref="E138:E139"/>
    <mergeCell ref="F2:F3"/>
    <mergeCell ref="F47:F48"/>
    <mergeCell ref="F86:F87"/>
    <mergeCell ref="F98:F99"/>
    <mergeCell ref="F104:F105"/>
    <mergeCell ref="F110:F111"/>
    <mergeCell ref="F116:F117"/>
    <mergeCell ref="F132:F133"/>
    <mergeCell ref="F138:F139"/>
    <mergeCell ref="E86:E87"/>
    <mergeCell ref="E98:E99"/>
    <mergeCell ref="E104:E105"/>
    <mergeCell ref="E110:E111"/>
    <mergeCell ref="E116:E117"/>
    <mergeCell ref="E2:E4"/>
    <mergeCell ref="C138:C139"/>
    <mergeCell ref="D2:D4"/>
    <mergeCell ref="D17:D18"/>
    <mergeCell ref="D35:D36"/>
    <mergeCell ref="D47:D48"/>
    <mergeCell ref="D74:D75"/>
    <mergeCell ref="D86:D87"/>
    <mergeCell ref="D98:D99"/>
    <mergeCell ref="D104:D105"/>
    <mergeCell ref="D110:D111"/>
    <mergeCell ref="D116:D117"/>
    <mergeCell ref="D124:D125"/>
    <mergeCell ref="D132:D134"/>
    <mergeCell ref="D138:D139"/>
    <mergeCell ref="C98:C99"/>
    <mergeCell ref="C104:C105"/>
    <mergeCell ref="C110:C111"/>
    <mergeCell ref="C116:C117"/>
    <mergeCell ref="C124:C125"/>
    <mergeCell ref="C17:C18"/>
    <mergeCell ref="C35:C36"/>
    <mergeCell ref="C47:C48"/>
    <mergeCell ref="C74:C75"/>
    <mergeCell ref="C86:C87"/>
    <mergeCell ref="B137:I137"/>
    <mergeCell ref="G138:H138"/>
    <mergeCell ref="B2:B4"/>
    <mergeCell ref="B17:B18"/>
    <mergeCell ref="B35:B36"/>
    <mergeCell ref="B47:B48"/>
    <mergeCell ref="B74:B75"/>
    <mergeCell ref="B86:B87"/>
    <mergeCell ref="B98:B99"/>
    <mergeCell ref="B104:B105"/>
    <mergeCell ref="B110:B111"/>
    <mergeCell ref="B116:B117"/>
    <mergeCell ref="B124:B125"/>
    <mergeCell ref="B132:B134"/>
    <mergeCell ref="B138:B139"/>
    <mergeCell ref="C2:C4"/>
    <mergeCell ref="H128:I128"/>
    <mergeCell ref="H129:I129"/>
    <mergeCell ref="G86:H86"/>
    <mergeCell ref="G98:H98"/>
    <mergeCell ref="G104:H104"/>
    <mergeCell ref="G110:H110"/>
    <mergeCell ref="G116:H116"/>
    <mergeCell ref="I35:I36"/>
    <mergeCell ref="J35:J36"/>
    <mergeCell ref="H126:I126"/>
    <mergeCell ref="H127:I127"/>
    <mergeCell ref="J124:J125"/>
  </mergeCells>
  <phoneticPr fontId="89" type="noConversion"/>
  <dataValidations disablePrompts="1" count="6">
    <dataValidation type="list" allowBlank="1" showInputMessage="1" showErrorMessage="1" sqref="D33 D39:D41" xr:uid="{00000000-0002-0000-0900-000000000000}">
      <formula1>#REF!</formula1>
    </dataValidation>
    <dataValidation type="list" allowBlank="1" showInputMessage="1" showErrorMessage="1" sqref="G33" xr:uid="{00000000-0002-0000-0900-000001000000}">
      <formula1>"KJ/kg,KJ/M3"</formula1>
    </dataValidation>
    <dataValidation type="list" allowBlank="1" showInputMessage="1" showErrorMessage="1" sqref="I33 F39:F41" xr:uid="{00000000-0002-0000-0900-000002000000}">
      <formula1>"kgCO2/TJ"</formula1>
    </dataValidation>
    <dataValidation type="list" allowBlank="1" showInputMessage="1" showErrorMessage="1" sqref="K33" xr:uid="{00000000-0002-0000-0900-000003000000}">
      <formula1>"kgCO2/kg,kgCO2/M3"</formula1>
    </dataValidation>
    <dataValidation type="list" allowBlank="1" showInputMessage="1" showErrorMessage="1" sqref="E39" xr:uid="{00000000-0002-0000-0900-000004000000}">
      <formula1>$T$3:$T$34</formula1>
    </dataValidation>
    <dataValidation type="list" allowBlank="1" showInputMessage="1" showErrorMessage="1" sqref="K39:K40" xr:uid="{00000000-0002-0000-0900-000005000000}">
      <formula1>"kgCH4/kg,kgCH4/M3,kgCH4/kgBOD"</formula1>
    </dataValidation>
  </dataValidations>
  <pageMargins left="0.59055118110236204" right="0.55118110236220497" top="0.43307086614173201" bottom="0.90551181102362199" header="0.39370078740157499" footer="0.35433070866141703"/>
  <pageSetup paperSize="9" scale="79" fitToWidth="2" orientation="landscape"/>
  <headerFooter alignWithMargins="0">
    <oddFooter>&amp;L文件名稱：DMC溫室氣體盤查填表　&amp;C發行日期：2009-12-25
實施日期：2009-12-25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2:G12"/>
  <sheetViews>
    <sheetView workbookViewId="0">
      <selection activeCell="L11" sqref="L11"/>
    </sheetView>
  </sheetViews>
  <sheetFormatPr defaultColWidth="8.75" defaultRowHeight="14.25"/>
  <cols>
    <col min="1" max="1" width="9" style="42"/>
    <col min="2" max="2" width="5" style="42" customWidth="1"/>
    <col min="3" max="3" width="18.625" style="42" customWidth="1"/>
    <col min="4" max="4" width="56.5" style="42" customWidth="1"/>
    <col min="5" max="5" width="9.75" style="42" customWidth="1"/>
    <col min="6" max="6" width="9" style="42"/>
    <col min="7" max="7" width="12" style="42" customWidth="1"/>
    <col min="8" max="32" width="9" style="42"/>
    <col min="33" max="16384" width="8.75" style="42"/>
  </cols>
  <sheetData>
    <row r="2" spans="2:7" ht="18.75">
      <c r="B2" s="640" t="s">
        <v>730</v>
      </c>
      <c r="C2" s="640"/>
      <c r="D2" s="641"/>
      <c r="E2" s="640"/>
      <c r="F2" s="640"/>
      <c r="G2" s="641"/>
    </row>
    <row r="3" spans="2:7" ht="27">
      <c r="B3" s="43" t="s">
        <v>731</v>
      </c>
      <c r="C3" s="44" t="s">
        <v>732</v>
      </c>
      <c r="D3" s="45" t="s">
        <v>733</v>
      </c>
      <c r="E3" s="44" t="s">
        <v>734</v>
      </c>
      <c r="F3" s="44" t="s">
        <v>735</v>
      </c>
      <c r="G3" s="45" t="s">
        <v>736</v>
      </c>
    </row>
    <row r="4" spans="2:7" ht="54">
      <c r="B4" s="46">
        <v>1</v>
      </c>
      <c r="C4" s="47" t="s">
        <v>737</v>
      </c>
      <c r="D4" s="48" t="s">
        <v>738</v>
      </c>
      <c r="E4" s="46" t="s">
        <v>739</v>
      </c>
      <c r="F4" s="47" t="s">
        <v>740</v>
      </c>
      <c r="G4" s="48" t="s">
        <v>741</v>
      </c>
    </row>
    <row r="5" spans="2:7" ht="40.5">
      <c r="B5" s="46">
        <v>2</v>
      </c>
      <c r="C5" s="47" t="s">
        <v>742</v>
      </c>
      <c r="D5" s="48" t="s">
        <v>743</v>
      </c>
      <c r="E5" s="46" t="s">
        <v>739</v>
      </c>
      <c r="F5" s="47" t="s">
        <v>740</v>
      </c>
      <c r="G5" s="48" t="s">
        <v>744</v>
      </c>
    </row>
    <row r="6" spans="2:7" ht="27">
      <c r="B6" s="46">
        <v>3</v>
      </c>
      <c r="C6" s="47" t="s">
        <v>745</v>
      </c>
      <c r="D6" s="49" t="s">
        <v>746</v>
      </c>
      <c r="E6" s="46" t="s">
        <v>739</v>
      </c>
      <c r="F6" s="47" t="s">
        <v>740</v>
      </c>
      <c r="G6" s="48" t="s">
        <v>747</v>
      </c>
    </row>
    <row r="7" spans="2:7" ht="81">
      <c r="B7" s="46">
        <v>4</v>
      </c>
      <c r="C7" s="47" t="s">
        <v>748</v>
      </c>
      <c r="D7" s="49" t="s">
        <v>749</v>
      </c>
      <c r="E7" s="46" t="s">
        <v>739</v>
      </c>
      <c r="F7" s="47" t="s">
        <v>740</v>
      </c>
      <c r="G7" s="48" t="s">
        <v>750</v>
      </c>
    </row>
    <row r="8" spans="2:7">
      <c r="B8" s="50"/>
      <c r="C8" s="50"/>
      <c r="D8" s="51"/>
      <c r="E8" s="50"/>
      <c r="F8" s="50"/>
      <c r="G8" s="51"/>
    </row>
    <row r="9" spans="2:7" ht="18.75">
      <c r="B9" s="642" t="s">
        <v>751</v>
      </c>
      <c r="C9" s="642"/>
      <c r="D9" s="643"/>
      <c r="E9" s="642"/>
      <c r="F9" s="642"/>
      <c r="G9" s="643"/>
    </row>
    <row r="10" spans="2:7" ht="27">
      <c r="B10" s="43" t="s">
        <v>731</v>
      </c>
      <c r="C10" s="52" t="s">
        <v>732</v>
      </c>
      <c r="D10" s="53" t="s">
        <v>733</v>
      </c>
      <c r="E10" s="52" t="s">
        <v>734</v>
      </c>
      <c r="F10" s="52" t="s">
        <v>735</v>
      </c>
      <c r="G10" s="53" t="s">
        <v>736</v>
      </c>
    </row>
    <row r="11" spans="2:7" ht="60">
      <c r="B11" s="46">
        <v>1</v>
      </c>
      <c r="C11" s="54" t="s">
        <v>752</v>
      </c>
      <c r="D11" s="55" t="s">
        <v>753</v>
      </c>
      <c r="E11" s="54" t="s">
        <v>739</v>
      </c>
      <c r="F11" s="54" t="s">
        <v>754</v>
      </c>
      <c r="G11" s="55" t="s">
        <v>755</v>
      </c>
    </row>
    <row r="12" spans="2:7" ht="48">
      <c r="B12" s="46">
        <v>2</v>
      </c>
      <c r="C12" s="54" t="s">
        <v>756</v>
      </c>
      <c r="D12" s="55" t="s">
        <v>757</v>
      </c>
      <c r="E12" s="54" t="s">
        <v>739</v>
      </c>
      <c r="F12" s="54" t="s">
        <v>754</v>
      </c>
      <c r="G12" s="55" t="s">
        <v>758</v>
      </c>
    </row>
  </sheetData>
  <mergeCells count="2">
    <mergeCell ref="B2:G2"/>
    <mergeCell ref="B9:G9"/>
  </mergeCells>
  <phoneticPr fontId="89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65"/>
  <sheetViews>
    <sheetView showGridLines="0" topLeftCell="A79" zoomScale="145" zoomScaleNormal="145" zoomScalePageLayoutView="85" workbookViewId="0">
      <selection activeCell="A5" sqref="A5:A97"/>
    </sheetView>
  </sheetViews>
  <sheetFormatPr defaultColWidth="8.75" defaultRowHeight="15"/>
  <cols>
    <col min="1" max="1" width="3.375" style="21" customWidth="1"/>
    <col min="2" max="2" width="18.625" style="21" customWidth="1"/>
    <col min="3" max="3" width="8.5" style="22" customWidth="1"/>
    <col min="4" max="4" width="5.375" style="22" customWidth="1"/>
    <col min="5" max="5" width="11.375" style="21" customWidth="1"/>
    <col min="6" max="6" width="4.875" style="21" customWidth="1"/>
    <col min="7" max="7" width="12.375" style="21" hidden="1" customWidth="1"/>
    <col min="8" max="8" width="29.875" style="21" hidden="1" customWidth="1"/>
    <col min="9" max="9" width="6.625" style="21" hidden="1" customWidth="1"/>
    <col min="10" max="10" width="11.125" style="21" hidden="1" customWidth="1"/>
    <col min="11" max="11" width="13.5" style="21" hidden="1" customWidth="1"/>
    <col min="12" max="12" width="7.5" style="21" hidden="1" customWidth="1"/>
    <col min="13" max="13" width="9.75" style="21" hidden="1" customWidth="1"/>
    <col min="14" max="14" width="11.5" style="21" hidden="1" customWidth="1"/>
    <col min="15" max="15" width="8.125" style="21" hidden="1" customWidth="1"/>
    <col min="16" max="16" width="8.5" style="21" hidden="1" customWidth="1"/>
    <col min="17" max="17" width="10.375" style="21" hidden="1" customWidth="1"/>
    <col min="18" max="18" width="9.375" style="21" hidden="1" customWidth="1"/>
    <col min="19" max="19" width="10.125" style="21" hidden="1" customWidth="1"/>
    <col min="20" max="20" width="8.5" style="21" hidden="1" customWidth="1"/>
    <col min="21" max="21" width="10.375" style="21" hidden="1" customWidth="1"/>
    <col min="22" max="22" width="6.5" style="21" hidden="1" customWidth="1"/>
    <col min="23" max="23" width="14.625" style="21" hidden="1" customWidth="1"/>
    <col min="24" max="24" width="8.5" style="21" hidden="1" customWidth="1"/>
    <col min="25" max="25" width="10.375" style="21" hidden="1" customWidth="1"/>
    <col min="26" max="26" width="6.5" style="21" hidden="1" customWidth="1"/>
    <col min="27" max="27" width="8.5" style="21" hidden="1" customWidth="1"/>
    <col min="28" max="28" width="10.375" style="21" hidden="1" customWidth="1"/>
    <col min="29" max="29" width="6.5" style="21" hidden="1" customWidth="1"/>
    <col min="30" max="30" width="7.875" style="21" customWidth="1"/>
    <col min="31" max="31" width="5.25" style="21" customWidth="1"/>
    <col min="32" max="32" width="5.875" style="21" customWidth="1"/>
    <col min="33" max="33" width="5.25" style="21" customWidth="1"/>
    <col min="34" max="34" width="3.75" style="21" customWidth="1"/>
    <col min="35" max="36" width="3.125" style="21" customWidth="1"/>
    <col min="37" max="37" width="7.875" style="21" customWidth="1"/>
    <col min="38" max="63" width="9" style="21"/>
    <col min="64" max="16384" width="8.75" style="21"/>
  </cols>
  <sheetData>
    <row r="1" spans="1:37" ht="33.75" customHeight="1">
      <c r="A1" s="644" t="s">
        <v>759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  <c r="AJ1" s="577"/>
      <c r="AK1" s="577"/>
    </row>
    <row r="2" spans="1:37" s="15" customFormat="1" ht="16.5" customHeight="1">
      <c r="A2" s="645" t="s">
        <v>760</v>
      </c>
      <c r="B2" s="645" t="s">
        <v>761</v>
      </c>
      <c r="C2" s="646" t="s">
        <v>762</v>
      </c>
      <c r="D2" s="646" t="s">
        <v>763</v>
      </c>
      <c r="E2" s="645" t="s">
        <v>764</v>
      </c>
      <c r="F2" s="645"/>
      <c r="G2" s="645" t="s">
        <v>765</v>
      </c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5"/>
      <c r="AA2" s="645"/>
      <c r="AB2" s="645"/>
      <c r="AC2" s="645"/>
      <c r="AD2" s="645" t="s">
        <v>766</v>
      </c>
      <c r="AE2" s="645"/>
      <c r="AF2" s="645"/>
      <c r="AG2" s="645"/>
      <c r="AH2" s="645"/>
      <c r="AI2" s="645"/>
      <c r="AJ2" s="645"/>
      <c r="AK2" s="645"/>
    </row>
    <row r="3" spans="1:37" s="15" customFormat="1" ht="15.75">
      <c r="A3" s="645"/>
      <c r="B3" s="645"/>
      <c r="C3" s="646"/>
      <c r="D3" s="646"/>
      <c r="E3" s="645"/>
      <c r="F3" s="645"/>
      <c r="G3" s="645" t="s">
        <v>224</v>
      </c>
      <c r="H3" s="645"/>
      <c r="I3" s="645"/>
      <c r="J3" s="645" t="s">
        <v>225</v>
      </c>
      <c r="K3" s="645"/>
      <c r="L3" s="645"/>
      <c r="M3" s="645" t="s">
        <v>226</v>
      </c>
      <c r="N3" s="645"/>
      <c r="O3" s="645"/>
      <c r="P3" s="645" t="s">
        <v>29</v>
      </c>
      <c r="Q3" s="645"/>
      <c r="R3" s="645"/>
      <c r="S3" s="645"/>
      <c r="T3" s="645" t="s">
        <v>30</v>
      </c>
      <c r="U3" s="645"/>
      <c r="V3" s="645"/>
      <c r="W3" s="645"/>
      <c r="X3" s="645" t="s">
        <v>227</v>
      </c>
      <c r="Y3" s="645"/>
      <c r="Z3" s="645"/>
      <c r="AA3" s="645" t="s">
        <v>228</v>
      </c>
      <c r="AB3" s="645"/>
      <c r="AC3" s="645"/>
      <c r="AD3" s="23" t="str">
        <f>G3</f>
        <v>CO2</v>
      </c>
      <c r="AE3" s="23" t="str">
        <f>J3</f>
        <v>CH4</v>
      </c>
      <c r="AF3" s="23" t="str">
        <f>M3</f>
        <v>N2O</v>
      </c>
      <c r="AG3" s="23" t="str">
        <f>P3</f>
        <v>HFCs</v>
      </c>
      <c r="AH3" s="23" t="str">
        <f>T3</f>
        <v>PFCs</v>
      </c>
      <c r="AI3" s="23" t="str">
        <f>X3</f>
        <v>SF6</v>
      </c>
      <c r="AJ3" s="23" t="str">
        <f>AA3</f>
        <v>NF3</v>
      </c>
      <c r="AK3" s="23" t="s">
        <v>767</v>
      </c>
    </row>
    <row r="4" spans="1:37" s="15" customFormat="1" ht="15.75">
      <c r="A4" s="645"/>
      <c r="B4" s="645"/>
      <c r="C4" s="646"/>
      <c r="D4" s="646"/>
      <c r="E4" s="23" t="s">
        <v>768</v>
      </c>
      <c r="F4" s="23" t="s">
        <v>769</v>
      </c>
      <c r="G4" s="23" t="s">
        <v>233</v>
      </c>
      <c r="H4" s="23" t="s">
        <v>769</v>
      </c>
      <c r="I4" s="23" t="s">
        <v>234</v>
      </c>
      <c r="J4" s="23" t="s">
        <v>233</v>
      </c>
      <c r="K4" s="23" t="s">
        <v>769</v>
      </c>
      <c r="L4" s="23" t="s">
        <v>234</v>
      </c>
      <c r="M4" s="23" t="s">
        <v>233</v>
      </c>
      <c r="N4" s="23" t="s">
        <v>769</v>
      </c>
      <c r="O4" s="23" t="s">
        <v>234</v>
      </c>
      <c r="P4" s="23" t="s">
        <v>233</v>
      </c>
      <c r="Q4" s="23" t="s">
        <v>769</v>
      </c>
      <c r="R4" s="23" t="s">
        <v>234</v>
      </c>
      <c r="S4" s="23" t="s">
        <v>770</v>
      </c>
      <c r="T4" s="23" t="s">
        <v>233</v>
      </c>
      <c r="U4" s="23" t="s">
        <v>769</v>
      </c>
      <c r="V4" s="23" t="s">
        <v>234</v>
      </c>
      <c r="W4" s="23" t="s">
        <v>770</v>
      </c>
      <c r="X4" s="23" t="s">
        <v>233</v>
      </c>
      <c r="Y4" s="23" t="s">
        <v>769</v>
      </c>
      <c r="Z4" s="23" t="s">
        <v>234</v>
      </c>
      <c r="AA4" s="23" t="s">
        <v>233</v>
      </c>
      <c r="AB4" s="23" t="s">
        <v>769</v>
      </c>
      <c r="AC4" s="23" t="s">
        <v>234</v>
      </c>
      <c r="AD4" s="645" t="s">
        <v>236</v>
      </c>
      <c r="AE4" s="645"/>
      <c r="AF4" s="645"/>
      <c r="AG4" s="645"/>
      <c r="AH4" s="645"/>
      <c r="AI4" s="645"/>
      <c r="AJ4" s="645"/>
      <c r="AK4" s="645"/>
    </row>
    <row r="5" spans="1:37" s="15" customFormat="1" ht="15.75">
      <c r="A5" s="24">
        <v>1</v>
      </c>
      <c r="B5" s="25" t="str">
        <f>表1温室气体盘查表!B5</f>
        <v>固定燃烧</v>
      </c>
      <c r="C5" s="26" t="str">
        <f>表1温室气体盘查表!C5</f>
        <v>天然气燃烧</v>
      </c>
      <c r="D5" s="27" t="str">
        <f>表1温室气体盘查表!E5</f>
        <v>范围一</v>
      </c>
      <c r="E5" s="28">
        <f>表1温室气体盘查表!F5</f>
        <v>1454</v>
      </c>
      <c r="F5" s="29" t="str">
        <f>表1温室气体盘查表!G5</f>
        <v>10000Nm3</v>
      </c>
      <c r="G5" s="30">
        <f>'附表2-EF'!K5*10</f>
        <v>1.0000000000000002E-6</v>
      </c>
      <c r="H5" s="29" t="s">
        <v>244</v>
      </c>
      <c r="I5" s="31">
        <f>'附表1-GWP TABLE'!E3</f>
        <v>1</v>
      </c>
      <c r="J5" s="32"/>
      <c r="K5" s="29"/>
      <c r="L5" s="31"/>
      <c r="M5" s="32"/>
      <c r="N5" s="29"/>
      <c r="O5" s="31"/>
      <c r="P5" s="33"/>
      <c r="Q5" s="34"/>
      <c r="R5" s="35"/>
      <c r="S5" s="34"/>
      <c r="T5" s="32"/>
      <c r="U5" s="29"/>
      <c r="V5" s="36"/>
      <c r="W5" s="29"/>
      <c r="X5" s="32"/>
      <c r="Y5" s="29"/>
      <c r="Z5" s="31"/>
      <c r="AA5" s="32"/>
      <c r="AB5" s="34"/>
      <c r="AC5" s="31"/>
      <c r="AD5" s="37">
        <f>表1温室气体盘查表!AF5</f>
        <v>31438.225282859999</v>
      </c>
      <c r="AE5" s="37">
        <f>表1温室气体盘查表!AG5</f>
        <v>15.635053215539997</v>
      </c>
      <c r="AF5" s="37">
        <f>表1温室气体盘查表!AH5</f>
        <v>15.298815511980003</v>
      </c>
      <c r="AG5" s="37">
        <f>表1温室气体盘查表!AI5</f>
        <v>0</v>
      </c>
      <c r="AH5" s="37">
        <f>表1温室气体盘查表!AJ5</f>
        <v>0</v>
      </c>
      <c r="AI5" s="37">
        <f>表1温室气体盘查表!AK5</f>
        <v>0</v>
      </c>
      <c r="AJ5" s="37">
        <f>表1温室气体盘查表!AL5</f>
        <v>0</v>
      </c>
      <c r="AK5" s="37">
        <f>表1温室气体盘查表!AM5</f>
        <v>31469.159151587519</v>
      </c>
    </row>
    <row r="6" spans="1:37" s="16" customFormat="1" ht="14.25">
      <c r="A6" s="24">
        <v>2</v>
      </c>
      <c r="B6" s="25" t="str">
        <f>表1温室气体盘查表!B6</f>
        <v>固定燃烧</v>
      </c>
      <c r="C6" s="26" t="str">
        <f>表1温室气体盘查表!C6</f>
        <v>液化石油气燃烧</v>
      </c>
      <c r="D6" s="27" t="str">
        <f>表1温室气体盘查表!E6</f>
        <v>范围一</v>
      </c>
      <c r="E6" s="28">
        <f>表1温室气体盘查表!F6</f>
        <v>9.43</v>
      </c>
      <c r="F6" s="29" t="str">
        <f>表1温室气体盘查表!G6</f>
        <v>t</v>
      </c>
      <c r="G6" s="30">
        <f>'附表2-EF'!K6*10</f>
        <v>1.0000000000000002E-6</v>
      </c>
      <c r="H6" s="29" t="s">
        <v>771</v>
      </c>
      <c r="I6" s="31">
        <f>'附表1-GWP TABLE'!E4</f>
        <v>27.9</v>
      </c>
      <c r="J6" s="32"/>
      <c r="K6" s="29"/>
      <c r="L6" s="31"/>
      <c r="M6" s="32"/>
      <c r="N6" s="29"/>
      <c r="O6" s="31"/>
      <c r="P6" s="33"/>
      <c r="Q6" s="34"/>
      <c r="R6" s="35"/>
      <c r="S6" s="34"/>
      <c r="T6" s="32"/>
      <c r="U6" s="29"/>
      <c r="V6" s="36"/>
      <c r="W6" s="29"/>
      <c r="X6" s="32"/>
      <c r="Y6" s="29"/>
      <c r="Z6" s="31"/>
      <c r="AA6" s="32"/>
      <c r="AB6" s="34"/>
      <c r="AC6" s="31"/>
      <c r="AD6" s="37">
        <f>表1温室气体盘查表!AF6</f>
        <v>29.260997688860005</v>
      </c>
      <c r="AE6" s="37">
        <f>表1温室气体盘查表!AG6</f>
        <v>1.2937905475739997E-2</v>
      </c>
      <c r="AF6" s="37">
        <f>表1温室气体盘查表!AH6</f>
        <v>1.2659670949380001E-2</v>
      </c>
      <c r="AG6" s="37">
        <f>表1温室气体盘查表!AI6</f>
        <v>0</v>
      </c>
      <c r="AH6" s="37">
        <f>表1温室气体盘查表!AJ6</f>
        <v>0</v>
      </c>
      <c r="AI6" s="37">
        <f>表1温室气体盘查表!AK6</f>
        <v>0</v>
      </c>
      <c r="AJ6" s="37">
        <f>表1温室气体盘查表!AL6</f>
        <v>0</v>
      </c>
      <c r="AK6" s="37">
        <f>表1温室气体盘查表!AM6</f>
        <v>29.286595265285126</v>
      </c>
    </row>
    <row r="7" spans="1:37" s="15" customFormat="1" ht="15.75">
      <c r="A7" s="24">
        <v>3</v>
      </c>
      <c r="B7" s="25" t="str">
        <f>表1温室气体盘查表!B7</f>
        <v>固定燃烧</v>
      </c>
      <c r="C7" s="26" t="str">
        <f>表1温室气体盘查表!C7</f>
        <v>烟煤燃烧</v>
      </c>
      <c r="D7" s="27" t="str">
        <f>表1温室气体盘查表!E7</f>
        <v>范围一</v>
      </c>
      <c r="E7" s="28">
        <f>表1温室气体盘查表!F7</f>
        <v>323067.87000000005</v>
      </c>
      <c r="F7" s="29" t="str">
        <f>表1温室气体盘查表!G7</f>
        <v>t</v>
      </c>
      <c r="G7" s="30">
        <f>'附表2-EF'!K7*10</f>
        <v>1.5E-5</v>
      </c>
      <c r="H7" s="29" t="s">
        <v>772</v>
      </c>
      <c r="I7" s="31">
        <f>'附表1-GWP TABLE'!E5</f>
        <v>273</v>
      </c>
      <c r="J7" s="32"/>
      <c r="K7" s="29"/>
      <c r="L7" s="31"/>
      <c r="M7" s="32"/>
      <c r="N7" s="29"/>
      <c r="O7" s="31"/>
      <c r="P7" s="33"/>
      <c r="Q7" s="34"/>
      <c r="R7" s="35"/>
      <c r="S7" s="34"/>
      <c r="T7" s="32"/>
      <c r="U7" s="29"/>
      <c r="V7" s="36"/>
      <c r="W7" s="29"/>
      <c r="X7" s="32"/>
      <c r="Y7" s="29"/>
      <c r="Z7" s="31"/>
      <c r="AA7" s="32"/>
      <c r="AB7" s="34"/>
      <c r="AC7" s="31"/>
      <c r="AD7" s="37">
        <f>表1温室气体盘查表!AF7</f>
        <v>746259.74279609555</v>
      </c>
      <c r="AE7" s="37">
        <f>表1温室气体盘查表!AG7</f>
        <v>211.80719047824078</v>
      </c>
      <c r="AF7" s="37">
        <f>表1温室气体盘查表!AH7</f>
        <v>3108.7829570193403</v>
      </c>
      <c r="AG7" s="37">
        <f>表1温室气体盘查表!AI7</f>
        <v>0</v>
      </c>
      <c r="AH7" s="37">
        <f>表1温室气体盘查表!AJ7</f>
        <v>0</v>
      </c>
      <c r="AI7" s="37">
        <f>表1温室气体盘查表!AK7</f>
        <v>0</v>
      </c>
      <c r="AJ7" s="37">
        <f>表1温室气体盘查表!AL7</f>
        <v>0</v>
      </c>
      <c r="AK7" s="37">
        <f>表1温室气体盘查表!AM7</f>
        <v>749580.33294359304</v>
      </c>
    </row>
    <row r="8" spans="1:37" s="15" customFormat="1" ht="15.75">
      <c r="A8" s="24">
        <v>4</v>
      </c>
      <c r="B8" s="25" t="str">
        <f>表1温室气体盘查表!B8</f>
        <v>固定燃烧</v>
      </c>
      <c r="C8" s="26" t="str">
        <f>表1温室气体盘查表!C8</f>
        <v>无烟煤燃烧</v>
      </c>
      <c r="D8" s="27" t="str">
        <f>表1温室气体盘查表!E8</f>
        <v>范围一</v>
      </c>
      <c r="E8" s="28">
        <f>表1温室气体盘查表!F8</f>
        <v>335482.33</v>
      </c>
      <c r="F8" s="29" t="str">
        <f>表1温室气体盘查表!G8</f>
        <v>t</v>
      </c>
      <c r="G8" s="30">
        <f>'附表2-EF'!K8*10</f>
        <v>1.5E-5</v>
      </c>
      <c r="H8" s="29" t="s">
        <v>773</v>
      </c>
      <c r="I8" s="31">
        <f>'附表1-GWP TABLE'!E6</f>
        <v>0</v>
      </c>
      <c r="J8" s="32"/>
      <c r="K8" s="29"/>
      <c r="L8" s="31"/>
      <c r="M8" s="32"/>
      <c r="N8" s="29"/>
      <c r="O8" s="31"/>
      <c r="P8" s="33"/>
      <c r="Q8" s="34"/>
      <c r="R8" s="35"/>
      <c r="S8" s="34"/>
      <c r="T8" s="32"/>
      <c r="U8" s="29"/>
      <c r="V8" s="36"/>
      <c r="W8" s="29"/>
      <c r="X8" s="32"/>
      <c r="Y8" s="29"/>
      <c r="Z8" s="31"/>
      <c r="AA8" s="32"/>
      <c r="AB8" s="34"/>
      <c r="AC8" s="31"/>
      <c r="AD8" s="37">
        <f>表1温室气体盘查表!AF8</f>
        <v>816986.90292905667</v>
      </c>
      <c r="AE8" s="37">
        <f>表1温室气体盘查表!AG8</f>
        <v>231.88132850173631</v>
      </c>
      <c r="AF8" s="37">
        <f>表1温室气体盘查表!AH8</f>
        <v>3403.4194989770981</v>
      </c>
      <c r="AG8" s="37">
        <f>表1温室气体盘查表!AI8</f>
        <v>0</v>
      </c>
      <c r="AH8" s="37">
        <f>表1温室气体盘查表!AJ8</f>
        <v>0</v>
      </c>
      <c r="AI8" s="37">
        <f>表1温室气体盘查表!AK8</f>
        <v>0</v>
      </c>
      <c r="AJ8" s="37">
        <f>表1温室气体盘查表!AL8</f>
        <v>0</v>
      </c>
      <c r="AK8" s="37">
        <f>表1温室气体盘查表!AM8</f>
        <v>820622.20375653554</v>
      </c>
    </row>
    <row r="9" spans="1:37" s="17" customFormat="1" ht="14.25">
      <c r="A9" s="24">
        <v>5</v>
      </c>
      <c r="B9" s="25" t="str">
        <f>表1温室气体盘查表!B9</f>
        <v>固定燃烧</v>
      </c>
      <c r="C9" s="26" t="str">
        <f>表1温室气体盘查表!C9</f>
        <v>洗精煤燃烧</v>
      </c>
      <c r="D9" s="27" t="str">
        <f>表1温室气体盘查表!E9</f>
        <v>范围一</v>
      </c>
      <c r="E9" s="28">
        <f>表1温室气体盘查表!F9</f>
        <v>2093622.77</v>
      </c>
      <c r="F9" s="29" t="str">
        <f>表1温室气体盘查表!G9</f>
        <v>t</v>
      </c>
      <c r="G9" s="30">
        <f>'附表2-EF'!K9*10</f>
        <v>1.5E-5</v>
      </c>
      <c r="H9" s="29" t="s">
        <v>774</v>
      </c>
      <c r="I9" s="31">
        <f>'附表1-GWP TABLE'!E7</f>
        <v>0</v>
      </c>
      <c r="J9" s="32"/>
      <c r="K9" s="29"/>
      <c r="L9" s="31"/>
      <c r="M9" s="32"/>
      <c r="N9" s="29"/>
      <c r="O9" s="31"/>
      <c r="P9" s="33"/>
      <c r="Q9" s="34"/>
      <c r="R9" s="35"/>
      <c r="S9" s="34"/>
      <c r="T9" s="32"/>
      <c r="U9" s="29"/>
      <c r="V9" s="36"/>
      <c r="W9" s="29"/>
      <c r="X9" s="32"/>
      <c r="Y9" s="29"/>
      <c r="Z9" s="31"/>
      <c r="AA9" s="32"/>
      <c r="AB9" s="34"/>
      <c r="AC9" s="31"/>
      <c r="AD9" s="37">
        <f>表1温室气体盘查表!AF9</f>
        <v>5165430.0139752235</v>
      </c>
      <c r="AE9" s="37">
        <f>表1温室气体盘查表!AG9</f>
        <v>1523.4196341427985</v>
      </c>
      <c r="AF9" s="37">
        <f>表1温室气体盘查表!AH9</f>
        <v>22359.868823708817</v>
      </c>
      <c r="AG9" s="37">
        <f>表1温室气体盘查表!AI9</f>
        <v>0</v>
      </c>
      <c r="AH9" s="37">
        <f>表1温室气体盘查表!AJ9</f>
        <v>0</v>
      </c>
      <c r="AI9" s="37">
        <f>表1温室气体盘查表!AK9</f>
        <v>0</v>
      </c>
      <c r="AJ9" s="37">
        <f>表1温室气体盘查表!AL9</f>
        <v>0</v>
      </c>
      <c r="AK9" s="37">
        <f>表1温室气体盘查表!AM9</f>
        <v>5189313.3024330754</v>
      </c>
    </row>
    <row r="10" spans="1:37" s="15" customFormat="1" ht="15.75">
      <c r="A10" s="24">
        <v>6</v>
      </c>
      <c r="B10" s="25" t="str">
        <f>表1温室气体盘查表!B10</f>
        <v>固定燃烧</v>
      </c>
      <c r="C10" s="26" t="str">
        <f>表1温室气体盘查表!C10</f>
        <v>焦炭燃烧</v>
      </c>
      <c r="D10" s="27" t="str">
        <f>表1温室气体盘查表!E10</f>
        <v>范围一</v>
      </c>
      <c r="E10" s="28">
        <f>表1温室气体盘查表!F10</f>
        <v>221509.16999999998</v>
      </c>
      <c r="F10" s="29" t="str">
        <f>表1温室气体盘查表!G10</f>
        <v>t</v>
      </c>
      <c r="G10" s="30">
        <f>'附表2-EF'!K10*10</f>
        <v>1.5E-5</v>
      </c>
      <c r="H10" s="29" t="s">
        <v>775</v>
      </c>
      <c r="I10" s="31">
        <f>'附表1-GWP TABLE'!E8</f>
        <v>0</v>
      </c>
      <c r="J10" s="32"/>
      <c r="K10" s="29"/>
      <c r="L10" s="31"/>
      <c r="M10" s="32"/>
      <c r="N10" s="29"/>
      <c r="O10" s="31"/>
      <c r="P10" s="33"/>
      <c r="Q10" s="34"/>
      <c r="R10" s="35"/>
      <c r="S10" s="34"/>
      <c r="T10" s="32"/>
      <c r="U10" s="29"/>
      <c r="V10" s="36"/>
      <c r="W10" s="29"/>
      <c r="X10" s="32"/>
      <c r="Y10" s="29"/>
      <c r="Z10" s="31"/>
      <c r="AA10" s="32"/>
      <c r="AB10" s="34"/>
      <c r="AC10" s="31"/>
      <c r="AD10" s="37">
        <f>表1温室气体盘查表!AF10</f>
        <v>667212.1014612735</v>
      </c>
      <c r="AE10" s="37">
        <f>表1温室气体盘查表!AG10</f>
        <v>173.97399654924791</v>
      </c>
      <c r="AF10" s="37">
        <f>表1温室气体盘查表!AH10</f>
        <v>2553.4893041905743</v>
      </c>
      <c r="AG10" s="37">
        <f>表1温室气体盘查表!AI10</f>
        <v>0</v>
      </c>
      <c r="AH10" s="37">
        <f>表1温室气体盘查表!AJ10</f>
        <v>0</v>
      </c>
      <c r="AI10" s="37">
        <f>表1温室气体盘查表!AK10</f>
        <v>0</v>
      </c>
      <c r="AJ10" s="37">
        <f>表1温室气体盘查表!AL10</f>
        <v>0</v>
      </c>
      <c r="AK10" s="37">
        <f>表1温室气体盘查表!AM10</f>
        <v>669939.56476201338</v>
      </c>
    </row>
    <row r="11" spans="1:37" s="18" customFormat="1" ht="15.75">
      <c r="A11" s="24">
        <v>7</v>
      </c>
      <c r="B11" s="25" t="str">
        <f>表1温室气体盘查表!B11</f>
        <v>固定燃烧</v>
      </c>
      <c r="C11" s="26" t="str">
        <f>表1温室气体盘查表!C11</f>
        <v>焦炉煤气燃烧</v>
      </c>
      <c r="D11" s="27" t="str">
        <f>表1温室气体盘查表!E11</f>
        <v>范围一</v>
      </c>
      <c r="E11" s="28">
        <f>表1温室气体盘查表!F11</f>
        <v>-788.73</v>
      </c>
      <c r="F11" s="29" t="str">
        <f>表1温室气体盘查表!G11</f>
        <v>10000Nm3</v>
      </c>
      <c r="G11" s="30">
        <f>'附表2-EF'!K12*10</f>
        <v>1.5E-5</v>
      </c>
      <c r="H11" s="29" t="s">
        <v>776</v>
      </c>
      <c r="I11" s="31">
        <f>'附表1-GWP TABLE'!E10</f>
        <v>0</v>
      </c>
      <c r="J11" s="32"/>
      <c r="K11" s="29"/>
      <c r="L11" s="31"/>
      <c r="M11" s="32"/>
      <c r="N11" s="29"/>
      <c r="O11" s="31"/>
      <c r="P11" s="33"/>
      <c r="Q11" s="34"/>
      <c r="R11" s="35"/>
      <c r="S11" s="34"/>
      <c r="T11" s="32"/>
      <c r="U11" s="29"/>
      <c r="V11" s="36"/>
      <c r="W11" s="29"/>
      <c r="X11" s="32"/>
      <c r="Y11" s="29"/>
      <c r="Z11" s="31"/>
      <c r="AA11" s="32"/>
      <c r="AB11" s="34"/>
      <c r="AC11" s="31"/>
      <c r="AD11" s="37">
        <f>表1温室气体盘查表!AF11</f>
        <v>-6027.4166284015209</v>
      </c>
      <c r="AE11" s="37">
        <f>表1温室气体盘查表!AG11</f>
        <v>-3.7874982867658202</v>
      </c>
      <c r="AF11" s="37">
        <f>表1温室气体盘查表!AH11</f>
        <v>-3.7060467107063406</v>
      </c>
      <c r="AG11" s="37">
        <f>表1温室气体盘查表!AI11</f>
        <v>0</v>
      </c>
      <c r="AH11" s="37">
        <f>表1温室气体盘查表!AJ11</f>
        <v>0</v>
      </c>
      <c r="AI11" s="37">
        <f>表1温室气体盘查表!AK11</f>
        <v>0</v>
      </c>
      <c r="AJ11" s="37">
        <f>表1温室气体盘查表!AL11</f>
        <v>0</v>
      </c>
      <c r="AK11" s="37">
        <f>表1温室气体盘查表!AM11</f>
        <v>-6034.9101733989937</v>
      </c>
    </row>
    <row r="12" spans="1:37" s="15" customFormat="1" ht="15.75">
      <c r="A12" s="24">
        <v>8</v>
      </c>
      <c r="B12" s="25" t="str">
        <f>表1温室气体盘查表!B12</f>
        <v>移动燃烧</v>
      </c>
      <c r="C12" s="26" t="str">
        <f>表1温室气体盘查表!C12</f>
        <v>柴油燃烧</v>
      </c>
      <c r="D12" s="27" t="str">
        <f>表1温室气体盘查表!E12</f>
        <v>范围一</v>
      </c>
      <c r="E12" s="28">
        <f>表1温室气体盘查表!F12</f>
        <v>1422.69</v>
      </c>
      <c r="F12" s="29" t="str">
        <f>表1温室气体盘查表!G12</f>
        <v>t</v>
      </c>
      <c r="G12" s="30">
        <f>'附表2-EF'!K13*10</f>
        <v>1.0000000000000002E-6</v>
      </c>
      <c r="H12" s="29" t="s">
        <v>777</v>
      </c>
      <c r="I12" s="31">
        <f>'附表1-GWP TABLE'!E11</f>
        <v>0</v>
      </c>
      <c r="J12" s="32"/>
      <c r="K12" s="29"/>
      <c r="L12" s="31"/>
      <c r="M12" s="32"/>
      <c r="N12" s="29"/>
      <c r="O12" s="31"/>
      <c r="P12" s="33"/>
      <c r="Q12" s="34"/>
      <c r="R12" s="35"/>
      <c r="S12" s="34"/>
      <c r="T12" s="32"/>
      <c r="U12" s="29"/>
      <c r="V12" s="36"/>
      <c r="W12" s="29"/>
      <c r="X12" s="32"/>
      <c r="Y12" s="29"/>
      <c r="Z12" s="31"/>
      <c r="AA12" s="32"/>
      <c r="AB12" s="34"/>
      <c r="AC12" s="31"/>
      <c r="AD12" s="37">
        <f>表1温室气体盘查表!AF12</f>
        <v>4406.5019140178401</v>
      </c>
      <c r="AE12" s="37">
        <f>表1温室气体盘查表!AG12</f>
        <v>6.4706001790051442</v>
      </c>
      <c r="AF12" s="37">
        <f>表1温室气体盘查表!AH12</f>
        <v>63.31447486983528</v>
      </c>
      <c r="AG12" s="37">
        <f>表1温室气体盘查表!AI12</f>
        <v>0</v>
      </c>
      <c r="AH12" s="37">
        <f>表1温室气体盘查表!AJ12</f>
        <v>0</v>
      </c>
      <c r="AI12" s="37">
        <f>表1温室气体盘查表!AK12</f>
        <v>0</v>
      </c>
      <c r="AJ12" s="37">
        <f>表1温室气体盘查表!AL12</f>
        <v>0</v>
      </c>
      <c r="AK12" s="37">
        <f>表1温室气体盘查表!AM12</f>
        <v>4476.2869890666807</v>
      </c>
    </row>
    <row r="13" spans="1:37" s="18" customFormat="1" ht="15.75">
      <c r="A13" s="24">
        <v>9</v>
      </c>
      <c r="B13" s="25" t="str">
        <f>表1温室气体盘查表!B13</f>
        <v>移动燃烧</v>
      </c>
      <c r="C13" s="26" t="str">
        <f>表1温室气体盘查表!C13</f>
        <v>汽油燃烧</v>
      </c>
      <c r="D13" s="27" t="str">
        <f>表1温室气体盘查表!E13</f>
        <v>范围一</v>
      </c>
      <c r="E13" s="28">
        <f>表1温室气体盘查表!F13</f>
        <v>47.34</v>
      </c>
      <c r="F13" s="29" t="str">
        <f>表1温室气体盘查表!G13</f>
        <v>t</v>
      </c>
      <c r="G13" s="30">
        <f>'附表2-EF'!K14*10</f>
        <v>3.8999999999999999E-5</v>
      </c>
      <c r="H13" s="29" t="s">
        <v>778</v>
      </c>
      <c r="I13" s="31">
        <f>'附表1-GWP TABLE'!E12</f>
        <v>0</v>
      </c>
      <c r="J13" s="32"/>
      <c r="K13" s="29"/>
      <c r="L13" s="31"/>
      <c r="M13" s="32"/>
      <c r="N13" s="29"/>
      <c r="O13" s="31"/>
      <c r="P13" s="33"/>
      <c r="Q13" s="34"/>
      <c r="R13" s="35"/>
      <c r="S13" s="34"/>
      <c r="T13" s="32"/>
      <c r="U13" s="29"/>
      <c r="V13" s="36"/>
      <c r="W13" s="29"/>
      <c r="X13" s="32"/>
      <c r="Y13" s="29"/>
      <c r="Z13" s="31"/>
      <c r="AA13" s="32"/>
      <c r="AB13" s="34"/>
      <c r="AC13" s="31"/>
      <c r="AD13" s="37">
        <f>表1温室气体盘查表!AF13</f>
        <v>138.47215009319999</v>
      </c>
      <c r="AE13" s="37">
        <f>表1温室气体盘查表!AG13</f>
        <v>1.39371319899</v>
      </c>
      <c r="AF13" s="37">
        <f>表1温室气体盘查表!AH13</f>
        <v>4.3639707908159995</v>
      </c>
      <c r="AG13" s="37">
        <f>表1温室气体盘查表!AI13</f>
        <v>0</v>
      </c>
      <c r="AH13" s="37">
        <f>表1温室气体盘查表!AJ13</f>
        <v>0</v>
      </c>
      <c r="AI13" s="37">
        <f>表1温室气体盘查表!AK13</f>
        <v>0</v>
      </c>
      <c r="AJ13" s="37">
        <f>表1温室气体盘查表!AL13</f>
        <v>0</v>
      </c>
      <c r="AK13" s="37">
        <f>表1温室气体盘查表!AM13</f>
        <v>144.22983408300601</v>
      </c>
    </row>
    <row r="14" spans="1:37" s="18" customFormat="1" ht="16.5">
      <c r="A14" s="24">
        <v>10</v>
      </c>
      <c r="B14" s="25" t="str">
        <f>表1温室气体盘查表!B14</f>
        <v>逸散排放</v>
      </c>
      <c r="C14" s="26" t="str">
        <f>表1温室气体盘查表!C14</f>
        <v>制冷剂逸散（R32）</v>
      </c>
      <c r="D14" s="27" t="str">
        <f>表1温室气体盘查表!E14</f>
        <v>范围一</v>
      </c>
      <c r="E14" s="28">
        <f>表1温室气体盘查表!F14</f>
        <v>0.74</v>
      </c>
      <c r="F14" s="29" t="str">
        <f>表1温室气体盘查表!G14</f>
        <v>t</v>
      </c>
      <c r="G14" s="30">
        <f>'附表2-EF'!K15*10</f>
        <v>7.9999999999999993E-5</v>
      </c>
      <c r="H14" s="29" t="s">
        <v>779</v>
      </c>
      <c r="I14" s="31">
        <f>'附表1-GWP TABLE'!E13</f>
        <v>0</v>
      </c>
      <c r="J14" s="32"/>
      <c r="K14" s="29"/>
      <c r="L14" s="31"/>
      <c r="M14" s="32"/>
      <c r="N14" s="29"/>
      <c r="O14" s="31"/>
      <c r="P14" s="33"/>
      <c r="Q14" s="34"/>
      <c r="R14" s="35"/>
      <c r="S14" s="34"/>
      <c r="T14" s="32"/>
      <c r="U14" s="29"/>
      <c r="V14" s="36"/>
      <c r="W14" s="29"/>
      <c r="X14" s="32"/>
      <c r="Y14" s="29"/>
      <c r="Z14" s="31"/>
      <c r="AA14" s="32"/>
      <c r="AB14" s="34"/>
      <c r="AC14" s="31"/>
      <c r="AD14" s="37">
        <f>表1温室气体盘查表!AF14</f>
        <v>0</v>
      </c>
      <c r="AE14" s="37">
        <f>表1温室气体盘查表!AG14</f>
        <v>0</v>
      </c>
      <c r="AF14" s="37">
        <f>表1温室气体盘查表!AH14</f>
        <v>0</v>
      </c>
      <c r="AG14" s="37">
        <f>表1温室气体盘查表!AI14</f>
        <v>570.54</v>
      </c>
      <c r="AH14" s="37">
        <f>表1温室气体盘查表!AJ14</f>
        <v>0</v>
      </c>
      <c r="AI14" s="37">
        <f>表1温室气体盘查表!AK14</f>
        <v>0</v>
      </c>
      <c r="AJ14" s="37">
        <f>表1温室气体盘查表!AL14</f>
        <v>0</v>
      </c>
      <c r="AK14" s="37">
        <f>表1温室气体盘查表!AM14</f>
        <v>570.54</v>
      </c>
    </row>
    <row r="15" spans="1:37" s="19" customFormat="1" ht="14.25">
      <c r="A15" s="24">
        <v>11</v>
      </c>
      <c r="B15" s="25" t="str">
        <f>表1温室气体盘查表!B15</f>
        <v>逸散排放</v>
      </c>
      <c r="C15" s="26" t="str">
        <f>表1温室气体盘查表!C15</f>
        <v>CO2逸散</v>
      </c>
      <c r="D15" s="27" t="str">
        <f>表1温室气体盘查表!E15</f>
        <v>范围一</v>
      </c>
      <c r="E15" s="28">
        <f>表1温室气体盘查表!F15</f>
        <v>0.56000000000000005</v>
      </c>
      <c r="F15" s="29" t="str">
        <f>表1温室气体盘查表!G15</f>
        <v>t</v>
      </c>
      <c r="G15" s="30">
        <f>'附表2-EF'!K16*10</f>
        <v>0</v>
      </c>
      <c r="H15" s="29" t="s">
        <v>780</v>
      </c>
      <c r="I15" s="31">
        <f>'附表1-GWP TABLE'!E14</f>
        <v>0</v>
      </c>
      <c r="J15" s="32"/>
      <c r="K15" s="29"/>
      <c r="L15" s="31"/>
      <c r="M15" s="32"/>
      <c r="N15" s="29"/>
      <c r="O15" s="31"/>
      <c r="P15" s="33"/>
      <c r="Q15" s="34"/>
      <c r="R15" s="35"/>
      <c r="S15" s="34"/>
      <c r="T15" s="32"/>
      <c r="U15" s="29"/>
      <c r="V15" s="36"/>
      <c r="W15" s="29"/>
      <c r="X15" s="32"/>
      <c r="Y15" s="29"/>
      <c r="Z15" s="31"/>
      <c r="AA15" s="32"/>
      <c r="AB15" s="34"/>
      <c r="AC15" s="31"/>
      <c r="AD15" s="37">
        <f>表1温室气体盘查表!AF15</f>
        <v>0.56000000000000005</v>
      </c>
      <c r="AE15" s="37">
        <f>表1温室气体盘查表!AG15</f>
        <v>0</v>
      </c>
      <c r="AF15" s="37">
        <f>表1温室气体盘查表!AH15</f>
        <v>0</v>
      </c>
      <c r="AG15" s="37">
        <f>表1温室气体盘查表!AI15</f>
        <v>0</v>
      </c>
      <c r="AH15" s="37">
        <f>表1温室气体盘查表!AJ15</f>
        <v>0</v>
      </c>
      <c r="AI15" s="37">
        <f>表1温室气体盘查表!AK15</f>
        <v>0</v>
      </c>
      <c r="AJ15" s="37">
        <f>表1温室气体盘查表!AL15</f>
        <v>0</v>
      </c>
      <c r="AK15" s="37">
        <f>表1温室气体盘查表!AM15</f>
        <v>0.56000000000000005</v>
      </c>
    </row>
    <row r="16" spans="1:37" s="19" customFormat="1" ht="14.25">
      <c r="A16" s="24">
        <v>12</v>
      </c>
      <c r="B16" s="25" t="str">
        <f>表1温室气体盘查表!B16</f>
        <v>逸散排放</v>
      </c>
      <c r="C16" s="26" t="str">
        <f>表1温室气体盘查表!C16</f>
        <v>CH4逸散</v>
      </c>
      <c r="D16" s="27" t="str">
        <f>表1温室气体盘查表!E16</f>
        <v>范围一</v>
      </c>
      <c r="E16" s="28">
        <f>表1温室气体盘查表!F16</f>
        <v>23.16</v>
      </c>
      <c r="F16" s="29" t="str">
        <f>表1温室气体盘查表!G16</f>
        <v>tBOD</v>
      </c>
      <c r="G16" s="30">
        <f>'附表2-EF'!K17*10</f>
        <v>0</v>
      </c>
      <c r="H16" s="29" t="s">
        <v>781</v>
      </c>
      <c r="I16" s="31">
        <f>'附表1-GWP TABLE'!E15</f>
        <v>0</v>
      </c>
      <c r="J16" s="32"/>
      <c r="K16" s="29"/>
      <c r="L16" s="31"/>
      <c r="M16" s="32"/>
      <c r="N16" s="29"/>
      <c r="O16" s="31"/>
      <c r="P16" s="33"/>
      <c r="Q16" s="34"/>
      <c r="R16" s="35"/>
      <c r="S16" s="34"/>
      <c r="T16" s="32"/>
      <c r="U16" s="29"/>
      <c r="V16" s="36"/>
      <c r="W16" s="29"/>
      <c r="X16" s="32"/>
      <c r="Y16" s="29"/>
      <c r="Z16" s="31"/>
      <c r="AA16" s="32"/>
      <c r="AB16" s="34"/>
      <c r="AC16" s="31"/>
      <c r="AD16" s="37">
        <f>表1温室气体盘查表!AF16</f>
        <v>0</v>
      </c>
      <c r="AE16" s="37">
        <f>表1温室气体盘查表!AG16</f>
        <v>116.30951999999999</v>
      </c>
      <c r="AF16" s="37">
        <f>表1温室气体盘查表!AH16</f>
        <v>0</v>
      </c>
      <c r="AG16" s="37">
        <f>表1温室气体盘查表!AI16</f>
        <v>0</v>
      </c>
      <c r="AH16" s="37">
        <f>表1温室气体盘查表!AJ16</f>
        <v>0</v>
      </c>
      <c r="AI16" s="37">
        <f>表1温室气体盘查表!AK16</f>
        <v>0</v>
      </c>
      <c r="AJ16" s="37">
        <f>表1温室气体盘查表!AL16</f>
        <v>0</v>
      </c>
      <c r="AK16" s="37">
        <f>表1温室气体盘查表!AM16</f>
        <v>116.30951999999999</v>
      </c>
    </row>
    <row r="17" spans="1:37" s="19" customFormat="1" ht="14.25">
      <c r="A17" s="24">
        <v>13</v>
      </c>
      <c r="B17" s="25" t="str">
        <f>表1温室气体盘查表!B17</f>
        <v>逸散排放</v>
      </c>
      <c r="C17" s="26" t="str">
        <f>表1温室气体盘查表!C17</f>
        <v>CH4逸散</v>
      </c>
      <c r="D17" s="27" t="str">
        <f>表1温室气体盘查表!E17</f>
        <v>范围一</v>
      </c>
      <c r="E17" s="28">
        <f>表1温室气体盘查表!F17</f>
        <v>4018.57</v>
      </c>
      <c r="F17" s="29" t="str">
        <f>表1温室气体盘查表!G17</f>
        <v>tCOD</v>
      </c>
      <c r="G17" s="30">
        <f>'附表2-EF'!K18*10</f>
        <v>0</v>
      </c>
      <c r="H17" s="29" t="s">
        <v>782</v>
      </c>
      <c r="I17" s="31">
        <f>'附表1-GWP TABLE'!E16</f>
        <v>0</v>
      </c>
      <c r="J17" s="32"/>
      <c r="K17" s="29"/>
      <c r="L17" s="31"/>
      <c r="M17" s="32"/>
      <c r="N17" s="29"/>
      <c r="O17" s="31"/>
      <c r="P17" s="33"/>
      <c r="Q17" s="34"/>
      <c r="R17" s="35"/>
      <c r="S17" s="34"/>
      <c r="T17" s="32"/>
      <c r="U17" s="29"/>
      <c r="V17" s="36"/>
      <c r="W17" s="29"/>
      <c r="X17" s="32"/>
      <c r="Y17" s="29"/>
      <c r="Z17" s="31"/>
      <c r="AA17" s="32"/>
      <c r="AB17" s="34"/>
      <c r="AC17" s="31"/>
      <c r="AD17" s="37">
        <f>表1温室气体盘查表!AF17</f>
        <v>0</v>
      </c>
      <c r="AE17" s="37">
        <f>表1温室气体盘查表!AG17</f>
        <v>8408.8577249999998</v>
      </c>
      <c r="AF17" s="37">
        <f>表1温室气体盘查表!AH17</f>
        <v>0</v>
      </c>
      <c r="AG17" s="37">
        <f>表1温室气体盘查表!AI17</f>
        <v>0</v>
      </c>
      <c r="AH17" s="37">
        <f>表1温室气体盘查表!AJ17</f>
        <v>0</v>
      </c>
      <c r="AI17" s="37">
        <f>表1温室气体盘查表!AK17</f>
        <v>0</v>
      </c>
      <c r="AJ17" s="37">
        <f>表1温室气体盘查表!AL17</f>
        <v>0</v>
      </c>
      <c r="AK17" s="37">
        <f>表1温室气体盘查表!AM17</f>
        <v>8408.8577249999998</v>
      </c>
    </row>
    <row r="18" spans="1:37" s="19" customFormat="1" ht="14.25">
      <c r="A18" s="24">
        <v>14</v>
      </c>
      <c r="B18" s="25" t="str">
        <f>表1温室气体盘查表!B18</f>
        <v>制程排放</v>
      </c>
      <c r="C18" s="26" t="str">
        <f>表1温室气体盘查表!C18</f>
        <v>白云石</v>
      </c>
      <c r="D18" s="27" t="str">
        <f>表1温室气体盘查表!E18</f>
        <v>范围一</v>
      </c>
      <c r="E18" s="28">
        <f>表1温室气体盘查表!F18</f>
        <v>38669.449999999997</v>
      </c>
      <c r="F18" s="29" t="str">
        <f>表1温室气体盘查表!G18</f>
        <v>t</v>
      </c>
      <c r="G18" s="30">
        <f>'附表2-EF'!K19*10</f>
        <v>0</v>
      </c>
      <c r="H18" s="29" t="s">
        <v>783</v>
      </c>
      <c r="I18" s="31">
        <f>'附表1-GWP TABLE'!E17</f>
        <v>0</v>
      </c>
      <c r="J18" s="32"/>
      <c r="K18" s="29"/>
      <c r="L18" s="31"/>
      <c r="M18" s="32"/>
      <c r="N18" s="29"/>
      <c r="O18" s="31"/>
      <c r="P18" s="33"/>
      <c r="Q18" s="34"/>
      <c r="R18" s="35"/>
      <c r="S18" s="34"/>
      <c r="T18" s="32"/>
      <c r="U18" s="29"/>
      <c r="V18" s="36"/>
      <c r="W18" s="29"/>
      <c r="X18" s="32"/>
      <c r="Y18" s="29"/>
      <c r="Z18" s="31"/>
      <c r="AA18" s="32"/>
      <c r="AB18" s="34"/>
      <c r="AC18" s="31"/>
      <c r="AD18" s="37">
        <f>表1温室气体盘查表!AF18</f>
        <v>18406.658199999998</v>
      </c>
      <c r="AE18" s="37">
        <f>表1温室气体盘查表!AG18</f>
        <v>0</v>
      </c>
      <c r="AF18" s="37">
        <f>表1温室气体盘查表!AH18</f>
        <v>0</v>
      </c>
      <c r="AG18" s="37">
        <f>表1温室气体盘查表!AI18</f>
        <v>0</v>
      </c>
      <c r="AH18" s="37">
        <f>表1温室气体盘查表!AJ18</f>
        <v>0</v>
      </c>
      <c r="AI18" s="37">
        <f>表1温室气体盘查表!AK18</f>
        <v>0</v>
      </c>
      <c r="AJ18" s="37">
        <f>表1温室气体盘查表!AL18</f>
        <v>0</v>
      </c>
      <c r="AK18" s="37">
        <f>表1温室气体盘查表!AM18</f>
        <v>18406.658199999998</v>
      </c>
    </row>
    <row r="19" spans="1:37" s="19" customFormat="1" ht="14.25">
      <c r="A19" s="24">
        <v>15</v>
      </c>
      <c r="B19" s="25" t="str">
        <f>表1温室气体盘查表!B19</f>
        <v>制程排放</v>
      </c>
      <c r="C19" s="26" t="str">
        <f>表1温室气体盘查表!C19</f>
        <v>电极</v>
      </c>
      <c r="D19" s="27" t="str">
        <f>表1温室气体盘查表!E19</f>
        <v>范围一</v>
      </c>
      <c r="E19" s="28">
        <f>表1温室气体盘查表!F19</f>
        <v>5005.45</v>
      </c>
      <c r="F19" s="29" t="str">
        <f>表1温室气体盘查表!G19</f>
        <v>t</v>
      </c>
      <c r="G19" s="30">
        <f>'附表2-EF'!K20*10</f>
        <v>0</v>
      </c>
      <c r="H19" s="29" t="s">
        <v>784</v>
      </c>
      <c r="I19" s="31">
        <f>'附表1-GWP TABLE'!E18</f>
        <v>0</v>
      </c>
      <c r="J19" s="32"/>
      <c r="K19" s="29"/>
      <c r="L19" s="31"/>
      <c r="M19" s="32"/>
      <c r="N19" s="29"/>
      <c r="O19" s="31"/>
      <c r="P19" s="33"/>
      <c r="Q19" s="34"/>
      <c r="R19" s="35"/>
      <c r="S19" s="34"/>
      <c r="T19" s="32"/>
      <c r="U19" s="29"/>
      <c r="V19" s="36"/>
      <c r="W19" s="29"/>
      <c r="X19" s="32"/>
      <c r="Y19" s="29"/>
      <c r="Z19" s="31"/>
      <c r="AA19" s="32"/>
      <c r="AB19" s="34"/>
      <c r="AC19" s="31"/>
      <c r="AD19" s="37">
        <f>表1温室气体盘查表!AF19</f>
        <v>18334.963349999998</v>
      </c>
      <c r="AE19" s="37">
        <f>表1温室气体盘查表!AG19</f>
        <v>0</v>
      </c>
      <c r="AF19" s="37">
        <f>表1温室气体盘查表!AH19</f>
        <v>0</v>
      </c>
      <c r="AG19" s="37">
        <f>表1温室气体盘查表!AI19</f>
        <v>0</v>
      </c>
      <c r="AH19" s="37">
        <f>表1温室气体盘查表!AJ19</f>
        <v>0</v>
      </c>
      <c r="AI19" s="37">
        <f>表1温室气体盘查表!AK19</f>
        <v>0</v>
      </c>
      <c r="AJ19" s="37">
        <f>表1温室气体盘查表!AL19</f>
        <v>0</v>
      </c>
      <c r="AK19" s="37">
        <f>表1温室气体盘查表!AM19</f>
        <v>18334.963349999998</v>
      </c>
    </row>
    <row r="20" spans="1:37" s="19" customFormat="1" ht="14.25">
      <c r="A20" s="24">
        <v>16</v>
      </c>
      <c r="B20" s="25" t="str">
        <f>表1温室气体盘查表!B20</f>
        <v>制程排放</v>
      </c>
      <c r="C20" s="26" t="str">
        <f>表1温室气体盘查表!C20</f>
        <v>废钢</v>
      </c>
      <c r="D20" s="27" t="str">
        <f>表1温室气体盘查表!E20</f>
        <v>范围一</v>
      </c>
      <c r="E20" s="28">
        <f>表1温室气体盘查表!F20</f>
        <v>1119615.6599999999</v>
      </c>
      <c r="F20" s="29" t="str">
        <f>表1温室气体盘查表!G20</f>
        <v>t</v>
      </c>
      <c r="G20" s="30">
        <f>'附表2-EF'!K21*10</f>
        <v>0</v>
      </c>
      <c r="H20" s="29" t="s">
        <v>785</v>
      </c>
      <c r="I20" s="31">
        <f>'附表1-GWP TABLE'!E19</f>
        <v>0</v>
      </c>
      <c r="J20" s="32"/>
      <c r="K20" s="29"/>
      <c r="L20" s="31"/>
      <c r="M20" s="32"/>
      <c r="N20" s="29"/>
      <c r="O20" s="31"/>
      <c r="P20" s="33"/>
      <c r="Q20" s="34"/>
      <c r="R20" s="35"/>
      <c r="S20" s="34"/>
      <c r="T20" s="32"/>
      <c r="U20" s="29"/>
      <c r="V20" s="36"/>
      <c r="W20" s="29"/>
      <c r="X20" s="32"/>
      <c r="Y20" s="29"/>
      <c r="Z20" s="31"/>
      <c r="AA20" s="32"/>
      <c r="AB20" s="34"/>
      <c r="AC20" s="31"/>
      <c r="AD20" s="37">
        <f>表1温室气体盘查表!AF20</f>
        <v>41425.779419999992</v>
      </c>
      <c r="AE20" s="37">
        <f>表1温室气体盘查表!AG20</f>
        <v>0</v>
      </c>
      <c r="AF20" s="37">
        <f>表1温室气体盘查表!AH20</f>
        <v>0</v>
      </c>
      <c r="AG20" s="37">
        <f>表1温室气体盘查表!AI20</f>
        <v>0</v>
      </c>
      <c r="AH20" s="37">
        <f>表1温室气体盘查表!AJ20</f>
        <v>0</v>
      </c>
      <c r="AI20" s="37">
        <f>表1温室气体盘查表!AK20</f>
        <v>0</v>
      </c>
      <c r="AJ20" s="37">
        <f>表1温室气体盘查表!AL20</f>
        <v>0</v>
      </c>
      <c r="AK20" s="37">
        <f>表1温室气体盘查表!AM20</f>
        <v>41425.779419999992</v>
      </c>
    </row>
    <row r="21" spans="1:37" s="19" customFormat="1" ht="14.25">
      <c r="A21" s="24">
        <v>17</v>
      </c>
      <c r="B21" s="25" t="str">
        <f>表1温室气体盘查表!B21</f>
        <v>制程排放</v>
      </c>
      <c r="C21" s="26" t="str">
        <f>表1温室气体盘查表!C21</f>
        <v>高碳锰铁</v>
      </c>
      <c r="D21" s="27" t="str">
        <f>表1温室气体盘查表!E21</f>
        <v>范围一</v>
      </c>
      <c r="E21" s="28">
        <f>表1温室气体盘查表!F21</f>
        <v>41483.17</v>
      </c>
      <c r="F21" s="29" t="str">
        <f>表1温室气体盘查表!G21</f>
        <v>t</v>
      </c>
      <c r="G21" s="30">
        <f>'附表2-EF'!K22*10</f>
        <v>0</v>
      </c>
      <c r="H21" s="29" t="s">
        <v>786</v>
      </c>
      <c r="I21" s="31">
        <f>'附表1-GWP TABLE'!E20</f>
        <v>0</v>
      </c>
      <c r="J21" s="32"/>
      <c r="K21" s="29"/>
      <c r="L21" s="31"/>
      <c r="M21" s="32"/>
      <c r="N21" s="29"/>
      <c r="O21" s="31"/>
      <c r="P21" s="33"/>
      <c r="Q21" s="34"/>
      <c r="R21" s="35"/>
      <c r="S21" s="34"/>
      <c r="T21" s="32"/>
      <c r="U21" s="29"/>
      <c r="V21" s="36"/>
      <c r="W21" s="29"/>
      <c r="X21" s="32"/>
      <c r="Y21" s="29"/>
      <c r="Z21" s="31"/>
      <c r="AA21" s="32"/>
      <c r="AB21" s="34"/>
      <c r="AC21" s="31"/>
      <c r="AD21" s="37">
        <f>表1温室气体盘查表!AF21</f>
        <v>11407.87175</v>
      </c>
      <c r="AE21" s="37">
        <f>表1温室气体盘查表!AG21</f>
        <v>0</v>
      </c>
      <c r="AF21" s="37">
        <f>表1温室气体盘查表!AH21</f>
        <v>0</v>
      </c>
      <c r="AG21" s="37">
        <f>表1温室气体盘查表!AI21</f>
        <v>0</v>
      </c>
      <c r="AH21" s="37">
        <f>表1温室气体盘查表!AJ21</f>
        <v>0</v>
      </c>
      <c r="AI21" s="37">
        <f>表1温室气体盘查表!AK21</f>
        <v>0</v>
      </c>
      <c r="AJ21" s="37">
        <f>表1温室气体盘查表!AL21</f>
        <v>0</v>
      </c>
      <c r="AK21" s="37">
        <f>表1温室气体盘查表!AM21</f>
        <v>11407.87175</v>
      </c>
    </row>
    <row r="22" spans="1:37" s="19" customFormat="1" ht="14.25">
      <c r="A22" s="24">
        <v>18</v>
      </c>
      <c r="B22" s="25" t="str">
        <f>表1温室气体盘查表!B22</f>
        <v>制程排放</v>
      </c>
      <c r="C22" s="26" t="str">
        <f>表1温室气体盘查表!C22</f>
        <v>锰硅合金</v>
      </c>
      <c r="D22" s="27" t="str">
        <f>表1温室气体盘查表!E22</f>
        <v>范围一</v>
      </c>
      <c r="E22" s="28">
        <f>表1温室气体盘查表!F22</f>
        <v>2887.69</v>
      </c>
      <c r="F22" s="29" t="str">
        <f>表1温室气体盘查表!G22</f>
        <v>t</v>
      </c>
      <c r="G22" s="30">
        <f>'附表2-EF'!K23*10</f>
        <v>0</v>
      </c>
      <c r="H22" s="29" t="s">
        <v>787</v>
      </c>
      <c r="I22" s="31">
        <f>'附表1-GWP TABLE'!E21</f>
        <v>0</v>
      </c>
      <c r="J22" s="32"/>
      <c r="K22" s="29"/>
      <c r="L22" s="31"/>
      <c r="M22" s="32"/>
      <c r="N22" s="29"/>
      <c r="O22" s="31"/>
      <c r="P22" s="33"/>
      <c r="Q22" s="34"/>
      <c r="R22" s="35"/>
      <c r="S22" s="34"/>
      <c r="T22" s="32"/>
      <c r="U22" s="29"/>
      <c r="V22" s="36"/>
      <c r="W22" s="29"/>
      <c r="X22" s="32"/>
      <c r="Y22" s="29"/>
      <c r="Z22" s="31"/>
      <c r="AA22" s="32"/>
      <c r="AB22" s="34"/>
      <c r="AC22" s="31"/>
      <c r="AD22" s="37">
        <f>表1温室气体盘查表!AF22</f>
        <v>265.66748000000001</v>
      </c>
      <c r="AE22" s="37">
        <f>表1温室气体盘查表!AG22</f>
        <v>0</v>
      </c>
      <c r="AF22" s="37">
        <f>表1温室气体盘查表!AH22</f>
        <v>0</v>
      </c>
      <c r="AG22" s="37">
        <f>表1温室气体盘查表!AI22</f>
        <v>0</v>
      </c>
      <c r="AH22" s="37">
        <f>表1温室气体盘查表!AJ22</f>
        <v>0</v>
      </c>
      <c r="AI22" s="37">
        <f>表1温室气体盘查表!AK22</f>
        <v>0</v>
      </c>
      <c r="AJ22" s="37">
        <f>表1温室气体盘查表!AL22</f>
        <v>0</v>
      </c>
      <c r="AK22" s="37">
        <f>表1温室气体盘查表!AM22</f>
        <v>265.66748000000001</v>
      </c>
    </row>
    <row r="23" spans="1:37" s="19" customFormat="1" ht="14.25">
      <c r="A23" s="24">
        <v>19</v>
      </c>
      <c r="B23" s="25" t="str">
        <f>表1温室气体盘查表!B23</f>
        <v>制程排放</v>
      </c>
      <c r="C23" s="26" t="str">
        <f>表1温室气体盘查表!C23</f>
        <v>镍铁</v>
      </c>
      <c r="D23" s="27" t="str">
        <f>表1温室气体盘查表!E23</f>
        <v>范围一</v>
      </c>
      <c r="E23" s="28">
        <f>表1温室气体盘查表!F23</f>
        <v>9943.2000000000007</v>
      </c>
      <c r="F23" s="29" t="str">
        <f>表1温室气体盘查表!G23</f>
        <v>t</v>
      </c>
      <c r="G23" s="30">
        <f>'附表2-EF'!K24*10</f>
        <v>0</v>
      </c>
      <c r="H23" s="29" t="s">
        <v>788</v>
      </c>
      <c r="I23" s="31">
        <f>'附表1-GWP TABLE'!E22</f>
        <v>0</v>
      </c>
      <c r="J23" s="32"/>
      <c r="K23" s="29"/>
      <c r="L23" s="31"/>
      <c r="M23" s="32"/>
      <c r="N23" s="29"/>
      <c r="O23" s="31"/>
      <c r="P23" s="33"/>
      <c r="Q23" s="34"/>
      <c r="R23" s="35"/>
      <c r="S23" s="34"/>
      <c r="T23" s="32"/>
      <c r="U23" s="29"/>
      <c r="V23" s="36"/>
      <c r="W23" s="29"/>
      <c r="X23" s="32"/>
      <c r="Y23" s="29"/>
      <c r="Z23" s="31"/>
      <c r="AA23" s="32"/>
      <c r="AB23" s="34"/>
      <c r="AC23" s="31"/>
      <c r="AD23" s="37">
        <f>表1温室气体盘查表!AF23</f>
        <v>367.89839999999998</v>
      </c>
      <c r="AE23" s="37">
        <f>表1温室气体盘查表!AG23</f>
        <v>0</v>
      </c>
      <c r="AF23" s="37">
        <f>表1温室气体盘查表!AH23</f>
        <v>0</v>
      </c>
      <c r="AG23" s="37">
        <f>表1温室气体盘查表!AI23</f>
        <v>0</v>
      </c>
      <c r="AH23" s="37">
        <f>表1温室气体盘查表!AJ23</f>
        <v>0</v>
      </c>
      <c r="AI23" s="37">
        <f>表1温室气体盘查表!AK23</f>
        <v>0</v>
      </c>
      <c r="AJ23" s="37">
        <f>表1温室气体盘查表!AL23</f>
        <v>0</v>
      </c>
      <c r="AK23" s="37">
        <f>表1温室气体盘查表!AM23</f>
        <v>367.89839999999998</v>
      </c>
    </row>
    <row r="24" spans="1:37" s="19" customFormat="1" ht="14.25">
      <c r="A24" s="24">
        <v>20</v>
      </c>
      <c r="B24" s="25" t="str">
        <f>表1温室气体盘查表!B24</f>
        <v>制程排放</v>
      </c>
      <c r="C24" s="26" t="str">
        <f>表1温室气体盘查表!C24</f>
        <v>高碳铬铁</v>
      </c>
      <c r="D24" s="27" t="str">
        <f>表1温室气体盘查表!E24</f>
        <v>范围一</v>
      </c>
      <c r="E24" s="28">
        <f>表1温室气体盘查表!F24</f>
        <v>40208.129999999997</v>
      </c>
      <c r="F24" s="29" t="str">
        <f>表1温室气体盘查表!G24</f>
        <v>t</v>
      </c>
      <c r="G24" s="30">
        <f>'附表2-EF'!K25*10</f>
        <v>0</v>
      </c>
      <c r="H24" s="29" t="s">
        <v>789</v>
      </c>
      <c r="I24" s="31">
        <f>'附表1-GWP TABLE'!E23</f>
        <v>0</v>
      </c>
      <c r="J24" s="32"/>
      <c r="K24" s="29"/>
      <c r="L24" s="31"/>
      <c r="M24" s="32"/>
      <c r="N24" s="29"/>
      <c r="O24" s="31"/>
      <c r="P24" s="33"/>
      <c r="Q24" s="34"/>
      <c r="R24" s="35"/>
      <c r="S24" s="34"/>
      <c r="T24" s="32"/>
      <c r="U24" s="29"/>
      <c r="V24" s="36"/>
      <c r="W24" s="29"/>
      <c r="X24" s="32"/>
      <c r="Y24" s="29"/>
      <c r="Z24" s="31"/>
      <c r="AA24" s="32"/>
      <c r="AB24" s="34"/>
      <c r="AC24" s="31"/>
      <c r="AD24" s="37">
        <f>表1温室气体盘查表!AF24</f>
        <v>13992.429239999998</v>
      </c>
      <c r="AE24" s="37">
        <f>表1温室气体盘查表!AG24</f>
        <v>0</v>
      </c>
      <c r="AF24" s="37">
        <f>表1温室气体盘查表!AH24</f>
        <v>0</v>
      </c>
      <c r="AG24" s="37">
        <f>表1温室气体盘查表!AI24</f>
        <v>0</v>
      </c>
      <c r="AH24" s="37">
        <f>表1温室气体盘查表!AJ24</f>
        <v>0</v>
      </c>
      <c r="AI24" s="37">
        <f>表1温室气体盘查表!AK24</f>
        <v>0</v>
      </c>
      <c r="AJ24" s="37">
        <f>表1温室气体盘查表!AL24</f>
        <v>0</v>
      </c>
      <c r="AK24" s="37">
        <f>表1温室气体盘查表!AM24</f>
        <v>13992.429239999998</v>
      </c>
    </row>
    <row r="25" spans="1:37" s="19" customFormat="1" ht="14.25">
      <c r="A25" s="24">
        <v>21</v>
      </c>
      <c r="B25" s="25" t="str">
        <f>表1温室气体盘查表!B25</f>
        <v>制程排放</v>
      </c>
      <c r="C25" s="26" t="str">
        <f>表1温室气体盘查表!C25</f>
        <v>硅铁</v>
      </c>
      <c r="D25" s="27" t="str">
        <f>表1温室气体盘查表!E25</f>
        <v>范围一</v>
      </c>
      <c r="E25" s="28">
        <f>表1温室气体盘查表!F25</f>
        <v>11808.08</v>
      </c>
      <c r="F25" s="29" t="str">
        <f>表1温室气体盘查表!G25</f>
        <v>t</v>
      </c>
      <c r="G25" s="30">
        <f>'附表2-EF'!K26*10</f>
        <v>0</v>
      </c>
      <c r="H25" s="29" t="s">
        <v>790</v>
      </c>
      <c r="I25" s="31">
        <f>'附表1-GWP TABLE'!E24</f>
        <v>0</v>
      </c>
      <c r="J25" s="32"/>
      <c r="K25" s="29"/>
      <c r="L25" s="31"/>
      <c r="M25" s="32"/>
      <c r="N25" s="29"/>
      <c r="O25" s="31"/>
      <c r="P25" s="33"/>
      <c r="Q25" s="34"/>
      <c r="R25" s="35"/>
      <c r="S25" s="34"/>
      <c r="T25" s="32"/>
      <c r="U25" s="29"/>
      <c r="V25" s="36"/>
      <c r="W25" s="29"/>
      <c r="X25" s="32"/>
      <c r="Y25" s="29"/>
      <c r="Z25" s="31"/>
      <c r="AA25" s="32"/>
      <c r="AB25" s="34"/>
      <c r="AC25" s="31"/>
      <c r="AD25" s="37">
        <f>表1温室气体盘查表!AF25</f>
        <v>82.656559999999999</v>
      </c>
      <c r="AE25" s="37">
        <f>表1温室气体盘查表!AG25</f>
        <v>0</v>
      </c>
      <c r="AF25" s="37">
        <f>表1温室气体盘查表!AH25</f>
        <v>0</v>
      </c>
      <c r="AG25" s="37">
        <f>表1温室气体盘查表!AI25</f>
        <v>0</v>
      </c>
      <c r="AH25" s="37">
        <f>表1温室气体盘查表!AJ25</f>
        <v>0</v>
      </c>
      <c r="AI25" s="37">
        <f>表1温室气体盘查表!AK25</f>
        <v>0</v>
      </c>
      <c r="AJ25" s="37">
        <f>表1温室气体盘查表!AL25</f>
        <v>0</v>
      </c>
      <c r="AK25" s="37">
        <f>表1温室气体盘查表!AM25</f>
        <v>82.656559999999999</v>
      </c>
    </row>
    <row r="26" spans="1:37" s="19" customFormat="1" ht="14.25">
      <c r="A26" s="24">
        <v>22</v>
      </c>
      <c r="B26" s="25" t="str">
        <f>表1温室气体盘查表!B26</f>
        <v>制程排放</v>
      </c>
      <c r="C26" s="26" t="str">
        <f>表1温室气体盘查表!C26</f>
        <v>钼铁</v>
      </c>
      <c r="D26" s="27" t="str">
        <f>表1温室气体盘查表!E26</f>
        <v>范围一</v>
      </c>
      <c r="E26" s="28">
        <f>表1温室气体盘查表!F26</f>
        <v>7268.72</v>
      </c>
      <c r="F26" s="29" t="str">
        <f>表1温室气体盘查表!G26</f>
        <v>t</v>
      </c>
      <c r="G26" s="30">
        <f>'附表2-EF'!K27*10</f>
        <v>0</v>
      </c>
      <c r="H26" s="29" t="s">
        <v>791</v>
      </c>
      <c r="I26" s="31">
        <f>'附表1-GWP TABLE'!E25</f>
        <v>0</v>
      </c>
      <c r="J26" s="32"/>
      <c r="K26" s="29"/>
      <c r="L26" s="31"/>
      <c r="M26" s="32"/>
      <c r="N26" s="29"/>
      <c r="O26" s="31"/>
      <c r="P26" s="33"/>
      <c r="Q26" s="34"/>
      <c r="R26" s="35"/>
      <c r="S26" s="34"/>
      <c r="T26" s="32"/>
      <c r="U26" s="29"/>
      <c r="V26" s="36"/>
      <c r="W26" s="29"/>
      <c r="X26" s="32"/>
      <c r="Y26" s="29"/>
      <c r="Z26" s="31"/>
      <c r="AA26" s="32"/>
      <c r="AB26" s="34"/>
      <c r="AC26" s="31"/>
      <c r="AD26" s="37">
        <f>表1温室气体盘查表!AF26</f>
        <v>130.83696</v>
      </c>
      <c r="AE26" s="37">
        <f>表1温室气体盘查表!AG26</f>
        <v>0</v>
      </c>
      <c r="AF26" s="37">
        <f>表1温室气体盘查表!AH26</f>
        <v>0</v>
      </c>
      <c r="AG26" s="37">
        <f>表1温室气体盘查表!AI26</f>
        <v>0</v>
      </c>
      <c r="AH26" s="37">
        <f>表1温室气体盘查表!AJ26</f>
        <v>0</v>
      </c>
      <c r="AI26" s="37">
        <f>表1温室气体盘查表!AK26</f>
        <v>0</v>
      </c>
      <c r="AJ26" s="37">
        <f>表1温室气体盘查表!AL26</f>
        <v>0</v>
      </c>
      <c r="AK26" s="37">
        <f>表1温室气体盘查表!AM26</f>
        <v>130.83696</v>
      </c>
    </row>
    <row r="27" spans="1:37" s="16" customFormat="1" ht="14.25">
      <c r="A27" s="24">
        <v>23</v>
      </c>
      <c r="B27" s="25" t="str">
        <f>表1温室气体盘查表!B27</f>
        <v>制程排放</v>
      </c>
      <c r="C27" s="26" t="str">
        <f>表1温室气体盘查表!C27</f>
        <v>粗钢</v>
      </c>
      <c r="D27" s="27" t="str">
        <f>表1温室气体盘查表!E27</f>
        <v>范围一</v>
      </c>
      <c r="E27" s="28">
        <f>表1温室气体盘查表!F27</f>
        <v>-4484542.6500000004</v>
      </c>
      <c r="F27" s="29" t="str">
        <f>表1温室气体盘查表!G27</f>
        <v>t</v>
      </c>
      <c r="G27" s="30">
        <f>'附表2-EF'!K28*10</f>
        <v>0</v>
      </c>
      <c r="H27" s="29" t="s">
        <v>792</v>
      </c>
      <c r="I27" s="31">
        <f>'附表1-GWP TABLE'!E26</f>
        <v>0</v>
      </c>
      <c r="J27" s="32"/>
      <c r="K27" s="29"/>
      <c r="L27" s="31"/>
      <c r="M27" s="32"/>
      <c r="N27" s="29"/>
      <c r="O27" s="31"/>
      <c r="P27" s="33"/>
      <c r="Q27" s="34"/>
      <c r="R27" s="35"/>
      <c r="S27" s="34"/>
      <c r="T27" s="32"/>
      <c r="U27" s="29"/>
      <c r="V27" s="36"/>
      <c r="W27" s="29"/>
      <c r="X27" s="32"/>
      <c r="Y27" s="29"/>
      <c r="Z27" s="31"/>
      <c r="AA27" s="32"/>
      <c r="AB27" s="34"/>
      <c r="AC27" s="31"/>
      <c r="AD27" s="37">
        <f>表1温室气体盘查表!AF27</f>
        <v>-165928.07805000001</v>
      </c>
      <c r="AE27" s="37">
        <f>表1温室气体盘查表!AG27</f>
        <v>0</v>
      </c>
      <c r="AF27" s="37">
        <f>表1温室气体盘查表!AH27</f>
        <v>0</v>
      </c>
      <c r="AG27" s="37">
        <f>表1温室气体盘查表!AI27</f>
        <v>0</v>
      </c>
      <c r="AH27" s="37">
        <f>表1温室气体盘查表!AJ27</f>
        <v>0</v>
      </c>
      <c r="AI27" s="37">
        <f>表1温室气体盘查表!AK27</f>
        <v>0</v>
      </c>
      <c r="AJ27" s="37">
        <f>表1温室气体盘查表!AL27</f>
        <v>0</v>
      </c>
      <c r="AK27" s="37">
        <f>表1温室气体盘查表!AM27</f>
        <v>-165928.07805000001</v>
      </c>
    </row>
    <row r="28" spans="1:37" s="16" customFormat="1" ht="14.25">
      <c r="A28" s="24">
        <v>24</v>
      </c>
      <c r="B28" s="25" t="str">
        <f>表1温室气体盘查表!B28</f>
        <v>制程排放</v>
      </c>
      <c r="C28" s="26" t="str">
        <f>表1温室气体盘查表!C28</f>
        <v>粗苯</v>
      </c>
      <c r="D28" s="27" t="str">
        <f>表1温室气体盘查表!E28</f>
        <v>范围一</v>
      </c>
      <c r="E28" s="28">
        <f>表1温室气体盘查表!F28</f>
        <v>-20393.52</v>
      </c>
      <c r="F28" s="29" t="str">
        <f>表1温室气体盘查表!G28</f>
        <v>t</v>
      </c>
      <c r="G28" s="30">
        <f>'附表2-EF'!K29*10</f>
        <v>0</v>
      </c>
      <c r="H28" s="29" t="s">
        <v>793</v>
      </c>
      <c r="I28" s="31">
        <f>'附表1-GWP TABLE'!E27</f>
        <v>0</v>
      </c>
      <c r="J28" s="32"/>
      <c r="K28" s="29"/>
      <c r="L28" s="31"/>
      <c r="M28" s="32"/>
      <c r="N28" s="29"/>
      <c r="O28" s="31"/>
      <c r="P28" s="33"/>
      <c r="Q28" s="34"/>
      <c r="R28" s="35"/>
      <c r="S28" s="34"/>
      <c r="T28" s="32"/>
      <c r="U28" s="29"/>
      <c r="V28" s="36"/>
      <c r="W28" s="29"/>
      <c r="X28" s="32"/>
      <c r="Y28" s="29"/>
      <c r="Z28" s="31"/>
      <c r="AA28" s="32"/>
      <c r="AB28" s="34"/>
      <c r="AC28" s="31"/>
      <c r="AD28" s="37">
        <f>表1温室气体盘查表!AF28</f>
        <v>-68970.884640000004</v>
      </c>
      <c r="AE28" s="37">
        <f>表1温室气体盘查表!AG28</f>
        <v>0</v>
      </c>
      <c r="AF28" s="37">
        <f>表1温室气体盘查表!AH28</f>
        <v>0</v>
      </c>
      <c r="AG28" s="37">
        <f>表1温室气体盘查表!AI28</f>
        <v>0</v>
      </c>
      <c r="AH28" s="37">
        <f>表1温室气体盘查表!AJ28</f>
        <v>0</v>
      </c>
      <c r="AI28" s="37">
        <f>表1温室气体盘查表!AK28</f>
        <v>0</v>
      </c>
      <c r="AJ28" s="37">
        <f>表1温室气体盘查表!AL28</f>
        <v>0</v>
      </c>
      <c r="AK28" s="37">
        <f>表1温室气体盘查表!AM28</f>
        <v>-68970.884640000004</v>
      </c>
    </row>
    <row r="29" spans="1:37" s="16" customFormat="1" ht="14.25">
      <c r="A29" s="24">
        <v>25</v>
      </c>
      <c r="B29" s="25" t="str">
        <f>表1温室气体盘查表!B29</f>
        <v>制程排放</v>
      </c>
      <c r="C29" s="26" t="str">
        <f>表1温室气体盘查表!C29</f>
        <v>焦油</v>
      </c>
      <c r="D29" s="27" t="str">
        <f>表1温室气体盘查表!E29</f>
        <v>范围一</v>
      </c>
      <c r="E29" s="28">
        <f>表1温室气体盘查表!F29</f>
        <v>-60565.599999999999</v>
      </c>
      <c r="F29" s="29" t="str">
        <f>表1温室气体盘查表!G29</f>
        <v>t</v>
      </c>
      <c r="G29" s="30">
        <f>'附表2-EF'!K30*10</f>
        <v>0</v>
      </c>
      <c r="H29" s="29" t="s">
        <v>794</v>
      </c>
      <c r="I29" s="31">
        <f>'附表1-GWP TABLE'!E28</f>
        <v>0</v>
      </c>
      <c r="J29" s="32"/>
      <c r="K29" s="29"/>
      <c r="L29" s="31"/>
      <c r="M29" s="32"/>
      <c r="N29" s="29"/>
      <c r="O29" s="31"/>
      <c r="P29" s="33"/>
      <c r="Q29" s="34"/>
      <c r="R29" s="35"/>
      <c r="S29" s="34"/>
      <c r="T29" s="32"/>
      <c r="U29" s="29"/>
      <c r="V29" s="36"/>
      <c r="W29" s="29"/>
      <c r="X29" s="32"/>
      <c r="Y29" s="29"/>
      <c r="Z29" s="31"/>
      <c r="AA29" s="32"/>
      <c r="AB29" s="34"/>
      <c r="AC29" s="31"/>
      <c r="AD29" s="37">
        <f>表1温室气体盘查表!AF29</f>
        <v>-163466.55439999999</v>
      </c>
      <c r="AE29" s="37">
        <f>表1温室气体盘查表!AG29</f>
        <v>0</v>
      </c>
      <c r="AF29" s="37">
        <f>表1温室气体盘查表!AH29</f>
        <v>0</v>
      </c>
      <c r="AG29" s="37">
        <f>表1温室气体盘查表!AI29</f>
        <v>0</v>
      </c>
      <c r="AH29" s="37">
        <f>表1温室气体盘查表!AJ29</f>
        <v>0</v>
      </c>
      <c r="AI29" s="37">
        <f>表1温室气体盘查表!AK29</f>
        <v>0</v>
      </c>
      <c r="AJ29" s="37">
        <f>表1温室气体盘查表!AL29</f>
        <v>0</v>
      </c>
      <c r="AK29" s="37">
        <f>表1温室气体盘查表!AM29</f>
        <v>-163466.55439999999</v>
      </c>
    </row>
    <row r="30" spans="1:37" s="16" customFormat="1" ht="16.5">
      <c r="A30" s="24">
        <v>26</v>
      </c>
      <c r="B30" s="25" t="str">
        <f>表1温室气体盘查表!B30</f>
        <v>输入能源间接温室气体排放</v>
      </c>
      <c r="C30" s="26" t="str">
        <f>表1温室气体盘查表!C30</f>
        <v>外购电力（基于位置）</v>
      </c>
      <c r="D30" s="27" t="str">
        <f>表1温室气体盘查表!E30</f>
        <v>范围二</v>
      </c>
      <c r="E30" s="28">
        <f>表1温室气体盘查表!F30</f>
        <v>1966850.83</v>
      </c>
      <c r="F30" s="29" t="str">
        <f>表1温室气体盘查表!G30</f>
        <v>MWh</v>
      </c>
      <c r="G30" s="30">
        <f>'附表2-EF'!K31*10</f>
        <v>0</v>
      </c>
      <c r="H30" s="29" t="s">
        <v>795</v>
      </c>
      <c r="I30" s="31">
        <f>'附表1-GWP TABLE'!E29</f>
        <v>0</v>
      </c>
      <c r="J30" s="32"/>
      <c r="K30" s="29"/>
      <c r="L30" s="31"/>
      <c r="M30" s="32"/>
      <c r="N30" s="29"/>
      <c r="O30" s="31"/>
      <c r="P30" s="33"/>
      <c r="Q30" s="34"/>
      <c r="R30" s="35"/>
      <c r="S30" s="34"/>
      <c r="T30" s="32"/>
      <c r="U30" s="29"/>
      <c r="V30" s="36"/>
      <c r="W30" s="29"/>
      <c r="X30" s="32"/>
      <c r="Y30" s="29"/>
      <c r="Z30" s="31"/>
      <c r="AA30" s="32"/>
      <c r="AB30" s="34"/>
      <c r="AC30" s="31"/>
      <c r="AD30" s="37">
        <f>表1温室气体盘查表!AF30</f>
        <v>1043611.0503979999</v>
      </c>
      <c r="AE30" s="37">
        <f>表1温室气体盘查表!AG30</f>
        <v>0</v>
      </c>
      <c r="AF30" s="37">
        <f>表1温室气体盘查表!AH30</f>
        <v>0</v>
      </c>
      <c r="AG30" s="37">
        <f>表1温室气体盘查表!AI30</f>
        <v>0</v>
      </c>
      <c r="AH30" s="37">
        <f>表1温室气体盘查表!AJ30</f>
        <v>0</v>
      </c>
      <c r="AI30" s="37">
        <f>表1温室气体盘查表!AK30</f>
        <v>0</v>
      </c>
      <c r="AJ30" s="37">
        <f>表1温室气体盘查表!AL30</f>
        <v>0</v>
      </c>
      <c r="AK30" s="37">
        <f>表1温室气体盘查表!AM30</f>
        <v>1043611.0503979999</v>
      </c>
    </row>
    <row r="31" spans="1:37" s="16" customFormat="1" ht="18">
      <c r="A31" s="24">
        <v>27</v>
      </c>
      <c r="B31" s="25" t="str">
        <f>表1温室气体盘查表!B32</f>
        <v>外购商品和服务的上游排放</v>
      </c>
      <c r="C31" s="26" t="str">
        <f>表1温室气体盘查表!C32</f>
        <v>铁矿石生产</v>
      </c>
      <c r="D31" s="27" t="str">
        <f>表1温室气体盘查表!E32</f>
        <v>范围三 类别1</v>
      </c>
      <c r="E31" s="28">
        <f>表1温室气体盘查表!F32</f>
        <v>4854324.07</v>
      </c>
      <c r="F31" s="29" t="str">
        <f>表1温室气体盘查表!G32</f>
        <v>t</v>
      </c>
      <c r="G31" s="30">
        <f>'附表2-EF'!K33*10</f>
        <v>0</v>
      </c>
      <c r="H31" s="29" t="s">
        <v>796</v>
      </c>
      <c r="I31" s="31">
        <f>'附表1-GWP TABLE'!E31</f>
        <v>0</v>
      </c>
      <c r="J31" s="32"/>
      <c r="K31" s="29"/>
      <c r="L31" s="31"/>
      <c r="M31" s="32"/>
      <c r="N31" s="29"/>
      <c r="O31" s="31"/>
      <c r="P31" s="33"/>
      <c r="Q31" s="34"/>
      <c r="R31" s="35"/>
      <c r="S31" s="34"/>
      <c r="T31" s="32"/>
      <c r="U31" s="29"/>
      <c r="V31" s="36"/>
      <c r="W31" s="29"/>
      <c r="X31" s="32"/>
      <c r="Y31" s="29"/>
      <c r="Z31" s="31"/>
      <c r="AA31" s="32"/>
      <c r="AB31" s="34"/>
      <c r="AC31" s="31"/>
      <c r="AD31" s="37">
        <f>表1温室气体盘查表!AF32</f>
        <v>479835.37134729006</v>
      </c>
      <c r="AE31" s="37">
        <f>表1温室气体盘查表!AG32</f>
        <v>0</v>
      </c>
      <c r="AF31" s="37">
        <f>表1温室气体盘查表!AH32</f>
        <v>0</v>
      </c>
      <c r="AG31" s="37">
        <f>表1温室气体盘查表!AI32</f>
        <v>0</v>
      </c>
      <c r="AH31" s="37">
        <f>表1温室气体盘查表!AJ32</f>
        <v>0</v>
      </c>
      <c r="AI31" s="37">
        <f>表1温室气体盘查表!AK32</f>
        <v>0</v>
      </c>
      <c r="AJ31" s="37">
        <f>表1温室气体盘查表!AL32</f>
        <v>0</v>
      </c>
      <c r="AK31" s="37">
        <f>表1温室气体盘查表!AM32</f>
        <v>479835.37134729006</v>
      </c>
    </row>
    <row r="32" spans="1:37" s="16" customFormat="1" ht="18">
      <c r="A32" s="24">
        <v>28</v>
      </c>
      <c r="B32" s="25" t="str">
        <f>表1温室气体盘查表!B33</f>
        <v>外购商品和服务的上游排放</v>
      </c>
      <c r="C32" s="26" t="str">
        <f>表1温室气体盘查表!C33</f>
        <v>生石灰生产</v>
      </c>
      <c r="D32" s="27" t="str">
        <f>表1温室气体盘查表!E33</f>
        <v>范围三 类别1</v>
      </c>
      <c r="E32" s="28">
        <f>表1温室气体盘查表!F33</f>
        <v>199182.36</v>
      </c>
      <c r="F32" s="29" t="str">
        <f>表1温室气体盘查表!G33</f>
        <v>t</v>
      </c>
      <c r="G32" s="30">
        <f>'附表2-EF'!K34*10</f>
        <v>0</v>
      </c>
      <c r="H32" s="29" t="s">
        <v>797</v>
      </c>
      <c r="I32" s="31">
        <f>'附表1-GWP TABLE'!E32</f>
        <v>0</v>
      </c>
      <c r="J32" s="32"/>
      <c r="K32" s="29"/>
      <c r="L32" s="31"/>
      <c r="M32" s="32"/>
      <c r="N32" s="29"/>
      <c r="O32" s="31"/>
      <c r="P32" s="33"/>
      <c r="Q32" s="34"/>
      <c r="R32" s="35"/>
      <c r="S32" s="34"/>
      <c r="T32" s="32"/>
      <c r="U32" s="29"/>
      <c r="V32" s="36"/>
      <c r="W32" s="29"/>
      <c r="X32" s="32"/>
      <c r="Y32" s="29"/>
      <c r="Z32" s="31"/>
      <c r="AA32" s="32"/>
      <c r="AB32" s="34"/>
      <c r="AC32" s="31"/>
      <c r="AD32" s="37">
        <f>表1温室气体盘查表!AF33</f>
        <v>236961.26162730961</v>
      </c>
      <c r="AE32" s="37">
        <f>表1温室气体盘查表!AG33</f>
        <v>0</v>
      </c>
      <c r="AF32" s="37">
        <f>表1温室气体盘查表!AH33</f>
        <v>0</v>
      </c>
      <c r="AG32" s="37">
        <f>表1温室气体盘查表!AI33</f>
        <v>0</v>
      </c>
      <c r="AH32" s="37">
        <f>表1温室气体盘查表!AJ33</f>
        <v>0</v>
      </c>
      <c r="AI32" s="37">
        <f>表1温室气体盘查表!AK33</f>
        <v>0</v>
      </c>
      <c r="AJ32" s="37">
        <f>表1温室气体盘查表!AL33</f>
        <v>0</v>
      </c>
      <c r="AK32" s="37">
        <f>表1温室气体盘查表!AM33</f>
        <v>236961.26162730961</v>
      </c>
    </row>
    <row r="33" spans="1:37" s="16" customFormat="1" ht="18">
      <c r="A33" s="24">
        <v>29</v>
      </c>
      <c r="B33" s="25" t="str">
        <f>表1温室气体盘查表!B34</f>
        <v>外购商品和服务的上游排放</v>
      </c>
      <c r="C33" s="26" t="str">
        <f>表1温室气体盘查表!C34</f>
        <v>白云石生产</v>
      </c>
      <c r="D33" s="27" t="str">
        <f>表1温室气体盘查表!E34</f>
        <v>范围三 类别1</v>
      </c>
      <c r="E33" s="28">
        <f>表1温室气体盘查表!F34</f>
        <v>38669.449999999997</v>
      </c>
      <c r="F33" s="29" t="str">
        <f>表1温室气体盘查表!G34</f>
        <v>t</v>
      </c>
      <c r="G33" s="30" t="e">
        <f>'附表2-EF'!K35*10</f>
        <v>#VALUE!</v>
      </c>
      <c r="H33" s="29" t="s">
        <v>798</v>
      </c>
      <c r="I33" s="31">
        <f>'附表1-GWP TABLE'!E33</f>
        <v>0</v>
      </c>
      <c r="J33" s="32"/>
      <c r="K33" s="29"/>
      <c r="L33" s="31"/>
      <c r="M33" s="32"/>
      <c r="N33" s="29"/>
      <c r="O33" s="31"/>
      <c r="P33" s="33"/>
      <c r="Q33" s="34"/>
      <c r="R33" s="35"/>
      <c r="S33" s="34"/>
      <c r="T33" s="32"/>
      <c r="U33" s="29"/>
      <c r="V33" s="36"/>
      <c r="W33" s="29"/>
      <c r="X33" s="32"/>
      <c r="Y33" s="29"/>
      <c r="Z33" s="31"/>
      <c r="AA33" s="32"/>
      <c r="AB33" s="34"/>
      <c r="AC33" s="31"/>
      <c r="AD33" s="37">
        <f>表1温室气体盘查表!AF34</f>
        <v>5039.7894184999996</v>
      </c>
      <c r="AE33" s="37">
        <f>表1温室气体盘查表!AG34</f>
        <v>0</v>
      </c>
      <c r="AF33" s="37">
        <f>表1温室气体盘查表!AH34</f>
        <v>0</v>
      </c>
      <c r="AG33" s="37">
        <f>表1温室气体盘查表!AI34</f>
        <v>0</v>
      </c>
      <c r="AH33" s="37">
        <f>表1温室气体盘查表!AJ34</f>
        <v>0</v>
      </c>
      <c r="AI33" s="37">
        <f>表1温室气体盘查表!AK34</f>
        <v>0</v>
      </c>
      <c r="AJ33" s="37">
        <f>表1温室气体盘查表!AL34</f>
        <v>0</v>
      </c>
      <c r="AK33" s="37">
        <f>表1温室气体盘查表!AM34</f>
        <v>5039.7894184999996</v>
      </c>
    </row>
    <row r="34" spans="1:37" s="16" customFormat="1" ht="18">
      <c r="A34" s="24">
        <v>30</v>
      </c>
      <c r="B34" s="25" t="str">
        <f>表1温室气体盘查表!B35</f>
        <v>外购商品和服务的上游排放</v>
      </c>
      <c r="C34" s="26" t="str">
        <f>表1温室气体盘查表!C35</f>
        <v>球团生产</v>
      </c>
      <c r="D34" s="27" t="str">
        <f>表1温室气体盘查表!E35</f>
        <v>范围三 类别1</v>
      </c>
      <c r="E34" s="28">
        <f>表1温室气体盘查表!F35</f>
        <v>681993.89</v>
      </c>
      <c r="F34" s="29" t="str">
        <f>表1温室气体盘查表!G35</f>
        <v>t</v>
      </c>
      <c r="G34" s="30">
        <f>'附表2-EF'!K36*10</f>
        <v>0</v>
      </c>
      <c r="H34" s="29" t="s">
        <v>799</v>
      </c>
      <c r="I34" s="31">
        <f>'附表1-GWP TABLE'!E34</f>
        <v>0</v>
      </c>
      <c r="J34" s="32"/>
      <c r="K34" s="29"/>
      <c r="L34" s="31"/>
      <c r="M34" s="32"/>
      <c r="N34" s="29"/>
      <c r="O34" s="31"/>
      <c r="P34" s="33"/>
      <c r="Q34" s="34"/>
      <c r="R34" s="35"/>
      <c r="S34" s="34"/>
      <c r="T34" s="32"/>
      <c r="U34" s="29"/>
      <c r="V34" s="36"/>
      <c r="W34" s="29"/>
      <c r="X34" s="32"/>
      <c r="Y34" s="29"/>
      <c r="Z34" s="31"/>
      <c r="AA34" s="32"/>
      <c r="AB34" s="34"/>
      <c r="AC34" s="31"/>
      <c r="AD34" s="37">
        <f>表1温室气体盘查表!AF35</f>
        <v>71241.081749399993</v>
      </c>
      <c r="AE34" s="37">
        <f>表1温室气体盘查表!AG35</f>
        <v>0</v>
      </c>
      <c r="AF34" s="37">
        <f>表1温室气体盘查表!AH35</f>
        <v>0</v>
      </c>
      <c r="AG34" s="37">
        <f>表1温室气体盘查表!AI35</f>
        <v>0</v>
      </c>
      <c r="AH34" s="37">
        <f>表1温室气体盘查表!AJ35</f>
        <v>0</v>
      </c>
      <c r="AI34" s="37">
        <f>表1温室气体盘查表!AK35</f>
        <v>0</v>
      </c>
      <c r="AJ34" s="37">
        <f>表1温室气体盘查表!AL35</f>
        <v>0</v>
      </c>
      <c r="AK34" s="37">
        <f>表1温室气体盘查表!AM35</f>
        <v>71241.081749399993</v>
      </c>
    </row>
    <row r="35" spans="1:37" s="16" customFormat="1" ht="18">
      <c r="A35" s="24">
        <v>31</v>
      </c>
      <c r="B35" s="25" t="str">
        <f>表1温室气体盘查表!B36</f>
        <v>外购商品和服务的上游排放</v>
      </c>
      <c r="C35" s="26" t="str">
        <f>表1温室气体盘查表!C36</f>
        <v>废钢生产</v>
      </c>
      <c r="D35" s="27" t="str">
        <f>表1温室气体盘查表!E36</f>
        <v>范围三 类别1</v>
      </c>
      <c r="E35" s="28">
        <f>表1温室气体盘查表!F36</f>
        <v>1119615.6599999999</v>
      </c>
      <c r="F35" s="29" t="str">
        <f>表1温室气体盘查表!G36</f>
        <v>t</v>
      </c>
      <c r="G35" s="30">
        <f>'附表2-EF'!K37*10</f>
        <v>0</v>
      </c>
      <c r="H35" s="29" t="s">
        <v>800</v>
      </c>
      <c r="I35" s="31">
        <f>'附表1-GWP TABLE'!E35</f>
        <v>0</v>
      </c>
      <c r="J35" s="32"/>
      <c r="K35" s="29"/>
      <c r="L35" s="31"/>
      <c r="M35" s="32"/>
      <c r="N35" s="29"/>
      <c r="O35" s="31"/>
      <c r="P35" s="33"/>
      <c r="Q35" s="34"/>
      <c r="R35" s="35"/>
      <c r="S35" s="34"/>
      <c r="T35" s="32"/>
      <c r="U35" s="29"/>
      <c r="V35" s="36"/>
      <c r="W35" s="29"/>
      <c r="X35" s="32"/>
      <c r="Y35" s="29"/>
      <c r="Z35" s="31"/>
      <c r="AA35" s="32"/>
      <c r="AB35" s="34"/>
      <c r="AC35" s="31"/>
      <c r="AD35" s="37">
        <f>表1温室气体盘查表!AF36</f>
        <v>83051.970043139983</v>
      </c>
      <c r="AE35" s="37">
        <f>表1温室气体盘查表!AG36</f>
        <v>0</v>
      </c>
      <c r="AF35" s="37">
        <f>表1温室气体盘查表!AH36</f>
        <v>0</v>
      </c>
      <c r="AG35" s="37">
        <f>表1温室气体盘查表!AI36</f>
        <v>0</v>
      </c>
      <c r="AH35" s="37">
        <f>表1温室气体盘查表!AJ36</f>
        <v>0</v>
      </c>
      <c r="AI35" s="37">
        <f>表1温室气体盘查表!AK36</f>
        <v>0</v>
      </c>
      <c r="AJ35" s="37">
        <f>表1温室气体盘查表!AL36</f>
        <v>0</v>
      </c>
      <c r="AK35" s="37">
        <f>表1温室气体盘查表!AM36</f>
        <v>83051.970043139983</v>
      </c>
    </row>
    <row r="36" spans="1:37" s="16" customFormat="1" ht="18">
      <c r="A36" s="24">
        <v>32</v>
      </c>
      <c r="B36" s="25" t="str">
        <f>表1温室气体盘查表!B37</f>
        <v>外购商品和服务的上游排放</v>
      </c>
      <c r="C36" s="26" t="str">
        <f>表1温室气体盘查表!C37</f>
        <v>电极生产</v>
      </c>
      <c r="D36" s="27" t="str">
        <f>表1温室气体盘查表!E37</f>
        <v>范围三 类别1</v>
      </c>
      <c r="E36" s="28">
        <f>表1温室气体盘查表!F37</f>
        <v>5005.45</v>
      </c>
      <c r="F36" s="29" t="str">
        <f>表1温室气体盘查表!G37</f>
        <v>t</v>
      </c>
      <c r="G36" s="30">
        <f>'附表2-EF'!K38*10</f>
        <v>0</v>
      </c>
      <c r="H36" s="29" t="s">
        <v>801</v>
      </c>
      <c r="I36" s="31">
        <f>'附表1-GWP TABLE'!E36</f>
        <v>0</v>
      </c>
      <c r="J36" s="32"/>
      <c r="K36" s="29"/>
      <c r="L36" s="31"/>
      <c r="M36" s="32"/>
      <c r="N36" s="29"/>
      <c r="O36" s="31"/>
      <c r="P36" s="33"/>
      <c r="Q36" s="34"/>
      <c r="R36" s="35"/>
      <c r="S36" s="34"/>
      <c r="T36" s="32"/>
      <c r="U36" s="29"/>
      <c r="V36" s="36"/>
      <c r="W36" s="29"/>
      <c r="X36" s="32"/>
      <c r="Y36" s="29"/>
      <c r="Z36" s="31"/>
      <c r="AA36" s="32"/>
      <c r="AB36" s="34"/>
      <c r="AC36" s="31"/>
      <c r="AD36" s="37">
        <f>表1温室气体盘查表!AF37</f>
        <v>60962.024357421578</v>
      </c>
      <c r="AE36" s="37">
        <f>表1温室气体盘查表!AG37</f>
        <v>0</v>
      </c>
      <c r="AF36" s="37">
        <f>表1温室气体盘查表!AH37</f>
        <v>0</v>
      </c>
      <c r="AG36" s="37">
        <f>表1温室气体盘查表!AI37</f>
        <v>0</v>
      </c>
      <c r="AH36" s="37">
        <f>表1温室气体盘查表!AJ37</f>
        <v>0</v>
      </c>
      <c r="AI36" s="37">
        <f>表1温室气体盘查表!AK37</f>
        <v>0</v>
      </c>
      <c r="AJ36" s="37">
        <f>表1温室气体盘查表!AL37</f>
        <v>0</v>
      </c>
      <c r="AK36" s="37">
        <f>表1温室气体盘查表!AM37</f>
        <v>60962.024357421578</v>
      </c>
    </row>
    <row r="37" spans="1:37" s="16" customFormat="1" ht="18">
      <c r="A37" s="24">
        <v>33</v>
      </c>
      <c r="B37" s="25" t="str">
        <f>表1温室气体盘查表!B38</f>
        <v>外购商品和服务的上游排放</v>
      </c>
      <c r="C37" s="26" t="str">
        <f>表1温室气体盘查表!C38</f>
        <v>锰铁生产</v>
      </c>
      <c r="D37" s="27" t="str">
        <f>表1温室气体盘查表!E38</f>
        <v>范围三 类别1</v>
      </c>
      <c r="E37" s="28">
        <f>表1温室气体盘查表!F38</f>
        <v>41483.17</v>
      </c>
      <c r="F37" s="29" t="str">
        <f>表1温室气体盘查表!G38</f>
        <v>t</v>
      </c>
      <c r="G37" s="30" t="e">
        <f>'附表2-EF'!K39*10</f>
        <v>#VALUE!</v>
      </c>
      <c r="H37" s="29" t="s">
        <v>802</v>
      </c>
      <c r="I37" s="31">
        <f>'附表1-GWP TABLE'!E37</f>
        <v>0</v>
      </c>
      <c r="J37" s="32"/>
      <c r="K37" s="29"/>
      <c r="L37" s="31"/>
      <c r="M37" s="32"/>
      <c r="N37" s="29"/>
      <c r="O37" s="31"/>
      <c r="P37" s="33"/>
      <c r="Q37" s="34"/>
      <c r="R37" s="35"/>
      <c r="S37" s="34"/>
      <c r="T37" s="32"/>
      <c r="U37" s="29"/>
      <c r="V37" s="36"/>
      <c r="W37" s="29"/>
      <c r="X37" s="32"/>
      <c r="Y37" s="29"/>
      <c r="Z37" s="31"/>
      <c r="AA37" s="32"/>
      <c r="AB37" s="34"/>
      <c r="AC37" s="31"/>
      <c r="AD37" s="37">
        <f>表1温室气体盘查表!AF38</f>
        <v>123503.69372399998</v>
      </c>
      <c r="AE37" s="37">
        <f>表1温室气体盘查表!AG38</f>
        <v>0</v>
      </c>
      <c r="AF37" s="37">
        <f>表1温室气体盘查表!AH38</f>
        <v>0</v>
      </c>
      <c r="AG37" s="37">
        <f>表1温室气体盘查表!AI38</f>
        <v>0</v>
      </c>
      <c r="AH37" s="37">
        <f>表1温室气体盘查表!AJ38</f>
        <v>0</v>
      </c>
      <c r="AI37" s="37">
        <f>表1温室气体盘查表!AK38</f>
        <v>0</v>
      </c>
      <c r="AJ37" s="37">
        <f>表1温室气体盘查表!AL38</f>
        <v>0</v>
      </c>
      <c r="AK37" s="37">
        <f>表1温室气体盘查表!AM38</f>
        <v>123503.69372399998</v>
      </c>
    </row>
    <row r="38" spans="1:37" s="16" customFormat="1" ht="18">
      <c r="A38" s="24">
        <v>34</v>
      </c>
      <c r="B38" s="25" t="str">
        <f>表1温室气体盘查表!B39</f>
        <v>外购商品和服务的上游排放</v>
      </c>
      <c r="C38" s="26" t="str">
        <f>表1温室气体盘查表!C39</f>
        <v>镍铁生产</v>
      </c>
      <c r="D38" s="27" t="str">
        <f>表1温室气体盘查表!E39</f>
        <v>范围三 类别1</v>
      </c>
      <c r="E38" s="28">
        <f>表1温室气体盘查表!F39</f>
        <v>9943.2000000000007</v>
      </c>
      <c r="F38" s="29" t="str">
        <f>表1温室气体盘查表!G39</f>
        <v>t</v>
      </c>
      <c r="G38" s="30" t="e">
        <f>'附表2-EF'!K40*10</f>
        <v>#VALUE!</v>
      </c>
      <c r="H38" s="29" t="s">
        <v>803</v>
      </c>
      <c r="I38" s="31">
        <f>'附表1-GWP TABLE'!E38</f>
        <v>0</v>
      </c>
      <c r="J38" s="32"/>
      <c r="K38" s="29"/>
      <c r="L38" s="31"/>
      <c r="M38" s="32"/>
      <c r="N38" s="29"/>
      <c r="O38" s="31"/>
      <c r="P38" s="33"/>
      <c r="Q38" s="34"/>
      <c r="R38" s="35"/>
      <c r="S38" s="34"/>
      <c r="T38" s="32"/>
      <c r="U38" s="29"/>
      <c r="V38" s="36"/>
      <c r="W38" s="29"/>
      <c r="X38" s="32"/>
      <c r="Y38" s="29"/>
      <c r="Z38" s="31"/>
      <c r="AA38" s="32"/>
      <c r="AB38" s="34"/>
      <c r="AC38" s="31"/>
      <c r="AD38" s="37">
        <f>表1温室气体盘查表!AF39</f>
        <v>87049.733040000006</v>
      </c>
      <c r="AE38" s="37">
        <f>表1温室气体盘查表!AG39</f>
        <v>0</v>
      </c>
      <c r="AF38" s="37">
        <f>表1温室气体盘查表!AH39</f>
        <v>0</v>
      </c>
      <c r="AG38" s="37">
        <f>表1温室气体盘查表!AI39</f>
        <v>0</v>
      </c>
      <c r="AH38" s="37">
        <f>表1温室气体盘查表!AJ39</f>
        <v>0</v>
      </c>
      <c r="AI38" s="37">
        <f>表1温室气体盘查表!AK39</f>
        <v>0</v>
      </c>
      <c r="AJ38" s="37">
        <f>表1温室气体盘查表!AL39</f>
        <v>0</v>
      </c>
      <c r="AK38" s="37">
        <f>表1温室气体盘查表!AM39</f>
        <v>87049.733040000006</v>
      </c>
    </row>
    <row r="39" spans="1:37" s="16" customFormat="1" ht="18">
      <c r="A39" s="24">
        <v>35</v>
      </c>
      <c r="B39" s="25" t="str">
        <f>表1温室气体盘查表!B40</f>
        <v>外购商品和服务的上游排放</v>
      </c>
      <c r="C39" s="26" t="str">
        <f>表1温室气体盘查表!C40</f>
        <v>铬铁生产</v>
      </c>
      <c r="D39" s="27" t="str">
        <f>表1温室气体盘查表!E40</f>
        <v>范围三 类别1</v>
      </c>
      <c r="E39" s="28">
        <f>表1温室气体盘查表!F40</f>
        <v>40208.129999999997</v>
      </c>
      <c r="F39" s="29" t="str">
        <f>表1温室气体盘查表!G40</f>
        <v>t</v>
      </c>
      <c r="G39" s="30" t="e">
        <f>'附表2-EF'!K41*10</f>
        <v>#VALUE!</v>
      </c>
      <c r="H39" s="29" t="s">
        <v>804</v>
      </c>
      <c r="I39" s="31">
        <f>'附表1-GWP TABLE'!E39</f>
        <v>0</v>
      </c>
      <c r="J39" s="32"/>
      <c r="K39" s="29"/>
      <c r="L39" s="31"/>
      <c r="M39" s="32"/>
      <c r="N39" s="29"/>
      <c r="O39" s="31"/>
      <c r="P39" s="33"/>
      <c r="Q39" s="34"/>
      <c r="R39" s="35"/>
      <c r="S39" s="34"/>
      <c r="T39" s="32"/>
      <c r="U39" s="29"/>
      <c r="V39" s="36"/>
      <c r="W39" s="29"/>
      <c r="X39" s="32"/>
      <c r="Y39" s="29"/>
      <c r="Z39" s="31"/>
      <c r="AA39" s="32"/>
      <c r="AB39" s="34"/>
      <c r="AC39" s="31"/>
      <c r="AD39" s="37">
        <f>表1温室气体盘查表!AF40</f>
        <v>204743.81877300001</v>
      </c>
      <c r="AE39" s="37">
        <f>表1温室气体盘查表!AG40</f>
        <v>0</v>
      </c>
      <c r="AF39" s="37">
        <f>表1温室气体盘查表!AH40</f>
        <v>0</v>
      </c>
      <c r="AG39" s="37">
        <f>表1温室气体盘查表!AI40</f>
        <v>0</v>
      </c>
      <c r="AH39" s="37">
        <f>表1温室气体盘查表!AJ40</f>
        <v>0</v>
      </c>
      <c r="AI39" s="37">
        <f>表1温室气体盘查表!AK40</f>
        <v>0</v>
      </c>
      <c r="AJ39" s="37">
        <f>表1温室气体盘查表!AL40</f>
        <v>0</v>
      </c>
      <c r="AK39" s="37">
        <f>表1温室气体盘查表!AM40</f>
        <v>204743.81877300001</v>
      </c>
    </row>
    <row r="40" spans="1:37" s="16" customFormat="1" ht="18">
      <c r="A40" s="24">
        <v>36</v>
      </c>
      <c r="B40" s="25" t="str">
        <f>表1温室气体盘查表!B41</f>
        <v>外购商品和服务的上游排放</v>
      </c>
      <c r="C40" s="26" t="str">
        <f>表1温室气体盘查表!C41</f>
        <v>萤石生产</v>
      </c>
      <c r="D40" s="27" t="str">
        <f>表1温室气体盘查表!E41</f>
        <v>范围三 类别1</v>
      </c>
      <c r="E40" s="28">
        <f>表1温室气体盘查表!F41</f>
        <v>418155.97</v>
      </c>
      <c r="F40" s="29" t="str">
        <f>表1温室气体盘查表!G41</f>
        <v>t</v>
      </c>
      <c r="G40" s="30">
        <f>'附表2-EF'!K42*10</f>
        <v>0</v>
      </c>
      <c r="H40" s="29" t="s">
        <v>805</v>
      </c>
      <c r="I40" s="31">
        <f>'附表1-GWP TABLE'!E40</f>
        <v>0</v>
      </c>
      <c r="J40" s="32"/>
      <c r="K40" s="29"/>
      <c r="L40" s="31"/>
      <c r="M40" s="32"/>
      <c r="N40" s="29"/>
      <c r="O40" s="31"/>
      <c r="P40" s="33"/>
      <c r="Q40" s="34"/>
      <c r="R40" s="35"/>
      <c r="S40" s="34"/>
      <c r="T40" s="32"/>
      <c r="U40" s="29"/>
      <c r="V40" s="36"/>
      <c r="W40" s="29"/>
      <c r="X40" s="32"/>
      <c r="Y40" s="29"/>
      <c r="Z40" s="31"/>
      <c r="AA40" s="32"/>
      <c r="AB40" s="34"/>
      <c r="AC40" s="31"/>
      <c r="AD40" s="37">
        <f>表1温室气体盘查表!AF41</f>
        <v>88473.440132599993</v>
      </c>
      <c r="AE40" s="37">
        <f>表1温室气体盘查表!AG41</f>
        <v>0</v>
      </c>
      <c r="AF40" s="37">
        <f>表1温室气体盘查表!AH41</f>
        <v>0</v>
      </c>
      <c r="AG40" s="37">
        <f>表1温室气体盘查表!AI41</f>
        <v>0</v>
      </c>
      <c r="AH40" s="37">
        <f>表1温室气体盘查表!AJ41</f>
        <v>0</v>
      </c>
      <c r="AI40" s="37">
        <f>表1温室气体盘查表!AK41</f>
        <v>0</v>
      </c>
      <c r="AJ40" s="37">
        <f>表1温室气体盘查表!AL41</f>
        <v>0</v>
      </c>
      <c r="AK40" s="37">
        <f>表1温室气体盘查表!AM41</f>
        <v>88473.440132599993</v>
      </c>
    </row>
    <row r="41" spans="1:37" s="16" customFormat="1" ht="18">
      <c r="A41" s="24">
        <v>37</v>
      </c>
      <c r="B41" s="25" t="str">
        <f>表1温室气体盘查表!B42</f>
        <v>外购商品和服务的上游排放</v>
      </c>
      <c r="C41" s="26" t="str">
        <f>表1温室气体盘查表!C42</f>
        <v>硅铁生产</v>
      </c>
      <c r="D41" s="27" t="str">
        <f>表1温室气体盘查表!E42</f>
        <v>范围三 类别1</v>
      </c>
      <c r="E41" s="28">
        <f>表1温室气体盘查表!F42</f>
        <v>14695.77</v>
      </c>
      <c r="F41" s="29" t="str">
        <f>表1温室气体盘查表!G42</f>
        <v>t</v>
      </c>
      <c r="G41" s="30">
        <f>'附表2-EF'!K43*10</f>
        <v>0</v>
      </c>
      <c r="H41" s="29" t="s">
        <v>806</v>
      </c>
      <c r="I41" s="31">
        <f>'附表1-GWP TABLE'!E41</f>
        <v>0</v>
      </c>
      <c r="J41" s="32"/>
      <c r="K41" s="29"/>
      <c r="L41" s="31"/>
      <c r="M41" s="32"/>
      <c r="N41" s="29"/>
      <c r="O41" s="31"/>
      <c r="P41" s="33"/>
      <c r="Q41" s="34"/>
      <c r="R41" s="35"/>
      <c r="S41" s="34"/>
      <c r="T41" s="32"/>
      <c r="U41" s="29"/>
      <c r="V41" s="36"/>
      <c r="W41" s="29"/>
      <c r="X41" s="32"/>
      <c r="Y41" s="29"/>
      <c r="Z41" s="31"/>
      <c r="AA41" s="32"/>
      <c r="AB41" s="34"/>
      <c r="AC41" s="31"/>
      <c r="AD41" s="37">
        <f>表1温室气体盘查表!AF42</f>
        <v>149088.58665000001</v>
      </c>
      <c r="AE41" s="37">
        <f>表1温室气体盘查表!AG42</f>
        <v>0</v>
      </c>
      <c r="AF41" s="37">
        <f>表1温室气体盘查表!AH42</f>
        <v>0</v>
      </c>
      <c r="AG41" s="37">
        <f>表1温室气体盘查表!AI42</f>
        <v>0</v>
      </c>
      <c r="AH41" s="37">
        <f>表1温室气体盘查表!AJ42</f>
        <v>0</v>
      </c>
      <c r="AI41" s="37">
        <f>表1温室气体盘查表!AK42</f>
        <v>0</v>
      </c>
      <c r="AJ41" s="37">
        <f>表1温室气体盘查表!AL42</f>
        <v>0</v>
      </c>
      <c r="AK41" s="37">
        <f>表1温室气体盘查表!AM42</f>
        <v>149088.58665000001</v>
      </c>
    </row>
    <row r="42" spans="1:37" s="16" customFormat="1" ht="18">
      <c r="A42" s="24">
        <v>38</v>
      </c>
      <c r="B42" s="25" t="str">
        <f>表1温室气体盘查表!B43</f>
        <v>外购商品和服务的上游排放</v>
      </c>
      <c r="C42" s="26" t="str">
        <f>表1温室气体盘查表!C43</f>
        <v>钼铁生产</v>
      </c>
      <c r="D42" s="27" t="str">
        <f>表1温室气体盘查表!E43</f>
        <v>范围三 类别1</v>
      </c>
      <c r="E42" s="28">
        <f>表1温室气体盘查表!F43</f>
        <v>7268.72</v>
      </c>
      <c r="F42" s="29" t="str">
        <f>表1温室气体盘查表!G43</f>
        <v>t</v>
      </c>
      <c r="G42" s="30">
        <f>'附表2-EF'!K44*10</f>
        <v>0</v>
      </c>
      <c r="H42" s="29" t="s">
        <v>807</v>
      </c>
      <c r="I42" s="31">
        <f>'附表1-GWP TABLE'!E42</f>
        <v>0</v>
      </c>
      <c r="J42" s="32"/>
      <c r="K42" s="29"/>
      <c r="L42" s="31"/>
      <c r="M42" s="32"/>
      <c r="N42" s="29"/>
      <c r="O42" s="31"/>
      <c r="P42" s="33"/>
      <c r="Q42" s="34"/>
      <c r="R42" s="35"/>
      <c r="S42" s="34"/>
      <c r="T42" s="32"/>
      <c r="U42" s="29"/>
      <c r="V42" s="36"/>
      <c r="W42" s="29"/>
      <c r="X42" s="32"/>
      <c r="Y42" s="29"/>
      <c r="Z42" s="31"/>
      <c r="AA42" s="32"/>
      <c r="AB42" s="34"/>
      <c r="AC42" s="31"/>
      <c r="AD42" s="37">
        <f>表1温室气体盘查表!AF43</f>
        <v>58876.631999999998</v>
      </c>
      <c r="AE42" s="37">
        <f>表1温室气体盘查表!AG43</f>
        <v>0</v>
      </c>
      <c r="AF42" s="37">
        <f>表1温室气体盘查表!AH43</f>
        <v>0</v>
      </c>
      <c r="AG42" s="37">
        <f>表1温室气体盘查表!AI43</f>
        <v>0</v>
      </c>
      <c r="AH42" s="37">
        <f>表1温室气体盘查表!AJ43</f>
        <v>0</v>
      </c>
      <c r="AI42" s="37">
        <f>表1温室气体盘查表!AK43</f>
        <v>0</v>
      </c>
      <c r="AJ42" s="37">
        <f>表1温室气体盘查表!AL43</f>
        <v>0</v>
      </c>
      <c r="AK42" s="37">
        <f>表1温室气体盘查表!AM43</f>
        <v>58876.631999999998</v>
      </c>
    </row>
    <row r="43" spans="1:37" s="16" customFormat="1" ht="18">
      <c r="A43" s="24">
        <v>39</v>
      </c>
      <c r="B43" s="25" t="str">
        <f>表1温室气体盘查表!B44</f>
        <v>外购商品和服务的上游排放</v>
      </c>
      <c r="C43" s="26" t="str">
        <f>表1温室气体盘查表!C44</f>
        <v>铝铁生产</v>
      </c>
      <c r="D43" s="27" t="str">
        <f>表1温室气体盘查表!E44</f>
        <v>范围三 类别1</v>
      </c>
      <c r="E43" s="28">
        <f>表1温室气体盘查表!F44</f>
        <v>2370.13</v>
      </c>
      <c r="F43" s="29" t="str">
        <f>表1温室气体盘查表!G44</f>
        <v>t</v>
      </c>
      <c r="G43" s="30">
        <f>'附表2-EF'!K45*10</f>
        <v>0</v>
      </c>
      <c r="H43" s="29" t="s">
        <v>808</v>
      </c>
      <c r="I43" s="31">
        <f>'附表1-GWP TABLE'!E43</f>
        <v>0</v>
      </c>
      <c r="J43" s="32"/>
      <c r="K43" s="29"/>
      <c r="L43" s="31"/>
      <c r="M43" s="32"/>
      <c r="N43" s="29"/>
      <c r="O43" s="31"/>
      <c r="P43" s="33"/>
      <c r="Q43" s="34"/>
      <c r="R43" s="35"/>
      <c r="S43" s="34"/>
      <c r="T43" s="32"/>
      <c r="U43" s="29"/>
      <c r="V43" s="36"/>
      <c r="W43" s="29"/>
      <c r="X43" s="32"/>
      <c r="Y43" s="29"/>
      <c r="Z43" s="31"/>
      <c r="AA43" s="32"/>
      <c r="AB43" s="34"/>
      <c r="AC43" s="31"/>
      <c r="AD43" s="37">
        <f>表1温室气体盘查表!AF44</f>
        <v>13585.604688791962</v>
      </c>
      <c r="AE43" s="37">
        <f>表1温室气体盘查表!AG44</f>
        <v>0</v>
      </c>
      <c r="AF43" s="37">
        <f>表1温室气体盘查表!AH44</f>
        <v>0</v>
      </c>
      <c r="AG43" s="37">
        <f>表1温室气体盘查表!AI44</f>
        <v>0</v>
      </c>
      <c r="AH43" s="37">
        <f>表1温室气体盘查表!AJ44</f>
        <v>0</v>
      </c>
      <c r="AI43" s="37">
        <f>表1温室气体盘查表!AK44</f>
        <v>0</v>
      </c>
      <c r="AJ43" s="37">
        <f>表1温室气体盘查表!AL44</f>
        <v>0</v>
      </c>
      <c r="AK43" s="37">
        <f>表1温室气体盘查表!AM44</f>
        <v>13585.604688791962</v>
      </c>
    </row>
    <row r="44" spans="1:37" s="16" customFormat="1" ht="18">
      <c r="A44" s="24">
        <v>40</v>
      </c>
      <c r="B44" s="25" t="str">
        <f>表1温室气体盘查表!B45</f>
        <v>外购商品和服务的上游排放</v>
      </c>
      <c r="C44" s="26" t="str">
        <f>表1温室气体盘查表!C45</f>
        <v>铝生产</v>
      </c>
      <c r="D44" s="27" t="str">
        <f>表1温室气体盘查表!E45</f>
        <v>范围三 类别1</v>
      </c>
      <c r="E44" s="28">
        <f>表1温室气体盘查表!F45</f>
        <v>7438.6</v>
      </c>
      <c r="F44" s="29" t="str">
        <f>表1温室气体盘查表!G45</f>
        <v>t</v>
      </c>
      <c r="G44" s="30">
        <f>'附表2-EF'!K46*10</f>
        <v>0</v>
      </c>
      <c r="H44" s="29" t="s">
        <v>809</v>
      </c>
      <c r="I44" s="31">
        <f>'附表1-GWP TABLE'!E44</f>
        <v>0</v>
      </c>
      <c r="J44" s="32"/>
      <c r="K44" s="29"/>
      <c r="L44" s="31"/>
      <c r="M44" s="32"/>
      <c r="N44" s="29"/>
      <c r="O44" s="31"/>
      <c r="P44" s="33"/>
      <c r="Q44" s="34"/>
      <c r="R44" s="35"/>
      <c r="S44" s="34"/>
      <c r="T44" s="32"/>
      <c r="U44" s="29"/>
      <c r="V44" s="36"/>
      <c r="W44" s="29"/>
      <c r="X44" s="32"/>
      <c r="Y44" s="29"/>
      <c r="Z44" s="31"/>
      <c r="AA44" s="32"/>
      <c r="AB44" s="34"/>
      <c r="AC44" s="31"/>
      <c r="AD44" s="37">
        <f>表1温室气体盘查表!AF45</f>
        <v>165810.56564347973</v>
      </c>
      <c r="AE44" s="37">
        <f>表1温室气体盘查表!AG45</f>
        <v>0</v>
      </c>
      <c r="AF44" s="37">
        <f>表1温室气体盘查表!AH45</f>
        <v>0</v>
      </c>
      <c r="AG44" s="37">
        <f>表1温室气体盘查表!AI45</f>
        <v>0</v>
      </c>
      <c r="AH44" s="37">
        <f>表1温室气体盘查表!AJ45</f>
        <v>0</v>
      </c>
      <c r="AI44" s="37">
        <f>表1温室气体盘查表!AK45</f>
        <v>0</v>
      </c>
      <c r="AJ44" s="37">
        <f>表1温室气体盘查表!AL45</f>
        <v>0</v>
      </c>
      <c r="AK44" s="37">
        <f>表1温室气体盘查表!AM45</f>
        <v>165810.56564347973</v>
      </c>
    </row>
    <row r="45" spans="1:37" s="16" customFormat="1" ht="18">
      <c r="A45" s="24">
        <v>41</v>
      </c>
      <c r="B45" s="25" t="str">
        <f>表1温室气体盘查表!B46</f>
        <v>外购商品和服务的上游排放</v>
      </c>
      <c r="C45" s="26" t="str">
        <f>表1温室气体盘查表!C46</f>
        <v>增碳剂生产</v>
      </c>
      <c r="D45" s="27" t="str">
        <f>表1温室气体盘查表!E46</f>
        <v>范围三 类别1</v>
      </c>
      <c r="E45" s="28">
        <f>表1温室气体盘查表!F46</f>
        <v>8679.77</v>
      </c>
      <c r="F45" s="29" t="str">
        <f>表1温室气体盘查表!G46</f>
        <v>t</v>
      </c>
      <c r="G45" s="30">
        <f>'附表2-EF'!K47*10</f>
        <v>0</v>
      </c>
      <c r="H45" s="29" t="s">
        <v>810</v>
      </c>
      <c r="I45" s="31">
        <f>'附表1-GWP TABLE'!E45</f>
        <v>0</v>
      </c>
      <c r="J45" s="32"/>
      <c r="K45" s="29"/>
      <c r="L45" s="31"/>
      <c r="M45" s="32"/>
      <c r="N45" s="29"/>
      <c r="O45" s="31"/>
      <c r="P45" s="33"/>
      <c r="Q45" s="34"/>
      <c r="R45" s="35"/>
      <c r="S45" s="34"/>
      <c r="T45" s="32"/>
      <c r="U45" s="29"/>
      <c r="V45" s="36"/>
      <c r="W45" s="29"/>
      <c r="X45" s="32"/>
      <c r="Y45" s="29"/>
      <c r="Z45" s="31"/>
      <c r="AA45" s="32"/>
      <c r="AB45" s="34"/>
      <c r="AC45" s="31"/>
      <c r="AD45" s="37">
        <f>表1温室气体盘查表!AF46</f>
        <v>14447.768081031645</v>
      </c>
      <c r="AE45" s="37">
        <f>表1温室气体盘查表!AG46</f>
        <v>0</v>
      </c>
      <c r="AF45" s="37">
        <f>表1温室气体盘查表!AH46</f>
        <v>0</v>
      </c>
      <c r="AG45" s="37">
        <f>表1温室气体盘查表!AI46</f>
        <v>0</v>
      </c>
      <c r="AH45" s="37">
        <f>表1温室气体盘查表!AJ46</f>
        <v>0</v>
      </c>
      <c r="AI45" s="37">
        <f>表1温室气体盘查表!AK46</f>
        <v>0</v>
      </c>
      <c r="AJ45" s="37">
        <f>表1温室气体盘查表!AL46</f>
        <v>0</v>
      </c>
      <c r="AK45" s="37">
        <f>表1温室气体盘查表!AM46</f>
        <v>14447.768081031645</v>
      </c>
    </row>
    <row r="46" spans="1:37" s="16" customFormat="1" ht="18">
      <c r="A46" s="24">
        <v>42</v>
      </c>
      <c r="B46" s="25" t="str">
        <f>表1温室气体盘查表!B47</f>
        <v>外购商品和服务的上游排放</v>
      </c>
      <c r="C46" s="26" t="str">
        <f>表1温室气体盘查表!C47</f>
        <v>铁鳞生产</v>
      </c>
      <c r="D46" s="27" t="str">
        <f>表1温室气体盘查表!E47</f>
        <v>范围三 类别1</v>
      </c>
      <c r="E46" s="28">
        <f>表1温室气体盘查表!F47</f>
        <v>8286.02</v>
      </c>
      <c r="F46" s="29" t="str">
        <f>表1温室气体盘查表!G47</f>
        <v>t</v>
      </c>
      <c r="G46" s="30">
        <f>'附表2-EF'!K48*10</f>
        <v>0</v>
      </c>
      <c r="H46" s="29" t="s">
        <v>811</v>
      </c>
      <c r="I46" s="31">
        <f>'附表1-GWP TABLE'!E46</f>
        <v>0</v>
      </c>
      <c r="J46" s="32"/>
      <c r="K46" s="29"/>
      <c r="L46" s="31"/>
      <c r="M46" s="32"/>
      <c r="N46" s="29"/>
      <c r="O46" s="31"/>
      <c r="P46" s="33"/>
      <c r="Q46" s="34"/>
      <c r="R46" s="35"/>
      <c r="S46" s="34"/>
      <c r="T46" s="32"/>
      <c r="U46" s="29"/>
      <c r="V46" s="36"/>
      <c r="W46" s="29"/>
      <c r="X46" s="32"/>
      <c r="Y46" s="29"/>
      <c r="Z46" s="31"/>
      <c r="AA46" s="32"/>
      <c r="AB46" s="34"/>
      <c r="AC46" s="31"/>
      <c r="AD46" s="37">
        <f>表1温室气体盘查表!AF47</f>
        <v>29.192523942209355</v>
      </c>
      <c r="AE46" s="37">
        <f>表1温室气体盘查表!AG47</f>
        <v>0</v>
      </c>
      <c r="AF46" s="37">
        <f>表1温室气体盘查表!AH47</f>
        <v>0</v>
      </c>
      <c r="AG46" s="37">
        <f>表1温室气体盘查表!AI47</f>
        <v>0</v>
      </c>
      <c r="AH46" s="37">
        <f>表1温室气体盘查表!AJ47</f>
        <v>0</v>
      </c>
      <c r="AI46" s="37">
        <f>表1温室气体盘查表!AK47</f>
        <v>0</v>
      </c>
      <c r="AJ46" s="37">
        <f>表1温室气体盘查表!AL47</f>
        <v>0</v>
      </c>
      <c r="AK46" s="37">
        <f>表1温室气体盘查表!AM47</f>
        <v>29.192523942209355</v>
      </c>
    </row>
    <row r="47" spans="1:37" s="16" customFormat="1" ht="18">
      <c r="A47" s="24">
        <v>43</v>
      </c>
      <c r="B47" s="25" t="str">
        <f>表1温室气体盘查表!B48</f>
        <v>外购商品和服务的上游排放</v>
      </c>
      <c r="C47" s="26" t="str">
        <f>表1温室气体盘查表!C48</f>
        <v>氨水生产</v>
      </c>
      <c r="D47" s="27" t="str">
        <f>表1温室气体盘查表!E48</f>
        <v>范围三 类别1</v>
      </c>
      <c r="E47" s="28">
        <f>表1温室气体盘查表!F48</f>
        <v>4876.1400000000003</v>
      </c>
      <c r="F47" s="29" t="str">
        <f>表1温室气体盘查表!G48</f>
        <v>t</v>
      </c>
      <c r="G47" s="30">
        <f>'附表2-EF'!K49*10</f>
        <v>0</v>
      </c>
      <c r="H47" s="29" t="s">
        <v>812</v>
      </c>
      <c r="I47" s="31">
        <f>'附表1-GWP TABLE'!E47</f>
        <v>17400</v>
      </c>
      <c r="J47" s="32"/>
      <c r="K47" s="29"/>
      <c r="L47" s="31"/>
      <c r="M47" s="32"/>
      <c r="N47" s="29"/>
      <c r="O47" s="31"/>
      <c r="P47" s="33"/>
      <c r="Q47" s="34"/>
      <c r="R47" s="35"/>
      <c r="S47" s="34"/>
      <c r="T47" s="32"/>
      <c r="U47" s="29"/>
      <c r="V47" s="36"/>
      <c r="W47" s="29"/>
      <c r="X47" s="32"/>
      <c r="Y47" s="29"/>
      <c r="Z47" s="31"/>
      <c r="AA47" s="32"/>
      <c r="AB47" s="34"/>
      <c r="AC47" s="31"/>
      <c r="AD47" s="37">
        <f>表1温室气体盘查表!AF48</f>
        <v>26510.816290815455</v>
      </c>
      <c r="AE47" s="37">
        <f>表1温室气体盘查表!AG48</f>
        <v>0</v>
      </c>
      <c r="AF47" s="37">
        <f>表1温室气体盘查表!AH48</f>
        <v>0</v>
      </c>
      <c r="AG47" s="37">
        <f>表1温室气体盘查表!AI48</f>
        <v>0</v>
      </c>
      <c r="AH47" s="37">
        <f>表1温室气体盘查表!AJ48</f>
        <v>0</v>
      </c>
      <c r="AI47" s="37">
        <f>表1温室气体盘查表!AK48</f>
        <v>0</v>
      </c>
      <c r="AJ47" s="37">
        <f>表1温室气体盘查表!AL48</f>
        <v>0</v>
      </c>
      <c r="AK47" s="37">
        <f>表1温室气体盘查表!AM48</f>
        <v>26510.816290815455</v>
      </c>
    </row>
    <row r="48" spans="1:37" s="16" customFormat="1" ht="18">
      <c r="A48" s="24">
        <v>44</v>
      </c>
      <c r="B48" s="25" t="str">
        <f>表1温室气体盘查表!B49</f>
        <v>外购商品和服务的上游排放</v>
      </c>
      <c r="C48" s="26" t="str">
        <f>表1温室气体盘查表!C49</f>
        <v>盐酸生产</v>
      </c>
      <c r="D48" s="27" t="str">
        <f>表1温室气体盘查表!E49</f>
        <v>范围三 类别1</v>
      </c>
      <c r="E48" s="28">
        <f>表1温室气体盘查表!F49</f>
        <v>2.17</v>
      </c>
      <c r="F48" s="29" t="str">
        <f>表1温室气体盘查表!G49</f>
        <v>t</v>
      </c>
      <c r="G48" s="30">
        <f>'附表2-EF'!K50*10</f>
        <v>0</v>
      </c>
      <c r="H48" s="29" t="s">
        <v>813</v>
      </c>
      <c r="I48" s="31">
        <f>'附表1-GWP TABLE'!E48</f>
        <v>24300</v>
      </c>
      <c r="J48" s="32"/>
      <c r="K48" s="29"/>
      <c r="L48" s="31"/>
      <c r="M48" s="32"/>
      <c r="N48" s="29"/>
      <c r="O48" s="31"/>
      <c r="P48" s="33"/>
      <c r="Q48" s="34"/>
      <c r="R48" s="35"/>
      <c r="S48" s="34"/>
      <c r="T48" s="32"/>
      <c r="U48" s="29"/>
      <c r="V48" s="36"/>
      <c r="W48" s="29"/>
      <c r="X48" s="32"/>
      <c r="Y48" s="29"/>
      <c r="Z48" s="31"/>
      <c r="AA48" s="32"/>
      <c r="AB48" s="34"/>
      <c r="AC48" s="31"/>
      <c r="AD48" s="37">
        <f>表1温室气体盘查表!AF49</f>
        <v>2.1173455277962305</v>
      </c>
      <c r="AE48" s="37">
        <f>表1温室气体盘查表!AG49</f>
        <v>0</v>
      </c>
      <c r="AF48" s="37">
        <f>表1温室气体盘查表!AH49</f>
        <v>0</v>
      </c>
      <c r="AG48" s="37">
        <f>表1温室气体盘查表!AI49</f>
        <v>0</v>
      </c>
      <c r="AH48" s="37">
        <f>表1温室气体盘查表!AJ49</f>
        <v>0</v>
      </c>
      <c r="AI48" s="37">
        <f>表1温室气体盘查表!AK49</f>
        <v>0</v>
      </c>
      <c r="AJ48" s="37">
        <f>表1温室气体盘查表!AL49</f>
        <v>0</v>
      </c>
      <c r="AK48" s="37">
        <f>表1温室气体盘查表!AM49</f>
        <v>2.1173455277962305</v>
      </c>
    </row>
    <row r="49" spans="1:37" s="16" customFormat="1" ht="18">
      <c r="A49" s="24">
        <v>45</v>
      </c>
      <c r="B49" s="25" t="str">
        <f>表1温室气体盘查表!B50</f>
        <v>外购商品和服务的上游排放</v>
      </c>
      <c r="C49" s="26" t="str">
        <f>表1温室气体盘查表!C50</f>
        <v>氢氧化钠生产</v>
      </c>
      <c r="D49" s="27" t="str">
        <f>表1温室气体盘查表!E50</f>
        <v>范围三 类别1</v>
      </c>
      <c r="E49" s="28">
        <f>表1温室气体盘查表!F50</f>
        <v>2.2400000000000002</v>
      </c>
      <c r="F49" s="29" t="str">
        <f>表1温室气体盘查表!G50</f>
        <v>t</v>
      </c>
      <c r="G49" s="30">
        <f>'附表2-EF'!K51*10</f>
        <v>0</v>
      </c>
      <c r="H49" s="29" t="s">
        <v>814</v>
      </c>
      <c r="I49" s="31">
        <f>'附表1-GWP TABLE'!E49</f>
        <v>0</v>
      </c>
      <c r="J49" s="32"/>
      <c r="K49" s="29"/>
      <c r="L49" s="31"/>
      <c r="M49" s="32"/>
      <c r="N49" s="29"/>
      <c r="O49" s="31"/>
      <c r="P49" s="33"/>
      <c r="Q49" s="34"/>
      <c r="R49" s="35"/>
      <c r="S49" s="34"/>
      <c r="T49" s="32"/>
      <c r="U49" s="29"/>
      <c r="V49" s="36"/>
      <c r="W49" s="29"/>
      <c r="X49" s="32"/>
      <c r="Y49" s="29"/>
      <c r="Z49" s="31"/>
      <c r="AA49" s="32"/>
      <c r="AB49" s="34"/>
      <c r="AC49" s="31"/>
      <c r="AD49" s="37">
        <f>表1温室气体盘查表!AF50</f>
        <v>3.2806275245320866</v>
      </c>
      <c r="AE49" s="37">
        <f>表1温室气体盘查表!AG50</f>
        <v>0</v>
      </c>
      <c r="AF49" s="37">
        <f>表1温室气体盘查表!AH50</f>
        <v>0</v>
      </c>
      <c r="AG49" s="37">
        <f>表1温室气体盘查表!AI50</f>
        <v>0</v>
      </c>
      <c r="AH49" s="37">
        <f>表1温室气体盘查表!AJ50</f>
        <v>0</v>
      </c>
      <c r="AI49" s="37">
        <f>表1温室气体盘查表!AK50</f>
        <v>0</v>
      </c>
      <c r="AJ49" s="37">
        <f>表1温室气体盘查表!AL50</f>
        <v>0</v>
      </c>
      <c r="AK49" s="37">
        <f>表1温室气体盘查表!AM50</f>
        <v>3.2806275245320866</v>
      </c>
    </row>
    <row r="50" spans="1:37" s="16" customFormat="1" ht="18">
      <c r="A50" s="24">
        <v>46</v>
      </c>
      <c r="B50" s="25" t="str">
        <f>表1温室气体盘查表!B51</f>
        <v>外购商品和服务的上游排放</v>
      </c>
      <c r="C50" s="26" t="str">
        <f>表1温室气体盘查表!C51</f>
        <v>碳化硅生产</v>
      </c>
      <c r="D50" s="27" t="str">
        <f>表1温室气体盘查表!E51</f>
        <v>范围三 类别1</v>
      </c>
      <c r="E50" s="28">
        <f>表1温室气体盘查表!F51</f>
        <v>3676.3869999999993</v>
      </c>
      <c r="F50" s="29" t="str">
        <f>表1温室气体盘查表!G51</f>
        <v>t</v>
      </c>
      <c r="G50" s="30">
        <f>'附表2-EF'!K50*10</f>
        <v>0</v>
      </c>
      <c r="H50" s="29" t="s">
        <v>813</v>
      </c>
      <c r="I50" s="31">
        <f>'附表1-GWP TABLE'!E48</f>
        <v>24300</v>
      </c>
      <c r="J50" s="32"/>
      <c r="K50" s="29"/>
      <c r="L50" s="31"/>
      <c r="M50" s="32"/>
      <c r="N50" s="29"/>
      <c r="O50" s="31"/>
      <c r="P50" s="33"/>
      <c r="Q50" s="34"/>
      <c r="R50" s="35"/>
      <c r="S50" s="34"/>
      <c r="T50" s="32"/>
      <c r="U50" s="29"/>
      <c r="V50" s="36"/>
      <c r="W50" s="29"/>
      <c r="X50" s="32"/>
      <c r="Y50" s="29"/>
      <c r="Z50" s="31"/>
      <c r="AA50" s="32"/>
      <c r="AB50" s="34"/>
      <c r="AC50" s="31"/>
      <c r="AD50" s="37">
        <f>表1温室气体盘查表!AF51</f>
        <v>26760.682458681189</v>
      </c>
      <c r="AE50" s="37">
        <f>表1温室气体盘查表!AG51</f>
        <v>0</v>
      </c>
      <c r="AF50" s="37">
        <f>表1温室气体盘查表!AH51</f>
        <v>0</v>
      </c>
      <c r="AG50" s="37">
        <f>表1温室气体盘查表!AI51</f>
        <v>0</v>
      </c>
      <c r="AH50" s="37">
        <f>表1温室气体盘查表!AJ51</f>
        <v>0</v>
      </c>
      <c r="AI50" s="37">
        <f>表1温室气体盘查表!AK51</f>
        <v>0</v>
      </c>
      <c r="AJ50" s="37">
        <f>表1温室气体盘查表!AL51</f>
        <v>0</v>
      </c>
      <c r="AK50" s="37">
        <f>表1温室气体盘查表!AM51</f>
        <v>26760.682458681189</v>
      </c>
    </row>
    <row r="51" spans="1:37" s="16" customFormat="1" ht="18">
      <c r="A51" s="24">
        <v>47</v>
      </c>
      <c r="B51" s="25" t="str">
        <f>表1温室气体盘查表!B52</f>
        <v>外购商品和服务的上游排放</v>
      </c>
      <c r="C51" s="26" t="str">
        <f>表1温室气体盘查表!C52</f>
        <v>镁生产</v>
      </c>
      <c r="D51" s="27" t="str">
        <f>表1温室气体盘查表!E52</f>
        <v>范围三 类别1</v>
      </c>
      <c r="E51" s="28">
        <f>表1温室气体盘查表!F52</f>
        <v>9749.982</v>
      </c>
      <c r="F51" s="29" t="str">
        <f>表1温室气体盘查表!G52</f>
        <v>t</v>
      </c>
      <c r="G51" s="30">
        <f>'附表2-EF'!K51*10</f>
        <v>0</v>
      </c>
      <c r="H51" s="29" t="s">
        <v>814</v>
      </c>
      <c r="I51" s="31">
        <f>'附表1-GWP TABLE'!E49</f>
        <v>0</v>
      </c>
      <c r="J51" s="32"/>
      <c r="K51" s="29"/>
      <c r="L51" s="31"/>
      <c r="M51" s="32"/>
      <c r="N51" s="29"/>
      <c r="O51" s="31"/>
      <c r="P51" s="33"/>
      <c r="Q51" s="34"/>
      <c r="R51" s="35"/>
      <c r="S51" s="34"/>
      <c r="T51" s="32"/>
      <c r="U51" s="29"/>
      <c r="V51" s="36"/>
      <c r="W51" s="29"/>
      <c r="X51" s="32"/>
      <c r="Y51" s="29"/>
      <c r="Z51" s="31"/>
      <c r="AA51" s="32"/>
      <c r="AB51" s="34"/>
      <c r="AC51" s="31"/>
      <c r="AD51" s="37">
        <f>表1温室气体盘查表!AF52</f>
        <v>256865.11189706987</v>
      </c>
      <c r="AE51" s="37">
        <f>表1温室气体盘查表!AG52</f>
        <v>0</v>
      </c>
      <c r="AF51" s="37">
        <f>表1温室气体盘查表!AH52</f>
        <v>0</v>
      </c>
      <c r="AG51" s="37">
        <f>表1温室气体盘查表!AI52</f>
        <v>0</v>
      </c>
      <c r="AH51" s="37">
        <f>表1温室气体盘查表!AJ52</f>
        <v>0</v>
      </c>
      <c r="AI51" s="37">
        <f>表1温室气体盘查表!AK52</f>
        <v>0</v>
      </c>
      <c r="AJ51" s="37">
        <f>表1温室气体盘查表!AL52</f>
        <v>0</v>
      </c>
      <c r="AK51" s="37">
        <f>表1温室气体盘查表!AM52</f>
        <v>256865.11189706987</v>
      </c>
    </row>
    <row r="52" spans="1:37" s="16" customFormat="1" ht="18">
      <c r="A52" s="24">
        <v>48</v>
      </c>
      <c r="B52" s="25" t="str">
        <f>表1温室气体盘查表!B53</f>
        <v>外购商品和服务的上游排放</v>
      </c>
      <c r="C52" s="26" t="str">
        <f>表1温室气体盘查表!C53</f>
        <v>所有其他纸制品加工制造</v>
      </c>
      <c r="D52" s="27" t="str">
        <f>表1温室气体盘查表!E53</f>
        <v>范围三 类别1</v>
      </c>
      <c r="E52" s="28">
        <f>表1温室气体盘查表!F53</f>
        <v>15287.09</v>
      </c>
      <c r="F52" s="29" t="str">
        <f>表1温室气体盘查表!G53</f>
        <v>$</v>
      </c>
      <c r="G52" s="30">
        <f>'附表2-EF'!K52*10</f>
        <v>0</v>
      </c>
      <c r="H52" s="29" t="s">
        <v>815</v>
      </c>
      <c r="I52" s="31">
        <f>'附表1-GWP TABLE'!E50</f>
        <v>0</v>
      </c>
      <c r="J52" s="32"/>
      <c r="K52" s="29"/>
      <c r="L52" s="31"/>
      <c r="M52" s="32"/>
      <c r="N52" s="29"/>
      <c r="O52" s="31"/>
      <c r="P52" s="33"/>
      <c r="Q52" s="34"/>
      <c r="R52" s="35"/>
      <c r="S52" s="34"/>
      <c r="T52" s="32"/>
      <c r="U52" s="29"/>
      <c r="V52" s="36"/>
      <c r="W52" s="29"/>
      <c r="X52" s="32"/>
      <c r="Y52" s="29"/>
      <c r="Z52" s="31"/>
      <c r="AA52" s="32"/>
      <c r="AB52" s="34"/>
      <c r="AC52" s="31"/>
      <c r="AD52" s="37">
        <f>表1温室气体盘查表!AF53</f>
        <v>5.2434718699999996</v>
      </c>
      <c r="AE52" s="37">
        <f>表1温室气体盘查表!AG53</f>
        <v>0</v>
      </c>
      <c r="AF52" s="37">
        <f>表1温室气体盘查表!AH53</f>
        <v>0</v>
      </c>
      <c r="AG52" s="37">
        <f>表1温室气体盘查表!AI53</f>
        <v>0</v>
      </c>
      <c r="AH52" s="37">
        <f>表1温室气体盘查表!AJ53</f>
        <v>0</v>
      </c>
      <c r="AI52" s="37">
        <f>表1温室气体盘查表!AK53</f>
        <v>0</v>
      </c>
      <c r="AJ52" s="37">
        <f>表1温室气体盘查表!AL53</f>
        <v>0</v>
      </c>
      <c r="AK52" s="37">
        <f>表1温室气体盘查表!AM53</f>
        <v>5.2434718699999996</v>
      </c>
    </row>
    <row r="53" spans="1:37" s="16" customFormat="1" ht="18">
      <c r="A53" s="24">
        <v>49</v>
      </c>
      <c r="B53" s="25" t="str">
        <f>表1温室气体盘查表!B54</f>
        <v>外购商品和服务的上游排放</v>
      </c>
      <c r="C53" s="26" t="str">
        <f>表1温室气体盘查表!C54</f>
        <v>办公用品(纸张除外)制造</v>
      </c>
      <c r="D53" s="27" t="str">
        <f>表1温室气体盘查表!E54</f>
        <v>范围三 类别1</v>
      </c>
      <c r="E53" s="28">
        <f>表1温室气体盘查表!F54</f>
        <v>272877.67</v>
      </c>
      <c r="F53" s="29" t="str">
        <f>表1温室气体盘查表!G54</f>
        <v>$</v>
      </c>
      <c r="G53" s="30">
        <f>'附表2-EF'!K53*10</f>
        <v>0</v>
      </c>
      <c r="H53" s="29" t="s">
        <v>816</v>
      </c>
      <c r="I53" s="31">
        <f>'附表1-GWP TABLE'!E51</f>
        <v>0</v>
      </c>
      <c r="J53" s="32"/>
      <c r="K53" s="29"/>
      <c r="L53" s="31"/>
      <c r="M53" s="32"/>
      <c r="N53" s="29"/>
      <c r="O53" s="31"/>
      <c r="P53" s="33"/>
      <c r="Q53" s="34"/>
      <c r="R53" s="35"/>
      <c r="S53" s="34"/>
      <c r="T53" s="32"/>
      <c r="U53" s="29"/>
      <c r="V53" s="36"/>
      <c r="W53" s="29"/>
      <c r="X53" s="32"/>
      <c r="Y53" s="29"/>
      <c r="Z53" s="31"/>
      <c r="AA53" s="32"/>
      <c r="AB53" s="34"/>
      <c r="AC53" s="31"/>
      <c r="AD53" s="37">
        <f>表1温室气体盘查表!AF54</f>
        <v>72.312582549999988</v>
      </c>
      <c r="AE53" s="37">
        <f>表1温室气体盘查表!AG54</f>
        <v>0</v>
      </c>
      <c r="AF53" s="37">
        <f>表1温室气体盘查表!AH54</f>
        <v>0</v>
      </c>
      <c r="AG53" s="37">
        <f>表1温室气体盘查表!AI54</f>
        <v>0</v>
      </c>
      <c r="AH53" s="37">
        <f>表1温室气体盘查表!AJ54</f>
        <v>0</v>
      </c>
      <c r="AI53" s="37">
        <f>表1温室气体盘查表!AK54</f>
        <v>0</v>
      </c>
      <c r="AJ53" s="37">
        <f>表1温室气体盘查表!AL54</f>
        <v>0</v>
      </c>
      <c r="AK53" s="37">
        <f>表1温室气体盘查表!AM54</f>
        <v>72.312582549999988</v>
      </c>
    </row>
    <row r="54" spans="1:37" s="16" customFormat="1" ht="18">
      <c r="A54" s="24">
        <v>50</v>
      </c>
      <c r="B54" s="25" t="str">
        <f>表1温室气体盘查表!B55</f>
        <v>外购商品和服务的上游排放</v>
      </c>
      <c r="C54" s="26" t="str">
        <f>表1温室气体盘查表!C55</f>
        <v>源水</v>
      </c>
      <c r="D54" s="27" t="str">
        <f>表1温室气体盘查表!E55</f>
        <v>范围三 类别1</v>
      </c>
      <c r="E54" s="28">
        <f>表1温室气体盘查表!F55</f>
        <v>20647661.309999999</v>
      </c>
      <c r="F54" s="29" t="str">
        <f>表1温室气体盘查表!G55</f>
        <v>t</v>
      </c>
      <c r="G54" s="30">
        <f>'附表2-EF'!K54*10</f>
        <v>0</v>
      </c>
      <c r="H54" s="29" t="s">
        <v>817</v>
      </c>
      <c r="I54" s="31">
        <f>'附表1-GWP TABLE'!E52</f>
        <v>0</v>
      </c>
      <c r="J54" s="32"/>
      <c r="K54" s="29"/>
      <c r="L54" s="31"/>
      <c r="M54" s="32"/>
      <c r="N54" s="29"/>
      <c r="O54" s="31"/>
      <c r="P54" s="33"/>
      <c r="Q54" s="34"/>
      <c r="R54" s="35"/>
      <c r="S54" s="34"/>
      <c r="T54" s="32"/>
      <c r="U54" s="29"/>
      <c r="V54" s="36"/>
      <c r="W54" s="29"/>
      <c r="X54" s="32"/>
      <c r="Y54" s="29"/>
      <c r="Z54" s="31"/>
      <c r="AA54" s="32"/>
      <c r="AB54" s="34"/>
      <c r="AC54" s="31"/>
      <c r="AD54" s="37">
        <f>表1温室气体盘查表!AF55</f>
        <v>26397.411515179178</v>
      </c>
      <c r="AE54" s="37">
        <f>表1温室气体盘查表!AG55</f>
        <v>0</v>
      </c>
      <c r="AF54" s="37">
        <f>表1温室气体盘查表!AH55</f>
        <v>0</v>
      </c>
      <c r="AG54" s="37">
        <f>表1温室气体盘查表!AI55</f>
        <v>0</v>
      </c>
      <c r="AH54" s="37">
        <f>表1温室气体盘查表!AJ55</f>
        <v>0</v>
      </c>
      <c r="AI54" s="37">
        <f>表1温室气体盘查表!AK55</f>
        <v>0</v>
      </c>
      <c r="AJ54" s="37">
        <f>表1温室气体盘查表!AL55</f>
        <v>0</v>
      </c>
      <c r="AK54" s="37">
        <f>表1温室气体盘查表!AM55</f>
        <v>26397.411515179178</v>
      </c>
    </row>
    <row r="55" spans="1:37" s="16" customFormat="1" ht="33">
      <c r="A55" s="24">
        <v>51</v>
      </c>
      <c r="B55" s="25" t="str">
        <f>表1温室气体盘查表!B56</f>
        <v>资本货物</v>
      </c>
      <c r="C55" s="26" t="str">
        <f>表1温室气体盘查表!C56</f>
        <v>采购产品空调和暖空气加热设备和商业和工业制冷设备制造</v>
      </c>
      <c r="D55" s="27" t="str">
        <f>表1温室气体盘查表!E56</f>
        <v>范围三 类别2</v>
      </c>
      <c r="E55" s="28">
        <f>表1温室气体盘查表!F56</f>
        <v>1112205.76</v>
      </c>
      <c r="F55" s="29" t="str">
        <f>表1温室气体盘查表!G56</f>
        <v>$</v>
      </c>
      <c r="G55" s="30">
        <f>'附表2-EF'!K55*10</f>
        <v>0</v>
      </c>
      <c r="H55" s="29" t="s">
        <v>818</v>
      </c>
      <c r="I55" s="31">
        <f>'附表1-GWP TABLE'!E53</f>
        <v>0</v>
      </c>
      <c r="J55" s="32"/>
      <c r="K55" s="29"/>
      <c r="L55" s="31"/>
      <c r="M55" s="32"/>
      <c r="N55" s="29"/>
      <c r="O55" s="31"/>
      <c r="P55" s="33"/>
      <c r="Q55" s="34"/>
      <c r="R55" s="35"/>
      <c r="S55" s="34"/>
      <c r="T55" s="32"/>
      <c r="U55" s="29"/>
      <c r="V55" s="36"/>
      <c r="W55" s="29"/>
      <c r="X55" s="32"/>
      <c r="Y55" s="29"/>
      <c r="Z55" s="31"/>
      <c r="AA55" s="32"/>
      <c r="AB55" s="34"/>
      <c r="AC55" s="31"/>
      <c r="AD55" s="37">
        <f>表1温室气体盘查表!AF56</f>
        <v>120.11822208</v>
      </c>
      <c r="AE55" s="37">
        <f>表1温室气体盘查表!AG56</f>
        <v>0</v>
      </c>
      <c r="AF55" s="37">
        <f>表1温室气体盘查表!AH56</f>
        <v>0</v>
      </c>
      <c r="AG55" s="37">
        <f>表1温室气体盘查表!AI56</f>
        <v>0</v>
      </c>
      <c r="AH55" s="37">
        <f>表1温室气体盘查表!AJ56</f>
        <v>0</v>
      </c>
      <c r="AI55" s="37">
        <f>表1温室气体盘查表!AK56</f>
        <v>0</v>
      </c>
      <c r="AJ55" s="37">
        <f>表1温室气体盘查表!AL56</f>
        <v>0</v>
      </c>
      <c r="AK55" s="37">
        <f>表1温室气体盘查表!AM56</f>
        <v>120.11822208</v>
      </c>
    </row>
    <row r="56" spans="1:37" s="16" customFormat="1" ht="18">
      <c r="A56" s="24">
        <v>52</v>
      </c>
      <c r="B56" s="25" t="str">
        <f>表1温室气体盘查表!B57</f>
        <v>资本货物</v>
      </c>
      <c r="C56" s="26" t="str">
        <f>表1温室气体盘查表!C57</f>
        <v>电子计算机制造</v>
      </c>
      <c r="D56" s="27" t="str">
        <f>表1温室气体盘查表!E57</f>
        <v>范围三 类别2</v>
      </c>
      <c r="E56" s="28">
        <f>表1温室气体盘查表!F57</f>
        <v>445501.57</v>
      </c>
      <c r="F56" s="29" t="str">
        <f>表1温室气体盘查表!G57</f>
        <v>$</v>
      </c>
      <c r="G56" s="30">
        <f>'附表2-EF'!K56*10</f>
        <v>0</v>
      </c>
      <c r="H56" s="29" t="s">
        <v>819</v>
      </c>
      <c r="I56" s="31">
        <f>'附表1-GWP TABLE'!E54</f>
        <v>0</v>
      </c>
      <c r="J56" s="32"/>
      <c r="K56" s="29"/>
      <c r="L56" s="31"/>
      <c r="M56" s="32"/>
      <c r="N56" s="29"/>
      <c r="O56" s="31"/>
      <c r="P56" s="33"/>
      <c r="Q56" s="34"/>
      <c r="R56" s="35"/>
      <c r="S56" s="34"/>
      <c r="T56" s="32"/>
      <c r="U56" s="29"/>
      <c r="V56" s="36"/>
      <c r="W56" s="29"/>
      <c r="X56" s="32"/>
      <c r="Y56" s="29"/>
      <c r="Z56" s="31"/>
      <c r="AA56" s="32"/>
      <c r="AB56" s="34"/>
      <c r="AC56" s="31"/>
      <c r="AD56" s="37">
        <f>表1温室气体盘查表!AF57</f>
        <v>25.839091060000001</v>
      </c>
      <c r="AE56" s="37">
        <f>表1温室气体盘查表!AG57</f>
        <v>0</v>
      </c>
      <c r="AF56" s="37">
        <f>表1温室气体盘查表!AH57</f>
        <v>0</v>
      </c>
      <c r="AG56" s="37">
        <f>表1温室气体盘查表!AI57</f>
        <v>0</v>
      </c>
      <c r="AH56" s="37">
        <f>表1温室气体盘查表!AJ57</f>
        <v>0</v>
      </c>
      <c r="AI56" s="37">
        <f>表1温室气体盘查表!AK57</f>
        <v>0</v>
      </c>
      <c r="AJ56" s="37">
        <f>表1温室气体盘查表!AL57</f>
        <v>0</v>
      </c>
      <c r="AK56" s="37">
        <f>表1温室气体盘查表!AM57</f>
        <v>25.839091060000001</v>
      </c>
    </row>
    <row r="57" spans="1:37" s="16" customFormat="1" ht="18">
      <c r="A57" s="24">
        <v>53</v>
      </c>
      <c r="B57" s="25" t="str">
        <f>表1温室气体盘查表!B58</f>
        <v>资本货物</v>
      </c>
      <c r="C57" s="26" t="str">
        <f>表1温室气体盘查表!C58</f>
        <v>其他工业设备制造</v>
      </c>
      <c r="D57" s="27" t="str">
        <f>表1温室气体盘查表!E58</f>
        <v>范围三 类别2</v>
      </c>
      <c r="E57" s="28">
        <f>表1温室气体盘查表!F58</f>
        <v>2803779.74</v>
      </c>
      <c r="F57" s="29" t="str">
        <f>表1温室气体盘查表!G58</f>
        <v>$</v>
      </c>
      <c r="G57" s="30">
        <f>'附表2-EF'!K57*10</f>
        <v>0</v>
      </c>
      <c r="H57" s="29" t="s">
        <v>820</v>
      </c>
      <c r="I57" s="31">
        <f>'附表1-GWP TABLE'!E55</f>
        <v>0</v>
      </c>
      <c r="J57" s="32"/>
      <c r="K57" s="29"/>
      <c r="L57" s="31"/>
      <c r="M57" s="32"/>
      <c r="N57" s="29"/>
      <c r="O57" s="31"/>
      <c r="P57" s="33"/>
      <c r="Q57" s="34"/>
      <c r="R57" s="35"/>
      <c r="S57" s="34"/>
      <c r="T57" s="32"/>
      <c r="U57" s="29"/>
      <c r="V57" s="36"/>
      <c r="W57" s="29"/>
      <c r="X57" s="32"/>
      <c r="Y57" s="29"/>
      <c r="Z57" s="31"/>
      <c r="AA57" s="32"/>
      <c r="AB57" s="34"/>
      <c r="AC57" s="31"/>
      <c r="AD57" s="37">
        <f>表1温室气体盘查表!AF58</f>
        <v>518.69925190000004</v>
      </c>
      <c r="AE57" s="37">
        <f>表1温室气体盘查表!AG58</f>
        <v>0</v>
      </c>
      <c r="AF57" s="37">
        <f>表1温室气体盘查表!AH58</f>
        <v>0</v>
      </c>
      <c r="AG57" s="37">
        <f>表1温室气体盘查表!AI58</f>
        <v>0</v>
      </c>
      <c r="AH57" s="37">
        <f>表1温室气体盘查表!AJ58</f>
        <v>0</v>
      </c>
      <c r="AI57" s="37">
        <f>表1温室气体盘查表!AK58</f>
        <v>0</v>
      </c>
      <c r="AJ57" s="37">
        <f>表1温室气体盘查表!AL58</f>
        <v>0</v>
      </c>
      <c r="AK57" s="37">
        <f>表1温室气体盘查表!AM58</f>
        <v>518.69925190000004</v>
      </c>
    </row>
    <row r="58" spans="1:37" s="16" customFormat="1" ht="24.75">
      <c r="A58" s="24">
        <v>54</v>
      </c>
      <c r="B58" s="25" t="str">
        <f>表1温室气体盘查表!B59</f>
        <v>资本货物</v>
      </c>
      <c r="C58" s="26" t="str">
        <f>表1温室气体盘查表!C59</f>
        <v>测量和测试电力和电气信号的仪器制造</v>
      </c>
      <c r="D58" s="27" t="str">
        <f>表1温室气体盘查表!E59</f>
        <v>范围三 类别2</v>
      </c>
      <c r="E58" s="28">
        <f>表1温室气体盘查表!F59</f>
        <v>2788670.79</v>
      </c>
      <c r="F58" s="29" t="str">
        <f>表1温室气体盘查表!G59</f>
        <v>$</v>
      </c>
      <c r="G58" s="30">
        <f>'附表2-EF'!K58*10</f>
        <v>0</v>
      </c>
      <c r="H58" s="29" t="s">
        <v>821</v>
      </c>
      <c r="I58" s="31">
        <f>'附表1-GWP TABLE'!E56</f>
        <v>0</v>
      </c>
      <c r="J58" s="32"/>
      <c r="K58" s="29"/>
      <c r="L58" s="31"/>
      <c r="M58" s="32"/>
      <c r="N58" s="29"/>
      <c r="O58" s="31"/>
      <c r="P58" s="33"/>
      <c r="Q58" s="34"/>
      <c r="R58" s="35"/>
      <c r="S58" s="34"/>
      <c r="T58" s="32"/>
      <c r="U58" s="29"/>
      <c r="V58" s="36"/>
      <c r="W58" s="29"/>
      <c r="X58" s="32"/>
      <c r="Y58" s="29"/>
      <c r="Z58" s="31"/>
      <c r="AA58" s="32"/>
      <c r="AB58" s="34"/>
      <c r="AC58" s="31"/>
      <c r="AD58" s="37">
        <f>表1温室气体盘查表!AF59</f>
        <v>220.30499240999998</v>
      </c>
      <c r="AE58" s="37">
        <f>表1温室气体盘查表!AG59</f>
        <v>0</v>
      </c>
      <c r="AF58" s="37">
        <f>表1温室气体盘查表!AH59</f>
        <v>0</v>
      </c>
      <c r="AG58" s="37">
        <f>表1温室气体盘查表!AI59</f>
        <v>0</v>
      </c>
      <c r="AH58" s="37">
        <f>表1温室气体盘查表!AJ59</f>
        <v>0</v>
      </c>
      <c r="AI58" s="37">
        <f>表1温室气体盘查表!AK59</f>
        <v>0</v>
      </c>
      <c r="AJ58" s="37">
        <f>表1温室气体盘查表!AL59</f>
        <v>0</v>
      </c>
      <c r="AK58" s="37">
        <f>表1温室气体盘查表!AM59</f>
        <v>220.30499240999998</v>
      </c>
    </row>
    <row r="59" spans="1:37" s="16" customFormat="1" ht="18">
      <c r="A59" s="24">
        <v>55</v>
      </c>
      <c r="B59" s="25" t="str">
        <f>表1温室气体盘查表!B60</f>
        <v>资本货物</v>
      </c>
      <c r="C59" s="26" t="str">
        <f>表1温室气体盘查表!C60</f>
        <v>机械动力传动设备制造</v>
      </c>
      <c r="D59" s="27" t="str">
        <f>表1温室气体盘查表!E60</f>
        <v>范围三 类别2</v>
      </c>
      <c r="E59" s="28">
        <f>表1温室气体盘查表!F60</f>
        <v>5368992.5999999996</v>
      </c>
      <c r="F59" s="29" t="str">
        <f>表1温室气体盘查表!G60</f>
        <v>$</v>
      </c>
      <c r="G59" s="30">
        <f>'附表2-EF'!K59*10</f>
        <v>0</v>
      </c>
      <c r="H59" s="29" t="s">
        <v>822</v>
      </c>
      <c r="I59" s="31">
        <f>'附表1-GWP TABLE'!E57</f>
        <v>0</v>
      </c>
      <c r="J59" s="32"/>
      <c r="K59" s="29"/>
      <c r="L59" s="31"/>
      <c r="M59" s="32"/>
      <c r="N59" s="29"/>
      <c r="O59" s="31"/>
      <c r="P59" s="33"/>
      <c r="Q59" s="34"/>
      <c r="R59" s="35"/>
      <c r="S59" s="34"/>
      <c r="T59" s="32"/>
      <c r="U59" s="29"/>
      <c r="V59" s="36"/>
      <c r="W59" s="29"/>
      <c r="X59" s="32"/>
      <c r="Y59" s="29"/>
      <c r="Z59" s="31"/>
      <c r="AA59" s="32"/>
      <c r="AB59" s="34"/>
      <c r="AC59" s="31"/>
      <c r="AD59" s="37">
        <f>表1温室气体盘查表!AF60</f>
        <v>1122.1194533999999</v>
      </c>
      <c r="AE59" s="37">
        <f>表1温室气体盘查表!AG60</f>
        <v>0</v>
      </c>
      <c r="AF59" s="37">
        <f>表1温室气体盘查表!AH60</f>
        <v>0</v>
      </c>
      <c r="AG59" s="37">
        <f>表1温室气体盘查表!AI60</f>
        <v>0</v>
      </c>
      <c r="AH59" s="37">
        <f>表1温室气体盘查表!AJ60</f>
        <v>0</v>
      </c>
      <c r="AI59" s="37">
        <f>表1温室气体盘查表!AK60</f>
        <v>0</v>
      </c>
      <c r="AJ59" s="37">
        <f>表1温室气体盘查表!AL60</f>
        <v>0</v>
      </c>
      <c r="AK59" s="37">
        <f>表1温室气体盘查表!AM60</f>
        <v>1122.1194533999999</v>
      </c>
    </row>
    <row r="60" spans="1:37" s="16" customFormat="1" ht="18">
      <c r="A60" s="24">
        <v>56</v>
      </c>
      <c r="B60" s="25" t="str">
        <f>表1温室气体盘查表!B61</f>
        <v>资本货物</v>
      </c>
      <c r="C60" s="26" t="str">
        <f>表1温室气体盘查表!C61</f>
        <v>测量、分配及其他泵类设备制造</v>
      </c>
      <c r="D60" s="27" t="str">
        <f>表1温室气体盘查表!E61</f>
        <v>范围三 类别2</v>
      </c>
      <c r="E60" s="28">
        <f>表1温室气体盘查表!F61</f>
        <v>2709414.35</v>
      </c>
      <c r="F60" s="29" t="str">
        <f>表1温室气体盘查表!G61</f>
        <v>$</v>
      </c>
      <c r="G60" s="30">
        <f>'附表2-EF'!K60*10</f>
        <v>0</v>
      </c>
      <c r="H60" s="29" t="s">
        <v>823</v>
      </c>
      <c r="I60" s="31">
        <f>'附表1-GWP TABLE'!E58</f>
        <v>0</v>
      </c>
      <c r="J60" s="32"/>
      <c r="K60" s="29"/>
      <c r="L60" s="31"/>
      <c r="M60" s="32"/>
      <c r="N60" s="29"/>
      <c r="O60" s="31"/>
      <c r="P60" s="33"/>
      <c r="Q60" s="34"/>
      <c r="R60" s="35"/>
      <c r="S60" s="34"/>
      <c r="T60" s="32"/>
      <c r="U60" s="29"/>
      <c r="V60" s="36"/>
      <c r="W60" s="29"/>
      <c r="X60" s="32"/>
      <c r="Y60" s="29"/>
      <c r="Z60" s="31"/>
      <c r="AA60" s="32"/>
      <c r="AB60" s="34"/>
      <c r="AC60" s="31"/>
      <c r="AD60" s="37">
        <f>表1温室气体盘查表!AF61</f>
        <v>604.19940005000001</v>
      </c>
      <c r="AE60" s="37">
        <f>表1温室气体盘查表!AG61</f>
        <v>0</v>
      </c>
      <c r="AF60" s="37">
        <f>表1温室气体盘查表!AH61</f>
        <v>0</v>
      </c>
      <c r="AG60" s="37">
        <f>表1温室气体盘查表!AI61</f>
        <v>0</v>
      </c>
      <c r="AH60" s="37">
        <f>表1温室气体盘查表!AJ61</f>
        <v>0</v>
      </c>
      <c r="AI60" s="37">
        <f>表1温室气体盘查表!AK61</f>
        <v>0</v>
      </c>
      <c r="AJ60" s="37">
        <f>表1温室气体盘查表!AL61</f>
        <v>0</v>
      </c>
      <c r="AK60" s="37">
        <f>表1温室气体盘查表!AM61</f>
        <v>604.19940005000001</v>
      </c>
    </row>
    <row r="61" spans="1:37" s="16" customFormat="1" ht="33">
      <c r="A61" s="24">
        <v>57</v>
      </c>
      <c r="B61" s="25" t="str">
        <f>表1温室气体盘查表!B62</f>
        <v>资本货物</v>
      </c>
      <c r="C61" s="26" t="str">
        <f>表1温室气体盘查表!C62</f>
        <v>用于测量、显示和控制工业过程变量的仪器及相关产品制造</v>
      </c>
      <c r="D61" s="27" t="str">
        <f>表1温室气体盘查表!E62</f>
        <v>范围三 类别2</v>
      </c>
      <c r="E61" s="28">
        <f>表1温室气体盘查表!F62</f>
        <v>2228829.6800000002</v>
      </c>
      <c r="F61" s="29" t="str">
        <f>表1温室气体盘查表!G62</f>
        <v>$</v>
      </c>
      <c r="G61" s="30">
        <f>'附表2-EF'!K61*10</f>
        <v>0</v>
      </c>
      <c r="H61" s="29" t="s">
        <v>824</v>
      </c>
      <c r="I61" s="31">
        <f>'附表1-GWP TABLE'!E59</f>
        <v>0</v>
      </c>
      <c r="J61" s="32"/>
      <c r="K61" s="29"/>
      <c r="L61" s="31"/>
      <c r="M61" s="32"/>
      <c r="N61" s="29"/>
      <c r="O61" s="31"/>
      <c r="P61" s="33"/>
      <c r="Q61" s="34"/>
      <c r="R61" s="35"/>
      <c r="S61" s="34"/>
      <c r="T61" s="32"/>
      <c r="U61" s="29"/>
      <c r="V61" s="36"/>
      <c r="W61" s="29"/>
      <c r="X61" s="32"/>
      <c r="Y61" s="29"/>
      <c r="Z61" s="31"/>
      <c r="AA61" s="32"/>
      <c r="AB61" s="34"/>
      <c r="AC61" s="31"/>
      <c r="AD61" s="37">
        <f>表1温室气体盘查表!AF62</f>
        <v>140.41626984000001</v>
      </c>
      <c r="AE61" s="37">
        <f>表1温室气体盘查表!AG62</f>
        <v>0</v>
      </c>
      <c r="AF61" s="37">
        <f>表1温室气体盘查表!AH62</f>
        <v>0</v>
      </c>
      <c r="AG61" s="37">
        <f>表1温室气体盘查表!AI62</f>
        <v>0</v>
      </c>
      <c r="AH61" s="37">
        <f>表1温室气体盘查表!AJ62</f>
        <v>0</v>
      </c>
      <c r="AI61" s="37">
        <f>表1温室气体盘查表!AK62</f>
        <v>0</v>
      </c>
      <c r="AJ61" s="37">
        <f>表1温室气体盘查表!AL62</f>
        <v>0</v>
      </c>
      <c r="AK61" s="37">
        <f>表1温室气体盘查表!AM62</f>
        <v>140.41626984000001</v>
      </c>
    </row>
    <row r="62" spans="1:37" s="16" customFormat="1" ht="18">
      <c r="A62" s="24">
        <v>58</v>
      </c>
      <c r="B62" s="25" t="str">
        <f>表1温室气体盘查表!B63</f>
        <v>资本货物</v>
      </c>
      <c r="C62" s="26" t="str">
        <f>表1温室气体盘查表!C63</f>
        <v>所有其他杂项电气设备及元件制造</v>
      </c>
      <c r="D62" s="27" t="str">
        <f>表1温室气体盘查表!E63</f>
        <v>范围三 类别2</v>
      </c>
      <c r="E62" s="28">
        <f>表1温室气体盘查表!F63</f>
        <v>8525989.8900000006</v>
      </c>
      <c r="F62" s="29" t="str">
        <f>表1温室气体盘查表!G63</f>
        <v>$</v>
      </c>
      <c r="G62" s="30">
        <f>'附表2-EF'!K62*10</f>
        <v>0</v>
      </c>
      <c r="H62" s="29" t="s">
        <v>825</v>
      </c>
      <c r="I62" s="31">
        <f>'附表1-GWP TABLE'!E60</f>
        <v>0</v>
      </c>
      <c r="J62" s="32"/>
      <c r="K62" s="29"/>
      <c r="L62" s="31"/>
      <c r="M62" s="32"/>
      <c r="N62" s="29"/>
      <c r="O62" s="31"/>
      <c r="P62" s="33"/>
      <c r="Q62" s="34"/>
      <c r="R62" s="35"/>
      <c r="S62" s="34"/>
      <c r="T62" s="32"/>
      <c r="U62" s="29"/>
      <c r="V62" s="36"/>
      <c r="W62" s="29"/>
      <c r="X62" s="32"/>
      <c r="Y62" s="29"/>
      <c r="Z62" s="31"/>
      <c r="AA62" s="32"/>
      <c r="AB62" s="34"/>
      <c r="AC62" s="31"/>
      <c r="AD62" s="37">
        <f>表1温室气体盘查表!AF63</f>
        <v>1091.32670592</v>
      </c>
      <c r="AE62" s="37">
        <f>表1温室气体盘查表!AG63</f>
        <v>0</v>
      </c>
      <c r="AF62" s="37">
        <f>表1温室气体盘查表!AH63</f>
        <v>0</v>
      </c>
      <c r="AG62" s="37">
        <f>表1温室气体盘查表!AI63</f>
        <v>0</v>
      </c>
      <c r="AH62" s="37">
        <f>表1温室气体盘查表!AJ63</f>
        <v>0</v>
      </c>
      <c r="AI62" s="37">
        <f>表1温室气体盘查表!AK63</f>
        <v>0</v>
      </c>
      <c r="AJ62" s="37">
        <f>表1温室气体盘查表!AL63</f>
        <v>0</v>
      </c>
      <c r="AK62" s="37">
        <f>表1温室气体盘查表!AM63</f>
        <v>1091.32670592</v>
      </c>
    </row>
    <row r="63" spans="1:37" s="16" customFormat="1" ht="18">
      <c r="A63" s="24">
        <v>59</v>
      </c>
      <c r="B63" s="25" t="str">
        <f>表1温室气体盘查表!B64</f>
        <v>资本货物</v>
      </c>
      <c r="C63" s="26" t="str">
        <f>表1温室气体盘查表!C64</f>
        <v>所有其他杂项制造</v>
      </c>
      <c r="D63" s="27" t="str">
        <f>表1温室气体盘查表!E64</f>
        <v>范围三 类别2</v>
      </c>
      <c r="E63" s="28">
        <f>表1温室气体盘查表!F64</f>
        <v>236451624.12</v>
      </c>
      <c r="F63" s="29" t="str">
        <f>表1温室气体盘查表!G64</f>
        <v>$</v>
      </c>
      <c r="G63" s="30">
        <f>'附表2-EF'!K63*10</f>
        <v>0</v>
      </c>
      <c r="H63" s="29" t="s">
        <v>826</v>
      </c>
      <c r="I63" s="31">
        <f>'附表1-GWP TABLE'!E61</f>
        <v>0</v>
      </c>
      <c r="J63" s="32"/>
      <c r="K63" s="29"/>
      <c r="L63" s="31"/>
      <c r="M63" s="32"/>
      <c r="N63" s="29"/>
      <c r="O63" s="31"/>
      <c r="P63" s="33"/>
      <c r="Q63" s="34"/>
      <c r="R63" s="35"/>
      <c r="S63" s="34"/>
      <c r="T63" s="32"/>
      <c r="U63" s="29"/>
      <c r="V63" s="36"/>
      <c r="W63" s="29"/>
      <c r="X63" s="32"/>
      <c r="Y63" s="29"/>
      <c r="Z63" s="31"/>
      <c r="AA63" s="32"/>
      <c r="AB63" s="34"/>
      <c r="AC63" s="31"/>
      <c r="AD63" s="37">
        <f>表1温室气体盘查表!AF64</f>
        <v>43034.195589840005</v>
      </c>
      <c r="AE63" s="37">
        <f>表1温室气体盘查表!AG64</f>
        <v>0</v>
      </c>
      <c r="AF63" s="37">
        <f>表1温室气体盘查表!AH64</f>
        <v>0</v>
      </c>
      <c r="AG63" s="37">
        <f>表1温室气体盘查表!AI64</f>
        <v>0</v>
      </c>
      <c r="AH63" s="37">
        <f>表1温室气体盘查表!AJ64</f>
        <v>0</v>
      </c>
      <c r="AI63" s="37">
        <f>表1温室气体盘查表!AK64</f>
        <v>0</v>
      </c>
      <c r="AJ63" s="37">
        <f>表1温室气体盘查表!AL64</f>
        <v>0</v>
      </c>
      <c r="AK63" s="37">
        <f>表1温室气体盘查表!AM64</f>
        <v>43034.195589840005</v>
      </c>
    </row>
    <row r="64" spans="1:37" s="16" customFormat="1" ht="18">
      <c r="A64" s="24">
        <v>60</v>
      </c>
      <c r="B64" s="25" t="str">
        <f>表1温室气体盘查表!B65</f>
        <v>范围一、二相关燃料和能源相关的活动产生的排放</v>
      </c>
      <c r="C64" s="26" t="str">
        <f>表1温室气体盘查表!C65</f>
        <v>液化石油气生产</v>
      </c>
      <c r="D64" s="27" t="str">
        <f>表1温室气体盘查表!E65</f>
        <v>范围三 类别3</v>
      </c>
      <c r="E64" s="28">
        <f>表1温室气体盘查表!F65</f>
        <v>9.43</v>
      </c>
      <c r="F64" s="29" t="str">
        <f>表1温室气体盘查表!G65</f>
        <v>t</v>
      </c>
      <c r="G64" s="30">
        <f>'附表2-EF'!K64*10</f>
        <v>0</v>
      </c>
      <c r="H64" s="29" t="s">
        <v>827</v>
      </c>
      <c r="I64" s="31">
        <f>'附表1-GWP TABLE'!E62</f>
        <v>0</v>
      </c>
      <c r="J64" s="32"/>
      <c r="K64" s="29"/>
      <c r="L64" s="31"/>
      <c r="M64" s="32"/>
      <c r="N64" s="29"/>
      <c r="O64" s="31"/>
      <c r="P64" s="33"/>
      <c r="Q64" s="34"/>
      <c r="R64" s="35"/>
      <c r="S64" s="34"/>
      <c r="T64" s="32"/>
      <c r="U64" s="29"/>
      <c r="V64" s="36"/>
      <c r="W64" s="29"/>
      <c r="X64" s="32"/>
      <c r="Y64" s="29"/>
      <c r="Z64" s="31"/>
      <c r="AA64" s="32"/>
      <c r="AB64" s="34"/>
      <c r="AC64" s="31"/>
      <c r="AD64" s="37">
        <f>表1温室气体盘查表!AF65</f>
        <v>9.4887070688452404</v>
      </c>
      <c r="AE64" s="37">
        <f>表1温室气体盘查表!AG65</f>
        <v>0</v>
      </c>
      <c r="AF64" s="37">
        <f>表1温室气体盘查表!AH65</f>
        <v>0</v>
      </c>
      <c r="AG64" s="37">
        <f>表1温室气体盘查表!AI65</f>
        <v>0</v>
      </c>
      <c r="AH64" s="37">
        <f>表1温室气体盘查表!AJ65</f>
        <v>0</v>
      </c>
      <c r="AI64" s="37">
        <f>表1温室气体盘查表!AK65</f>
        <v>0</v>
      </c>
      <c r="AJ64" s="37">
        <f>表1温室气体盘查表!AL65</f>
        <v>0</v>
      </c>
      <c r="AK64" s="37">
        <f>表1温室气体盘查表!AM65</f>
        <v>9.4887070688452404</v>
      </c>
    </row>
    <row r="65" spans="1:37" s="16" customFormat="1" ht="18">
      <c r="A65" s="24">
        <v>61</v>
      </c>
      <c r="B65" s="25" t="str">
        <f>表1温室气体盘查表!B66</f>
        <v>范围一、二相关燃料和能源相关的活动产生的排放</v>
      </c>
      <c r="C65" s="26" t="str">
        <f>表1温室气体盘查表!C66</f>
        <v>洗精煤生产</v>
      </c>
      <c r="D65" s="27" t="str">
        <f>表1温室气体盘查表!E66</f>
        <v>范围三 类别3</v>
      </c>
      <c r="E65" s="28">
        <f>表1温室气体盘查表!F66</f>
        <v>2093622.77</v>
      </c>
      <c r="F65" s="29" t="str">
        <f>表1温室气体盘查表!G66</f>
        <v>t</v>
      </c>
      <c r="G65" s="30">
        <f>'附表2-EF'!K65*10</f>
        <v>0</v>
      </c>
      <c r="H65" s="29" t="s">
        <v>828</v>
      </c>
      <c r="I65" s="31">
        <f>'附表1-GWP TABLE'!E63</f>
        <v>0</v>
      </c>
      <c r="J65" s="32"/>
      <c r="K65" s="29"/>
      <c r="L65" s="31"/>
      <c r="M65" s="32"/>
      <c r="N65" s="29"/>
      <c r="O65" s="31"/>
      <c r="P65" s="33"/>
      <c r="Q65" s="34"/>
      <c r="R65" s="35"/>
      <c r="S65" s="34"/>
      <c r="T65" s="32"/>
      <c r="U65" s="29"/>
      <c r="V65" s="36"/>
      <c r="W65" s="29"/>
      <c r="X65" s="32"/>
      <c r="Y65" s="29"/>
      <c r="Z65" s="31"/>
      <c r="AA65" s="32"/>
      <c r="AB65" s="34"/>
      <c r="AC65" s="31"/>
      <c r="AD65" s="37">
        <f>表1温室气体盘查表!AF66</f>
        <v>1204984.5852735001</v>
      </c>
      <c r="AE65" s="37">
        <f>表1温室气体盘查表!AG66</f>
        <v>0</v>
      </c>
      <c r="AF65" s="37">
        <f>表1温室气体盘查表!AH66</f>
        <v>0</v>
      </c>
      <c r="AG65" s="37">
        <f>表1温室气体盘查表!AI66</f>
        <v>0</v>
      </c>
      <c r="AH65" s="37">
        <f>表1温室气体盘查表!AJ66</f>
        <v>0</v>
      </c>
      <c r="AI65" s="37">
        <f>表1温室气体盘查表!AK66</f>
        <v>0</v>
      </c>
      <c r="AJ65" s="37">
        <f>表1温室气体盘查表!AL66</f>
        <v>0</v>
      </c>
      <c r="AK65" s="37">
        <f>表1温室气体盘查表!AM66</f>
        <v>1204984.5852735001</v>
      </c>
    </row>
    <row r="66" spans="1:37" s="16" customFormat="1" ht="18">
      <c r="A66" s="24">
        <v>62</v>
      </c>
      <c r="B66" s="25" t="str">
        <f>表1温室气体盘查表!B67</f>
        <v>范围一、二相关燃料和能源相关的活动产生的排放</v>
      </c>
      <c r="C66" s="26" t="str">
        <f>表1温室气体盘查表!C67</f>
        <v>柴油生产</v>
      </c>
      <c r="D66" s="27" t="str">
        <f>表1温室气体盘查表!E67</f>
        <v>范围三 类别3</v>
      </c>
      <c r="E66" s="28">
        <f>表1温室气体盘查表!F67</f>
        <v>1422.69</v>
      </c>
      <c r="F66" s="29" t="str">
        <f>表1温室气体盘查表!G67</f>
        <v>t</v>
      </c>
      <c r="G66" s="30">
        <f>'附表2-EF'!K68*10</f>
        <v>0</v>
      </c>
      <c r="H66" s="29" t="s">
        <v>829</v>
      </c>
      <c r="I66" s="31">
        <f>'附表1-GWP TABLE'!E64</f>
        <v>0</v>
      </c>
      <c r="J66" s="32"/>
      <c r="K66" s="29"/>
      <c r="L66" s="31"/>
      <c r="M66" s="32"/>
      <c r="N66" s="29"/>
      <c r="O66" s="31"/>
      <c r="P66" s="33"/>
      <c r="Q66" s="34"/>
      <c r="R66" s="35"/>
      <c r="S66" s="34"/>
      <c r="T66" s="32"/>
      <c r="U66" s="29"/>
      <c r="V66" s="36"/>
      <c r="W66" s="29"/>
      <c r="X66" s="32"/>
      <c r="Y66" s="29"/>
      <c r="Z66" s="31"/>
      <c r="AA66" s="32"/>
      <c r="AB66" s="34"/>
      <c r="AC66" s="31"/>
      <c r="AD66" s="37">
        <f>表1温室气体盘查表!AF67</f>
        <v>1198.0757028</v>
      </c>
      <c r="AE66" s="37">
        <f>表1温室气体盘查表!AG67</f>
        <v>0</v>
      </c>
      <c r="AF66" s="37">
        <f>表1温室气体盘查表!AH67</f>
        <v>0</v>
      </c>
      <c r="AG66" s="37">
        <f>表1温室气体盘查表!AI67</f>
        <v>0</v>
      </c>
      <c r="AH66" s="37">
        <f>表1温室气体盘查表!AJ67</f>
        <v>0</v>
      </c>
      <c r="AI66" s="37">
        <f>表1温室气体盘查表!AK67</f>
        <v>0</v>
      </c>
      <c r="AJ66" s="37">
        <f>表1温室气体盘查表!AL67</f>
        <v>0</v>
      </c>
      <c r="AK66" s="37">
        <f>表1温室气体盘查表!AM67</f>
        <v>1198.0757028</v>
      </c>
    </row>
    <row r="67" spans="1:37" s="16" customFormat="1" ht="18">
      <c r="A67" s="24">
        <v>63</v>
      </c>
      <c r="B67" s="25" t="str">
        <f>表1温室气体盘查表!B68</f>
        <v>范围一、二相关燃料和能源相关的活动产生的排放</v>
      </c>
      <c r="C67" s="26" t="str">
        <f>表1温室气体盘查表!C68</f>
        <v>汽油生产</v>
      </c>
      <c r="D67" s="27" t="str">
        <f>表1温室气体盘查表!E68</f>
        <v>范围三 类别3</v>
      </c>
      <c r="E67" s="28">
        <f>表1温室气体盘查表!F68</f>
        <v>47.34</v>
      </c>
      <c r="F67" s="29" t="str">
        <f>表1温室气体盘查表!G68</f>
        <v>t</v>
      </c>
      <c r="G67" s="30">
        <f>'附表2-EF'!K69*10</f>
        <v>0</v>
      </c>
      <c r="H67" s="29" t="s">
        <v>830</v>
      </c>
      <c r="I67" s="31">
        <f>'附表1-GWP TABLE'!E65</f>
        <v>0</v>
      </c>
      <c r="J67" s="32"/>
      <c r="K67" s="29"/>
      <c r="L67" s="31"/>
      <c r="M67" s="32"/>
      <c r="N67" s="29"/>
      <c r="O67" s="31"/>
      <c r="P67" s="33"/>
      <c r="Q67" s="34"/>
      <c r="R67" s="35"/>
      <c r="S67" s="34"/>
      <c r="T67" s="32"/>
      <c r="U67" s="29"/>
      <c r="V67" s="36"/>
      <c r="W67" s="29"/>
      <c r="X67" s="32"/>
      <c r="Y67" s="29"/>
      <c r="Z67" s="31"/>
      <c r="AA67" s="32"/>
      <c r="AB67" s="34"/>
      <c r="AC67" s="31"/>
      <c r="AD67" s="37">
        <f>表1温室气体盘查表!AF68</f>
        <v>46.740216649323479</v>
      </c>
      <c r="AE67" s="37">
        <f>表1温室气体盘查表!AG68</f>
        <v>0</v>
      </c>
      <c r="AF67" s="37">
        <f>表1温室气体盘查表!AH68</f>
        <v>0</v>
      </c>
      <c r="AG67" s="37">
        <f>表1温室气体盘查表!AI68</f>
        <v>0</v>
      </c>
      <c r="AH67" s="37">
        <f>表1温室气体盘查表!AJ68</f>
        <v>0</v>
      </c>
      <c r="AI67" s="37">
        <f>表1温室气体盘查表!AK68</f>
        <v>0</v>
      </c>
      <c r="AJ67" s="37">
        <f>表1温室气体盘查表!AL68</f>
        <v>0</v>
      </c>
      <c r="AK67" s="37">
        <f>表1温室气体盘查表!AM68</f>
        <v>46.740216649323479</v>
      </c>
    </row>
    <row r="68" spans="1:37" s="16" customFormat="1" ht="18">
      <c r="A68" s="24">
        <v>64</v>
      </c>
      <c r="B68" s="25" t="str">
        <f>表1温室气体盘查表!B69</f>
        <v>范围一、二相关燃料和能源相关的活动产生的排放</v>
      </c>
      <c r="C68" s="26" t="str">
        <f>表1温室气体盘查表!C69</f>
        <v>焦炭生产</v>
      </c>
      <c r="D68" s="27" t="str">
        <f>表1温室气体盘查表!E69</f>
        <v>范围三 类别3</v>
      </c>
      <c r="E68" s="28">
        <f>表1温室气体盘查表!F69</f>
        <v>221509.16999999998</v>
      </c>
      <c r="F68" s="29" t="str">
        <f>表1温室气体盘查表!G69</f>
        <v>t</v>
      </c>
      <c r="G68" s="30">
        <f>'附表2-EF'!K70*10</f>
        <v>0</v>
      </c>
      <c r="H68" s="29" t="s">
        <v>831</v>
      </c>
      <c r="I68" s="31">
        <f>'附表1-GWP TABLE'!E66</f>
        <v>0</v>
      </c>
      <c r="J68" s="32"/>
      <c r="K68" s="29"/>
      <c r="L68" s="31"/>
      <c r="M68" s="32"/>
      <c r="N68" s="29"/>
      <c r="O68" s="31"/>
      <c r="P68" s="33"/>
      <c r="Q68" s="34"/>
      <c r="R68" s="35"/>
      <c r="S68" s="34"/>
      <c r="T68" s="32"/>
      <c r="U68" s="29"/>
      <c r="V68" s="36"/>
      <c r="W68" s="29"/>
      <c r="X68" s="32"/>
      <c r="Y68" s="29"/>
      <c r="Z68" s="31"/>
      <c r="AA68" s="32"/>
      <c r="AB68" s="34"/>
      <c r="AC68" s="31"/>
      <c r="AD68" s="37">
        <f>表1温室气体盘查表!AF69</f>
        <v>77306.700329999992</v>
      </c>
      <c r="AE68" s="37">
        <f>表1温室气体盘查表!AG69</f>
        <v>0</v>
      </c>
      <c r="AF68" s="37">
        <f>表1温室气体盘查表!AH69</f>
        <v>0</v>
      </c>
      <c r="AG68" s="37">
        <f>表1温室气体盘查表!AI69</f>
        <v>0</v>
      </c>
      <c r="AH68" s="37">
        <f>表1温室气体盘查表!AJ69</f>
        <v>0</v>
      </c>
      <c r="AI68" s="37">
        <f>表1温室气体盘查表!AK69</f>
        <v>0</v>
      </c>
      <c r="AJ68" s="37">
        <f>表1温室气体盘查表!AL69</f>
        <v>0</v>
      </c>
      <c r="AK68" s="37">
        <f>表1温室气体盘查表!AM69</f>
        <v>77306.700329999992</v>
      </c>
    </row>
    <row r="69" spans="1:37" s="16" customFormat="1" ht="18">
      <c r="A69" s="24">
        <v>65</v>
      </c>
      <c r="B69" s="25" t="str">
        <f>表1温室气体盘查表!B70</f>
        <v>范围一、二相关燃料和能源相关的活动产生的排放</v>
      </c>
      <c r="C69" s="26" t="str">
        <f>表1温室气体盘查表!C70</f>
        <v>烟煤生产</v>
      </c>
      <c r="D69" s="27" t="str">
        <f>表1温室气体盘查表!E70</f>
        <v>范围三 类别3</v>
      </c>
      <c r="E69" s="28">
        <f>表1温室气体盘查表!F70</f>
        <v>323067.87000000005</v>
      </c>
      <c r="F69" s="29" t="str">
        <f>表1温室气体盘查表!G70</f>
        <v>t</v>
      </c>
      <c r="G69" s="30">
        <f>'附表2-EF'!K72*10</f>
        <v>0</v>
      </c>
      <c r="H69" s="29" t="s">
        <v>832</v>
      </c>
      <c r="I69" s="31">
        <f>'附表1-GWP TABLE'!E68</f>
        <v>0</v>
      </c>
      <c r="J69" s="32"/>
      <c r="K69" s="29"/>
      <c r="L69" s="31"/>
      <c r="M69" s="32"/>
      <c r="N69" s="29"/>
      <c r="O69" s="31"/>
      <c r="P69" s="33"/>
      <c r="Q69" s="34"/>
      <c r="R69" s="35"/>
      <c r="S69" s="34"/>
      <c r="T69" s="32"/>
      <c r="U69" s="29"/>
      <c r="V69" s="36"/>
      <c r="W69" s="29"/>
      <c r="X69" s="32"/>
      <c r="Y69" s="29"/>
      <c r="Z69" s="31"/>
      <c r="AA69" s="32"/>
      <c r="AB69" s="34"/>
      <c r="AC69" s="31"/>
      <c r="AD69" s="37">
        <f>表1温室气体盘查表!AF70</f>
        <v>57829.148730000008</v>
      </c>
      <c r="AE69" s="37">
        <f>表1温室气体盘查表!AG70</f>
        <v>0</v>
      </c>
      <c r="AF69" s="37">
        <f>表1温室气体盘查表!AH70</f>
        <v>0</v>
      </c>
      <c r="AG69" s="37">
        <f>表1温室气体盘查表!AI70</f>
        <v>0</v>
      </c>
      <c r="AH69" s="37">
        <f>表1温室气体盘查表!AJ70</f>
        <v>0</v>
      </c>
      <c r="AI69" s="37">
        <f>表1温室气体盘查表!AK70</f>
        <v>0</v>
      </c>
      <c r="AJ69" s="37">
        <f>表1温室气体盘查表!AL70</f>
        <v>0</v>
      </c>
      <c r="AK69" s="37">
        <f>表1温室气体盘查表!AM70</f>
        <v>57829.148730000008</v>
      </c>
    </row>
    <row r="70" spans="1:37" s="16" customFormat="1" ht="18">
      <c r="A70" s="24">
        <v>66</v>
      </c>
      <c r="B70" s="25" t="str">
        <f>表1温室气体盘查表!B71</f>
        <v>范围一、二相关燃料和能源相关的活动产生的排放</v>
      </c>
      <c r="C70" s="26" t="str">
        <f>表1温室气体盘查表!C71</f>
        <v>无烟煤生产</v>
      </c>
      <c r="D70" s="27" t="str">
        <f>表1温室气体盘查表!E71</f>
        <v>范围三 类别3</v>
      </c>
      <c r="E70" s="28">
        <f>表1温室气体盘查表!F71</f>
        <v>335482.33</v>
      </c>
      <c r="F70" s="29" t="str">
        <f>表1温室气体盘查表!G71</f>
        <v>t</v>
      </c>
      <c r="G70" s="30">
        <f>'附表2-EF'!K73*10</f>
        <v>0</v>
      </c>
      <c r="H70" s="29" t="s">
        <v>833</v>
      </c>
      <c r="I70" s="31">
        <f>'附表1-GWP TABLE'!E69</f>
        <v>0</v>
      </c>
      <c r="J70" s="32"/>
      <c r="K70" s="29"/>
      <c r="L70" s="31"/>
      <c r="M70" s="32"/>
      <c r="N70" s="29"/>
      <c r="O70" s="31"/>
      <c r="P70" s="33"/>
      <c r="Q70" s="34"/>
      <c r="R70" s="35"/>
      <c r="S70" s="34"/>
      <c r="T70" s="32"/>
      <c r="U70" s="29"/>
      <c r="V70" s="36"/>
      <c r="W70" s="29"/>
      <c r="X70" s="32"/>
      <c r="Y70" s="29"/>
      <c r="Z70" s="31"/>
      <c r="AA70" s="32"/>
      <c r="AB70" s="34"/>
      <c r="AC70" s="31"/>
      <c r="AD70" s="37">
        <f>表1温室气体盘查表!AF71</f>
        <v>229469.91372000004</v>
      </c>
      <c r="AE70" s="37">
        <f>表1温室气体盘查表!AG71</f>
        <v>0</v>
      </c>
      <c r="AF70" s="37">
        <f>表1温室气体盘查表!AH71</f>
        <v>0</v>
      </c>
      <c r="AG70" s="37">
        <f>表1温室气体盘查表!AI71</f>
        <v>0</v>
      </c>
      <c r="AH70" s="37">
        <f>表1温室气体盘查表!AJ71</f>
        <v>0</v>
      </c>
      <c r="AI70" s="37">
        <f>表1温室气体盘查表!AK71</f>
        <v>0</v>
      </c>
      <c r="AJ70" s="37">
        <f>表1温室气体盘查表!AL71</f>
        <v>0</v>
      </c>
      <c r="AK70" s="37">
        <f>表1温室气体盘查表!AM71</f>
        <v>229469.91372000004</v>
      </c>
    </row>
    <row r="71" spans="1:37" s="16" customFormat="1" ht="18">
      <c r="A71" s="24">
        <v>67</v>
      </c>
      <c r="B71" s="25" t="str">
        <f>表1温室气体盘查表!B72</f>
        <v>范围一、二相关燃料和能源相关的活动产生的排放</v>
      </c>
      <c r="C71" s="26" t="str">
        <f>表1温室气体盘查表!C72</f>
        <v>天然气生产</v>
      </c>
      <c r="D71" s="27" t="str">
        <f>表1温室气体盘查表!E72</f>
        <v>范围三 类别3</v>
      </c>
      <c r="E71" s="28">
        <f>表1温室气体盘查表!F72</f>
        <v>1454</v>
      </c>
      <c r="F71" s="29" t="str">
        <f>表1温室气体盘查表!G72</f>
        <v>10000Nm3</v>
      </c>
      <c r="G71" s="30" t="e">
        <f>'附表2-EF'!#REF!*10</f>
        <v>#REF!</v>
      </c>
      <c r="H71" s="29" t="s">
        <v>834</v>
      </c>
      <c r="I71" s="31">
        <f>'附表1-GWP TABLE'!E70</f>
        <v>0</v>
      </c>
      <c r="J71" s="32"/>
      <c r="K71" s="29"/>
      <c r="L71" s="31"/>
      <c r="M71" s="32"/>
      <c r="N71" s="29"/>
      <c r="O71" s="31"/>
      <c r="P71" s="33"/>
      <c r="Q71" s="34"/>
      <c r="R71" s="35"/>
      <c r="S71" s="34"/>
      <c r="T71" s="32"/>
      <c r="U71" s="29"/>
      <c r="V71" s="36"/>
      <c r="W71" s="29"/>
      <c r="X71" s="32"/>
      <c r="Y71" s="29"/>
      <c r="Z71" s="31"/>
      <c r="AA71" s="32"/>
      <c r="AB71" s="34"/>
      <c r="AC71" s="31"/>
      <c r="AD71" s="37">
        <f>表1温室气体盘查表!AF72</f>
        <v>9000.26</v>
      </c>
      <c r="AE71" s="37">
        <f>表1温室气体盘查表!AG72</f>
        <v>0</v>
      </c>
      <c r="AF71" s="37">
        <f>表1温室气体盘查表!AH72</f>
        <v>0</v>
      </c>
      <c r="AG71" s="37">
        <f>表1温室气体盘查表!AI72</f>
        <v>0</v>
      </c>
      <c r="AH71" s="37">
        <f>表1温室气体盘查表!AJ72</f>
        <v>0</v>
      </c>
      <c r="AI71" s="37">
        <f>表1温室气体盘查表!AK72</f>
        <v>0</v>
      </c>
      <c r="AJ71" s="37">
        <f>表1温室气体盘查表!AL72</f>
        <v>0</v>
      </c>
      <c r="AK71" s="37">
        <f>表1温室气体盘查表!AM72</f>
        <v>9000.26</v>
      </c>
    </row>
    <row r="72" spans="1:37" s="16" customFormat="1" ht="18">
      <c r="A72" s="24">
        <v>68</v>
      </c>
      <c r="B72" s="25" t="str">
        <f>表1温室气体盘查表!B73</f>
        <v>范围一、二相关燃料和能源相关的活动产生的排放</v>
      </c>
      <c r="C72" s="26" t="str">
        <f>表1温室气体盘查表!C73</f>
        <v>外购电力上游排放</v>
      </c>
      <c r="D72" s="27" t="str">
        <f>表1温室气体盘查表!E73</f>
        <v>范围三 类别3</v>
      </c>
      <c r="E72" s="28">
        <f>表1温室气体盘查表!F73</f>
        <v>1966850.83</v>
      </c>
      <c r="F72" s="29" t="str">
        <f>表1温室气体盘查表!G73</f>
        <v>MWh</v>
      </c>
      <c r="G72" s="30">
        <f>'附表2-EF'!K74*10</f>
        <v>0</v>
      </c>
      <c r="H72" s="29" t="s">
        <v>835</v>
      </c>
      <c r="I72" s="31">
        <f>'附表1-GWP TABLE'!E71</f>
        <v>0</v>
      </c>
      <c r="J72" s="32"/>
      <c r="K72" s="29"/>
      <c r="L72" s="31"/>
      <c r="M72" s="32"/>
      <c r="N72" s="29"/>
      <c r="O72" s="31"/>
      <c r="P72" s="33"/>
      <c r="Q72" s="34"/>
      <c r="R72" s="35"/>
      <c r="S72" s="34"/>
      <c r="T72" s="32"/>
      <c r="U72" s="29"/>
      <c r="V72" s="36"/>
      <c r="W72" s="29"/>
      <c r="X72" s="32"/>
      <c r="Y72" s="29"/>
      <c r="Z72" s="31"/>
      <c r="AA72" s="32"/>
      <c r="AB72" s="34"/>
      <c r="AC72" s="31"/>
      <c r="AD72" s="37">
        <f>表1温室气体盘查表!AF73</f>
        <v>176819.88961700018</v>
      </c>
      <c r="AE72" s="37">
        <f>表1温室气体盘查表!AG73</f>
        <v>0</v>
      </c>
      <c r="AF72" s="37">
        <f>表1温室气体盘查表!AH73</f>
        <v>0</v>
      </c>
      <c r="AG72" s="37">
        <f>表1温室气体盘查表!AI73</f>
        <v>0</v>
      </c>
      <c r="AH72" s="37">
        <f>表1温室气体盘查表!AJ73</f>
        <v>0</v>
      </c>
      <c r="AI72" s="37">
        <f>表1温室气体盘查表!AK73</f>
        <v>0</v>
      </c>
      <c r="AJ72" s="37">
        <f>表1温室气体盘查表!AL73</f>
        <v>0</v>
      </c>
      <c r="AK72" s="37">
        <f>表1温室气体盘查表!AM73</f>
        <v>176819.88961700018</v>
      </c>
    </row>
    <row r="73" spans="1:37" s="16" customFormat="1" ht="18">
      <c r="A73" s="24">
        <v>69</v>
      </c>
      <c r="B73" s="25" t="str">
        <f>表1温室气体盘查表!B74</f>
        <v>上游运输配送产生的排放</v>
      </c>
      <c r="C73" s="26" t="str">
        <f>表1温室气体盘查表!C74</f>
        <v>船运</v>
      </c>
      <c r="D73" s="27" t="str">
        <f>表1温室气体盘查表!E74</f>
        <v>范围三 类别4</v>
      </c>
      <c r="E73" s="28">
        <f>表1温室气体盘查表!F74</f>
        <v>4821908726.5299997</v>
      </c>
      <c r="F73" s="29" t="str">
        <f>表1温室气体盘查表!G74</f>
        <v>tkm</v>
      </c>
      <c r="G73" s="30">
        <f>'附表2-EF'!K75*10</f>
        <v>0</v>
      </c>
      <c r="H73" s="29" t="s">
        <v>836</v>
      </c>
      <c r="I73" s="31">
        <f>'附表1-GWP TABLE'!E72</f>
        <v>0</v>
      </c>
      <c r="J73" s="32"/>
      <c r="K73" s="29"/>
      <c r="L73" s="31"/>
      <c r="M73" s="32"/>
      <c r="N73" s="29"/>
      <c r="O73" s="31"/>
      <c r="P73" s="33"/>
      <c r="Q73" s="34"/>
      <c r="R73" s="35"/>
      <c r="S73" s="34"/>
      <c r="T73" s="32"/>
      <c r="U73" s="29"/>
      <c r="V73" s="36"/>
      <c r="W73" s="29"/>
      <c r="X73" s="32"/>
      <c r="Y73" s="29"/>
      <c r="Z73" s="31"/>
      <c r="AA73" s="32"/>
      <c r="AB73" s="34"/>
      <c r="AC73" s="31"/>
      <c r="AD73" s="37">
        <f>表1温室气体盘查表!AF74</f>
        <v>250587.64380757129</v>
      </c>
      <c r="AE73" s="37">
        <f>表1温室气体盘查表!AG74</f>
        <v>0</v>
      </c>
      <c r="AF73" s="37">
        <f>表1温室气体盘查表!AH74</f>
        <v>0</v>
      </c>
      <c r="AG73" s="37">
        <f>表1温室气体盘查表!AI74</f>
        <v>0</v>
      </c>
      <c r="AH73" s="37">
        <f>表1温室气体盘查表!AJ74</f>
        <v>0</v>
      </c>
      <c r="AI73" s="37">
        <f>表1温室气体盘查表!AK74</f>
        <v>0</v>
      </c>
      <c r="AJ73" s="37">
        <f>表1温室气体盘查表!AL74</f>
        <v>0</v>
      </c>
      <c r="AK73" s="37">
        <f>表1温室气体盘查表!AM74</f>
        <v>250587.64380757129</v>
      </c>
    </row>
    <row r="74" spans="1:37" s="16" customFormat="1" ht="18">
      <c r="A74" s="24">
        <v>70</v>
      </c>
      <c r="B74" s="25" t="str">
        <f>表1温室气体盘查表!B75</f>
        <v>上游运输配送产生的排放</v>
      </c>
      <c r="C74" s="26" t="str">
        <f>表1温室气体盘查表!C75</f>
        <v>汽运</v>
      </c>
      <c r="D74" s="27" t="str">
        <f>表1温室气体盘查表!E75</f>
        <v>范围三 类别4</v>
      </c>
      <c r="E74" s="28">
        <f>表1温室气体盘查表!F75</f>
        <v>491140477.41000003</v>
      </c>
      <c r="F74" s="29" t="str">
        <f>表1温室气体盘查表!G75</f>
        <v>tkm</v>
      </c>
      <c r="G74" s="30">
        <f>'附表2-EF'!K76*10</f>
        <v>0</v>
      </c>
      <c r="H74" s="29" t="s">
        <v>837</v>
      </c>
      <c r="I74" s="31">
        <f>'附表1-GWP TABLE'!E73</f>
        <v>0</v>
      </c>
      <c r="J74" s="32"/>
      <c r="K74" s="29"/>
      <c r="L74" s="31"/>
      <c r="M74" s="32"/>
      <c r="N74" s="29"/>
      <c r="O74" s="31"/>
      <c r="P74" s="33"/>
      <c r="Q74" s="34"/>
      <c r="R74" s="35"/>
      <c r="S74" s="34"/>
      <c r="T74" s="32"/>
      <c r="U74" s="29"/>
      <c r="V74" s="36"/>
      <c r="W74" s="29"/>
      <c r="X74" s="32"/>
      <c r="Y74" s="29"/>
      <c r="Z74" s="31"/>
      <c r="AA74" s="32"/>
      <c r="AB74" s="34"/>
      <c r="AC74" s="31"/>
      <c r="AD74" s="37">
        <f>表1温室气体盘查表!AF75</f>
        <v>74635.120596859735</v>
      </c>
      <c r="AE74" s="37">
        <f>表1温室气体盘查表!AG75</f>
        <v>0</v>
      </c>
      <c r="AF74" s="37">
        <f>表1温室气体盘查表!AH75</f>
        <v>0</v>
      </c>
      <c r="AG74" s="37">
        <f>表1温室气体盘查表!AI75</f>
        <v>0</v>
      </c>
      <c r="AH74" s="37">
        <f>表1温室气体盘查表!AJ75</f>
        <v>0</v>
      </c>
      <c r="AI74" s="37">
        <f>表1温室气体盘查表!AK75</f>
        <v>0</v>
      </c>
      <c r="AJ74" s="37">
        <f>表1温室气体盘查表!AL75</f>
        <v>0</v>
      </c>
      <c r="AK74" s="37">
        <f>表1温室气体盘查表!AM75</f>
        <v>74635.120596859735</v>
      </c>
    </row>
    <row r="75" spans="1:37" s="16" customFormat="1" ht="18">
      <c r="A75" s="24">
        <v>71</v>
      </c>
      <c r="B75" s="25" t="str">
        <f>表1温室气体盘查表!B76</f>
        <v>上游运输配送产生的排放</v>
      </c>
      <c r="C75" s="26" t="str">
        <f>表1温室气体盘查表!C76</f>
        <v>铁路运输</v>
      </c>
      <c r="D75" s="27" t="str">
        <f>表1温室气体盘查表!E76</f>
        <v>范围三 类别4</v>
      </c>
      <c r="E75" s="28">
        <f>表1温室气体盘查表!F76</f>
        <v>1555767247.0999999</v>
      </c>
      <c r="F75" s="29" t="str">
        <f>表1温室气体盘查表!G76</f>
        <v>tkm</v>
      </c>
      <c r="G75" s="30">
        <f>'附表2-EF'!K77*10</f>
        <v>0</v>
      </c>
      <c r="H75" s="29" t="s">
        <v>838</v>
      </c>
      <c r="I75" s="31">
        <f>'附表1-GWP TABLE'!E74</f>
        <v>0</v>
      </c>
      <c r="J75" s="32"/>
      <c r="K75" s="29"/>
      <c r="L75" s="31"/>
      <c r="M75" s="32"/>
      <c r="N75" s="29"/>
      <c r="O75" s="31"/>
      <c r="P75" s="33"/>
      <c r="Q75" s="34"/>
      <c r="R75" s="35"/>
      <c r="S75" s="34"/>
      <c r="T75" s="32"/>
      <c r="U75" s="29"/>
      <c r="V75" s="36"/>
      <c r="W75" s="29"/>
      <c r="X75" s="32"/>
      <c r="Y75" s="29"/>
      <c r="Z75" s="31"/>
      <c r="AA75" s="32"/>
      <c r="AB75" s="34"/>
      <c r="AC75" s="31"/>
      <c r="AD75" s="37">
        <f>表1温室气体盘查表!AF76</f>
        <v>75504.263804014496</v>
      </c>
      <c r="AE75" s="37">
        <f>表1温室气体盘查表!AG76</f>
        <v>0</v>
      </c>
      <c r="AF75" s="37">
        <f>表1温室气体盘查表!AH76</f>
        <v>0</v>
      </c>
      <c r="AG75" s="37">
        <f>表1温室气体盘查表!AI76</f>
        <v>0</v>
      </c>
      <c r="AH75" s="37">
        <f>表1温室气体盘查表!AJ76</f>
        <v>0</v>
      </c>
      <c r="AI75" s="37">
        <f>表1温室气体盘查表!AK76</f>
        <v>0</v>
      </c>
      <c r="AJ75" s="37">
        <f>表1温室气体盘查表!AL76</f>
        <v>0</v>
      </c>
      <c r="AK75" s="37">
        <f>表1温室气体盘查表!AM76</f>
        <v>75504.263804014496</v>
      </c>
    </row>
    <row r="76" spans="1:37" s="16" customFormat="1" ht="18">
      <c r="A76" s="24">
        <v>72</v>
      </c>
      <c r="B76" s="25" t="str">
        <f>表1温室气体盘查表!B77</f>
        <v>运营中产生的废物排放</v>
      </c>
      <c r="C76" s="26" t="str">
        <f>表1温室气体盘查表!C77</f>
        <v>生活垃圾和厨余垃圾</v>
      </c>
      <c r="D76" s="27" t="str">
        <f>表1温室气体盘查表!E77</f>
        <v>范围三 类别5</v>
      </c>
      <c r="E76" s="28">
        <f>表1温室气体盘查表!F77</f>
        <v>2801.4</v>
      </c>
      <c r="F76" s="29" t="str">
        <f>表1温室气体盘查表!G77</f>
        <v>t</v>
      </c>
      <c r="G76" s="30">
        <f>'附表2-EF'!K78*10</f>
        <v>0</v>
      </c>
      <c r="H76" s="29" t="s">
        <v>839</v>
      </c>
      <c r="I76" s="31">
        <f>'附表1-GWP TABLE'!E75</f>
        <v>0</v>
      </c>
      <c r="J76" s="32"/>
      <c r="K76" s="29"/>
      <c r="L76" s="31"/>
      <c r="M76" s="32"/>
      <c r="N76" s="29"/>
      <c r="O76" s="31"/>
      <c r="P76" s="33"/>
      <c r="Q76" s="34"/>
      <c r="R76" s="35"/>
      <c r="S76" s="34"/>
      <c r="T76" s="32"/>
      <c r="U76" s="29"/>
      <c r="V76" s="36"/>
      <c r="W76" s="29"/>
      <c r="X76" s="32"/>
      <c r="Y76" s="29"/>
      <c r="Z76" s="31"/>
      <c r="AA76" s="32"/>
      <c r="AB76" s="34"/>
      <c r="AC76" s="31"/>
      <c r="AD76" s="37">
        <f>表1温室气体盘查表!AF77</f>
        <v>1040.2559007235884</v>
      </c>
      <c r="AE76" s="37">
        <f>表1温室气体盘查表!AG77</f>
        <v>0</v>
      </c>
      <c r="AF76" s="37">
        <f>表1温室气体盘查表!AH77</f>
        <v>0</v>
      </c>
      <c r="AG76" s="37">
        <f>表1温室气体盘查表!AI77</f>
        <v>0</v>
      </c>
      <c r="AH76" s="37">
        <f>表1温室气体盘查表!AJ77</f>
        <v>0</v>
      </c>
      <c r="AI76" s="37">
        <f>表1温室气体盘查表!AK77</f>
        <v>0</v>
      </c>
      <c r="AJ76" s="37">
        <f>表1温室气体盘查表!AL77</f>
        <v>0</v>
      </c>
      <c r="AK76" s="37">
        <f>表1温室气体盘查表!AM77</f>
        <v>1040.2559007235884</v>
      </c>
    </row>
    <row r="77" spans="1:37" s="16" customFormat="1" ht="18">
      <c r="A77" s="24">
        <v>73</v>
      </c>
      <c r="B77" s="25" t="str">
        <f>表1温室气体盘查表!B78</f>
        <v>运营中产生的废物排放</v>
      </c>
      <c r="C77" s="26" t="str">
        <f>表1温室气体盘查表!C78</f>
        <v>废油</v>
      </c>
      <c r="D77" s="27" t="str">
        <f>表1温室气体盘查表!E78</f>
        <v>范围三 类别5</v>
      </c>
      <c r="E77" s="28">
        <f>表1温室气体盘查表!F78</f>
        <v>1719.05</v>
      </c>
      <c r="F77" s="29" t="str">
        <f>表1温室气体盘查表!G78</f>
        <v>t</v>
      </c>
      <c r="G77" s="30">
        <f>'附表2-EF'!K79*10</f>
        <v>0</v>
      </c>
      <c r="H77" s="29" t="s">
        <v>840</v>
      </c>
      <c r="I77" s="31">
        <f>'附表1-GWP TABLE'!E76</f>
        <v>0</v>
      </c>
      <c r="J77" s="32"/>
      <c r="K77" s="29"/>
      <c r="L77" s="31"/>
      <c r="M77" s="32"/>
      <c r="N77" s="29"/>
      <c r="O77" s="31"/>
      <c r="P77" s="33"/>
      <c r="Q77" s="34"/>
      <c r="R77" s="35"/>
      <c r="S77" s="34"/>
      <c r="T77" s="32"/>
      <c r="U77" s="29"/>
      <c r="V77" s="36"/>
      <c r="W77" s="29"/>
      <c r="X77" s="32"/>
      <c r="Y77" s="29"/>
      <c r="Z77" s="31"/>
      <c r="AA77" s="32"/>
      <c r="AB77" s="34"/>
      <c r="AC77" s="31"/>
      <c r="AD77" s="37">
        <f>表1温室气体盘查表!AF78</f>
        <v>4897.6714742239055</v>
      </c>
      <c r="AE77" s="37">
        <f>表1温室气体盘查表!AG78</f>
        <v>0</v>
      </c>
      <c r="AF77" s="37">
        <f>表1温室气体盘查表!AH78</f>
        <v>0</v>
      </c>
      <c r="AG77" s="37">
        <f>表1温室气体盘查表!AI78</f>
        <v>0</v>
      </c>
      <c r="AH77" s="37">
        <f>表1温室气体盘查表!AJ78</f>
        <v>0</v>
      </c>
      <c r="AI77" s="37">
        <f>表1温室气体盘查表!AK78</f>
        <v>0</v>
      </c>
      <c r="AJ77" s="37">
        <f>表1温室气体盘查表!AL78</f>
        <v>0</v>
      </c>
      <c r="AK77" s="37">
        <f>表1温室气体盘查表!AM78</f>
        <v>4897.6714742239055</v>
      </c>
    </row>
    <row r="78" spans="1:37" s="16" customFormat="1" ht="18">
      <c r="A78" s="24">
        <v>74</v>
      </c>
      <c r="B78" s="25" t="str">
        <f>表1温室气体盘查表!B79</f>
        <v>运营中产生的废物排放</v>
      </c>
      <c r="C78" s="26" t="str">
        <f>表1温室气体盘查表!C79</f>
        <v>废油水</v>
      </c>
      <c r="D78" s="27" t="str">
        <f>表1温室气体盘查表!E79</f>
        <v>范围三 类别5</v>
      </c>
      <c r="E78" s="28">
        <f>表1温室气体盘查表!F79</f>
        <v>5203.3</v>
      </c>
      <c r="F78" s="29" t="str">
        <f>表1温室气体盘查表!G79</f>
        <v>t</v>
      </c>
      <c r="G78" s="30">
        <f>'附表2-EF'!K80*10</f>
        <v>0</v>
      </c>
      <c r="H78" s="29" t="s">
        <v>841</v>
      </c>
      <c r="I78" s="31">
        <f>'附表1-GWP TABLE'!E77</f>
        <v>0</v>
      </c>
      <c r="J78" s="32"/>
      <c r="K78" s="29"/>
      <c r="L78" s="31"/>
      <c r="M78" s="32"/>
      <c r="N78" s="29"/>
      <c r="O78" s="31"/>
      <c r="P78" s="33"/>
      <c r="Q78" s="34"/>
      <c r="R78" s="35"/>
      <c r="S78" s="34"/>
      <c r="T78" s="32"/>
      <c r="U78" s="29"/>
      <c r="V78" s="36"/>
      <c r="W78" s="29"/>
      <c r="X78" s="32"/>
      <c r="Y78" s="29"/>
      <c r="Z78" s="31"/>
      <c r="AA78" s="32"/>
      <c r="AB78" s="34"/>
      <c r="AC78" s="31"/>
      <c r="AD78" s="37">
        <f>表1温室气体盘查表!AF79</f>
        <v>14824.498404251912</v>
      </c>
      <c r="AE78" s="37">
        <f>表1温室气体盘查表!AG79</f>
        <v>0</v>
      </c>
      <c r="AF78" s="37">
        <f>表1温室气体盘查表!AH79</f>
        <v>0</v>
      </c>
      <c r="AG78" s="37">
        <f>表1温室气体盘查表!AI79</f>
        <v>0</v>
      </c>
      <c r="AH78" s="37">
        <f>表1温室气体盘查表!AJ79</f>
        <v>0</v>
      </c>
      <c r="AI78" s="37">
        <f>表1温室气体盘查表!AK79</f>
        <v>0</v>
      </c>
      <c r="AJ78" s="37">
        <f>表1温室气体盘查表!AL79</f>
        <v>0</v>
      </c>
      <c r="AK78" s="37">
        <f>表1温室气体盘查表!AM79</f>
        <v>14824.498404251912</v>
      </c>
    </row>
    <row r="79" spans="1:37" s="16" customFormat="1" ht="18">
      <c r="A79" s="24">
        <v>75</v>
      </c>
      <c r="B79" s="25" t="str">
        <f>表1温室气体盘查表!B80</f>
        <v>运营中产生的废物排放</v>
      </c>
      <c r="C79" s="26" t="str">
        <f>表1温室气体盘查表!C80</f>
        <v>废弃物运输</v>
      </c>
      <c r="D79" s="27" t="str">
        <f>表1温室气体盘查表!E80</f>
        <v>范围三 类别5</v>
      </c>
      <c r="E79" s="28">
        <f>表1温室气体盘查表!F80</f>
        <v>67053169.530000001</v>
      </c>
      <c r="F79" s="29" t="str">
        <f>表1温室气体盘查表!G80</f>
        <v>tkm</v>
      </c>
      <c r="G79" s="30">
        <f>'附表2-EF'!K82*10</f>
        <v>0</v>
      </c>
      <c r="H79" s="29" t="s">
        <v>842</v>
      </c>
      <c r="I79" s="31">
        <f>'附表1-GWP TABLE'!E79</f>
        <v>0</v>
      </c>
      <c r="J79" s="32"/>
      <c r="K79" s="29"/>
      <c r="L79" s="31"/>
      <c r="M79" s="32"/>
      <c r="N79" s="29"/>
      <c r="O79" s="31"/>
      <c r="P79" s="33"/>
      <c r="Q79" s="34"/>
      <c r="R79" s="35"/>
      <c r="S79" s="34"/>
      <c r="T79" s="32"/>
      <c r="U79" s="29"/>
      <c r="V79" s="36"/>
      <c r="W79" s="29"/>
      <c r="X79" s="32"/>
      <c r="Y79" s="29"/>
      <c r="Z79" s="31"/>
      <c r="AA79" s="32"/>
      <c r="AB79" s="34"/>
      <c r="AC79" s="31"/>
      <c r="AD79" s="37">
        <f>表1温室气体盘查表!AF80</f>
        <v>10189.592640916659</v>
      </c>
      <c r="AE79" s="37">
        <f>表1温室气体盘查表!AG80</f>
        <v>0</v>
      </c>
      <c r="AF79" s="37">
        <f>表1温室气体盘查表!AH80</f>
        <v>0</v>
      </c>
      <c r="AG79" s="37">
        <f>表1温室气体盘查表!AI80</f>
        <v>0</v>
      </c>
      <c r="AH79" s="37">
        <f>表1温室气体盘查表!AJ80</f>
        <v>0</v>
      </c>
      <c r="AI79" s="37">
        <f>表1温室气体盘查表!AK80</f>
        <v>0</v>
      </c>
      <c r="AJ79" s="37">
        <f>表1温室气体盘查表!AL80</f>
        <v>0</v>
      </c>
      <c r="AK79" s="37">
        <f>表1温室气体盘查表!AM80</f>
        <v>10189.592640916659</v>
      </c>
    </row>
    <row r="80" spans="1:37" s="16" customFormat="1" ht="18">
      <c r="A80" s="24">
        <v>76</v>
      </c>
      <c r="B80" s="25" t="str">
        <f>表1温室气体盘查表!B81</f>
        <v>商务旅行产生的排放</v>
      </c>
      <c r="C80" s="26" t="str">
        <f>表1温室气体盘查表!C81</f>
        <v>航运</v>
      </c>
      <c r="D80" s="27" t="str">
        <f>表1温室气体盘查表!E81</f>
        <v>范围三 类别6</v>
      </c>
      <c r="E80" s="28">
        <f>表1温室气体盘查表!F81</f>
        <v>3709585</v>
      </c>
      <c r="F80" s="29" t="str">
        <f>表1温室气体盘查表!G81</f>
        <v>passenger*km</v>
      </c>
      <c r="G80" s="30">
        <f>'附表2-EF'!K83*10</f>
        <v>0</v>
      </c>
      <c r="H80" s="29" t="s">
        <v>843</v>
      </c>
      <c r="I80" s="31">
        <f>'附表1-GWP TABLE'!E80</f>
        <v>0</v>
      </c>
      <c r="J80" s="32"/>
      <c r="K80" s="29"/>
      <c r="L80" s="31"/>
      <c r="M80" s="32"/>
      <c r="N80" s="29"/>
      <c r="O80" s="31"/>
      <c r="P80" s="33"/>
      <c r="Q80" s="34"/>
      <c r="R80" s="35"/>
      <c r="S80" s="34"/>
      <c r="T80" s="32"/>
      <c r="U80" s="29"/>
      <c r="V80" s="36"/>
      <c r="W80" s="29"/>
      <c r="X80" s="32"/>
      <c r="Y80" s="29"/>
      <c r="Z80" s="31"/>
      <c r="AA80" s="32"/>
      <c r="AB80" s="34"/>
      <c r="AC80" s="31"/>
      <c r="AD80" s="37">
        <f>表1温室气体盘查表!AF81</f>
        <v>311.60514000000001</v>
      </c>
      <c r="AE80" s="37">
        <f>表1温室气体盘查表!AG81</f>
        <v>0</v>
      </c>
      <c r="AF80" s="37">
        <f>表1温室气体盘查表!AH81</f>
        <v>0</v>
      </c>
      <c r="AG80" s="37">
        <f>表1温室气体盘查表!AI81</f>
        <v>0</v>
      </c>
      <c r="AH80" s="37">
        <f>表1温室气体盘查表!AJ81</f>
        <v>0</v>
      </c>
      <c r="AI80" s="37">
        <f>表1温室气体盘查表!AK81</f>
        <v>0</v>
      </c>
      <c r="AJ80" s="37">
        <f>表1温室气体盘查表!AL81</f>
        <v>0</v>
      </c>
      <c r="AK80" s="37">
        <f>表1温室气体盘查表!AM81</f>
        <v>311.60514000000001</v>
      </c>
    </row>
    <row r="81" spans="1:37" s="16" customFormat="1" ht="18">
      <c r="A81" s="24">
        <v>77</v>
      </c>
      <c r="B81" s="25" t="str">
        <f>表1温室气体盘查表!B82</f>
        <v>商务旅行产生的排放</v>
      </c>
      <c r="C81" s="26" t="str">
        <f>表1温室气体盘查表!C82</f>
        <v>铁路运输</v>
      </c>
      <c r="D81" s="27" t="str">
        <f>表1温室气体盘查表!E82</f>
        <v>范围三 类别6</v>
      </c>
      <c r="E81" s="28">
        <f>表1温室气体盘查表!F82</f>
        <v>9687112</v>
      </c>
      <c r="F81" s="29" t="str">
        <f>表1温室气体盘查表!G82</f>
        <v>passenger*km</v>
      </c>
      <c r="G81" s="30">
        <f>'附表2-EF'!K84*10</f>
        <v>0</v>
      </c>
      <c r="H81" s="29" t="s">
        <v>844</v>
      </c>
      <c r="I81" s="31">
        <f>'附表1-GWP TABLE'!E81</f>
        <v>0</v>
      </c>
      <c r="J81" s="32"/>
      <c r="K81" s="29"/>
      <c r="L81" s="31"/>
      <c r="M81" s="32"/>
      <c r="N81" s="29"/>
      <c r="O81" s="31"/>
      <c r="P81" s="33"/>
      <c r="Q81" s="34"/>
      <c r="R81" s="35"/>
      <c r="S81" s="34"/>
      <c r="T81" s="32"/>
      <c r="U81" s="29"/>
      <c r="V81" s="36"/>
      <c r="W81" s="29"/>
      <c r="X81" s="32"/>
      <c r="Y81" s="29"/>
      <c r="Z81" s="31"/>
      <c r="AA81" s="32"/>
      <c r="AB81" s="34"/>
      <c r="AC81" s="31"/>
      <c r="AD81" s="37">
        <f>表1温室气体盘查表!AF82</f>
        <v>725.30840949439869</v>
      </c>
      <c r="AE81" s="37">
        <f>表1温室气体盘查表!AG82</f>
        <v>0</v>
      </c>
      <c r="AF81" s="37">
        <f>表1温室气体盘查表!AH82</f>
        <v>0</v>
      </c>
      <c r="AG81" s="37">
        <f>表1温室气体盘查表!AI82</f>
        <v>0</v>
      </c>
      <c r="AH81" s="37">
        <f>表1温室气体盘查表!AJ82</f>
        <v>0</v>
      </c>
      <c r="AI81" s="37">
        <f>表1温室气体盘查表!AK82</f>
        <v>0</v>
      </c>
      <c r="AJ81" s="37">
        <f>表1温室气体盘查表!AL82</f>
        <v>0</v>
      </c>
      <c r="AK81" s="37">
        <f>表1温室气体盘查表!AM82</f>
        <v>725.30840949439869</v>
      </c>
    </row>
    <row r="82" spans="1:37" s="20" customFormat="1" ht="14.65" customHeight="1">
      <c r="A82" s="24">
        <v>78</v>
      </c>
      <c r="B82" s="25" t="str">
        <f>表1温室气体盘查表!B83</f>
        <v>商务旅行产生的排放</v>
      </c>
      <c r="C82" s="26" t="str">
        <f>表1温室气体盘查表!C83</f>
        <v>员工差旅住宿</v>
      </c>
      <c r="D82" s="27" t="str">
        <f>表1温室气体盘查表!E83</f>
        <v>范围三 类别6</v>
      </c>
      <c r="E82" s="28">
        <f>表1温室气体盘查表!F83</f>
        <v>14352</v>
      </c>
      <c r="F82" s="29" t="str">
        <f>表1温室气体盘查表!G83</f>
        <v>总间*晚</v>
      </c>
      <c r="G82" s="30">
        <f>'附表2-EF'!K85*10</f>
        <v>0</v>
      </c>
      <c r="H82" s="29" t="s">
        <v>845</v>
      </c>
      <c r="I82" s="31">
        <f>'附表1-GWP TABLE'!E82</f>
        <v>0</v>
      </c>
      <c r="J82" s="32"/>
      <c r="K82" s="29"/>
      <c r="L82" s="31"/>
      <c r="M82" s="32"/>
      <c r="N82" s="29"/>
      <c r="O82" s="31"/>
      <c r="P82" s="33"/>
      <c r="Q82" s="34"/>
      <c r="R82" s="35"/>
      <c r="S82" s="34"/>
      <c r="T82" s="32"/>
      <c r="U82" s="29"/>
      <c r="V82" s="36"/>
      <c r="W82" s="29"/>
      <c r="X82" s="32"/>
      <c r="Y82" s="29"/>
      <c r="Z82" s="31"/>
      <c r="AA82" s="32"/>
      <c r="AB82" s="34"/>
      <c r="AC82" s="31"/>
      <c r="AD82" s="37">
        <f>表1温室气体盘查表!AF83</f>
        <v>767.83199999999999</v>
      </c>
      <c r="AE82" s="37">
        <f>表1温室气体盘查表!AG83</f>
        <v>0</v>
      </c>
      <c r="AF82" s="37">
        <f>表1温室气体盘查表!AH83</f>
        <v>0</v>
      </c>
      <c r="AG82" s="37">
        <f>表1温室气体盘查表!AI83</f>
        <v>0</v>
      </c>
      <c r="AH82" s="37">
        <f>表1温室气体盘查表!AJ83</f>
        <v>0</v>
      </c>
      <c r="AI82" s="37">
        <f>表1温室气体盘查表!AK83</f>
        <v>0</v>
      </c>
      <c r="AJ82" s="37">
        <f>表1温室气体盘查表!AL83</f>
        <v>0</v>
      </c>
      <c r="AK82" s="37">
        <f>表1温室气体盘查表!AM83</f>
        <v>767.83199999999999</v>
      </c>
    </row>
    <row r="83" spans="1:37" s="20" customFormat="1" ht="15.4" customHeight="1">
      <c r="A83" s="24">
        <v>79</v>
      </c>
      <c r="B83" s="25" t="str">
        <f>表1温室气体盘查表!B84</f>
        <v>员工通勤产生的排放</v>
      </c>
      <c r="C83" s="26" t="str">
        <f>表1温室气体盘查表!C84</f>
        <v>通勤车</v>
      </c>
      <c r="D83" s="27" t="str">
        <f>表1温室气体盘查表!E84</f>
        <v>范围三 类别7</v>
      </c>
      <c r="E83" s="28">
        <f>表1温室气体盘查表!F84</f>
        <v>6808531.2653061226</v>
      </c>
      <c r="F83" s="29" t="str">
        <f>表1温室气体盘查表!G84</f>
        <v>passenger*km</v>
      </c>
      <c r="G83" s="30">
        <f>'附表2-EF'!K86*10</f>
        <v>0</v>
      </c>
      <c r="H83" s="29" t="s">
        <v>846</v>
      </c>
      <c r="I83" s="31">
        <f>'附表1-GWP TABLE'!E83</f>
        <v>0</v>
      </c>
      <c r="J83" s="32"/>
      <c r="K83" s="29"/>
      <c r="L83" s="31"/>
      <c r="M83" s="32"/>
      <c r="N83" s="29"/>
      <c r="O83" s="31"/>
      <c r="P83" s="33"/>
      <c r="Q83" s="34"/>
      <c r="R83" s="35"/>
      <c r="S83" s="34"/>
      <c r="T83" s="32"/>
      <c r="U83" s="29"/>
      <c r="V83" s="36"/>
      <c r="W83" s="29"/>
      <c r="X83" s="32"/>
      <c r="Y83" s="29"/>
      <c r="Z83" s="31"/>
      <c r="AA83" s="32"/>
      <c r="AB83" s="34"/>
      <c r="AC83" s="31"/>
      <c r="AD83" s="37">
        <f>表1温室气体盘查表!AF84</f>
        <v>59.915075134693886</v>
      </c>
      <c r="AE83" s="37">
        <f>表1温室气体盘查表!AG84</f>
        <v>0</v>
      </c>
      <c r="AF83" s="37">
        <f>表1温室气体盘查表!AH84</f>
        <v>0</v>
      </c>
      <c r="AG83" s="37">
        <f>表1温室气体盘查表!AI84</f>
        <v>0</v>
      </c>
      <c r="AH83" s="37">
        <f>表1温室气体盘查表!AJ84</f>
        <v>0</v>
      </c>
      <c r="AI83" s="37">
        <f>表1温室气体盘查表!AK84</f>
        <v>0</v>
      </c>
      <c r="AJ83" s="37">
        <f>表1温室气体盘查表!AL84</f>
        <v>0</v>
      </c>
      <c r="AK83" s="37">
        <f>表1温室气体盘查表!AM84</f>
        <v>59.915075134693886</v>
      </c>
    </row>
    <row r="84" spans="1:37" s="20" customFormat="1" ht="18">
      <c r="A84" s="24">
        <v>80</v>
      </c>
      <c r="B84" s="25" t="str">
        <f>表1温室气体盘查表!B85</f>
        <v>员工通勤产生的排放</v>
      </c>
      <c r="C84" s="26" t="str">
        <f>表1温室气体盘查表!C85</f>
        <v>电力公交</v>
      </c>
      <c r="D84" s="27" t="str">
        <f>表1温室气体盘查表!E85</f>
        <v>范围三 类别7</v>
      </c>
      <c r="E84" s="28">
        <f>表1温室气体盘查表!F85</f>
        <v>316087.408</v>
      </c>
      <c r="F84" s="29" t="str">
        <f>表1温室气体盘查表!G85</f>
        <v>passenger*km</v>
      </c>
      <c r="G84" s="30">
        <f>'附表2-EF'!K87*10</f>
        <v>0</v>
      </c>
      <c r="H84" s="29" t="s">
        <v>847</v>
      </c>
      <c r="I84" s="31">
        <f>'附表1-GWP TABLE'!E84</f>
        <v>0</v>
      </c>
      <c r="J84" s="32"/>
      <c r="K84" s="29"/>
      <c r="L84" s="31"/>
      <c r="M84" s="32"/>
      <c r="N84" s="29"/>
      <c r="O84" s="31"/>
      <c r="P84" s="33"/>
      <c r="Q84" s="34"/>
      <c r="R84" s="35"/>
      <c r="S84" s="34"/>
      <c r="T84" s="32"/>
      <c r="U84" s="29"/>
      <c r="V84" s="36"/>
      <c r="W84" s="29"/>
      <c r="X84" s="32"/>
      <c r="Y84" s="29"/>
      <c r="Z84" s="31"/>
      <c r="AA84" s="32"/>
      <c r="AB84" s="34"/>
      <c r="AC84" s="31"/>
      <c r="AD84" s="37">
        <f>表1温室气体盘查表!AF85</f>
        <v>2.7815691903999999</v>
      </c>
      <c r="AE84" s="37">
        <f>表1温室气体盘查表!AG85</f>
        <v>0</v>
      </c>
      <c r="AF84" s="37">
        <f>表1温室气体盘查表!AH85</f>
        <v>0</v>
      </c>
      <c r="AG84" s="37">
        <f>表1温室气体盘查表!AI85</f>
        <v>0</v>
      </c>
      <c r="AH84" s="37">
        <f>表1温室气体盘查表!AJ85</f>
        <v>0</v>
      </c>
      <c r="AI84" s="37">
        <f>表1温室气体盘查表!AK85</f>
        <v>0</v>
      </c>
      <c r="AJ84" s="37">
        <f>表1温室气体盘查表!AL85</f>
        <v>0</v>
      </c>
      <c r="AK84" s="37">
        <f>表1温室气体盘查表!AM85</f>
        <v>2.7815691903999999</v>
      </c>
    </row>
    <row r="85" spans="1:37" s="20" customFormat="1" ht="18">
      <c r="A85" s="24">
        <v>81</v>
      </c>
      <c r="B85" s="25" t="str">
        <f>表1温室气体盘查表!B86</f>
        <v>员工通勤产生的排放</v>
      </c>
      <c r="C85" s="26" t="str">
        <f>表1温室气体盘查表!C86</f>
        <v>电瓶车</v>
      </c>
      <c r="D85" s="27" t="str">
        <f>表1温室气体盘查表!E86</f>
        <v>范围三 类别7</v>
      </c>
      <c r="E85" s="28">
        <f>表1温室气体盘查表!F86</f>
        <v>10595750.399999999</v>
      </c>
      <c r="F85" s="29" t="str">
        <f>表1温室气体盘查表!G86</f>
        <v>passenger*km</v>
      </c>
      <c r="G85" s="30">
        <f>'附表2-EF'!K88*10</f>
        <v>0</v>
      </c>
      <c r="H85" s="29" t="s">
        <v>848</v>
      </c>
      <c r="I85" s="31">
        <f>'附表1-GWP TABLE'!E85</f>
        <v>0</v>
      </c>
      <c r="J85" s="32"/>
      <c r="K85" s="29"/>
      <c r="L85" s="31"/>
      <c r="M85" s="32"/>
      <c r="N85" s="29"/>
      <c r="O85" s="31"/>
      <c r="P85" s="33"/>
      <c r="Q85" s="34"/>
      <c r="R85" s="35"/>
      <c r="S85" s="34"/>
      <c r="T85" s="32"/>
      <c r="U85" s="29"/>
      <c r="V85" s="36"/>
      <c r="W85" s="29"/>
      <c r="X85" s="32"/>
      <c r="Y85" s="29"/>
      <c r="Z85" s="31"/>
      <c r="AA85" s="32"/>
      <c r="AB85" s="34"/>
      <c r="AC85" s="31"/>
      <c r="AD85" s="37">
        <f>表1温室气体盘查表!AF86</f>
        <v>286.29993180666088</v>
      </c>
      <c r="AE85" s="37">
        <f>表1温室气体盘查表!AG86</f>
        <v>0</v>
      </c>
      <c r="AF85" s="37">
        <f>表1温室气体盘查表!AH86</f>
        <v>0</v>
      </c>
      <c r="AG85" s="37">
        <f>表1温室气体盘查表!AI86</f>
        <v>0</v>
      </c>
      <c r="AH85" s="37">
        <f>表1温室气体盘查表!AJ86</f>
        <v>0</v>
      </c>
      <c r="AI85" s="37">
        <f>表1温室气体盘查表!AK86</f>
        <v>0</v>
      </c>
      <c r="AJ85" s="37">
        <f>表1温室气体盘查表!AL86</f>
        <v>0</v>
      </c>
      <c r="AK85" s="37">
        <f>表1温室气体盘查表!AM86</f>
        <v>286.29993180666088</v>
      </c>
    </row>
    <row r="86" spans="1:37" ht="18" customHeight="1">
      <c r="A86" s="24">
        <v>82</v>
      </c>
      <c r="B86" s="25" t="str">
        <f>表1温室气体盘查表!B87</f>
        <v>员工通勤产生的排放</v>
      </c>
      <c r="C86" s="26" t="str">
        <f>表1温室气体盘查表!C87</f>
        <v>自驾油车</v>
      </c>
      <c r="D86" s="27" t="str">
        <f>表1温室气体盘查表!E87</f>
        <v>范围三 类别7</v>
      </c>
      <c r="E86" s="28">
        <f>表1温室气体盘查表!F87</f>
        <v>12199616</v>
      </c>
      <c r="F86" s="29" t="str">
        <f>表1温室气体盘查表!G87</f>
        <v>km</v>
      </c>
      <c r="G86" s="30">
        <f>'附表2-EF'!K89*10</f>
        <v>0</v>
      </c>
      <c r="H86" s="29" t="s">
        <v>849</v>
      </c>
      <c r="I86" s="31">
        <f>'附表1-GWP TABLE'!E86</f>
        <v>0</v>
      </c>
      <c r="J86" s="32"/>
      <c r="K86" s="29"/>
      <c r="L86" s="31"/>
      <c r="M86" s="32"/>
      <c r="N86" s="29"/>
      <c r="O86" s="31"/>
      <c r="P86" s="33"/>
      <c r="Q86" s="34"/>
      <c r="R86" s="35"/>
      <c r="S86" s="34"/>
      <c r="T86" s="32"/>
      <c r="U86" s="29"/>
      <c r="V86" s="36"/>
      <c r="W86" s="29"/>
      <c r="X86" s="32"/>
      <c r="Y86" s="29"/>
      <c r="Z86" s="31"/>
      <c r="AA86" s="32"/>
      <c r="AB86" s="34"/>
      <c r="AC86" s="31"/>
      <c r="AD86" s="37">
        <f>表1温室气体盘查表!AF87</f>
        <v>4531.2742832535278</v>
      </c>
      <c r="AE86" s="37">
        <f>表1温室气体盘查表!AG87</f>
        <v>0</v>
      </c>
      <c r="AF86" s="37">
        <f>表1温室气体盘查表!AH87</f>
        <v>0</v>
      </c>
      <c r="AG86" s="37">
        <f>表1温室气体盘查表!AI87</f>
        <v>0</v>
      </c>
      <c r="AH86" s="37">
        <f>表1温室气体盘查表!AJ87</f>
        <v>0</v>
      </c>
      <c r="AI86" s="37">
        <f>表1温室气体盘查表!AK87</f>
        <v>0</v>
      </c>
      <c r="AJ86" s="37">
        <f>表1温室气体盘查表!AL87</f>
        <v>0</v>
      </c>
      <c r="AK86" s="37">
        <f>表1温室气体盘查表!AM87</f>
        <v>4531.2742832535278</v>
      </c>
    </row>
    <row r="87" spans="1:37" ht="18" customHeight="1">
      <c r="A87" s="24">
        <v>83</v>
      </c>
      <c r="B87" s="25" t="str">
        <f>表1温室气体盘查表!B88</f>
        <v>员工通勤产生的排放</v>
      </c>
      <c r="C87" s="26" t="str">
        <f>表1温室气体盘查表!C88</f>
        <v>自驾电车</v>
      </c>
      <c r="D87" s="27" t="str">
        <f>表1温室气体盘查表!E88</f>
        <v>范围三 类别7</v>
      </c>
      <c r="E87" s="28">
        <f>表1温室气体盘查表!F88</f>
        <v>1527084.7999999998</v>
      </c>
      <c r="F87" s="29" t="str">
        <f>表1温室气体盘查表!G88</f>
        <v>km</v>
      </c>
      <c r="G87" s="30">
        <f>'附表2-EF'!K90*10</f>
        <v>0</v>
      </c>
      <c r="H87" s="29" t="s">
        <v>850</v>
      </c>
      <c r="I87" s="31">
        <f>'附表1-GWP TABLE'!E87</f>
        <v>0</v>
      </c>
      <c r="J87" s="32"/>
      <c r="K87" s="29"/>
      <c r="L87" s="31"/>
      <c r="M87" s="32"/>
      <c r="N87" s="29"/>
      <c r="O87" s="31"/>
      <c r="P87" s="33"/>
      <c r="Q87" s="34"/>
      <c r="R87" s="35"/>
      <c r="S87" s="34"/>
      <c r="T87" s="32"/>
      <c r="U87" s="29"/>
      <c r="V87" s="36"/>
      <c r="W87" s="29"/>
      <c r="X87" s="32"/>
      <c r="Y87" s="29"/>
      <c r="Z87" s="31"/>
      <c r="AA87" s="32"/>
      <c r="AB87" s="34"/>
      <c r="AC87" s="31"/>
      <c r="AD87" s="37">
        <f>表1温室气体盘查表!AF88</f>
        <v>567.20146622544166</v>
      </c>
      <c r="AE87" s="37">
        <f>表1温室气体盘查表!AG88</f>
        <v>0</v>
      </c>
      <c r="AF87" s="37">
        <f>表1温室气体盘查表!AH88</f>
        <v>0</v>
      </c>
      <c r="AG87" s="37">
        <f>表1温室气体盘查表!AI88</f>
        <v>0</v>
      </c>
      <c r="AH87" s="37">
        <f>表1温室气体盘查表!AJ88</f>
        <v>0</v>
      </c>
      <c r="AI87" s="37">
        <f>表1温室气体盘查表!AK88</f>
        <v>0</v>
      </c>
      <c r="AJ87" s="37">
        <f>表1温室气体盘查表!AL88</f>
        <v>0</v>
      </c>
      <c r="AK87" s="37">
        <f>表1温室气体盘查表!AM88</f>
        <v>567.20146622544166</v>
      </c>
    </row>
    <row r="88" spans="1:37" ht="18" customHeight="1">
      <c r="A88" s="24">
        <v>84</v>
      </c>
      <c r="B88" s="25" t="str">
        <f>表1温室气体盘查表!B89</f>
        <v>下游运输配送产生的排放</v>
      </c>
      <c r="C88" s="26" t="str">
        <f>表1温室气体盘查表!C89</f>
        <v>船运</v>
      </c>
      <c r="D88" s="27" t="str">
        <f>表1温室气体盘查表!E89</f>
        <v>范围三 类别9</v>
      </c>
      <c r="E88" s="28">
        <f>表1温室气体盘查表!F89</f>
        <v>965477841.62</v>
      </c>
      <c r="F88" s="29" t="str">
        <f>表1温室气体盘查表!G89</f>
        <v>tkm</v>
      </c>
      <c r="G88" s="30">
        <f>'附表2-EF'!K91*10</f>
        <v>0</v>
      </c>
      <c r="H88" s="29" t="s">
        <v>851</v>
      </c>
      <c r="I88" s="31">
        <f>'附表1-GWP TABLE'!E88</f>
        <v>0</v>
      </c>
      <c r="J88" s="32"/>
      <c r="K88" s="29"/>
      <c r="L88" s="31"/>
      <c r="M88" s="32"/>
      <c r="N88" s="29"/>
      <c r="O88" s="31"/>
      <c r="P88" s="33"/>
      <c r="Q88" s="34"/>
      <c r="R88" s="35"/>
      <c r="S88" s="34"/>
      <c r="T88" s="32"/>
      <c r="U88" s="29"/>
      <c r="V88" s="36"/>
      <c r="W88" s="29"/>
      <c r="X88" s="32"/>
      <c r="Y88" s="29"/>
      <c r="Z88" s="31"/>
      <c r="AA88" s="32"/>
      <c r="AB88" s="34"/>
      <c r="AC88" s="31"/>
      <c r="AD88" s="37">
        <f>表1温室气体盘查表!AF89</f>
        <v>50174.491306491567</v>
      </c>
      <c r="AE88" s="37">
        <f>表1温室气体盘查表!AG89</f>
        <v>0</v>
      </c>
      <c r="AF88" s="37">
        <f>表1温室气体盘查表!AH89</f>
        <v>0</v>
      </c>
      <c r="AG88" s="37">
        <f>表1温室气体盘查表!AI89</f>
        <v>0</v>
      </c>
      <c r="AH88" s="37">
        <f>表1温室气体盘查表!AJ89</f>
        <v>0</v>
      </c>
      <c r="AI88" s="37">
        <f>表1温室气体盘查表!AK89</f>
        <v>0</v>
      </c>
      <c r="AJ88" s="37">
        <f>表1温室气体盘查表!AL89</f>
        <v>0</v>
      </c>
      <c r="AK88" s="37">
        <f>表1温室气体盘查表!AM89</f>
        <v>50174.491306491567</v>
      </c>
    </row>
    <row r="89" spans="1:37" ht="18" customHeight="1">
      <c r="A89" s="24">
        <v>85</v>
      </c>
      <c r="B89" s="25" t="str">
        <f>表1温室气体盘查表!B90</f>
        <v>下游运输配送产生的排放</v>
      </c>
      <c r="C89" s="26" t="str">
        <f>表1温室气体盘查表!C90</f>
        <v>汽运</v>
      </c>
      <c r="D89" s="27" t="str">
        <f>表1温室气体盘查表!E90</f>
        <v>范围三 类别9</v>
      </c>
      <c r="E89" s="28">
        <f>表1温室气体盘查表!F90</f>
        <v>1366758643.75</v>
      </c>
      <c r="F89" s="29" t="str">
        <f>表1温室气体盘查表!G90</f>
        <v>tkm</v>
      </c>
      <c r="G89" s="30">
        <f>'附表2-EF'!K92*10</f>
        <v>0</v>
      </c>
      <c r="H89" s="29" t="s">
        <v>852</v>
      </c>
      <c r="I89" s="31">
        <f>'附表1-GWP TABLE'!E89</f>
        <v>0</v>
      </c>
      <c r="J89" s="32"/>
      <c r="K89" s="29"/>
      <c r="L89" s="31"/>
      <c r="M89" s="32"/>
      <c r="N89" s="29"/>
      <c r="O89" s="31"/>
      <c r="P89" s="33"/>
      <c r="Q89" s="34"/>
      <c r="R89" s="35"/>
      <c r="S89" s="34"/>
      <c r="T89" s="32"/>
      <c r="U89" s="29"/>
      <c r="V89" s="36"/>
      <c r="W89" s="29"/>
      <c r="X89" s="32"/>
      <c r="Y89" s="29"/>
      <c r="Z89" s="31"/>
      <c r="AA89" s="32"/>
      <c r="AB89" s="34"/>
      <c r="AC89" s="31"/>
      <c r="AD89" s="37">
        <f>表1温室气体盘查表!AF90</f>
        <v>207696.57744565431</v>
      </c>
      <c r="AE89" s="37">
        <f>表1温室气体盘查表!AG90</f>
        <v>0</v>
      </c>
      <c r="AF89" s="37">
        <f>表1温室气体盘查表!AH90</f>
        <v>0</v>
      </c>
      <c r="AG89" s="37">
        <f>表1温室气体盘查表!AI90</f>
        <v>0</v>
      </c>
      <c r="AH89" s="37">
        <f>表1温室气体盘查表!AJ90</f>
        <v>0</v>
      </c>
      <c r="AI89" s="37">
        <f>表1温室气体盘查表!AK90</f>
        <v>0</v>
      </c>
      <c r="AJ89" s="37">
        <f>表1温室气体盘查表!AL90</f>
        <v>0</v>
      </c>
      <c r="AK89" s="37">
        <f>表1温室气体盘查表!AM90</f>
        <v>207696.57744565431</v>
      </c>
    </row>
    <row r="90" spans="1:37" ht="18" customHeight="1">
      <c r="A90" s="24">
        <v>86</v>
      </c>
      <c r="B90" s="25" t="str">
        <f>表1温室气体盘查表!B91</f>
        <v>下游运输配送产生的排放</v>
      </c>
      <c r="C90" s="26" t="str">
        <f>表1温室气体盘查表!C91</f>
        <v>铁路运输</v>
      </c>
      <c r="D90" s="27" t="str">
        <f>表1温室气体盘查表!E91</f>
        <v>范围三 类别9</v>
      </c>
      <c r="E90" s="28">
        <f>表1温室气体盘查表!F91</f>
        <v>343519032.62</v>
      </c>
      <c r="F90" s="29" t="str">
        <f>表1温室气体盘查表!G91</f>
        <v>tkm</v>
      </c>
      <c r="G90" s="30" t="e">
        <f>'附表2-EF'!#REF!*10</f>
        <v>#REF!</v>
      </c>
      <c r="H90" s="29" t="s">
        <v>853</v>
      </c>
      <c r="I90" s="31">
        <f>'附表1-GWP TABLE'!E90</f>
        <v>0</v>
      </c>
      <c r="J90" s="32"/>
      <c r="K90" s="29"/>
      <c r="L90" s="31"/>
      <c r="M90" s="32"/>
      <c r="N90" s="29"/>
      <c r="O90" s="31"/>
      <c r="P90" s="33"/>
      <c r="Q90" s="34"/>
      <c r="R90" s="35"/>
      <c r="S90" s="34"/>
      <c r="T90" s="32"/>
      <c r="U90" s="29"/>
      <c r="V90" s="36"/>
      <c r="W90" s="29"/>
      <c r="X90" s="32"/>
      <c r="Y90" s="29"/>
      <c r="Z90" s="31"/>
      <c r="AA90" s="32"/>
      <c r="AB90" s="34"/>
      <c r="AC90" s="31"/>
      <c r="AD90" s="37">
        <f>表1温室气体盘查表!AF91</f>
        <v>16671.614413395077</v>
      </c>
      <c r="AE90" s="37">
        <f>表1温室气体盘查表!AG91</f>
        <v>0</v>
      </c>
      <c r="AF90" s="37">
        <f>表1温室气体盘查表!AH91</f>
        <v>0</v>
      </c>
      <c r="AG90" s="37">
        <f>表1温室气体盘查表!AI91</f>
        <v>0</v>
      </c>
      <c r="AH90" s="37">
        <f>表1温室气体盘查表!AJ91</f>
        <v>0</v>
      </c>
      <c r="AI90" s="37">
        <f>表1温室气体盘查表!AK91</f>
        <v>0</v>
      </c>
      <c r="AJ90" s="37">
        <f>表1温室气体盘查表!AL91</f>
        <v>0</v>
      </c>
      <c r="AK90" s="37">
        <f>表1温室气体盘查表!AM91</f>
        <v>16671.614413395077</v>
      </c>
    </row>
    <row r="91" spans="1:37" ht="18" customHeight="1">
      <c r="A91" s="24">
        <v>87</v>
      </c>
      <c r="B91" s="25" t="str">
        <f>表1温室气体盘查表!B92</f>
        <v>下游运输配送产生的排放</v>
      </c>
      <c r="C91" s="26" t="str">
        <f>表1温室气体盘查表!C92</f>
        <v>汽运-副产品</v>
      </c>
      <c r="D91" s="27" t="str">
        <f>表1温室气体盘查表!E92</f>
        <v>范围三 类别9</v>
      </c>
      <c r="E91" s="28">
        <f>表1温室气体盘查表!F92</f>
        <v>43030612.399999999</v>
      </c>
      <c r="F91" s="29" t="str">
        <f>表1温室气体盘查表!G92</f>
        <v>tkm</v>
      </c>
      <c r="G91" s="30">
        <f>'附表2-EF'!K93*10</f>
        <v>0</v>
      </c>
      <c r="H91" s="29" t="s">
        <v>854</v>
      </c>
      <c r="I91" s="31">
        <f>'附表1-GWP TABLE'!E91</f>
        <v>0</v>
      </c>
      <c r="J91" s="32"/>
      <c r="K91" s="29"/>
      <c r="L91" s="31"/>
      <c r="M91" s="32"/>
      <c r="N91" s="29"/>
      <c r="O91" s="31"/>
      <c r="P91" s="33"/>
      <c r="Q91" s="34"/>
      <c r="R91" s="35"/>
      <c r="S91" s="34"/>
      <c r="T91" s="32"/>
      <c r="U91" s="29"/>
      <c r="V91" s="36"/>
      <c r="W91" s="29"/>
      <c r="X91" s="32"/>
      <c r="Y91" s="29"/>
      <c r="Z91" s="31"/>
      <c r="AA91" s="32"/>
      <c r="AB91" s="34"/>
      <c r="AC91" s="31"/>
      <c r="AD91" s="37">
        <f>表1温室气体盘查表!AF92</f>
        <v>6539.0557153156715</v>
      </c>
      <c r="AE91" s="37">
        <f>表1温室气体盘查表!AG92</f>
        <v>0</v>
      </c>
      <c r="AF91" s="37">
        <f>表1温室气体盘查表!AH92</f>
        <v>0</v>
      </c>
      <c r="AG91" s="37">
        <f>表1温室气体盘查表!AI92</f>
        <v>0</v>
      </c>
      <c r="AH91" s="37">
        <f>表1温室气体盘查表!AJ92</f>
        <v>0</v>
      </c>
      <c r="AI91" s="37">
        <f>表1温室气体盘查表!AK92</f>
        <v>0</v>
      </c>
      <c r="AJ91" s="37">
        <f>表1温室气体盘查表!AL92</f>
        <v>0</v>
      </c>
      <c r="AK91" s="37">
        <f>表1温室气体盘查表!AM92</f>
        <v>6539.0557153156715</v>
      </c>
    </row>
    <row r="92" spans="1:37" ht="18" customHeight="1">
      <c r="A92" s="24">
        <v>88</v>
      </c>
      <c r="B92" s="25" t="str">
        <f>表1温室气体盘查表!B93</f>
        <v>外销产品加工产生的排放</v>
      </c>
      <c r="C92" s="26" t="str">
        <f>表1温室气体盘查表!C93</f>
        <v>锻材加工</v>
      </c>
      <c r="D92" s="27" t="str">
        <f>表1温室气体盘查表!E93</f>
        <v>范围三 类别10</v>
      </c>
      <c r="E92" s="28">
        <f>表1温室气体盘查表!F93</f>
        <v>172270</v>
      </c>
      <c r="F92" s="29" t="str">
        <f>表1温室气体盘查表!G93</f>
        <v>t</v>
      </c>
      <c r="G92" s="30">
        <f>'附表2-EF'!K94*10</f>
        <v>0</v>
      </c>
      <c r="H92" s="29" t="s">
        <v>855</v>
      </c>
      <c r="I92" s="31">
        <f>'附表1-GWP TABLE'!E92</f>
        <v>0</v>
      </c>
      <c r="J92" s="32"/>
      <c r="K92" s="29"/>
      <c r="L92" s="31"/>
      <c r="M92" s="32"/>
      <c r="N92" s="29"/>
      <c r="O92" s="31"/>
      <c r="P92" s="33"/>
      <c r="Q92" s="34"/>
      <c r="R92" s="35"/>
      <c r="S92" s="34"/>
      <c r="T92" s="32"/>
      <c r="U92" s="29"/>
      <c r="V92" s="36"/>
      <c r="W92" s="29"/>
      <c r="X92" s="32"/>
      <c r="Y92" s="29"/>
      <c r="Z92" s="31"/>
      <c r="AA92" s="32"/>
      <c r="AB92" s="34"/>
      <c r="AC92" s="31"/>
      <c r="AD92" s="37">
        <f>表1温室气体盘查表!AF93</f>
        <v>135333.26981830696</v>
      </c>
      <c r="AE92" s="37">
        <f>表1温室气体盘查表!AG93</f>
        <v>0</v>
      </c>
      <c r="AF92" s="37">
        <f>表1温室气体盘查表!AH93</f>
        <v>0</v>
      </c>
      <c r="AG92" s="37">
        <f>表1温室气体盘查表!AI93</f>
        <v>0</v>
      </c>
      <c r="AH92" s="37">
        <f>表1温室气体盘查表!AJ93</f>
        <v>0</v>
      </c>
      <c r="AI92" s="37">
        <f>表1温室气体盘查表!AK93</f>
        <v>0</v>
      </c>
      <c r="AJ92" s="37">
        <f>表1温室气体盘查表!AL93</f>
        <v>0</v>
      </c>
      <c r="AK92" s="37">
        <f>表1温室气体盘查表!AM93</f>
        <v>135333.26981830696</v>
      </c>
    </row>
    <row r="93" spans="1:37" ht="18" customHeight="1">
      <c r="A93" s="24">
        <v>89</v>
      </c>
      <c r="B93" s="25" t="str">
        <f>表1温室气体盘查表!B94</f>
        <v>外销产品加工产生的排放</v>
      </c>
      <c r="C93" s="26" t="str">
        <f>表1温室气体盘查表!C94</f>
        <v>棒材加工</v>
      </c>
      <c r="D93" s="27" t="str">
        <f>表1温室气体盘查表!E94</f>
        <v>范围三 类别10</v>
      </c>
      <c r="E93" s="28">
        <f>表1温室气体盘查表!F94</f>
        <v>2063196.54</v>
      </c>
      <c r="F93" s="29" t="str">
        <f>表1温室气体盘查表!G94</f>
        <v>t</v>
      </c>
      <c r="G93" s="30">
        <f>'附表2-EF'!K95*10</f>
        <v>0</v>
      </c>
      <c r="H93" s="29" t="s">
        <v>856</v>
      </c>
      <c r="I93" s="31">
        <f>'附表1-GWP TABLE'!E93</f>
        <v>0</v>
      </c>
      <c r="J93" s="32"/>
      <c r="K93" s="29"/>
      <c r="L93" s="31"/>
      <c r="M93" s="32"/>
      <c r="N93" s="29"/>
      <c r="O93" s="31"/>
      <c r="P93" s="33"/>
      <c r="Q93" s="34"/>
      <c r="R93" s="35"/>
      <c r="S93" s="34"/>
      <c r="T93" s="32"/>
      <c r="U93" s="29"/>
      <c r="V93" s="36"/>
      <c r="W93" s="29"/>
      <c r="X93" s="32"/>
      <c r="Y93" s="29"/>
      <c r="Z93" s="31"/>
      <c r="AA93" s="32"/>
      <c r="AB93" s="34"/>
      <c r="AC93" s="31"/>
      <c r="AD93" s="37">
        <f>表1温室气体盘查表!AF94</f>
        <v>2075519.7277605545</v>
      </c>
      <c r="AE93" s="37">
        <f>表1温室气体盘查表!AG94</f>
        <v>0</v>
      </c>
      <c r="AF93" s="37">
        <f>表1温室气体盘查表!AH94</f>
        <v>0</v>
      </c>
      <c r="AG93" s="37">
        <f>表1温室气体盘查表!AI94</f>
        <v>0</v>
      </c>
      <c r="AH93" s="37">
        <f>表1温室气体盘查表!AJ94</f>
        <v>0</v>
      </c>
      <c r="AI93" s="37">
        <f>表1温室气体盘查表!AK94</f>
        <v>0</v>
      </c>
      <c r="AJ93" s="37">
        <f>表1温室气体盘查表!AL94</f>
        <v>0</v>
      </c>
      <c r="AK93" s="37">
        <f>表1温室气体盘查表!AM94</f>
        <v>2075519.7277605545</v>
      </c>
    </row>
    <row r="94" spans="1:37" ht="18" customHeight="1">
      <c r="A94" s="24">
        <v>90</v>
      </c>
      <c r="B94" s="25" t="str">
        <f>表1温室气体盘查表!B95</f>
        <v>外销产品加工产生的排放</v>
      </c>
      <c r="C94" s="26" t="str">
        <f>表1温室气体盘查表!C95</f>
        <v>钢管加工</v>
      </c>
      <c r="D94" s="27" t="str">
        <f>表1温室气体盘查表!E95</f>
        <v>范围三 类别10</v>
      </c>
      <c r="E94" s="28">
        <f>表1温室气体盘查表!F95</f>
        <v>649008.66</v>
      </c>
      <c r="F94" s="29" t="str">
        <f>表1温室气体盘查表!G95</f>
        <v>t</v>
      </c>
      <c r="G94" s="30">
        <f>'附表2-EF'!K96*10</f>
        <v>0</v>
      </c>
      <c r="H94" s="29" t="s">
        <v>857</v>
      </c>
      <c r="I94" s="31">
        <f>'附表1-GWP TABLE'!E94</f>
        <v>0</v>
      </c>
      <c r="J94" s="32"/>
      <c r="K94" s="29"/>
      <c r="L94" s="31"/>
      <c r="M94" s="32"/>
      <c r="N94" s="29"/>
      <c r="O94" s="31"/>
      <c r="P94" s="33"/>
      <c r="Q94" s="34"/>
      <c r="R94" s="35"/>
      <c r="S94" s="34"/>
      <c r="T94" s="32"/>
      <c r="U94" s="29"/>
      <c r="V94" s="36"/>
      <c r="W94" s="29"/>
      <c r="X94" s="32"/>
      <c r="Y94" s="29"/>
      <c r="Z94" s="31"/>
      <c r="AA94" s="32"/>
      <c r="AB94" s="34"/>
      <c r="AC94" s="31"/>
      <c r="AD94" s="37">
        <f>表1温室气体盘查表!AF95</f>
        <v>61948.696404295377</v>
      </c>
      <c r="AE94" s="37">
        <f>表1温室气体盘查表!AG95</f>
        <v>0</v>
      </c>
      <c r="AF94" s="37">
        <f>表1温室气体盘查表!AH95</f>
        <v>0</v>
      </c>
      <c r="AG94" s="37">
        <f>表1温室气体盘查表!AI95</f>
        <v>0</v>
      </c>
      <c r="AH94" s="37">
        <f>表1温室气体盘查表!AJ95</f>
        <v>0</v>
      </c>
      <c r="AI94" s="37">
        <f>表1温室气体盘查表!AK95</f>
        <v>0</v>
      </c>
      <c r="AJ94" s="37">
        <f>表1温室气体盘查表!AL95</f>
        <v>0</v>
      </c>
      <c r="AK94" s="37">
        <f>表1温室气体盘查表!AM95</f>
        <v>61948.696404295377</v>
      </c>
    </row>
    <row r="95" spans="1:37" ht="18" customHeight="1">
      <c r="A95" s="24">
        <v>91</v>
      </c>
      <c r="B95" s="25" t="str">
        <f>表1温室气体盘查表!B96</f>
        <v>外销产品加工产生的排放</v>
      </c>
      <c r="C95" s="26" t="str">
        <f>表1温室气体盘查表!C96</f>
        <v>钢坯加工</v>
      </c>
      <c r="D95" s="27" t="str">
        <f>表1温室气体盘查表!E96</f>
        <v>范围三 类别10</v>
      </c>
      <c r="E95" s="28">
        <f>表1温室气体盘查表!F96</f>
        <v>608494.19999999995</v>
      </c>
      <c r="F95" s="29" t="str">
        <f>表1温室气体盘查表!G96</f>
        <v>t</v>
      </c>
      <c r="G95" s="30">
        <f>'附表2-EF'!K97*10</f>
        <v>0</v>
      </c>
      <c r="H95" s="29" t="s">
        <v>858</v>
      </c>
      <c r="I95" s="31">
        <f>'附表1-GWP TABLE'!E95</f>
        <v>0</v>
      </c>
      <c r="J95" s="32"/>
      <c r="K95" s="29"/>
      <c r="L95" s="31"/>
      <c r="M95" s="32"/>
      <c r="N95" s="29"/>
      <c r="O95" s="31"/>
      <c r="P95" s="33"/>
      <c r="Q95" s="34"/>
      <c r="R95" s="35"/>
      <c r="S95" s="34"/>
      <c r="T95" s="32"/>
      <c r="U95" s="29"/>
      <c r="V95" s="36"/>
      <c r="W95" s="29"/>
      <c r="X95" s="32"/>
      <c r="Y95" s="29"/>
      <c r="Z95" s="31"/>
      <c r="AA95" s="32"/>
      <c r="AB95" s="34"/>
      <c r="AC95" s="31"/>
      <c r="AD95" s="37">
        <f>表1温室气体盘查表!AF96</f>
        <v>176591.21304006039</v>
      </c>
      <c r="AE95" s="37">
        <f>表1温室气体盘查表!AG96</f>
        <v>0</v>
      </c>
      <c r="AF95" s="37">
        <f>表1温室气体盘查表!AH96</f>
        <v>0</v>
      </c>
      <c r="AG95" s="37">
        <f>表1温室气体盘查表!AI96</f>
        <v>0</v>
      </c>
      <c r="AH95" s="37">
        <f>表1温室气体盘查表!AJ96</f>
        <v>0</v>
      </c>
      <c r="AI95" s="37">
        <f>表1温室气体盘查表!AK96</f>
        <v>0</v>
      </c>
      <c r="AJ95" s="37">
        <f>表1温室气体盘查表!AL96</f>
        <v>0</v>
      </c>
      <c r="AK95" s="37">
        <f>表1温室气体盘查表!AM96</f>
        <v>176591.21304006039</v>
      </c>
    </row>
    <row r="96" spans="1:37" ht="18" customHeight="1">
      <c r="A96" s="24">
        <v>92</v>
      </c>
      <c r="B96" s="25" t="str">
        <f>表1温室气体盘查表!B97</f>
        <v>外销产品使用产生的排放</v>
      </c>
      <c r="C96" s="26" t="str">
        <f>表1温室气体盘查表!C97</f>
        <v>外售焦炉煤气燃烧</v>
      </c>
      <c r="D96" s="27" t="str">
        <f>表1温室气体盘查表!E97</f>
        <v>范围三 类别11</v>
      </c>
      <c r="E96" s="28">
        <f>表1温室气体盘查表!F97</f>
        <v>788.73</v>
      </c>
      <c r="F96" s="29" t="str">
        <f>表1温室气体盘查表!G97</f>
        <v>10000Nm3</v>
      </c>
      <c r="G96" s="30">
        <f>'附表2-EF'!K98*10</f>
        <v>0</v>
      </c>
      <c r="H96" s="29" t="s">
        <v>859</v>
      </c>
      <c r="I96" s="31">
        <f>'附表1-GWP TABLE'!E96</f>
        <v>0</v>
      </c>
      <c r="J96" s="32"/>
      <c r="K96" s="29"/>
      <c r="L96" s="31"/>
      <c r="M96" s="32"/>
      <c r="N96" s="29"/>
      <c r="O96" s="31"/>
      <c r="P96" s="33"/>
      <c r="Q96" s="34"/>
      <c r="R96" s="35"/>
      <c r="S96" s="34"/>
      <c r="T96" s="32"/>
      <c r="U96" s="29"/>
      <c r="V96" s="36"/>
      <c r="W96" s="29"/>
      <c r="X96" s="32"/>
      <c r="Y96" s="29"/>
      <c r="Z96" s="31"/>
      <c r="AA96" s="32"/>
      <c r="AB96" s="34"/>
      <c r="AC96" s="31"/>
      <c r="AD96" s="37">
        <f>表1温室气体盘查表!AF97</f>
        <v>6027.4166284015209</v>
      </c>
      <c r="AE96" s="37">
        <f>表1温室气体盘查表!AG97</f>
        <v>3.7874982867658202</v>
      </c>
      <c r="AF96" s="37">
        <f>表1温室气体盘查表!AH97</f>
        <v>3.7060467107063406</v>
      </c>
      <c r="AG96" s="37">
        <f>表1温室气体盘查表!AI97</f>
        <v>0</v>
      </c>
      <c r="AH96" s="37">
        <f>表1温室气体盘查表!AJ97</f>
        <v>0</v>
      </c>
      <c r="AI96" s="37">
        <f>表1温室气体盘查表!AK97</f>
        <v>0</v>
      </c>
      <c r="AJ96" s="37">
        <f>表1温室气体盘查表!AL97</f>
        <v>0</v>
      </c>
      <c r="AK96" s="37">
        <f>表1温室气体盘查表!AM97</f>
        <v>6034.9101733989937</v>
      </c>
    </row>
    <row r="97" spans="1:37" ht="18" customHeight="1">
      <c r="A97" s="24">
        <v>93</v>
      </c>
      <c r="B97" s="25" t="str">
        <f>表1温室气体盘查表!B98</f>
        <v>外售产品报废产生的排放</v>
      </c>
      <c r="C97" s="26" t="str">
        <f>表1温室气体盘查表!C98</f>
        <v>产品报废</v>
      </c>
      <c r="D97" s="27" t="str">
        <f>表1温室气体盘查表!E98</f>
        <v>范围三 类别12</v>
      </c>
      <c r="E97" s="28">
        <f>表1温室气体盘查表!F98</f>
        <v>573065.29</v>
      </c>
      <c r="F97" s="29" t="str">
        <f>表1温室气体盘查表!G98</f>
        <v>t</v>
      </c>
      <c r="G97" s="30">
        <f>'附表2-EF'!K99*10</f>
        <v>0</v>
      </c>
      <c r="H97" s="29" t="s">
        <v>860</v>
      </c>
      <c r="I97" s="31">
        <f>'附表1-GWP TABLE'!E97</f>
        <v>0</v>
      </c>
      <c r="J97" s="32"/>
      <c r="K97" s="29"/>
      <c r="L97" s="31"/>
      <c r="M97" s="32"/>
      <c r="N97" s="29"/>
      <c r="O97" s="31"/>
      <c r="P97" s="33"/>
      <c r="Q97" s="34"/>
      <c r="R97" s="35"/>
      <c r="S97" s="34"/>
      <c r="T97" s="32"/>
      <c r="U97" s="29"/>
      <c r="V97" s="36"/>
      <c r="W97" s="29"/>
      <c r="X97" s="32"/>
      <c r="Y97" s="29"/>
      <c r="Z97" s="31"/>
      <c r="AA97" s="32"/>
      <c r="AB97" s="34"/>
      <c r="AC97" s="31"/>
      <c r="AD97" s="37">
        <f>表1温室气体盘查表!AF98</f>
        <v>3589.1150200565844</v>
      </c>
      <c r="AE97" s="37">
        <f>表1温室气体盘查表!AG98</f>
        <v>0</v>
      </c>
      <c r="AF97" s="37">
        <f>表1温室气体盘查表!AH98</f>
        <v>0</v>
      </c>
      <c r="AG97" s="37">
        <f>表1温室气体盘查表!AI98</f>
        <v>0</v>
      </c>
      <c r="AH97" s="37">
        <f>表1温室气体盘查表!AJ98</f>
        <v>0</v>
      </c>
      <c r="AI97" s="37">
        <f>表1温室气体盘查表!AK98</f>
        <v>0</v>
      </c>
      <c r="AJ97" s="37">
        <f>表1温室气体盘查表!AL98</f>
        <v>0</v>
      </c>
      <c r="AK97" s="37">
        <f>表1温室气体盘查表!AM98</f>
        <v>3589.1150200565844</v>
      </c>
    </row>
    <row r="98" spans="1:37" ht="18" customHeight="1">
      <c r="A98" s="38"/>
      <c r="B98" s="38"/>
      <c r="C98" s="38"/>
      <c r="D98" s="39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40">
        <f t="shared" ref="AD98:AK98" si="0">SUM(AD5:AD97)</f>
        <v>15337416.632864757</v>
      </c>
      <c r="AE98" s="40">
        <f t="shared" si="0"/>
        <v>10689.761699171035</v>
      </c>
      <c r="AF98" s="40">
        <f t="shared" si="0"/>
        <v>31508.550504739411</v>
      </c>
      <c r="AG98" s="40">
        <f t="shared" si="0"/>
        <v>570.54</v>
      </c>
      <c r="AH98" s="40">
        <f t="shared" si="0"/>
        <v>0</v>
      </c>
      <c r="AI98" s="40">
        <f t="shared" si="0"/>
        <v>0</v>
      </c>
      <c r="AJ98" s="40">
        <f t="shared" si="0"/>
        <v>0</v>
      </c>
      <c r="AK98" s="41">
        <f t="shared" si="0"/>
        <v>15380185.485068668</v>
      </c>
    </row>
    <row r="99" spans="1:37" ht="18" customHeight="1">
      <c r="C99" s="21"/>
    </row>
    <row r="100" spans="1:37" ht="18" customHeight="1">
      <c r="C100" s="21"/>
    </row>
    <row r="101" spans="1:37" ht="18" customHeight="1">
      <c r="C101" s="21"/>
    </row>
    <row r="102" spans="1:37" ht="18" customHeight="1">
      <c r="C102" s="21"/>
    </row>
    <row r="103" spans="1:37" ht="18" customHeight="1">
      <c r="C103" s="21"/>
    </row>
    <row r="104" spans="1:37" ht="18" customHeight="1">
      <c r="C104" s="21"/>
    </row>
    <row r="105" spans="1:37" ht="18" customHeight="1">
      <c r="C105" s="21"/>
    </row>
    <row r="106" spans="1:37" ht="18" customHeight="1">
      <c r="C106" s="21"/>
    </row>
    <row r="107" spans="1:37" ht="18" customHeight="1">
      <c r="C107" s="21"/>
    </row>
    <row r="108" spans="1:37" ht="18" customHeight="1">
      <c r="C108" s="21"/>
    </row>
    <row r="109" spans="1:37" ht="18" customHeight="1">
      <c r="C109" s="21"/>
    </row>
    <row r="110" spans="1:37" ht="18" customHeight="1">
      <c r="C110" s="21"/>
    </row>
    <row r="111" spans="1:37" ht="18" customHeight="1">
      <c r="C111" s="21"/>
    </row>
    <row r="112" spans="1:37" ht="18" customHeight="1">
      <c r="C112" s="21"/>
    </row>
    <row r="113" spans="3:3" ht="18" customHeight="1">
      <c r="C113" s="21"/>
    </row>
    <row r="114" spans="3:3" ht="18" customHeight="1">
      <c r="C114" s="21"/>
    </row>
    <row r="115" spans="3:3" ht="18" customHeight="1">
      <c r="C115" s="21"/>
    </row>
    <row r="116" spans="3:3" ht="18" customHeight="1">
      <c r="C116" s="21"/>
    </row>
    <row r="117" spans="3:3" ht="18" customHeight="1">
      <c r="C117" s="21"/>
    </row>
    <row r="118" spans="3:3" ht="18" customHeight="1">
      <c r="C118" s="21"/>
    </row>
    <row r="119" spans="3:3" ht="18" customHeight="1">
      <c r="C119" s="21"/>
    </row>
    <row r="120" spans="3:3" ht="18" customHeight="1">
      <c r="C120" s="21"/>
    </row>
    <row r="121" spans="3:3" ht="18" customHeight="1">
      <c r="C121" s="21"/>
    </row>
    <row r="122" spans="3:3" ht="18" customHeight="1">
      <c r="C122" s="21"/>
    </row>
    <row r="123" spans="3:3">
      <c r="C123" s="21"/>
    </row>
    <row r="124" spans="3:3">
      <c r="C124" s="21"/>
    </row>
    <row r="125" spans="3:3">
      <c r="C125" s="21"/>
    </row>
    <row r="126" spans="3:3">
      <c r="C126" s="21"/>
    </row>
    <row r="127" spans="3:3">
      <c r="C127" s="21"/>
    </row>
    <row r="128" spans="3:3">
      <c r="C128" s="21"/>
    </row>
    <row r="129" spans="3:3">
      <c r="C129" s="21"/>
    </row>
    <row r="130" spans="3:3">
      <c r="C130" s="21"/>
    </row>
    <row r="131" spans="3:3">
      <c r="C131" s="21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1"/>
    </row>
    <row r="137" spans="3:3">
      <c r="C137" s="21"/>
    </row>
    <row r="138" spans="3:3">
      <c r="C138" s="21"/>
    </row>
    <row r="139" spans="3:3">
      <c r="C139" s="21"/>
    </row>
    <row r="140" spans="3:3">
      <c r="C140" s="21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1"/>
    </row>
    <row r="146" spans="3:3">
      <c r="C146" s="21"/>
    </row>
    <row r="147" spans="3:3">
      <c r="C147" s="21"/>
    </row>
    <row r="148" spans="3:3">
      <c r="C148" s="21"/>
    </row>
    <row r="149" spans="3:3">
      <c r="C149" s="21"/>
    </row>
    <row r="150" spans="3:3">
      <c r="C150" s="21"/>
    </row>
    <row r="151" spans="3:3">
      <c r="C151" s="21"/>
    </row>
    <row r="152" spans="3:3">
      <c r="C152" s="21"/>
    </row>
    <row r="153" spans="3:3">
      <c r="C153" s="21"/>
    </row>
    <row r="154" spans="3:3">
      <c r="C154" s="21"/>
    </row>
    <row r="155" spans="3:3">
      <c r="C155" s="21"/>
    </row>
    <row r="156" spans="3:3">
      <c r="C156" s="21"/>
    </row>
    <row r="157" spans="3:3">
      <c r="C157" s="21"/>
    </row>
    <row r="158" spans="3:3">
      <c r="C158" s="21"/>
    </row>
    <row r="159" spans="3:3">
      <c r="C159" s="21"/>
    </row>
    <row r="160" spans="3:3">
      <c r="C160" s="21"/>
    </row>
    <row r="161" spans="3:3">
      <c r="C161" s="21"/>
    </row>
    <row r="162" spans="3:3">
      <c r="C162" s="21"/>
    </row>
    <row r="163" spans="3:3">
      <c r="C163" s="21"/>
    </row>
    <row r="164" spans="3:3">
      <c r="C164" s="21"/>
    </row>
    <row r="165" spans="3:3">
      <c r="C165" s="21"/>
    </row>
  </sheetData>
  <mergeCells count="16">
    <mergeCell ref="AD4:AK4"/>
    <mergeCell ref="A2:A4"/>
    <mergeCell ref="B2:B4"/>
    <mergeCell ref="C2:C4"/>
    <mergeCell ref="D2:D4"/>
    <mergeCell ref="E2:F3"/>
    <mergeCell ref="A1:AK1"/>
    <mergeCell ref="G2:AC2"/>
    <mergeCell ref="AD2:AK2"/>
    <mergeCell ref="G3:I3"/>
    <mergeCell ref="J3:L3"/>
    <mergeCell ref="M3:O3"/>
    <mergeCell ref="P3:S3"/>
    <mergeCell ref="T3:W3"/>
    <mergeCell ref="X3:Z3"/>
    <mergeCell ref="AA3:AC3"/>
  </mergeCells>
  <phoneticPr fontId="89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29" max="53" man="1"/>
  </colBreaks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65"/>
  <sheetViews>
    <sheetView showGridLines="0" topLeftCell="A80" zoomScale="145" zoomScaleNormal="145" zoomScalePageLayoutView="85" workbookViewId="0">
      <selection activeCell="AL94" sqref="AL94"/>
    </sheetView>
  </sheetViews>
  <sheetFormatPr defaultColWidth="8.75" defaultRowHeight="15"/>
  <cols>
    <col min="1" max="1" width="3.375" style="21" customWidth="1"/>
    <col min="2" max="2" width="18.625" style="21" customWidth="1"/>
    <col min="3" max="3" width="8.5" style="22" customWidth="1"/>
    <col min="4" max="4" width="5.375" style="22" customWidth="1"/>
    <col min="5" max="5" width="11.375" style="21" customWidth="1"/>
    <col min="6" max="6" width="4.875" style="21" customWidth="1"/>
    <col min="7" max="7" width="12.375" style="21" hidden="1" customWidth="1"/>
    <col min="8" max="8" width="29.875" style="21" hidden="1" customWidth="1"/>
    <col min="9" max="9" width="6.625" style="21" hidden="1" customWidth="1"/>
    <col min="10" max="10" width="11.125" style="21" hidden="1" customWidth="1"/>
    <col min="11" max="11" width="13.5" style="21" hidden="1" customWidth="1"/>
    <col min="12" max="12" width="7.5" style="21" hidden="1" customWidth="1"/>
    <col min="13" max="13" width="9.75" style="21" hidden="1" customWidth="1"/>
    <col min="14" max="14" width="11.5" style="21" hidden="1" customWidth="1"/>
    <col min="15" max="15" width="8.125" style="21" hidden="1" customWidth="1"/>
    <col min="16" max="16" width="8.5" style="21" hidden="1" customWidth="1"/>
    <col min="17" max="17" width="10.375" style="21" hidden="1" customWidth="1"/>
    <col min="18" max="18" width="9.375" style="21" hidden="1" customWidth="1"/>
    <col min="19" max="19" width="10.125" style="21" hidden="1" customWidth="1"/>
    <col min="20" max="20" width="8.5" style="21" hidden="1" customWidth="1"/>
    <col min="21" max="21" width="10.375" style="21" hidden="1" customWidth="1"/>
    <col min="22" max="22" width="6.5" style="21" hidden="1" customWidth="1"/>
    <col min="23" max="23" width="14.625" style="21" hidden="1" customWidth="1"/>
    <col min="24" max="24" width="8.5" style="21" hidden="1" customWidth="1"/>
    <col min="25" max="25" width="10.375" style="21" hidden="1" customWidth="1"/>
    <col min="26" max="26" width="6.5" style="21" hidden="1" customWidth="1"/>
    <col min="27" max="27" width="8.5" style="21" hidden="1" customWidth="1"/>
    <col min="28" max="28" width="10.375" style="21" hidden="1" customWidth="1"/>
    <col min="29" max="29" width="6.5" style="21" hidden="1" customWidth="1"/>
    <col min="30" max="30" width="7.875" style="21" customWidth="1"/>
    <col min="31" max="31" width="5.25" style="21" customWidth="1"/>
    <col min="32" max="32" width="5.875" style="21" customWidth="1"/>
    <col min="33" max="33" width="5.25" style="21" customWidth="1"/>
    <col min="34" max="34" width="3.75" style="21" customWidth="1"/>
    <col min="35" max="36" width="3.125" style="21" customWidth="1"/>
    <col min="37" max="37" width="7.875" style="21" customWidth="1"/>
    <col min="38" max="16384" width="8.75" style="21"/>
  </cols>
  <sheetData>
    <row r="1" spans="1:37" ht="33.75" customHeight="1">
      <c r="A1" s="644" t="s">
        <v>759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  <c r="AJ1" s="577"/>
      <c r="AK1" s="577"/>
    </row>
    <row r="2" spans="1:37" s="15" customFormat="1" ht="16.5" customHeight="1">
      <c r="A2" s="645" t="s">
        <v>760</v>
      </c>
      <c r="B2" s="645" t="s">
        <v>761</v>
      </c>
      <c r="C2" s="646" t="s">
        <v>762</v>
      </c>
      <c r="D2" s="646" t="s">
        <v>763</v>
      </c>
      <c r="E2" s="645" t="s">
        <v>764</v>
      </c>
      <c r="F2" s="645"/>
      <c r="G2" s="645" t="s">
        <v>765</v>
      </c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5"/>
      <c r="AA2" s="645"/>
      <c r="AB2" s="645"/>
      <c r="AC2" s="645"/>
      <c r="AD2" s="645" t="s">
        <v>766</v>
      </c>
      <c r="AE2" s="645"/>
      <c r="AF2" s="645"/>
      <c r="AG2" s="645"/>
      <c r="AH2" s="645"/>
      <c r="AI2" s="645"/>
      <c r="AJ2" s="645"/>
      <c r="AK2" s="645"/>
    </row>
    <row r="3" spans="1:37" s="15" customFormat="1" ht="15.75">
      <c r="A3" s="645"/>
      <c r="B3" s="645"/>
      <c r="C3" s="646"/>
      <c r="D3" s="646"/>
      <c r="E3" s="645"/>
      <c r="F3" s="645"/>
      <c r="G3" s="645" t="s">
        <v>224</v>
      </c>
      <c r="H3" s="645"/>
      <c r="I3" s="645"/>
      <c r="J3" s="645" t="s">
        <v>225</v>
      </c>
      <c r="K3" s="645"/>
      <c r="L3" s="645"/>
      <c r="M3" s="645" t="s">
        <v>226</v>
      </c>
      <c r="N3" s="645"/>
      <c r="O3" s="645"/>
      <c r="P3" s="645" t="s">
        <v>29</v>
      </c>
      <c r="Q3" s="645"/>
      <c r="R3" s="645"/>
      <c r="S3" s="645"/>
      <c r="T3" s="645" t="s">
        <v>30</v>
      </c>
      <c r="U3" s="645"/>
      <c r="V3" s="645"/>
      <c r="W3" s="645"/>
      <c r="X3" s="645" t="s">
        <v>227</v>
      </c>
      <c r="Y3" s="645"/>
      <c r="Z3" s="645"/>
      <c r="AA3" s="645" t="s">
        <v>228</v>
      </c>
      <c r="AB3" s="645"/>
      <c r="AC3" s="645"/>
      <c r="AD3" s="23" t="str">
        <f>G3</f>
        <v>CO2</v>
      </c>
      <c r="AE3" s="23" t="str">
        <f>J3</f>
        <v>CH4</v>
      </c>
      <c r="AF3" s="23" t="str">
        <f>M3</f>
        <v>N2O</v>
      </c>
      <c r="AG3" s="23" t="str">
        <f>P3</f>
        <v>HFCs</v>
      </c>
      <c r="AH3" s="23" t="str">
        <f>T3</f>
        <v>PFCs</v>
      </c>
      <c r="AI3" s="23" t="str">
        <f>X3</f>
        <v>SF6</v>
      </c>
      <c r="AJ3" s="23" t="str">
        <f>AA3</f>
        <v>NF3</v>
      </c>
      <c r="AK3" s="23" t="s">
        <v>767</v>
      </c>
    </row>
    <row r="4" spans="1:37" s="15" customFormat="1" ht="15.75">
      <c r="A4" s="645"/>
      <c r="B4" s="645"/>
      <c r="C4" s="646"/>
      <c r="D4" s="646"/>
      <c r="E4" s="23" t="s">
        <v>768</v>
      </c>
      <c r="F4" s="23" t="s">
        <v>769</v>
      </c>
      <c r="G4" s="23" t="s">
        <v>233</v>
      </c>
      <c r="H4" s="23" t="s">
        <v>769</v>
      </c>
      <c r="I4" s="23" t="s">
        <v>234</v>
      </c>
      <c r="J4" s="23" t="s">
        <v>233</v>
      </c>
      <c r="K4" s="23" t="s">
        <v>769</v>
      </c>
      <c r="L4" s="23" t="s">
        <v>234</v>
      </c>
      <c r="M4" s="23" t="s">
        <v>233</v>
      </c>
      <c r="N4" s="23" t="s">
        <v>769</v>
      </c>
      <c r="O4" s="23" t="s">
        <v>234</v>
      </c>
      <c r="P4" s="23" t="s">
        <v>233</v>
      </c>
      <c r="Q4" s="23" t="s">
        <v>769</v>
      </c>
      <c r="R4" s="23" t="s">
        <v>234</v>
      </c>
      <c r="S4" s="23" t="s">
        <v>770</v>
      </c>
      <c r="T4" s="23" t="s">
        <v>233</v>
      </c>
      <c r="U4" s="23" t="s">
        <v>769</v>
      </c>
      <c r="V4" s="23" t="s">
        <v>234</v>
      </c>
      <c r="W4" s="23" t="s">
        <v>770</v>
      </c>
      <c r="X4" s="23" t="s">
        <v>233</v>
      </c>
      <c r="Y4" s="23" t="s">
        <v>769</v>
      </c>
      <c r="Z4" s="23" t="s">
        <v>234</v>
      </c>
      <c r="AA4" s="23" t="s">
        <v>233</v>
      </c>
      <c r="AB4" s="23" t="s">
        <v>769</v>
      </c>
      <c r="AC4" s="23" t="s">
        <v>234</v>
      </c>
      <c r="AD4" s="645" t="s">
        <v>236</v>
      </c>
      <c r="AE4" s="645"/>
      <c r="AF4" s="645"/>
      <c r="AG4" s="645"/>
      <c r="AH4" s="645"/>
      <c r="AI4" s="645"/>
      <c r="AJ4" s="645"/>
      <c r="AK4" s="645"/>
    </row>
    <row r="5" spans="1:37" s="15" customFormat="1" ht="15.75">
      <c r="A5" s="24">
        <v>1</v>
      </c>
      <c r="B5" s="25" t="str">
        <f>表1温室气体盘查表!B5</f>
        <v>固定燃烧</v>
      </c>
      <c r="C5" s="26" t="str">
        <f>表1温室气体盘查表!C5</f>
        <v>天然气燃烧</v>
      </c>
      <c r="D5" s="27" t="str">
        <f>表1温室气体盘查表!E5</f>
        <v>范围一</v>
      </c>
      <c r="E5" s="28">
        <f>表1温室气体盘查表!F5</f>
        <v>1454</v>
      </c>
      <c r="F5" s="29" t="str">
        <f>表1温室气体盘查表!G5</f>
        <v>10000Nm3</v>
      </c>
      <c r="G5" s="30">
        <f>'附表2-EF'!K5*10</f>
        <v>1.0000000000000002E-6</v>
      </c>
      <c r="H5" s="29" t="s">
        <v>244</v>
      </c>
      <c r="I5" s="31">
        <f>'附表1-GWP TABLE'!E3</f>
        <v>1</v>
      </c>
      <c r="J5" s="32"/>
      <c r="K5" s="29"/>
      <c r="L5" s="31"/>
      <c r="M5" s="32"/>
      <c r="N5" s="29"/>
      <c r="O5" s="31"/>
      <c r="P5" s="33"/>
      <c r="Q5" s="34"/>
      <c r="R5" s="35"/>
      <c r="S5" s="34"/>
      <c r="T5" s="32"/>
      <c r="U5" s="29"/>
      <c r="V5" s="36"/>
      <c r="W5" s="29"/>
      <c r="X5" s="32"/>
      <c r="Y5" s="29"/>
      <c r="Z5" s="31"/>
      <c r="AA5" s="32"/>
      <c r="AB5" s="34"/>
      <c r="AC5" s="31"/>
      <c r="AD5" s="37">
        <f>表1温室气体盘查表!AF5</f>
        <v>31438.225282859999</v>
      </c>
      <c r="AE5" s="37">
        <f>表1温室气体盘查表!AG5</f>
        <v>15.635053215539997</v>
      </c>
      <c r="AF5" s="37">
        <f>表1温室气体盘查表!AH5</f>
        <v>15.298815511980003</v>
      </c>
      <c r="AG5" s="37">
        <f>表1温室气体盘查表!AI5</f>
        <v>0</v>
      </c>
      <c r="AH5" s="37">
        <f>表1温室气体盘查表!AJ5</f>
        <v>0</v>
      </c>
      <c r="AI5" s="37">
        <f>表1温室气体盘查表!AK5</f>
        <v>0</v>
      </c>
      <c r="AJ5" s="37">
        <f>表1温室气体盘查表!AL5</f>
        <v>0</v>
      </c>
      <c r="AK5" s="37">
        <f>表1温室气体盘查表!AM5</f>
        <v>31469.159151587519</v>
      </c>
    </row>
    <row r="6" spans="1:37" s="16" customFormat="1" ht="14.25">
      <c r="A6" s="24">
        <v>2</v>
      </c>
      <c r="B6" s="25" t="str">
        <f>表1温室气体盘查表!B6</f>
        <v>固定燃烧</v>
      </c>
      <c r="C6" s="26" t="str">
        <f>表1温室气体盘查表!C6</f>
        <v>液化石油气燃烧</v>
      </c>
      <c r="D6" s="27" t="str">
        <f>表1温室气体盘查表!E6</f>
        <v>范围一</v>
      </c>
      <c r="E6" s="28">
        <f>表1温室气体盘查表!F6</f>
        <v>9.43</v>
      </c>
      <c r="F6" s="29" t="str">
        <f>表1温室气体盘查表!G6</f>
        <v>t</v>
      </c>
      <c r="G6" s="30">
        <f>'附表2-EF'!K6*10</f>
        <v>1.0000000000000002E-6</v>
      </c>
      <c r="H6" s="29" t="s">
        <v>771</v>
      </c>
      <c r="I6" s="31">
        <f>'附表1-GWP TABLE'!E4</f>
        <v>27.9</v>
      </c>
      <c r="J6" s="32"/>
      <c r="K6" s="29"/>
      <c r="L6" s="31"/>
      <c r="M6" s="32"/>
      <c r="N6" s="29"/>
      <c r="O6" s="31"/>
      <c r="P6" s="33"/>
      <c r="Q6" s="34"/>
      <c r="R6" s="35"/>
      <c r="S6" s="34"/>
      <c r="T6" s="32"/>
      <c r="U6" s="29"/>
      <c r="V6" s="36"/>
      <c r="W6" s="29"/>
      <c r="X6" s="32"/>
      <c r="Y6" s="29"/>
      <c r="Z6" s="31"/>
      <c r="AA6" s="32"/>
      <c r="AB6" s="34"/>
      <c r="AC6" s="31"/>
      <c r="AD6" s="37">
        <f>表1温室气体盘查表!AF6</f>
        <v>29.260997688860005</v>
      </c>
      <c r="AE6" s="37">
        <f>表1温室气体盘查表!AG6</f>
        <v>1.2937905475739997E-2</v>
      </c>
      <c r="AF6" s="37">
        <f>表1温室气体盘查表!AH6</f>
        <v>1.2659670949380001E-2</v>
      </c>
      <c r="AG6" s="37">
        <f>表1温室气体盘查表!AI6</f>
        <v>0</v>
      </c>
      <c r="AH6" s="37">
        <f>表1温室气体盘查表!AJ6</f>
        <v>0</v>
      </c>
      <c r="AI6" s="37">
        <f>表1温室气体盘查表!AK6</f>
        <v>0</v>
      </c>
      <c r="AJ6" s="37">
        <f>表1温室气体盘查表!AL6</f>
        <v>0</v>
      </c>
      <c r="AK6" s="37">
        <f>表1温室气体盘查表!AM6</f>
        <v>29.286595265285126</v>
      </c>
    </row>
    <row r="7" spans="1:37" s="15" customFormat="1" ht="15.75">
      <c r="A7" s="24">
        <v>3</v>
      </c>
      <c r="B7" s="25" t="str">
        <f>表1温室气体盘查表!B7</f>
        <v>固定燃烧</v>
      </c>
      <c r="C7" s="26" t="str">
        <f>表1温室气体盘查表!C7</f>
        <v>烟煤燃烧</v>
      </c>
      <c r="D7" s="27" t="str">
        <f>表1温室气体盘查表!E7</f>
        <v>范围一</v>
      </c>
      <c r="E7" s="28">
        <f>表1温室气体盘查表!F7</f>
        <v>323067.87000000005</v>
      </c>
      <c r="F7" s="29" t="str">
        <f>表1温室气体盘查表!G7</f>
        <v>t</v>
      </c>
      <c r="G7" s="30">
        <f>'附表2-EF'!K7*10</f>
        <v>1.5E-5</v>
      </c>
      <c r="H7" s="29" t="s">
        <v>772</v>
      </c>
      <c r="I7" s="31">
        <f>'附表1-GWP TABLE'!E5</f>
        <v>273</v>
      </c>
      <c r="J7" s="32"/>
      <c r="K7" s="29"/>
      <c r="L7" s="31"/>
      <c r="M7" s="32"/>
      <c r="N7" s="29"/>
      <c r="O7" s="31"/>
      <c r="P7" s="33"/>
      <c r="Q7" s="34"/>
      <c r="R7" s="35"/>
      <c r="S7" s="34"/>
      <c r="T7" s="32"/>
      <c r="U7" s="29"/>
      <c r="V7" s="36"/>
      <c r="W7" s="29"/>
      <c r="X7" s="32"/>
      <c r="Y7" s="29"/>
      <c r="Z7" s="31"/>
      <c r="AA7" s="32"/>
      <c r="AB7" s="34"/>
      <c r="AC7" s="31"/>
      <c r="AD7" s="37">
        <f>表1温室气体盘查表!AF7</f>
        <v>746259.74279609555</v>
      </c>
      <c r="AE7" s="37">
        <f>表1温室气体盘查表!AG7</f>
        <v>211.80719047824078</v>
      </c>
      <c r="AF7" s="37">
        <f>表1温室气体盘查表!AH7</f>
        <v>3108.7829570193403</v>
      </c>
      <c r="AG7" s="37">
        <f>表1温室气体盘查表!AI7</f>
        <v>0</v>
      </c>
      <c r="AH7" s="37">
        <f>表1温室气体盘查表!AJ7</f>
        <v>0</v>
      </c>
      <c r="AI7" s="37">
        <f>表1温室气体盘查表!AK7</f>
        <v>0</v>
      </c>
      <c r="AJ7" s="37">
        <f>表1温室气体盘查表!AL7</f>
        <v>0</v>
      </c>
      <c r="AK7" s="37">
        <f>表1温室气体盘查表!AM7</f>
        <v>749580.33294359304</v>
      </c>
    </row>
    <row r="8" spans="1:37" s="15" customFormat="1" ht="15.75">
      <c r="A8" s="24">
        <v>4</v>
      </c>
      <c r="B8" s="25" t="str">
        <f>表1温室气体盘查表!B8</f>
        <v>固定燃烧</v>
      </c>
      <c r="C8" s="26" t="str">
        <f>表1温室气体盘查表!C8</f>
        <v>无烟煤燃烧</v>
      </c>
      <c r="D8" s="27" t="str">
        <f>表1温室气体盘查表!E8</f>
        <v>范围一</v>
      </c>
      <c r="E8" s="28">
        <f>表1温室气体盘查表!F8</f>
        <v>335482.33</v>
      </c>
      <c r="F8" s="29" t="str">
        <f>表1温室气体盘查表!G8</f>
        <v>t</v>
      </c>
      <c r="G8" s="30">
        <f>'附表2-EF'!K8*10</f>
        <v>1.5E-5</v>
      </c>
      <c r="H8" s="29" t="s">
        <v>773</v>
      </c>
      <c r="I8" s="31">
        <f>'附表1-GWP TABLE'!E6</f>
        <v>0</v>
      </c>
      <c r="J8" s="32"/>
      <c r="K8" s="29"/>
      <c r="L8" s="31"/>
      <c r="M8" s="32"/>
      <c r="N8" s="29"/>
      <c r="O8" s="31"/>
      <c r="P8" s="33"/>
      <c r="Q8" s="34"/>
      <c r="R8" s="35"/>
      <c r="S8" s="34"/>
      <c r="T8" s="32"/>
      <c r="U8" s="29"/>
      <c r="V8" s="36"/>
      <c r="W8" s="29"/>
      <c r="X8" s="32"/>
      <c r="Y8" s="29"/>
      <c r="Z8" s="31"/>
      <c r="AA8" s="32"/>
      <c r="AB8" s="34"/>
      <c r="AC8" s="31"/>
      <c r="AD8" s="37">
        <f>表1温室气体盘查表!AF8</f>
        <v>816986.90292905667</v>
      </c>
      <c r="AE8" s="37">
        <f>表1温室气体盘查表!AG8</f>
        <v>231.88132850173631</v>
      </c>
      <c r="AF8" s="37">
        <f>表1温室气体盘查表!AH8</f>
        <v>3403.4194989770981</v>
      </c>
      <c r="AG8" s="37">
        <f>表1温室气体盘查表!AI8</f>
        <v>0</v>
      </c>
      <c r="AH8" s="37">
        <f>表1温室气体盘查表!AJ8</f>
        <v>0</v>
      </c>
      <c r="AI8" s="37">
        <f>表1温室气体盘查表!AK8</f>
        <v>0</v>
      </c>
      <c r="AJ8" s="37">
        <f>表1温室气体盘查表!AL8</f>
        <v>0</v>
      </c>
      <c r="AK8" s="37">
        <f>表1温室气体盘查表!AM8</f>
        <v>820622.20375653554</v>
      </c>
    </row>
    <row r="9" spans="1:37" s="17" customFormat="1" ht="14.25">
      <c r="A9" s="24">
        <v>5</v>
      </c>
      <c r="B9" s="25" t="str">
        <f>表1温室气体盘查表!B9</f>
        <v>固定燃烧</v>
      </c>
      <c r="C9" s="26" t="str">
        <f>表1温室气体盘查表!C9</f>
        <v>洗精煤燃烧</v>
      </c>
      <c r="D9" s="27" t="str">
        <f>表1温室气体盘查表!E9</f>
        <v>范围一</v>
      </c>
      <c r="E9" s="28">
        <f>表1温室气体盘查表!F9</f>
        <v>2093622.77</v>
      </c>
      <c r="F9" s="29" t="str">
        <f>表1温室气体盘查表!G9</f>
        <v>t</v>
      </c>
      <c r="G9" s="30">
        <f>'附表2-EF'!K9*10</f>
        <v>1.5E-5</v>
      </c>
      <c r="H9" s="29" t="s">
        <v>774</v>
      </c>
      <c r="I9" s="31">
        <f>'附表1-GWP TABLE'!E7</f>
        <v>0</v>
      </c>
      <c r="J9" s="32"/>
      <c r="K9" s="29"/>
      <c r="L9" s="31"/>
      <c r="M9" s="32"/>
      <c r="N9" s="29"/>
      <c r="O9" s="31"/>
      <c r="P9" s="33"/>
      <c r="Q9" s="34"/>
      <c r="R9" s="35"/>
      <c r="S9" s="34"/>
      <c r="T9" s="32"/>
      <c r="U9" s="29"/>
      <c r="V9" s="36"/>
      <c r="W9" s="29"/>
      <c r="X9" s="32"/>
      <c r="Y9" s="29"/>
      <c r="Z9" s="31"/>
      <c r="AA9" s="32"/>
      <c r="AB9" s="34"/>
      <c r="AC9" s="31"/>
      <c r="AD9" s="37">
        <f>表1温室气体盘查表!AF9</f>
        <v>5165430.0139752235</v>
      </c>
      <c r="AE9" s="37">
        <f>表1温室气体盘查表!AG9</f>
        <v>1523.4196341427985</v>
      </c>
      <c r="AF9" s="37">
        <f>表1温室气体盘查表!AH9</f>
        <v>22359.868823708817</v>
      </c>
      <c r="AG9" s="37">
        <f>表1温室气体盘查表!AI9</f>
        <v>0</v>
      </c>
      <c r="AH9" s="37">
        <f>表1温室气体盘查表!AJ9</f>
        <v>0</v>
      </c>
      <c r="AI9" s="37">
        <f>表1温室气体盘查表!AK9</f>
        <v>0</v>
      </c>
      <c r="AJ9" s="37">
        <f>表1温室气体盘查表!AL9</f>
        <v>0</v>
      </c>
      <c r="AK9" s="37">
        <f>表1温室气体盘查表!AM9</f>
        <v>5189313.3024330754</v>
      </c>
    </row>
    <row r="10" spans="1:37" s="15" customFormat="1" ht="15.75">
      <c r="A10" s="24">
        <v>6</v>
      </c>
      <c r="B10" s="25" t="str">
        <f>表1温室气体盘查表!B10</f>
        <v>固定燃烧</v>
      </c>
      <c r="C10" s="26" t="str">
        <f>表1温室气体盘查表!C10</f>
        <v>焦炭燃烧</v>
      </c>
      <c r="D10" s="27" t="str">
        <f>表1温室气体盘查表!E10</f>
        <v>范围一</v>
      </c>
      <c r="E10" s="28">
        <f>表1温室气体盘查表!F10</f>
        <v>221509.16999999998</v>
      </c>
      <c r="F10" s="29" t="str">
        <f>表1温室气体盘查表!G10</f>
        <v>t</v>
      </c>
      <c r="G10" s="30">
        <f>'附表2-EF'!K10*10</f>
        <v>1.5E-5</v>
      </c>
      <c r="H10" s="29" t="s">
        <v>775</v>
      </c>
      <c r="I10" s="31">
        <f>'附表1-GWP TABLE'!E8</f>
        <v>0</v>
      </c>
      <c r="J10" s="32"/>
      <c r="K10" s="29"/>
      <c r="L10" s="31"/>
      <c r="M10" s="32"/>
      <c r="N10" s="29"/>
      <c r="O10" s="31"/>
      <c r="P10" s="33"/>
      <c r="Q10" s="34"/>
      <c r="R10" s="35"/>
      <c r="S10" s="34"/>
      <c r="T10" s="32"/>
      <c r="U10" s="29"/>
      <c r="V10" s="36"/>
      <c r="W10" s="29"/>
      <c r="X10" s="32"/>
      <c r="Y10" s="29"/>
      <c r="Z10" s="31"/>
      <c r="AA10" s="32"/>
      <c r="AB10" s="34"/>
      <c r="AC10" s="31"/>
      <c r="AD10" s="37">
        <f>表1温室气体盘查表!AF10</f>
        <v>667212.1014612735</v>
      </c>
      <c r="AE10" s="37">
        <f>表1温室气体盘查表!AG10</f>
        <v>173.97399654924791</v>
      </c>
      <c r="AF10" s="37">
        <f>表1温室气体盘查表!AH10</f>
        <v>2553.4893041905743</v>
      </c>
      <c r="AG10" s="37">
        <f>表1温室气体盘查表!AI10</f>
        <v>0</v>
      </c>
      <c r="AH10" s="37">
        <f>表1温室气体盘查表!AJ10</f>
        <v>0</v>
      </c>
      <c r="AI10" s="37">
        <f>表1温室气体盘查表!AK10</f>
        <v>0</v>
      </c>
      <c r="AJ10" s="37">
        <f>表1温室气体盘查表!AL10</f>
        <v>0</v>
      </c>
      <c r="AK10" s="37">
        <f>表1温室气体盘查表!AM10</f>
        <v>669939.56476201338</v>
      </c>
    </row>
    <row r="11" spans="1:37" s="18" customFormat="1" ht="15.75">
      <c r="A11" s="24">
        <v>7</v>
      </c>
      <c r="B11" s="25" t="str">
        <f>表1温室气体盘查表!B11</f>
        <v>固定燃烧</v>
      </c>
      <c r="C11" s="26" t="str">
        <f>表1温室气体盘查表!C11</f>
        <v>焦炉煤气燃烧</v>
      </c>
      <c r="D11" s="27" t="str">
        <f>表1温室气体盘查表!E11</f>
        <v>范围一</v>
      </c>
      <c r="E11" s="28">
        <f>表1温室气体盘查表!F11</f>
        <v>-788.73</v>
      </c>
      <c r="F11" s="29" t="str">
        <f>表1温室气体盘查表!G11</f>
        <v>10000Nm3</v>
      </c>
      <c r="G11" s="30">
        <f>'附表2-EF'!K12*10</f>
        <v>1.5E-5</v>
      </c>
      <c r="H11" s="29" t="s">
        <v>776</v>
      </c>
      <c r="I11" s="31">
        <f>'附表1-GWP TABLE'!E10</f>
        <v>0</v>
      </c>
      <c r="J11" s="32"/>
      <c r="K11" s="29"/>
      <c r="L11" s="31"/>
      <c r="M11" s="32"/>
      <c r="N11" s="29"/>
      <c r="O11" s="31"/>
      <c r="P11" s="33"/>
      <c r="Q11" s="34"/>
      <c r="R11" s="35"/>
      <c r="S11" s="34"/>
      <c r="T11" s="32"/>
      <c r="U11" s="29"/>
      <c r="V11" s="36"/>
      <c r="W11" s="29"/>
      <c r="X11" s="32"/>
      <c r="Y11" s="29"/>
      <c r="Z11" s="31"/>
      <c r="AA11" s="32"/>
      <c r="AB11" s="34"/>
      <c r="AC11" s="31"/>
      <c r="AD11" s="37">
        <f>表1温室气体盘查表!AF11</f>
        <v>-6027.4166284015209</v>
      </c>
      <c r="AE11" s="37">
        <f>表1温室气体盘查表!AG11</f>
        <v>-3.7874982867658202</v>
      </c>
      <c r="AF11" s="37">
        <f>表1温室气体盘查表!AH11</f>
        <v>-3.7060467107063406</v>
      </c>
      <c r="AG11" s="37">
        <f>表1温室气体盘查表!AI11</f>
        <v>0</v>
      </c>
      <c r="AH11" s="37">
        <f>表1温室气体盘查表!AJ11</f>
        <v>0</v>
      </c>
      <c r="AI11" s="37">
        <f>表1温室气体盘查表!AK11</f>
        <v>0</v>
      </c>
      <c r="AJ11" s="37">
        <f>表1温室气体盘查表!AL11</f>
        <v>0</v>
      </c>
      <c r="AK11" s="37">
        <f>表1温室气体盘查表!AM11</f>
        <v>-6034.9101733989937</v>
      </c>
    </row>
    <row r="12" spans="1:37" s="15" customFormat="1" ht="15.75">
      <c r="A12" s="24">
        <v>8</v>
      </c>
      <c r="B12" s="25" t="str">
        <f>表1温室气体盘查表!B12</f>
        <v>移动燃烧</v>
      </c>
      <c r="C12" s="26" t="str">
        <f>表1温室气体盘查表!C12</f>
        <v>柴油燃烧</v>
      </c>
      <c r="D12" s="27" t="str">
        <f>表1温室气体盘查表!E12</f>
        <v>范围一</v>
      </c>
      <c r="E12" s="28">
        <f>表1温室气体盘查表!F12</f>
        <v>1422.69</v>
      </c>
      <c r="F12" s="29" t="str">
        <f>表1温室气体盘查表!G12</f>
        <v>t</v>
      </c>
      <c r="G12" s="30">
        <f>'附表2-EF'!K13*10</f>
        <v>1.0000000000000002E-6</v>
      </c>
      <c r="H12" s="29" t="s">
        <v>777</v>
      </c>
      <c r="I12" s="31">
        <f>'附表1-GWP TABLE'!E11</f>
        <v>0</v>
      </c>
      <c r="J12" s="32"/>
      <c r="K12" s="29"/>
      <c r="L12" s="31"/>
      <c r="M12" s="32"/>
      <c r="N12" s="29"/>
      <c r="O12" s="31"/>
      <c r="P12" s="33"/>
      <c r="Q12" s="34"/>
      <c r="R12" s="35"/>
      <c r="S12" s="34"/>
      <c r="T12" s="32"/>
      <c r="U12" s="29"/>
      <c r="V12" s="36"/>
      <c r="W12" s="29"/>
      <c r="X12" s="32"/>
      <c r="Y12" s="29"/>
      <c r="Z12" s="31"/>
      <c r="AA12" s="32"/>
      <c r="AB12" s="34"/>
      <c r="AC12" s="31"/>
      <c r="AD12" s="37">
        <f>表1温室气体盘查表!AF12</f>
        <v>4406.5019140178401</v>
      </c>
      <c r="AE12" s="37">
        <f>表1温室气体盘查表!AG12</f>
        <v>6.4706001790051442</v>
      </c>
      <c r="AF12" s="37">
        <f>表1温室气体盘查表!AH12</f>
        <v>63.31447486983528</v>
      </c>
      <c r="AG12" s="37">
        <f>表1温室气体盘查表!AI12</f>
        <v>0</v>
      </c>
      <c r="AH12" s="37">
        <f>表1温室气体盘查表!AJ12</f>
        <v>0</v>
      </c>
      <c r="AI12" s="37">
        <f>表1温室气体盘查表!AK12</f>
        <v>0</v>
      </c>
      <c r="AJ12" s="37">
        <f>表1温室气体盘查表!AL12</f>
        <v>0</v>
      </c>
      <c r="AK12" s="37">
        <f>表1温室气体盘查表!AM12</f>
        <v>4476.2869890666807</v>
      </c>
    </row>
    <row r="13" spans="1:37" s="18" customFormat="1" ht="15.75">
      <c r="A13" s="24">
        <v>9</v>
      </c>
      <c r="B13" s="25" t="str">
        <f>表1温室气体盘查表!B13</f>
        <v>移动燃烧</v>
      </c>
      <c r="C13" s="26" t="str">
        <f>表1温室气体盘查表!C13</f>
        <v>汽油燃烧</v>
      </c>
      <c r="D13" s="27" t="str">
        <f>表1温室气体盘查表!E13</f>
        <v>范围一</v>
      </c>
      <c r="E13" s="28">
        <f>表1温室气体盘查表!F13</f>
        <v>47.34</v>
      </c>
      <c r="F13" s="29" t="str">
        <f>表1温室气体盘查表!G13</f>
        <v>t</v>
      </c>
      <c r="G13" s="30">
        <f>'附表2-EF'!K14*10</f>
        <v>3.8999999999999999E-5</v>
      </c>
      <c r="H13" s="29" t="s">
        <v>778</v>
      </c>
      <c r="I13" s="31">
        <f>'附表1-GWP TABLE'!E12</f>
        <v>0</v>
      </c>
      <c r="J13" s="32"/>
      <c r="K13" s="29"/>
      <c r="L13" s="31"/>
      <c r="M13" s="32"/>
      <c r="N13" s="29"/>
      <c r="O13" s="31"/>
      <c r="P13" s="33"/>
      <c r="Q13" s="34"/>
      <c r="R13" s="35"/>
      <c r="S13" s="34"/>
      <c r="T13" s="32"/>
      <c r="U13" s="29"/>
      <c r="V13" s="36"/>
      <c r="W13" s="29"/>
      <c r="X13" s="32"/>
      <c r="Y13" s="29"/>
      <c r="Z13" s="31"/>
      <c r="AA13" s="32"/>
      <c r="AB13" s="34"/>
      <c r="AC13" s="31"/>
      <c r="AD13" s="37">
        <f>表1温室气体盘查表!AF13</f>
        <v>138.47215009319999</v>
      </c>
      <c r="AE13" s="37">
        <f>表1温室气体盘查表!AG13</f>
        <v>1.39371319899</v>
      </c>
      <c r="AF13" s="37">
        <f>表1温室气体盘查表!AH13</f>
        <v>4.3639707908159995</v>
      </c>
      <c r="AG13" s="37">
        <f>表1温室气体盘查表!AI13</f>
        <v>0</v>
      </c>
      <c r="AH13" s="37">
        <f>表1温室气体盘查表!AJ13</f>
        <v>0</v>
      </c>
      <c r="AI13" s="37">
        <f>表1温室气体盘查表!AK13</f>
        <v>0</v>
      </c>
      <c r="AJ13" s="37">
        <f>表1温室气体盘查表!AL13</f>
        <v>0</v>
      </c>
      <c r="AK13" s="37">
        <f>表1温室气体盘查表!AM13</f>
        <v>144.22983408300601</v>
      </c>
    </row>
    <row r="14" spans="1:37" s="18" customFormat="1" ht="16.5">
      <c r="A14" s="24">
        <v>10</v>
      </c>
      <c r="B14" s="25" t="str">
        <f>表1温室气体盘查表!B14</f>
        <v>逸散排放</v>
      </c>
      <c r="C14" s="26" t="str">
        <f>表1温室气体盘查表!C14</f>
        <v>制冷剂逸散（R32）</v>
      </c>
      <c r="D14" s="27" t="str">
        <f>表1温室气体盘查表!E14</f>
        <v>范围一</v>
      </c>
      <c r="E14" s="28">
        <f>表1温室气体盘查表!F14</f>
        <v>0.74</v>
      </c>
      <c r="F14" s="29" t="str">
        <f>表1温室气体盘查表!G14</f>
        <v>t</v>
      </c>
      <c r="G14" s="30">
        <f>'附表2-EF'!K15*10</f>
        <v>7.9999999999999993E-5</v>
      </c>
      <c r="H14" s="29" t="s">
        <v>779</v>
      </c>
      <c r="I14" s="31">
        <f>'附表1-GWP TABLE'!E13</f>
        <v>0</v>
      </c>
      <c r="J14" s="32"/>
      <c r="K14" s="29"/>
      <c r="L14" s="31"/>
      <c r="M14" s="32"/>
      <c r="N14" s="29"/>
      <c r="O14" s="31"/>
      <c r="P14" s="33"/>
      <c r="Q14" s="34"/>
      <c r="R14" s="35"/>
      <c r="S14" s="34"/>
      <c r="T14" s="32"/>
      <c r="U14" s="29"/>
      <c r="V14" s="36"/>
      <c r="W14" s="29"/>
      <c r="X14" s="32"/>
      <c r="Y14" s="29"/>
      <c r="Z14" s="31"/>
      <c r="AA14" s="32"/>
      <c r="AB14" s="34"/>
      <c r="AC14" s="31"/>
      <c r="AD14" s="37">
        <f>表1温室气体盘查表!AF14</f>
        <v>0</v>
      </c>
      <c r="AE14" s="37">
        <f>表1温室气体盘查表!AG14</f>
        <v>0</v>
      </c>
      <c r="AF14" s="37">
        <f>表1温室气体盘查表!AH14</f>
        <v>0</v>
      </c>
      <c r="AG14" s="37">
        <f>表1温室气体盘查表!AI14</f>
        <v>570.54</v>
      </c>
      <c r="AH14" s="37">
        <f>表1温室气体盘查表!AJ14</f>
        <v>0</v>
      </c>
      <c r="AI14" s="37">
        <f>表1温室气体盘查表!AK14</f>
        <v>0</v>
      </c>
      <c r="AJ14" s="37">
        <f>表1温室气体盘查表!AL14</f>
        <v>0</v>
      </c>
      <c r="AK14" s="37">
        <f>表1温室气体盘查表!AM14</f>
        <v>570.54</v>
      </c>
    </row>
    <row r="15" spans="1:37" s="19" customFormat="1" ht="14.25">
      <c r="A15" s="24">
        <v>11</v>
      </c>
      <c r="B15" s="25" t="str">
        <f>表1温室气体盘查表!B15</f>
        <v>逸散排放</v>
      </c>
      <c r="C15" s="26" t="str">
        <f>表1温室气体盘查表!C15</f>
        <v>CO2逸散</v>
      </c>
      <c r="D15" s="27" t="str">
        <f>表1温室气体盘查表!E15</f>
        <v>范围一</v>
      </c>
      <c r="E15" s="28">
        <f>表1温室气体盘查表!F15</f>
        <v>0.56000000000000005</v>
      </c>
      <c r="F15" s="29" t="str">
        <f>表1温室气体盘查表!G15</f>
        <v>t</v>
      </c>
      <c r="G15" s="30">
        <f>'附表2-EF'!K16*10</f>
        <v>0</v>
      </c>
      <c r="H15" s="29" t="s">
        <v>780</v>
      </c>
      <c r="I15" s="31">
        <f>'附表1-GWP TABLE'!E14</f>
        <v>0</v>
      </c>
      <c r="J15" s="32"/>
      <c r="K15" s="29"/>
      <c r="L15" s="31"/>
      <c r="M15" s="32"/>
      <c r="N15" s="29"/>
      <c r="O15" s="31"/>
      <c r="P15" s="33"/>
      <c r="Q15" s="34"/>
      <c r="R15" s="35"/>
      <c r="S15" s="34"/>
      <c r="T15" s="32"/>
      <c r="U15" s="29"/>
      <c r="V15" s="36"/>
      <c r="W15" s="29"/>
      <c r="X15" s="32"/>
      <c r="Y15" s="29"/>
      <c r="Z15" s="31"/>
      <c r="AA15" s="32"/>
      <c r="AB15" s="34"/>
      <c r="AC15" s="31"/>
      <c r="AD15" s="37">
        <f>表1温室气体盘查表!AF15</f>
        <v>0.56000000000000005</v>
      </c>
      <c r="AE15" s="37">
        <f>表1温室气体盘查表!AG15</f>
        <v>0</v>
      </c>
      <c r="AF15" s="37">
        <f>表1温室气体盘查表!AH15</f>
        <v>0</v>
      </c>
      <c r="AG15" s="37">
        <f>表1温室气体盘查表!AI15</f>
        <v>0</v>
      </c>
      <c r="AH15" s="37">
        <f>表1温室气体盘查表!AJ15</f>
        <v>0</v>
      </c>
      <c r="AI15" s="37">
        <f>表1温室气体盘查表!AK15</f>
        <v>0</v>
      </c>
      <c r="AJ15" s="37">
        <f>表1温室气体盘查表!AL15</f>
        <v>0</v>
      </c>
      <c r="AK15" s="37">
        <f>表1温室气体盘查表!AM15</f>
        <v>0.56000000000000005</v>
      </c>
    </row>
    <row r="16" spans="1:37" s="19" customFormat="1" ht="14.25">
      <c r="A16" s="24">
        <v>12</v>
      </c>
      <c r="B16" s="25" t="str">
        <f>表1温室气体盘查表!B16</f>
        <v>逸散排放</v>
      </c>
      <c r="C16" s="26" t="str">
        <f>表1温室气体盘查表!C16</f>
        <v>CH4逸散</v>
      </c>
      <c r="D16" s="27" t="str">
        <f>表1温室气体盘查表!E16</f>
        <v>范围一</v>
      </c>
      <c r="E16" s="28">
        <f>表1温室气体盘查表!F16</f>
        <v>23.16</v>
      </c>
      <c r="F16" s="29" t="str">
        <f>表1温室气体盘查表!G16</f>
        <v>tBOD</v>
      </c>
      <c r="G16" s="30">
        <f>'附表2-EF'!K17*10</f>
        <v>0</v>
      </c>
      <c r="H16" s="29" t="s">
        <v>781</v>
      </c>
      <c r="I16" s="31">
        <f>'附表1-GWP TABLE'!E15</f>
        <v>0</v>
      </c>
      <c r="J16" s="32"/>
      <c r="K16" s="29"/>
      <c r="L16" s="31"/>
      <c r="M16" s="32"/>
      <c r="N16" s="29"/>
      <c r="O16" s="31"/>
      <c r="P16" s="33"/>
      <c r="Q16" s="34"/>
      <c r="R16" s="35"/>
      <c r="S16" s="34"/>
      <c r="T16" s="32"/>
      <c r="U16" s="29"/>
      <c r="V16" s="36"/>
      <c r="W16" s="29"/>
      <c r="X16" s="32"/>
      <c r="Y16" s="29"/>
      <c r="Z16" s="31"/>
      <c r="AA16" s="32"/>
      <c r="AB16" s="34"/>
      <c r="AC16" s="31"/>
      <c r="AD16" s="37">
        <f>表1温室气体盘查表!AF16</f>
        <v>0</v>
      </c>
      <c r="AE16" s="37">
        <f>表1温室气体盘查表!AG16</f>
        <v>116.30951999999999</v>
      </c>
      <c r="AF16" s="37">
        <f>表1温室气体盘查表!AH16</f>
        <v>0</v>
      </c>
      <c r="AG16" s="37">
        <f>表1温室气体盘查表!AI16</f>
        <v>0</v>
      </c>
      <c r="AH16" s="37">
        <f>表1温室气体盘查表!AJ16</f>
        <v>0</v>
      </c>
      <c r="AI16" s="37">
        <f>表1温室气体盘查表!AK16</f>
        <v>0</v>
      </c>
      <c r="AJ16" s="37">
        <f>表1温室气体盘查表!AL16</f>
        <v>0</v>
      </c>
      <c r="AK16" s="37">
        <f>表1温室气体盘查表!AM16</f>
        <v>116.30951999999999</v>
      </c>
    </row>
    <row r="17" spans="1:37" s="19" customFormat="1" ht="14.25">
      <c r="A17" s="24">
        <v>13</v>
      </c>
      <c r="B17" s="25" t="str">
        <f>表1温室气体盘查表!B17</f>
        <v>逸散排放</v>
      </c>
      <c r="C17" s="26" t="str">
        <f>表1温室气体盘查表!C17</f>
        <v>CH4逸散</v>
      </c>
      <c r="D17" s="27" t="str">
        <f>表1温室气体盘查表!E17</f>
        <v>范围一</v>
      </c>
      <c r="E17" s="28">
        <f>表1温室气体盘查表!F17</f>
        <v>4018.57</v>
      </c>
      <c r="F17" s="29" t="str">
        <f>表1温室气体盘查表!G17</f>
        <v>tCOD</v>
      </c>
      <c r="G17" s="30">
        <f>'附表2-EF'!K18*10</f>
        <v>0</v>
      </c>
      <c r="H17" s="29" t="s">
        <v>782</v>
      </c>
      <c r="I17" s="31">
        <f>'附表1-GWP TABLE'!E16</f>
        <v>0</v>
      </c>
      <c r="J17" s="32"/>
      <c r="K17" s="29"/>
      <c r="L17" s="31"/>
      <c r="M17" s="32"/>
      <c r="N17" s="29"/>
      <c r="O17" s="31"/>
      <c r="P17" s="33"/>
      <c r="Q17" s="34"/>
      <c r="R17" s="35"/>
      <c r="S17" s="34"/>
      <c r="T17" s="32"/>
      <c r="U17" s="29"/>
      <c r="V17" s="36"/>
      <c r="W17" s="29"/>
      <c r="X17" s="32"/>
      <c r="Y17" s="29"/>
      <c r="Z17" s="31"/>
      <c r="AA17" s="32"/>
      <c r="AB17" s="34"/>
      <c r="AC17" s="31"/>
      <c r="AD17" s="37">
        <f>表1温室气体盘查表!AF17</f>
        <v>0</v>
      </c>
      <c r="AE17" s="37">
        <f>表1温室气体盘查表!AG17</f>
        <v>8408.8577249999998</v>
      </c>
      <c r="AF17" s="37">
        <f>表1温室气体盘查表!AH17</f>
        <v>0</v>
      </c>
      <c r="AG17" s="37">
        <f>表1温室气体盘查表!AI17</f>
        <v>0</v>
      </c>
      <c r="AH17" s="37">
        <f>表1温室气体盘查表!AJ17</f>
        <v>0</v>
      </c>
      <c r="AI17" s="37">
        <f>表1温室气体盘查表!AK17</f>
        <v>0</v>
      </c>
      <c r="AJ17" s="37">
        <f>表1温室气体盘查表!AL17</f>
        <v>0</v>
      </c>
      <c r="AK17" s="37">
        <f>表1温室气体盘查表!AM17</f>
        <v>8408.8577249999998</v>
      </c>
    </row>
    <row r="18" spans="1:37" s="19" customFormat="1" ht="14.25">
      <c r="A18" s="24">
        <v>14</v>
      </c>
      <c r="B18" s="25" t="str">
        <f>表1温室气体盘查表!B18</f>
        <v>制程排放</v>
      </c>
      <c r="C18" s="26" t="str">
        <f>表1温室气体盘查表!C18</f>
        <v>白云石</v>
      </c>
      <c r="D18" s="27" t="str">
        <f>表1温室气体盘查表!E18</f>
        <v>范围一</v>
      </c>
      <c r="E18" s="28">
        <f>表1温室气体盘查表!F18</f>
        <v>38669.449999999997</v>
      </c>
      <c r="F18" s="29" t="str">
        <f>表1温室气体盘查表!G18</f>
        <v>t</v>
      </c>
      <c r="G18" s="30">
        <f>'附表2-EF'!K19*10</f>
        <v>0</v>
      </c>
      <c r="H18" s="29" t="s">
        <v>783</v>
      </c>
      <c r="I18" s="31">
        <f>'附表1-GWP TABLE'!E17</f>
        <v>0</v>
      </c>
      <c r="J18" s="32"/>
      <c r="K18" s="29"/>
      <c r="L18" s="31"/>
      <c r="M18" s="32"/>
      <c r="N18" s="29"/>
      <c r="O18" s="31"/>
      <c r="P18" s="33"/>
      <c r="Q18" s="34"/>
      <c r="R18" s="35"/>
      <c r="S18" s="34"/>
      <c r="T18" s="32"/>
      <c r="U18" s="29"/>
      <c r="V18" s="36"/>
      <c r="W18" s="29"/>
      <c r="X18" s="32"/>
      <c r="Y18" s="29"/>
      <c r="Z18" s="31"/>
      <c r="AA18" s="32"/>
      <c r="AB18" s="34"/>
      <c r="AC18" s="31"/>
      <c r="AD18" s="37">
        <f>表1温室气体盘查表!AF18</f>
        <v>18406.658199999998</v>
      </c>
      <c r="AE18" s="37">
        <f>表1温室气体盘查表!AG18</f>
        <v>0</v>
      </c>
      <c r="AF18" s="37">
        <f>表1温室气体盘查表!AH18</f>
        <v>0</v>
      </c>
      <c r="AG18" s="37">
        <f>表1温室气体盘查表!AI18</f>
        <v>0</v>
      </c>
      <c r="AH18" s="37">
        <f>表1温室气体盘查表!AJ18</f>
        <v>0</v>
      </c>
      <c r="AI18" s="37">
        <f>表1温室气体盘查表!AK18</f>
        <v>0</v>
      </c>
      <c r="AJ18" s="37">
        <f>表1温室气体盘查表!AL18</f>
        <v>0</v>
      </c>
      <c r="AK18" s="37">
        <f>表1温室气体盘查表!AM18</f>
        <v>18406.658199999998</v>
      </c>
    </row>
    <row r="19" spans="1:37" s="19" customFormat="1" ht="14.25">
      <c r="A19" s="24">
        <v>15</v>
      </c>
      <c r="B19" s="25" t="str">
        <f>表1温室气体盘查表!B19</f>
        <v>制程排放</v>
      </c>
      <c r="C19" s="26" t="str">
        <f>表1温室气体盘查表!C19</f>
        <v>电极</v>
      </c>
      <c r="D19" s="27" t="str">
        <f>表1温室气体盘查表!E19</f>
        <v>范围一</v>
      </c>
      <c r="E19" s="28">
        <f>表1温室气体盘查表!F19</f>
        <v>5005.45</v>
      </c>
      <c r="F19" s="29" t="str">
        <f>表1温室气体盘查表!G19</f>
        <v>t</v>
      </c>
      <c r="G19" s="30">
        <f>'附表2-EF'!K20*10</f>
        <v>0</v>
      </c>
      <c r="H19" s="29" t="s">
        <v>784</v>
      </c>
      <c r="I19" s="31">
        <f>'附表1-GWP TABLE'!E18</f>
        <v>0</v>
      </c>
      <c r="J19" s="32"/>
      <c r="K19" s="29"/>
      <c r="L19" s="31"/>
      <c r="M19" s="32"/>
      <c r="N19" s="29"/>
      <c r="O19" s="31"/>
      <c r="P19" s="33"/>
      <c r="Q19" s="34"/>
      <c r="R19" s="35"/>
      <c r="S19" s="34"/>
      <c r="T19" s="32"/>
      <c r="U19" s="29"/>
      <c r="V19" s="36"/>
      <c r="W19" s="29"/>
      <c r="X19" s="32"/>
      <c r="Y19" s="29"/>
      <c r="Z19" s="31"/>
      <c r="AA19" s="32"/>
      <c r="AB19" s="34"/>
      <c r="AC19" s="31"/>
      <c r="AD19" s="37">
        <f>表1温室气体盘查表!AF19</f>
        <v>18334.963349999998</v>
      </c>
      <c r="AE19" s="37">
        <f>表1温室气体盘查表!AG19</f>
        <v>0</v>
      </c>
      <c r="AF19" s="37">
        <f>表1温室气体盘查表!AH19</f>
        <v>0</v>
      </c>
      <c r="AG19" s="37">
        <f>表1温室气体盘查表!AI19</f>
        <v>0</v>
      </c>
      <c r="AH19" s="37">
        <f>表1温室气体盘查表!AJ19</f>
        <v>0</v>
      </c>
      <c r="AI19" s="37">
        <f>表1温室气体盘查表!AK19</f>
        <v>0</v>
      </c>
      <c r="AJ19" s="37">
        <f>表1温室气体盘查表!AL19</f>
        <v>0</v>
      </c>
      <c r="AK19" s="37">
        <f>表1温室气体盘查表!AM19</f>
        <v>18334.963349999998</v>
      </c>
    </row>
    <row r="20" spans="1:37" s="19" customFormat="1" ht="14.25">
      <c r="A20" s="24">
        <v>16</v>
      </c>
      <c r="B20" s="25" t="str">
        <f>表1温室气体盘查表!B20</f>
        <v>制程排放</v>
      </c>
      <c r="C20" s="26" t="str">
        <f>表1温室气体盘查表!C20</f>
        <v>废钢</v>
      </c>
      <c r="D20" s="27" t="str">
        <f>表1温室气体盘查表!E20</f>
        <v>范围一</v>
      </c>
      <c r="E20" s="28">
        <f>表1温室气体盘查表!F20</f>
        <v>1119615.6599999999</v>
      </c>
      <c r="F20" s="29" t="str">
        <f>表1温室气体盘查表!G20</f>
        <v>t</v>
      </c>
      <c r="G20" s="30">
        <f>'附表2-EF'!K21*10</f>
        <v>0</v>
      </c>
      <c r="H20" s="29" t="s">
        <v>785</v>
      </c>
      <c r="I20" s="31">
        <f>'附表1-GWP TABLE'!E19</f>
        <v>0</v>
      </c>
      <c r="J20" s="32"/>
      <c r="K20" s="29"/>
      <c r="L20" s="31"/>
      <c r="M20" s="32"/>
      <c r="N20" s="29"/>
      <c r="O20" s="31"/>
      <c r="P20" s="33"/>
      <c r="Q20" s="34"/>
      <c r="R20" s="35"/>
      <c r="S20" s="34"/>
      <c r="T20" s="32"/>
      <c r="U20" s="29"/>
      <c r="V20" s="36"/>
      <c r="W20" s="29"/>
      <c r="X20" s="32"/>
      <c r="Y20" s="29"/>
      <c r="Z20" s="31"/>
      <c r="AA20" s="32"/>
      <c r="AB20" s="34"/>
      <c r="AC20" s="31"/>
      <c r="AD20" s="37">
        <f>表1温室气体盘查表!AF20</f>
        <v>41425.779419999992</v>
      </c>
      <c r="AE20" s="37">
        <f>表1温室气体盘查表!AG20</f>
        <v>0</v>
      </c>
      <c r="AF20" s="37">
        <f>表1温室气体盘查表!AH20</f>
        <v>0</v>
      </c>
      <c r="AG20" s="37">
        <f>表1温室气体盘查表!AI20</f>
        <v>0</v>
      </c>
      <c r="AH20" s="37">
        <f>表1温室气体盘查表!AJ20</f>
        <v>0</v>
      </c>
      <c r="AI20" s="37">
        <f>表1温室气体盘查表!AK20</f>
        <v>0</v>
      </c>
      <c r="AJ20" s="37">
        <f>表1温室气体盘查表!AL20</f>
        <v>0</v>
      </c>
      <c r="AK20" s="37">
        <f>表1温室气体盘查表!AM20</f>
        <v>41425.779419999992</v>
      </c>
    </row>
    <row r="21" spans="1:37" s="19" customFormat="1" ht="14.25">
      <c r="A21" s="24">
        <v>17</v>
      </c>
      <c r="B21" s="25" t="str">
        <f>表1温室气体盘查表!B21</f>
        <v>制程排放</v>
      </c>
      <c r="C21" s="26" t="str">
        <f>表1温室气体盘查表!C21</f>
        <v>高碳锰铁</v>
      </c>
      <c r="D21" s="27" t="str">
        <f>表1温室气体盘查表!E21</f>
        <v>范围一</v>
      </c>
      <c r="E21" s="28">
        <f>表1温室气体盘查表!F21</f>
        <v>41483.17</v>
      </c>
      <c r="F21" s="29" t="str">
        <f>表1温室气体盘查表!G21</f>
        <v>t</v>
      </c>
      <c r="G21" s="30">
        <f>'附表2-EF'!K22*10</f>
        <v>0</v>
      </c>
      <c r="H21" s="29" t="s">
        <v>786</v>
      </c>
      <c r="I21" s="31">
        <f>'附表1-GWP TABLE'!E20</f>
        <v>0</v>
      </c>
      <c r="J21" s="32"/>
      <c r="K21" s="29"/>
      <c r="L21" s="31"/>
      <c r="M21" s="32"/>
      <c r="N21" s="29"/>
      <c r="O21" s="31"/>
      <c r="P21" s="33"/>
      <c r="Q21" s="34"/>
      <c r="R21" s="35"/>
      <c r="S21" s="34"/>
      <c r="T21" s="32"/>
      <c r="U21" s="29"/>
      <c r="V21" s="36"/>
      <c r="W21" s="29"/>
      <c r="X21" s="32"/>
      <c r="Y21" s="29"/>
      <c r="Z21" s="31"/>
      <c r="AA21" s="32"/>
      <c r="AB21" s="34"/>
      <c r="AC21" s="31"/>
      <c r="AD21" s="37">
        <f>表1温室气体盘查表!AF21</f>
        <v>11407.87175</v>
      </c>
      <c r="AE21" s="37">
        <f>表1温室气体盘查表!AG21</f>
        <v>0</v>
      </c>
      <c r="AF21" s="37">
        <f>表1温室气体盘查表!AH21</f>
        <v>0</v>
      </c>
      <c r="AG21" s="37">
        <f>表1温室气体盘查表!AI21</f>
        <v>0</v>
      </c>
      <c r="AH21" s="37">
        <f>表1温室气体盘查表!AJ21</f>
        <v>0</v>
      </c>
      <c r="AI21" s="37">
        <f>表1温室气体盘查表!AK21</f>
        <v>0</v>
      </c>
      <c r="AJ21" s="37">
        <f>表1温室气体盘查表!AL21</f>
        <v>0</v>
      </c>
      <c r="AK21" s="37">
        <f>表1温室气体盘查表!AM21</f>
        <v>11407.87175</v>
      </c>
    </row>
    <row r="22" spans="1:37" s="19" customFormat="1" ht="14.25">
      <c r="A22" s="24">
        <v>18</v>
      </c>
      <c r="B22" s="25" t="str">
        <f>表1温室气体盘查表!B22</f>
        <v>制程排放</v>
      </c>
      <c r="C22" s="26" t="str">
        <f>表1温室气体盘查表!C22</f>
        <v>锰硅合金</v>
      </c>
      <c r="D22" s="27" t="str">
        <f>表1温室气体盘查表!E22</f>
        <v>范围一</v>
      </c>
      <c r="E22" s="28">
        <f>表1温室气体盘查表!F22</f>
        <v>2887.69</v>
      </c>
      <c r="F22" s="29" t="str">
        <f>表1温室气体盘查表!G22</f>
        <v>t</v>
      </c>
      <c r="G22" s="30">
        <f>'附表2-EF'!K23*10</f>
        <v>0</v>
      </c>
      <c r="H22" s="29" t="s">
        <v>787</v>
      </c>
      <c r="I22" s="31">
        <f>'附表1-GWP TABLE'!E21</f>
        <v>0</v>
      </c>
      <c r="J22" s="32"/>
      <c r="K22" s="29"/>
      <c r="L22" s="31"/>
      <c r="M22" s="32"/>
      <c r="N22" s="29"/>
      <c r="O22" s="31"/>
      <c r="P22" s="33"/>
      <c r="Q22" s="34"/>
      <c r="R22" s="35"/>
      <c r="S22" s="34"/>
      <c r="T22" s="32"/>
      <c r="U22" s="29"/>
      <c r="V22" s="36"/>
      <c r="W22" s="29"/>
      <c r="X22" s="32"/>
      <c r="Y22" s="29"/>
      <c r="Z22" s="31"/>
      <c r="AA22" s="32"/>
      <c r="AB22" s="34"/>
      <c r="AC22" s="31"/>
      <c r="AD22" s="37">
        <f>表1温室气体盘查表!AF22</f>
        <v>265.66748000000001</v>
      </c>
      <c r="AE22" s="37">
        <f>表1温室气体盘查表!AG22</f>
        <v>0</v>
      </c>
      <c r="AF22" s="37">
        <f>表1温室气体盘查表!AH22</f>
        <v>0</v>
      </c>
      <c r="AG22" s="37">
        <f>表1温室气体盘查表!AI22</f>
        <v>0</v>
      </c>
      <c r="AH22" s="37">
        <f>表1温室气体盘查表!AJ22</f>
        <v>0</v>
      </c>
      <c r="AI22" s="37">
        <f>表1温室气体盘查表!AK22</f>
        <v>0</v>
      </c>
      <c r="AJ22" s="37">
        <f>表1温室气体盘查表!AL22</f>
        <v>0</v>
      </c>
      <c r="AK22" s="37">
        <f>表1温室气体盘查表!AM22</f>
        <v>265.66748000000001</v>
      </c>
    </row>
    <row r="23" spans="1:37" s="19" customFormat="1" ht="14.25">
      <c r="A23" s="24">
        <v>19</v>
      </c>
      <c r="B23" s="25" t="str">
        <f>表1温室气体盘查表!B23</f>
        <v>制程排放</v>
      </c>
      <c r="C23" s="26" t="str">
        <f>表1温室气体盘查表!C23</f>
        <v>镍铁</v>
      </c>
      <c r="D23" s="27" t="str">
        <f>表1温室气体盘查表!E23</f>
        <v>范围一</v>
      </c>
      <c r="E23" s="28">
        <f>表1温室气体盘查表!F23</f>
        <v>9943.2000000000007</v>
      </c>
      <c r="F23" s="29" t="str">
        <f>表1温室气体盘查表!G23</f>
        <v>t</v>
      </c>
      <c r="G23" s="30">
        <f>'附表2-EF'!K24*10</f>
        <v>0</v>
      </c>
      <c r="H23" s="29" t="s">
        <v>788</v>
      </c>
      <c r="I23" s="31">
        <f>'附表1-GWP TABLE'!E22</f>
        <v>0</v>
      </c>
      <c r="J23" s="32"/>
      <c r="K23" s="29"/>
      <c r="L23" s="31"/>
      <c r="M23" s="32"/>
      <c r="N23" s="29"/>
      <c r="O23" s="31"/>
      <c r="P23" s="33"/>
      <c r="Q23" s="34"/>
      <c r="R23" s="35"/>
      <c r="S23" s="34"/>
      <c r="T23" s="32"/>
      <c r="U23" s="29"/>
      <c r="V23" s="36"/>
      <c r="W23" s="29"/>
      <c r="X23" s="32"/>
      <c r="Y23" s="29"/>
      <c r="Z23" s="31"/>
      <c r="AA23" s="32"/>
      <c r="AB23" s="34"/>
      <c r="AC23" s="31"/>
      <c r="AD23" s="37">
        <f>表1温室气体盘查表!AF23</f>
        <v>367.89839999999998</v>
      </c>
      <c r="AE23" s="37">
        <f>表1温室气体盘查表!AG23</f>
        <v>0</v>
      </c>
      <c r="AF23" s="37">
        <f>表1温室气体盘查表!AH23</f>
        <v>0</v>
      </c>
      <c r="AG23" s="37">
        <f>表1温室气体盘查表!AI23</f>
        <v>0</v>
      </c>
      <c r="AH23" s="37">
        <f>表1温室气体盘查表!AJ23</f>
        <v>0</v>
      </c>
      <c r="AI23" s="37">
        <f>表1温室气体盘查表!AK23</f>
        <v>0</v>
      </c>
      <c r="AJ23" s="37">
        <f>表1温室气体盘查表!AL23</f>
        <v>0</v>
      </c>
      <c r="AK23" s="37">
        <f>表1温室气体盘查表!AM23</f>
        <v>367.89839999999998</v>
      </c>
    </row>
    <row r="24" spans="1:37" s="19" customFormat="1" ht="14.25">
      <c r="A24" s="24">
        <v>20</v>
      </c>
      <c r="B24" s="25" t="str">
        <f>表1温室气体盘查表!B24</f>
        <v>制程排放</v>
      </c>
      <c r="C24" s="26" t="str">
        <f>表1温室气体盘查表!C24</f>
        <v>高碳铬铁</v>
      </c>
      <c r="D24" s="27" t="str">
        <f>表1温室气体盘查表!E24</f>
        <v>范围一</v>
      </c>
      <c r="E24" s="28">
        <f>表1温室气体盘查表!F24</f>
        <v>40208.129999999997</v>
      </c>
      <c r="F24" s="29" t="str">
        <f>表1温室气体盘查表!G24</f>
        <v>t</v>
      </c>
      <c r="G24" s="30">
        <f>'附表2-EF'!K25*10</f>
        <v>0</v>
      </c>
      <c r="H24" s="29" t="s">
        <v>789</v>
      </c>
      <c r="I24" s="31">
        <f>'附表1-GWP TABLE'!E23</f>
        <v>0</v>
      </c>
      <c r="J24" s="32"/>
      <c r="K24" s="29"/>
      <c r="L24" s="31"/>
      <c r="M24" s="32"/>
      <c r="N24" s="29"/>
      <c r="O24" s="31"/>
      <c r="P24" s="33"/>
      <c r="Q24" s="34"/>
      <c r="R24" s="35"/>
      <c r="S24" s="34"/>
      <c r="T24" s="32"/>
      <c r="U24" s="29"/>
      <c r="V24" s="36"/>
      <c r="W24" s="29"/>
      <c r="X24" s="32"/>
      <c r="Y24" s="29"/>
      <c r="Z24" s="31"/>
      <c r="AA24" s="32"/>
      <c r="AB24" s="34"/>
      <c r="AC24" s="31"/>
      <c r="AD24" s="37">
        <f>表1温室气体盘查表!AF24</f>
        <v>13992.429239999998</v>
      </c>
      <c r="AE24" s="37">
        <f>表1温室气体盘查表!AG24</f>
        <v>0</v>
      </c>
      <c r="AF24" s="37">
        <f>表1温室气体盘查表!AH24</f>
        <v>0</v>
      </c>
      <c r="AG24" s="37">
        <f>表1温室气体盘查表!AI24</f>
        <v>0</v>
      </c>
      <c r="AH24" s="37">
        <f>表1温室气体盘查表!AJ24</f>
        <v>0</v>
      </c>
      <c r="AI24" s="37">
        <f>表1温室气体盘查表!AK24</f>
        <v>0</v>
      </c>
      <c r="AJ24" s="37">
        <f>表1温室气体盘查表!AL24</f>
        <v>0</v>
      </c>
      <c r="AK24" s="37">
        <f>表1温室气体盘查表!AM24</f>
        <v>13992.429239999998</v>
      </c>
    </row>
    <row r="25" spans="1:37" s="19" customFormat="1" ht="14.25">
      <c r="A25" s="24">
        <v>21</v>
      </c>
      <c r="B25" s="25" t="str">
        <f>表1温室气体盘查表!B25</f>
        <v>制程排放</v>
      </c>
      <c r="C25" s="26" t="str">
        <f>表1温室气体盘查表!C25</f>
        <v>硅铁</v>
      </c>
      <c r="D25" s="27" t="str">
        <f>表1温室气体盘查表!E25</f>
        <v>范围一</v>
      </c>
      <c r="E25" s="28">
        <f>表1温室气体盘查表!F25</f>
        <v>11808.08</v>
      </c>
      <c r="F25" s="29" t="str">
        <f>表1温室气体盘查表!G25</f>
        <v>t</v>
      </c>
      <c r="G25" s="30">
        <f>'附表2-EF'!K26*10</f>
        <v>0</v>
      </c>
      <c r="H25" s="29" t="s">
        <v>790</v>
      </c>
      <c r="I25" s="31">
        <f>'附表1-GWP TABLE'!E24</f>
        <v>0</v>
      </c>
      <c r="J25" s="32"/>
      <c r="K25" s="29"/>
      <c r="L25" s="31"/>
      <c r="M25" s="32"/>
      <c r="N25" s="29"/>
      <c r="O25" s="31"/>
      <c r="P25" s="33"/>
      <c r="Q25" s="34"/>
      <c r="R25" s="35"/>
      <c r="S25" s="34"/>
      <c r="T25" s="32"/>
      <c r="U25" s="29"/>
      <c r="V25" s="36"/>
      <c r="W25" s="29"/>
      <c r="X25" s="32"/>
      <c r="Y25" s="29"/>
      <c r="Z25" s="31"/>
      <c r="AA25" s="32"/>
      <c r="AB25" s="34"/>
      <c r="AC25" s="31"/>
      <c r="AD25" s="37">
        <f>表1温室气体盘查表!AF25</f>
        <v>82.656559999999999</v>
      </c>
      <c r="AE25" s="37">
        <f>表1温室气体盘查表!AG25</f>
        <v>0</v>
      </c>
      <c r="AF25" s="37">
        <f>表1温室气体盘查表!AH25</f>
        <v>0</v>
      </c>
      <c r="AG25" s="37">
        <f>表1温室气体盘查表!AI25</f>
        <v>0</v>
      </c>
      <c r="AH25" s="37">
        <f>表1温室气体盘查表!AJ25</f>
        <v>0</v>
      </c>
      <c r="AI25" s="37">
        <f>表1温室气体盘查表!AK25</f>
        <v>0</v>
      </c>
      <c r="AJ25" s="37">
        <f>表1温室气体盘查表!AL25</f>
        <v>0</v>
      </c>
      <c r="AK25" s="37">
        <f>表1温室气体盘查表!AM25</f>
        <v>82.656559999999999</v>
      </c>
    </row>
    <row r="26" spans="1:37" s="19" customFormat="1" ht="14.25">
      <c r="A26" s="24">
        <v>22</v>
      </c>
      <c r="B26" s="25" t="str">
        <f>表1温室气体盘查表!B26</f>
        <v>制程排放</v>
      </c>
      <c r="C26" s="26" t="str">
        <f>表1温室气体盘查表!C26</f>
        <v>钼铁</v>
      </c>
      <c r="D26" s="27" t="str">
        <f>表1温室气体盘查表!E26</f>
        <v>范围一</v>
      </c>
      <c r="E26" s="28">
        <f>表1温室气体盘查表!F26</f>
        <v>7268.72</v>
      </c>
      <c r="F26" s="29" t="str">
        <f>表1温室气体盘查表!G26</f>
        <v>t</v>
      </c>
      <c r="G26" s="30">
        <f>'附表2-EF'!K27*10</f>
        <v>0</v>
      </c>
      <c r="H26" s="29" t="s">
        <v>791</v>
      </c>
      <c r="I26" s="31">
        <f>'附表1-GWP TABLE'!E25</f>
        <v>0</v>
      </c>
      <c r="J26" s="32"/>
      <c r="K26" s="29"/>
      <c r="L26" s="31"/>
      <c r="M26" s="32"/>
      <c r="N26" s="29"/>
      <c r="O26" s="31"/>
      <c r="P26" s="33"/>
      <c r="Q26" s="34"/>
      <c r="R26" s="35"/>
      <c r="S26" s="34"/>
      <c r="T26" s="32"/>
      <c r="U26" s="29"/>
      <c r="V26" s="36"/>
      <c r="W26" s="29"/>
      <c r="X26" s="32"/>
      <c r="Y26" s="29"/>
      <c r="Z26" s="31"/>
      <c r="AA26" s="32"/>
      <c r="AB26" s="34"/>
      <c r="AC26" s="31"/>
      <c r="AD26" s="37">
        <f>表1温室气体盘查表!AF26</f>
        <v>130.83696</v>
      </c>
      <c r="AE26" s="37">
        <f>表1温室气体盘查表!AG26</f>
        <v>0</v>
      </c>
      <c r="AF26" s="37">
        <f>表1温室气体盘查表!AH26</f>
        <v>0</v>
      </c>
      <c r="AG26" s="37">
        <f>表1温室气体盘查表!AI26</f>
        <v>0</v>
      </c>
      <c r="AH26" s="37">
        <f>表1温室气体盘查表!AJ26</f>
        <v>0</v>
      </c>
      <c r="AI26" s="37">
        <f>表1温室气体盘查表!AK26</f>
        <v>0</v>
      </c>
      <c r="AJ26" s="37">
        <f>表1温室气体盘查表!AL26</f>
        <v>0</v>
      </c>
      <c r="AK26" s="37">
        <f>表1温室气体盘查表!AM26</f>
        <v>130.83696</v>
      </c>
    </row>
    <row r="27" spans="1:37" s="16" customFormat="1" ht="14.25">
      <c r="A27" s="24">
        <v>23</v>
      </c>
      <c r="B27" s="25" t="str">
        <f>表1温室气体盘查表!B27</f>
        <v>制程排放</v>
      </c>
      <c r="C27" s="26" t="str">
        <f>表1温室气体盘查表!C27</f>
        <v>粗钢</v>
      </c>
      <c r="D27" s="27" t="str">
        <f>表1温室气体盘查表!E27</f>
        <v>范围一</v>
      </c>
      <c r="E27" s="28">
        <f>表1温室气体盘查表!F27</f>
        <v>-4484542.6500000004</v>
      </c>
      <c r="F27" s="29" t="str">
        <f>表1温室气体盘查表!G27</f>
        <v>t</v>
      </c>
      <c r="G27" s="30">
        <f>'附表2-EF'!K28*10</f>
        <v>0</v>
      </c>
      <c r="H27" s="29" t="s">
        <v>792</v>
      </c>
      <c r="I27" s="31">
        <f>'附表1-GWP TABLE'!E26</f>
        <v>0</v>
      </c>
      <c r="J27" s="32"/>
      <c r="K27" s="29"/>
      <c r="L27" s="31"/>
      <c r="M27" s="32"/>
      <c r="N27" s="29"/>
      <c r="O27" s="31"/>
      <c r="P27" s="33"/>
      <c r="Q27" s="34"/>
      <c r="R27" s="35"/>
      <c r="S27" s="34"/>
      <c r="T27" s="32"/>
      <c r="U27" s="29"/>
      <c r="V27" s="36"/>
      <c r="W27" s="29"/>
      <c r="X27" s="32"/>
      <c r="Y27" s="29"/>
      <c r="Z27" s="31"/>
      <c r="AA27" s="32"/>
      <c r="AB27" s="34"/>
      <c r="AC27" s="31"/>
      <c r="AD27" s="37">
        <f>表1温室气体盘查表!AF27</f>
        <v>-165928.07805000001</v>
      </c>
      <c r="AE27" s="37">
        <f>表1温室气体盘查表!AG27</f>
        <v>0</v>
      </c>
      <c r="AF27" s="37">
        <f>表1温室气体盘查表!AH27</f>
        <v>0</v>
      </c>
      <c r="AG27" s="37">
        <f>表1温室气体盘查表!AI27</f>
        <v>0</v>
      </c>
      <c r="AH27" s="37">
        <f>表1温室气体盘查表!AJ27</f>
        <v>0</v>
      </c>
      <c r="AI27" s="37">
        <f>表1温室气体盘查表!AK27</f>
        <v>0</v>
      </c>
      <c r="AJ27" s="37">
        <f>表1温室气体盘查表!AL27</f>
        <v>0</v>
      </c>
      <c r="AK27" s="37">
        <f>表1温室气体盘查表!AM27</f>
        <v>-165928.07805000001</v>
      </c>
    </row>
    <row r="28" spans="1:37" s="16" customFormat="1" ht="14.25">
      <c r="A28" s="24">
        <v>24</v>
      </c>
      <c r="B28" s="25" t="str">
        <f>表1温室气体盘查表!B28</f>
        <v>制程排放</v>
      </c>
      <c r="C28" s="26" t="str">
        <f>表1温室气体盘查表!C28</f>
        <v>粗苯</v>
      </c>
      <c r="D28" s="27" t="str">
        <f>表1温室气体盘查表!E28</f>
        <v>范围一</v>
      </c>
      <c r="E28" s="28">
        <f>表1温室气体盘查表!F28</f>
        <v>-20393.52</v>
      </c>
      <c r="F28" s="29" t="str">
        <f>表1温室气体盘查表!G28</f>
        <v>t</v>
      </c>
      <c r="G28" s="30">
        <f>'附表2-EF'!K29*10</f>
        <v>0</v>
      </c>
      <c r="H28" s="29" t="s">
        <v>793</v>
      </c>
      <c r="I28" s="31">
        <f>'附表1-GWP TABLE'!E27</f>
        <v>0</v>
      </c>
      <c r="J28" s="32"/>
      <c r="K28" s="29"/>
      <c r="L28" s="31"/>
      <c r="M28" s="32"/>
      <c r="N28" s="29"/>
      <c r="O28" s="31"/>
      <c r="P28" s="33"/>
      <c r="Q28" s="34"/>
      <c r="R28" s="35"/>
      <c r="S28" s="34"/>
      <c r="T28" s="32"/>
      <c r="U28" s="29"/>
      <c r="V28" s="36"/>
      <c r="W28" s="29"/>
      <c r="X28" s="32"/>
      <c r="Y28" s="29"/>
      <c r="Z28" s="31"/>
      <c r="AA28" s="32"/>
      <c r="AB28" s="34"/>
      <c r="AC28" s="31"/>
      <c r="AD28" s="37">
        <f>表1温室气体盘查表!AF28</f>
        <v>-68970.884640000004</v>
      </c>
      <c r="AE28" s="37">
        <f>表1温室气体盘查表!AG28</f>
        <v>0</v>
      </c>
      <c r="AF28" s="37">
        <f>表1温室气体盘查表!AH28</f>
        <v>0</v>
      </c>
      <c r="AG28" s="37">
        <f>表1温室气体盘查表!AI28</f>
        <v>0</v>
      </c>
      <c r="AH28" s="37">
        <f>表1温室气体盘查表!AJ28</f>
        <v>0</v>
      </c>
      <c r="AI28" s="37">
        <f>表1温室气体盘查表!AK28</f>
        <v>0</v>
      </c>
      <c r="AJ28" s="37">
        <f>表1温室气体盘查表!AL28</f>
        <v>0</v>
      </c>
      <c r="AK28" s="37">
        <f>表1温室气体盘查表!AM28</f>
        <v>-68970.884640000004</v>
      </c>
    </row>
    <row r="29" spans="1:37" s="16" customFormat="1" ht="14.25">
      <c r="A29" s="24">
        <v>25</v>
      </c>
      <c r="B29" s="25" t="str">
        <f>表1温室气体盘查表!B29</f>
        <v>制程排放</v>
      </c>
      <c r="C29" s="26" t="str">
        <f>表1温室气体盘查表!C29</f>
        <v>焦油</v>
      </c>
      <c r="D29" s="27" t="str">
        <f>表1温室气体盘查表!E29</f>
        <v>范围一</v>
      </c>
      <c r="E29" s="28">
        <f>表1温室气体盘查表!F29</f>
        <v>-60565.599999999999</v>
      </c>
      <c r="F29" s="29" t="str">
        <f>表1温室气体盘查表!G29</f>
        <v>t</v>
      </c>
      <c r="G29" s="30">
        <f>'附表2-EF'!K30*10</f>
        <v>0</v>
      </c>
      <c r="H29" s="29" t="s">
        <v>794</v>
      </c>
      <c r="I29" s="31">
        <f>'附表1-GWP TABLE'!E28</f>
        <v>0</v>
      </c>
      <c r="J29" s="32"/>
      <c r="K29" s="29"/>
      <c r="L29" s="31"/>
      <c r="M29" s="32"/>
      <c r="N29" s="29"/>
      <c r="O29" s="31"/>
      <c r="P29" s="33"/>
      <c r="Q29" s="34"/>
      <c r="R29" s="35"/>
      <c r="S29" s="34"/>
      <c r="T29" s="32"/>
      <c r="U29" s="29"/>
      <c r="V29" s="36"/>
      <c r="W29" s="29"/>
      <c r="X29" s="32"/>
      <c r="Y29" s="29"/>
      <c r="Z29" s="31"/>
      <c r="AA29" s="32"/>
      <c r="AB29" s="34"/>
      <c r="AC29" s="31"/>
      <c r="AD29" s="37">
        <f>表1温室气体盘查表!AF29</f>
        <v>-163466.55439999999</v>
      </c>
      <c r="AE29" s="37">
        <f>表1温室气体盘查表!AG29</f>
        <v>0</v>
      </c>
      <c r="AF29" s="37">
        <f>表1温室气体盘查表!AH29</f>
        <v>0</v>
      </c>
      <c r="AG29" s="37">
        <f>表1温室气体盘查表!AI29</f>
        <v>0</v>
      </c>
      <c r="AH29" s="37">
        <f>表1温室气体盘查表!AJ29</f>
        <v>0</v>
      </c>
      <c r="AI29" s="37">
        <f>表1温室气体盘查表!AK29</f>
        <v>0</v>
      </c>
      <c r="AJ29" s="37">
        <f>表1温室气体盘查表!AL29</f>
        <v>0</v>
      </c>
      <c r="AK29" s="37">
        <f>表1温室气体盘查表!AM29</f>
        <v>-163466.55439999999</v>
      </c>
    </row>
    <row r="30" spans="1:37" s="16" customFormat="1" ht="16.5">
      <c r="A30" s="24">
        <v>26</v>
      </c>
      <c r="B30" s="25" t="str">
        <f>表1温室气体盘查表!B31</f>
        <v>输入能源间接温室气体排放</v>
      </c>
      <c r="C30" s="26" t="str">
        <f>表1温室气体盘查表!C31</f>
        <v>外购电力（基于市场）</v>
      </c>
      <c r="D30" s="27" t="str">
        <f>表1温室气体盘查表!E31</f>
        <v>范围二</v>
      </c>
      <c r="E30" s="28">
        <f>表1温室气体盘查表!F31</f>
        <v>1946850.83</v>
      </c>
      <c r="F30" s="29" t="str">
        <f>表1温室气体盘查表!G31</f>
        <v>MWh</v>
      </c>
      <c r="G30" s="30">
        <f>'附表2-EF'!K32*10</f>
        <v>0</v>
      </c>
      <c r="H30" s="29" t="s">
        <v>861</v>
      </c>
      <c r="I30" s="31">
        <f>'附表1-GWP TABLE'!E30</f>
        <v>0</v>
      </c>
      <c r="J30" s="32"/>
      <c r="K30" s="29"/>
      <c r="L30" s="31"/>
      <c r="M30" s="32"/>
      <c r="N30" s="29"/>
      <c r="O30" s="31"/>
      <c r="P30" s="33"/>
      <c r="Q30" s="34"/>
      <c r="R30" s="35"/>
      <c r="S30" s="34"/>
      <c r="T30" s="32"/>
      <c r="U30" s="29"/>
      <c r="V30" s="36"/>
      <c r="W30" s="29"/>
      <c r="X30" s="32"/>
      <c r="Y30" s="29"/>
      <c r="Z30" s="31"/>
      <c r="AA30" s="32"/>
      <c r="AB30" s="34"/>
      <c r="AC30" s="31"/>
      <c r="AD30" s="37">
        <f>表1温室气体盘查表!AF31</f>
        <v>1186800.2659680001</v>
      </c>
      <c r="AE30" s="37">
        <f>表1温室气体盘查表!AG31</f>
        <v>0</v>
      </c>
      <c r="AF30" s="37">
        <f>表1温室气体盘查表!AH31</f>
        <v>0</v>
      </c>
      <c r="AG30" s="37">
        <f>表1温室气体盘查表!AI31</f>
        <v>0</v>
      </c>
      <c r="AH30" s="37">
        <f>表1温室气体盘查表!AJ31</f>
        <v>0</v>
      </c>
      <c r="AI30" s="37">
        <f>表1温室气体盘查表!AK31</f>
        <v>0</v>
      </c>
      <c r="AJ30" s="37">
        <f>表1温室气体盘查表!AL31</f>
        <v>0</v>
      </c>
      <c r="AK30" s="37">
        <f>表1温室气体盘查表!AM31</f>
        <v>1186800.2659680001</v>
      </c>
    </row>
    <row r="31" spans="1:37" s="16" customFormat="1" ht="18">
      <c r="A31" s="24">
        <v>27</v>
      </c>
      <c r="B31" s="25" t="str">
        <f>表1温室气体盘查表!B32</f>
        <v>外购商品和服务的上游排放</v>
      </c>
      <c r="C31" s="26" t="str">
        <f>表1温室气体盘查表!C32</f>
        <v>铁矿石生产</v>
      </c>
      <c r="D31" s="27" t="str">
        <f>表1温室气体盘查表!E32</f>
        <v>范围三 类别1</v>
      </c>
      <c r="E31" s="28">
        <f>表1温室气体盘查表!F32</f>
        <v>4854324.07</v>
      </c>
      <c r="F31" s="29" t="str">
        <f>表1温室气体盘查表!G32</f>
        <v>t</v>
      </c>
      <c r="G31" s="30">
        <f>'附表2-EF'!K33*10</f>
        <v>0</v>
      </c>
      <c r="H31" s="29" t="s">
        <v>796</v>
      </c>
      <c r="I31" s="31">
        <f>'附表1-GWP TABLE'!E31</f>
        <v>0</v>
      </c>
      <c r="J31" s="32"/>
      <c r="K31" s="29"/>
      <c r="L31" s="31"/>
      <c r="M31" s="32"/>
      <c r="N31" s="29"/>
      <c r="O31" s="31"/>
      <c r="P31" s="33"/>
      <c r="Q31" s="34"/>
      <c r="R31" s="35"/>
      <c r="S31" s="34"/>
      <c r="T31" s="32"/>
      <c r="U31" s="29"/>
      <c r="V31" s="36"/>
      <c r="W31" s="29"/>
      <c r="X31" s="32"/>
      <c r="Y31" s="29"/>
      <c r="Z31" s="31"/>
      <c r="AA31" s="32"/>
      <c r="AB31" s="34"/>
      <c r="AC31" s="31"/>
      <c r="AD31" s="37">
        <f>表1温室气体盘查表!AF32</f>
        <v>479835.37134729006</v>
      </c>
      <c r="AE31" s="37">
        <f>表1温室气体盘查表!AG32</f>
        <v>0</v>
      </c>
      <c r="AF31" s="37">
        <f>表1温室气体盘查表!AH32</f>
        <v>0</v>
      </c>
      <c r="AG31" s="37">
        <f>表1温室气体盘查表!AI32</f>
        <v>0</v>
      </c>
      <c r="AH31" s="37">
        <f>表1温室气体盘查表!AJ32</f>
        <v>0</v>
      </c>
      <c r="AI31" s="37">
        <f>表1温室气体盘查表!AK32</f>
        <v>0</v>
      </c>
      <c r="AJ31" s="37">
        <f>表1温室气体盘查表!AL32</f>
        <v>0</v>
      </c>
      <c r="AK31" s="37">
        <f>表1温室气体盘查表!AM32</f>
        <v>479835.37134729006</v>
      </c>
    </row>
    <row r="32" spans="1:37" s="16" customFormat="1" ht="18">
      <c r="A32" s="24">
        <v>28</v>
      </c>
      <c r="B32" s="25" t="str">
        <f>表1温室气体盘查表!B33</f>
        <v>外购商品和服务的上游排放</v>
      </c>
      <c r="C32" s="26" t="str">
        <f>表1温室气体盘查表!C33</f>
        <v>生石灰生产</v>
      </c>
      <c r="D32" s="27" t="str">
        <f>表1温室气体盘查表!E33</f>
        <v>范围三 类别1</v>
      </c>
      <c r="E32" s="28">
        <f>表1温室气体盘查表!F33</f>
        <v>199182.36</v>
      </c>
      <c r="F32" s="29" t="str">
        <f>表1温室气体盘查表!G33</f>
        <v>t</v>
      </c>
      <c r="G32" s="30">
        <f>'附表2-EF'!K34*10</f>
        <v>0</v>
      </c>
      <c r="H32" s="29" t="s">
        <v>797</v>
      </c>
      <c r="I32" s="31">
        <f>'附表1-GWP TABLE'!E32</f>
        <v>0</v>
      </c>
      <c r="J32" s="32"/>
      <c r="K32" s="29"/>
      <c r="L32" s="31"/>
      <c r="M32" s="32"/>
      <c r="N32" s="29"/>
      <c r="O32" s="31"/>
      <c r="P32" s="33"/>
      <c r="Q32" s="34"/>
      <c r="R32" s="35"/>
      <c r="S32" s="34"/>
      <c r="T32" s="32"/>
      <c r="U32" s="29"/>
      <c r="V32" s="36"/>
      <c r="W32" s="29"/>
      <c r="X32" s="32"/>
      <c r="Y32" s="29"/>
      <c r="Z32" s="31"/>
      <c r="AA32" s="32"/>
      <c r="AB32" s="34"/>
      <c r="AC32" s="31"/>
      <c r="AD32" s="37">
        <f>表1温室气体盘查表!AF33</f>
        <v>236961.26162730961</v>
      </c>
      <c r="AE32" s="37">
        <f>表1温室气体盘查表!AG33</f>
        <v>0</v>
      </c>
      <c r="AF32" s="37">
        <f>表1温室气体盘查表!AH33</f>
        <v>0</v>
      </c>
      <c r="AG32" s="37">
        <f>表1温室气体盘查表!AI33</f>
        <v>0</v>
      </c>
      <c r="AH32" s="37">
        <f>表1温室气体盘查表!AJ33</f>
        <v>0</v>
      </c>
      <c r="AI32" s="37">
        <f>表1温室气体盘查表!AK33</f>
        <v>0</v>
      </c>
      <c r="AJ32" s="37">
        <f>表1温室气体盘查表!AL33</f>
        <v>0</v>
      </c>
      <c r="AK32" s="37">
        <f>表1温室气体盘查表!AM33</f>
        <v>236961.26162730961</v>
      </c>
    </row>
    <row r="33" spans="1:37" s="16" customFormat="1" ht="18">
      <c r="A33" s="24">
        <v>29</v>
      </c>
      <c r="B33" s="25" t="str">
        <f>表1温室气体盘查表!B34</f>
        <v>外购商品和服务的上游排放</v>
      </c>
      <c r="C33" s="26" t="str">
        <f>表1温室气体盘查表!C34</f>
        <v>白云石生产</v>
      </c>
      <c r="D33" s="27" t="str">
        <f>表1温室气体盘查表!E34</f>
        <v>范围三 类别1</v>
      </c>
      <c r="E33" s="28">
        <f>表1温室气体盘查表!F34</f>
        <v>38669.449999999997</v>
      </c>
      <c r="F33" s="29" t="str">
        <f>表1温室气体盘查表!G34</f>
        <v>t</v>
      </c>
      <c r="G33" s="30" t="e">
        <f>'附表2-EF'!K35*10</f>
        <v>#VALUE!</v>
      </c>
      <c r="H33" s="29" t="s">
        <v>798</v>
      </c>
      <c r="I33" s="31">
        <f>'附表1-GWP TABLE'!E33</f>
        <v>0</v>
      </c>
      <c r="J33" s="32"/>
      <c r="K33" s="29"/>
      <c r="L33" s="31"/>
      <c r="M33" s="32"/>
      <c r="N33" s="29"/>
      <c r="O33" s="31"/>
      <c r="P33" s="33"/>
      <c r="Q33" s="34"/>
      <c r="R33" s="35"/>
      <c r="S33" s="34"/>
      <c r="T33" s="32"/>
      <c r="U33" s="29"/>
      <c r="V33" s="36"/>
      <c r="W33" s="29"/>
      <c r="X33" s="32"/>
      <c r="Y33" s="29"/>
      <c r="Z33" s="31"/>
      <c r="AA33" s="32"/>
      <c r="AB33" s="34"/>
      <c r="AC33" s="31"/>
      <c r="AD33" s="37">
        <f>表1温室气体盘查表!AF34</f>
        <v>5039.7894184999996</v>
      </c>
      <c r="AE33" s="37">
        <f>表1温室气体盘查表!AG34</f>
        <v>0</v>
      </c>
      <c r="AF33" s="37">
        <f>表1温室气体盘查表!AH34</f>
        <v>0</v>
      </c>
      <c r="AG33" s="37">
        <f>表1温室气体盘查表!AI34</f>
        <v>0</v>
      </c>
      <c r="AH33" s="37">
        <f>表1温室气体盘查表!AJ34</f>
        <v>0</v>
      </c>
      <c r="AI33" s="37">
        <f>表1温室气体盘查表!AK34</f>
        <v>0</v>
      </c>
      <c r="AJ33" s="37">
        <f>表1温室气体盘查表!AL34</f>
        <v>0</v>
      </c>
      <c r="AK33" s="37">
        <f>表1温室气体盘查表!AM34</f>
        <v>5039.7894184999996</v>
      </c>
    </row>
    <row r="34" spans="1:37" s="16" customFormat="1" ht="18">
      <c r="A34" s="24">
        <v>30</v>
      </c>
      <c r="B34" s="25" t="str">
        <f>表1温室气体盘查表!B35</f>
        <v>外购商品和服务的上游排放</v>
      </c>
      <c r="C34" s="26" t="str">
        <f>表1温室气体盘查表!C35</f>
        <v>球团生产</v>
      </c>
      <c r="D34" s="27" t="str">
        <f>表1温室气体盘查表!E35</f>
        <v>范围三 类别1</v>
      </c>
      <c r="E34" s="28">
        <f>表1温室气体盘查表!F35</f>
        <v>681993.89</v>
      </c>
      <c r="F34" s="29" t="str">
        <f>表1温室气体盘查表!G35</f>
        <v>t</v>
      </c>
      <c r="G34" s="30">
        <f>'附表2-EF'!K36*10</f>
        <v>0</v>
      </c>
      <c r="H34" s="29" t="s">
        <v>799</v>
      </c>
      <c r="I34" s="31">
        <f>'附表1-GWP TABLE'!E34</f>
        <v>0</v>
      </c>
      <c r="J34" s="32"/>
      <c r="K34" s="29"/>
      <c r="L34" s="31"/>
      <c r="M34" s="32"/>
      <c r="N34" s="29"/>
      <c r="O34" s="31"/>
      <c r="P34" s="33"/>
      <c r="Q34" s="34"/>
      <c r="R34" s="35"/>
      <c r="S34" s="34"/>
      <c r="T34" s="32"/>
      <c r="U34" s="29"/>
      <c r="V34" s="36"/>
      <c r="W34" s="29"/>
      <c r="X34" s="32"/>
      <c r="Y34" s="29"/>
      <c r="Z34" s="31"/>
      <c r="AA34" s="32"/>
      <c r="AB34" s="34"/>
      <c r="AC34" s="31"/>
      <c r="AD34" s="37">
        <f>表1温室气体盘查表!AF35</f>
        <v>71241.081749399993</v>
      </c>
      <c r="AE34" s="37">
        <f>表1温室气体盘查表!AG35</f>
        <v>0</v>
      </c>
      <c r="AF34" s="37">
        <f>表1温室气体盘查表!AH35</f>
        <v>0</v>
      </c>
      <c r="AG34" s="37">
        <f>表1温室气体盘查表!AI35</f>
        <v>0</v>
      </c>
      <c r="AH34" s="37">
        <f>表1温室气体盘查表!AJ35</f>
        <v>0</v>
      </c>
      <c r="AI34" s="37">
        <f>表1温室气体盘查表!AK35</f>
        <v>0</v>
      </c>
      <c r="AJ34" s="37">
        <f>表1温室气体盘查表!AL35</f>
        <v>0</v>
      </c>
      <c r="AK34" s="37">
        <f>表1温室气体盘查表!AM35</f>
        <v>71241.081749399993</v>
      </c>
    </row>
    <row r="35" spans="1:37" s="16" customFormat="1" ht="18">
      <c r="A35" s="24">
        <v>31</v>
      </c>
      <c r="B35" s="25" t="str">
        <f>表1温室气体盘查表!B36</f>
        <v>外购商品和服务的上游排放</v>
      </c>
      <c r="C35" s="26" t="str">
        <f>表1温室气体盘查表!C36</f>
        <v>废钢生产</v>
      </c>
      <c r="D35" s="27" t="str">
        <f>表1温室气体盘查表!E36</f>
        <v>范围三 类别1</v>
      </c>
      <c r="E35" s="28">
        <f>表1温室气体盘查表!F36</f>
        <v>1119615.6599999999</v>
      </c>
      <c r="F35" s="29" t="str">
        <f>表1温室气体盘查表!G36</f>
        <v>t</v>
      </c>
      <c r="G35" s="30">
        <f>'附表2-EF'!K37*10</f>
        <v>0</v>
      </c>
      <c r="H35" s="29" t="s">
        <v>800</v>
      </c>
      <c r="I35" s="31">
        <f>'附表1-GWP TABLE'!E35</f>
        <v>0</v>
      </c>
      <c r="J35" s="32"/>
      <c r="K35" s="29"/>
      <c r="L35" s="31"/>
      <c r="M35" s="32"/>
      <c r="N35" s="29"/>
      <c r="O35" s="31"/>
      <c r="P35" s="33"/>
      <c r="Q35" s="34"/>
      <c r="R35" s="35"/>
      <c r="S35" s="34"/>
      <c r="T35" s="32"/>
      <c r="U35" s="29"/>
      <c r="V35" s="36"/>
      <c r="W35" s="29"/>
      <c r="X35" s="32"/>
      <c r="Y35" s="29"/>
      <c r="Z35" s="31"/>
      <c r="AA35" s="32"/>
      <c r="AB35" s="34"/>
      <c r="AC35" s="31"/>
      <c r="AD35" s="37">
        <f>表1温室气体盘查表!AF36</f>
        <v>83051.970043139983</v>
      </c>
      <c r="AE35" s="37">
        <f>表1温室气体盘查表!AG36</f>
        <v>0</v>
      </c>
      <c r="AF35" s="37">
        <f>表1温室气体盘查表!AH36</f>
        <v>0</v>
      </c>
      <c r="AG35" s="37">
        <f>表1温室气体盘查表!AI36</f>
        <v>0</v>
      </c>
      <c r="AH35" s="37">
        <f>表1温室气体盘查表!AJ36</f>
        <v>0</v>
      </c>
      <c r="AI35" s="37">
        <f>表1温室气体盘查表!AK36</f>
        <v>0</v>
      </c>
      <c r="AJ35" s="37">
        <f>表1温室气体盘查表!AL36</f>
        <v>0</v>
      </c>
      <c r="AK35" s="37">
        <f>表1温室气体盘查表!AM36</f>
        <v>83051.970043139983</v>
      </c>
    </row>
    <row r="36" spans="1:37" s="16" customFormat="1" ht="18">
      <c r="A36" s="24">
        <v>32</v>
      </c>
      <c r="B36" s="25" t="str">
        <f>表1温室气体盘查表!B37</f>
        <v>外购商品和服务的上游排放</v>
      </c>
      <c r="C36" s="26" t="str">
        <f>表1温室气体盘查表!C37</f>
        <v>电极生产</v>
      </c>
      <c r="D36" s="27" t="str">
        <f>表1温室气体盘查表!E37</f>
        <v>范围三 类别1</v>
      </c>
      <c r="E36" s="28">
        <f>表1温室气体盘查表!F37</f>
        <v>5005.45</v>
      </c>
      <c r="F36" s="29" t="str">
        <f>表1温室气体盘查表!G37</f>
        <v>t</v>
      </c>
      <c r="G36" s="30">
        <f>'附表2-EF'!K38*10</f>
        <v>0</v>
      </c>
      <c r="H36" s="29" t="s">
        <v>801</v>
      </c>
      <c r="I36" s="31">
        <f>'附表1-GWP TABLE'!E36</f>
        <v>0</v>
      </c>
      <c r="J36" s="32"/>
      <c r="K36" s="29"/>
      <c r="L36" s="31"/>
      <c r="M36" s="32"/>
      <c r="N36" s="29"/>
      <c r="O36" s="31"/>
      <c r="P36" s="33"/>
      <c r="Q36" s="34"/>
      <c r="R36" s="35"/>
      <c r="S36" s="34"/>
      <c r="T36" s="32"/>
      <c r="U36" s="29"/>
      <c r="V36" s="36"/>
      <c r="W36" s="29"/>
      <c r="X36" s="32"/>
      <c r="Y36" s="29"/>
      <c r="Z36" s="31"/>
      <c r="AA36" s="32"/>
      <c r="AB36" s="34"/>
      <c r="AC36" s="31"/>
      <c r="AD36" s="37">
        <f>表1温室气体盘查表!AF37</f>
        <v>60962.024357421578</v>
      </c>
      <c r="AE36" s="37">
        <f>表1温室气体盘查表!AG37</f>
        <v>0</v>
      </c>
      <c r="AF36" s="37">
        <f>表1温室气体盘查表!AH37</f>
        <v>0</v>
      </c>
      <c r="AG36" s="37">
        <f>表1温室气体盘查表!AI37</f>
        <v>0</v>
      </c>
      <c r="AH36" s="37">
        <f>表1温室气体盘查表!AJ37</f>
        <v>0</v>
      </c>
      <c r="AI36" s="37">
        <f>表1温室气体盘查表!AK37</f>
        <v>0</v>
      </c>
      <c r="AJ36" s="37">
        <f>表1温室气体盘查表!AL37</f>
        <v>0</v>
      </c>
      <c r="AK36" s="37">
        <f>表1温室气体盘查表!AM37</f>
        <v>60962.024357421578</v>
      </c>
    </row>
    <row r="37" spans="1:37" s="16" customFormat="1" ht="18">
      <c r="A37" s="24">
        <v>33</v>
      </c>
      <c r="B37" s="25" t="str">
        <f>表1温室气体盘查表!B38</f>
        <v>外购商品和服务的上游排放</v>
      </c>
      <c r="C37" s="26" t="str">
        <f>表1温室气体盘查表!C38</f>
        <v>锰铁生产</v>
      </c>
      <c r="D37" s="27" t="str">
        <f>表1温室气体盘查表!E38</f>
        <v>范围三 类别1</v>
      </c>
      <c r="E37" s="28">
        <f>表1温室气体盘查表!F38</f>
        <v>41483.17</v>
      </c>
      <c r="F37" s="29" t="str">
        <f>表1温室气体盘查表!G38</f>
        <v>t</v>
      </c>
      <c r="G37" s="30" t="e">
        <f>'附表2-EF'!K39*10</f>
        <v>#VALUE!</v>
      </c>
      <c r="H37" s="29" t="s">
        <v>802</v>
      </c>
      <c r="I37" s="31">
        <f>'附表1-GWP TABLE'!E37</f>
        <v>0</v>
      </c>
      <c r="J37" s="32"/>
      <c r="K37" s="29"/>
      <c r="L37" s="31"/>
      <c r="M37" s="32"/>
      <c r="N37" s="29"/>
      <c r="O37" s="31"/>
      <c r="P37" s="33"/>
      <c r="Q37" s="34"/>
      <c r="R37" s="35"/>
      <c r="S37" s="34"/>
      <c r="T37" s="32"/>
      <c r="U37" s="29"/>
      <c r="V37" s="36"/>
      <c r="W37" s="29"/>
      <c r="X37" s="32"/>
      <c r="Y37" s="29"/>
      <c r="Z37" s="31"/>
      <c r="AA37" s="32"/>
      <c r="AB37" s="34"/>
      <c r="AC37" s="31"/>
      <c r="AD37" s="37">
        <f>表1温室气体盘查表!AF38</f>
        <v>123503.69372399998</v>
      </c>
      <c r="AE37" s="37">
        <f>表1温室气体盘查表!AG38</f>
        <v>0</v>
      </c>
      <c r="AF37" s="37">
        <f>表1温室气体盘查表!AH38</f>
        <v>0</v>
      </c>
      <c r="AG37" s="37">
        <f>表1温室气体盘查表!AI38</f>
        <v>0</v>
      </c>
      <c r="AH37" s="37">
        <f>表1温室气体盘查表!AJ38</f>
        <v>0</v>
      </c>
      <c r="AI37" s="37">
        <f>表1温室气体盘查表!AK38</f>
        <v>0</v>
      </c>
      <c r="AJ37" s="37">
        <f>表1温室气体盘查表!AL38</f>
        <v>0</v>
      </c>
      <c r="AK37" s="37">
        <f>表1温室气体盘查表!AM38</f>
        <v>123503.69372399998</v>
      </c>
    </row>
    <row r="38" spans="1:37" s="16" customFormat="1" ht="18">
      <c r="A38" s="24">
        <v>34</v>
      </c>
      <c r="B38" s="25" t="str">
        <f>表1温室气体盘查表!B39</f>
        <v>外购商品和服务的上游排放</v>
      </c>
      <c r="C38" s="26" t="str">
        <f>表1温室气体盘查表!C39</f>
        <v>镍铁生产</v>
      </c>
      <c r="D38" s="27" t="str">
        <f>表1温室气体盘查表!E39</f>
        <v>范围三 类别1</v>
      </c>
      <c r="E38" s="28">
        <f>表1温室气体盘查表!F39</f>
        <v>9943.2000000000007</v>
      </c>
      <c r="F38" s="29" t="str">
        <f>表1温室气体盘查表!G39</f>
        <v>t</v>
      </c>
      <c r="G38" s="30" t="e">
        <f>'附表2-EF'!K40*10</f>
        <v>#VALUE!</v>
      </c>
      <c r="H38" s="29" t="s">
        <v>803</v>
      </c>
      <c r="I38" s="31">
        <f>'附表1-GWP TABLE'!E38</f>
        <v>0</v>
      </c>
      <c r="J38" s="32"/>
      <c r="K38" s="29"/>
      <c r="L38" s="31"/>
      <c r="M38" s="32"/>
      <c r="N38" s="29"/>
      <c r="O38" s="31"/>
      <c r="P38" s="33"/>
      <c r="Q38" s="34"/>
      <c r="R38" s="35"/>
      <c r="S38" s="34"/>
      <c r="T38" s="32"/>
      <c r="U38" s="29"/>
      <c r="V38" s="36"/>
      <c r="W38" s="29"/>
      <c r="X38" s="32"/>
      <c r="Y38" s="29"/>
      <c r="Z38" s="31"/>
      <c r="AA38" s="32"/>
      <c r="AB38" s="34"/>
      <c r="AC38" s="31"/>
      <c r="AD38" s="37">
        <f>表1温室气体盘查表!AF39</f>
        <v>87049.733040000006</v>
      </c>
      <c r="AE38" s="37">
        <f>表1温室气体盘查表!AG39</f>
        <v>0</v>
      </c>
      <c r="AF38" s="37">
        <f>表1温室气体盘查表!AH39</f>
        <v>0</v>
      </c>
      <c r="AG38" s="37">
        <f>表1温室气体盘查表!AI39</f>
        <v>0</v>
      </c>
      <c r="AH38" s="37">
        <f>表1温室气体盘查表!AJ39</f>
        <v>0</v>
      </c>
      <c r="AI38" s="37">
        <f>表1温室气体盘查表!AK39</f>
        <v>0</v>
      </c>
      <c r="AJ38" s="37">
        <f>表1温室气体盘查表!AL39</f>
        <v>0</v>
      </c>
      <c r="AK38" s="37">
        <f>表1温室气体盘查表!AM39</f>
        <v>87049.733040000006</v>
      </c>
    </row>
    <row r="39" spans="1:37" s="16" customFormat="1" ht="18">
      <c r="A39" s="24">
        <v>35</v>
      </c>
      <c r="B39" s="25" t="str">
        <f>表1温室气体盘查表!B40</f>
        <v>外购商品和服务的上游排放</v>
      </c>
      <c r="C39" s="26" t="str">
        <f>表1温室气体盘查表!C40</f>
        <v>铬铁生产</v>
      </c>
      <c r="D39" s="27" t="str">
        <f>表1温室气体盘查表!E40</f>
        <v>范围三 类别1</v>
      </c>
      <c r="E39" s="28">
        <f>表1温室气体盘查表!F40</f>
        <v>40208.129999999997</v>
      </c>
      <c r="F39" s="29" t="str">
        <f>表1温室气体盘查表!G40</f>
        <v>t</v>
      </c>
      <c r="G39" s="30" t="e">
        <f>'附表2-EF'!K41*10</f>
        <v>#VALUE!</v>
      </c>
      <c r="H39" s="29" t="s">
        <v>804</v>
      </c>
      <c r="I39" s="31">
        <f>'附表1-GWP TABLE'!E39</f>
        <v>0</v>
      </c>
      <c r="J39" s="32"/>
      <c r="K39" s="29"/>
      <c r="L39" s="31"/>
      <c r="M39" s="32"/>
      <c r="N39" s="29"/>
      <c r="O39" s="31"/>
      <c r="P39" s="33"/>
      <c r="Q39" s="34"/>
      <c r="R39" s="35"/>
      <c r="S39" s="34"/>
      <c r="T39" s="32"/>
      <c r="U39" s="29"/>
      <c r="V39" s="36"/>
      <c r="W39" s="29"/>
      <c r="X39" s="32"/>
      <c r="Y39" s="29"/>
      <c r="Z39" s="31"/>
      <c r="AA39" s="32"/>
      <c r="AB39" s="34"/>
      <c r="AC39" s="31"/>
      <c r="AD39" s="37">
        <f>表1温室气体盘查表!AF40</f>
        <v>204743.81877300001</v>
      </c>
      <c r="AE39" s="37">
        <f>表1温室气体盘查表!AG40</f>
        <v>0</v>
      </c>
      <c r="AF39" s="37">
        <f>表1温室气体盘查表!AH40</f>
        <v>0</v>
      </c>
      <c r="AG39" s="37">
        <f>表1温室气体盘查表!AI40</f>
        <v>0</v>
      </c>
      <c r="AH39" s="37">
        <f>表1温室气体盘查表!AJ40</f>
        <v>0</v>
      </c>
      <c r="AI39" s="37">
        <f>表1温室气体盘查表!AK40</f>
        <v>0</v>
      </c>
      <c r="AJ39" s="37">
        <f>表1温室气体盘查表!AL40</f>
        <v>0</v>
      </c>
      <c r="AK39" s="37">
        <f>表1温室气体盘查表!AM40</f>
        <v>204743.81877300001</v>
      </c>
    </row>
    <row r="40" spans="1:37" s="16" customFormat="1" ht="18">
      <c r="A40" s="24">
        <v>36</v>
      </c>
      <c r="B40" s="25" t="str">
        <f>表1温室气体盘查表!B41</f>
        <v>外购商品和服务的上游排放</v>
      </c>
      <c r="C40" s="26" t="str">
        <f>表1温室气体盘查表!C41</f>
        <v>萤石生产</v>
      </c>
      <c r="D40" s="27" t="str">
        <f>表1温室气体盘查表!E41</f>
        <v>范围三 类别1</v>
      </c>
      <c r="E40" s="28">
        <f>表1温室气体盘查表!F41</f>
        <v>418155.97</v>
      </c>
      <c r="F40" s="29" t="str">
        <f>表1温室气体盘查表!G41</f>
        <v>t</v>
      </c>
      <c r="G40" s="30">
        <f>'附表2-EF'!K42*10</f>
        <v>0</v>
      </c>
      <c r="H40" s="29" t="s">
        <v>805</v>
      </c>
      <c r="I40" s="31">
        <f>'附表1-GWP TABLE'!E40</f>
        <v>0</v>
      </c>
      <c r="J40" s="32"/>
      <c r="K40" s="29"/>
      <c r="L40" s="31"/>
      <c r="M40" s="32"/>
      <c r="N40" s="29"/>
      <c r="O40" s="31"/>
      <c r="P40" s="33"/>
      <c r="Q40" s="34"/>
      <c r="R40" s="35"/>
      <c r="S40" s="34"/>
      <c r="T40" s="32"/>
      <c r="U40" s="29"/>
      <c r="V40" s="36"/>
      <c r="W40" s="29"/>
      <c r="X40" s="32"/>
      <c r="Y40" s="29"/>
      <c r="Z40" s="31"/>
      <c r="AA40" s="32"/>
      <c r="AB40" s="34"/>
      <c r="AC40" s="31"/>
      <c r="AD40" s="37">
        <f>表1温室气体盘查表!AF41</f>
        <v>88473.440132599993</v>
      </c>
      <c r="AE40" s="37">
        <f>表1温室气体盘查表!AG41</f>
        <v>0</v>
      </c>
      <c r="AF40" s="37">
        <f>表1温室气体盘查表!AH41</f>
        <v>0</v>
      </c>
      <c r="AG40" s="37">
        <f>表1温室气体盘查表!AI41</f>
        <v>0</v>
      </c>
      <c r="AH40" s="37">
        <f>表1温室气体盘查表!AJ41</f>
        <v>0</v>
      </c>
      <c r="AI40" s="37">
        <f>表1温室气体盘查表!AK41</f>
        <v>0</v>
      </c>
      <c r="AJ40" s="37">
        <f>表1温室气体盘查表!AL41</f>
        <v>0</v>
      </c>
      <c r="AK40" s="37">
        <f>表1温室气体盘查表!AM41</f>
        <v>88473.440132599993</v>
      </c>
    </row>
    <row r="41" spans="1:37" s="16" customFormat="1" ht="18">
      <c r="A41" s="24">
        <v>37</v>
      </c>
      <c r="B41" s="25" t="str">
        <f>表1温室气体盘查表!B42</f>
        <v>外购商品和服务的上游排放</v>
      </c>
      <c r="C41" s="26" t="str">
        <f>表1温室气体盘查表!C42</f>
        <v>硅铁生产</v>
      </c>
      <c r="D41" s="27" t="str">
        <f>表1温室气体盘查表!E42</f>
        <v>范围三 类别1</v>
      </c>
      <c r="E41" s="28">
        <f>表1温室气体盘查表!F42</f>
        <v>14695.77</v>
      </c>
      <c r="F41" s="29" t="str">
        <f>表1温室气体盘查表!G42</f>
        <v>t</v>
      </c>
      <c r="G41" s="30">
        <f>'附表2-EF'!K43*10</f>
        <v>0</v>
      </c>
      <c r="H41" s="29" t="s">
        <v>806</v>
      </c>
      <c r="I41" s="31">
        <f>'附表1-GWP TABLE'!E41</f>
        <v>0</v>
      </c>
      <c r="J41" s="32"/>
      <c r="K41" s="29"/>
      <c r="L41" s="31"/>
      <c r="M41" s="32"/>
      <c r="N41" s="29"/>
      <c r="O41" s="31"/>
      <c r="P41" s="33"/>
      <c r="Q41" s="34"/>
      <c r="R41" s="35"/>
      <c r="S41" s="34"/>
      <c r="T41" s="32"/>
      <c r="U41" s="29"/>
      <c r="V41" s="36"/>
      <c r="W41" s="29"/>
      <c r="X41" s="32"/>
      <c r="Y41" s="29"/>
      <c r="Z41" s="31"/>
      <c r="AA41" s="32"/>
      <c r="AB41" s="34"/>
      <c r="AC41" s="31"/>
      <c r="AD41" s="37">
        <f>表1温室气体盘查表!AF42</f>
        <v>149088.58665000001</v>
      </c>
      <c r="AE41" s="37">
        <f>表1温室气体盘查表!AG42</f>
        <v>0</v>
      </c>
      <c r="AF41" s="37">
        <f>表1温室气体盘查表!AH42</f>
        <v>0</v>
      </c>
      <c r="AG41" s="37">
        <f>表1温室气体盘查表!AI42</f>
        <v>0</v>
      </c>
      <c r="AH41" s="37">
        <f>表1温室气体盘查表!AJ42</f>
        <v>0</v>
      </c>
      <c r="AI41" s="37">
        <f>表1温室气体盘查表!AK42</f>
        <v>0</v>
      </c>
      <c r="AJ41" s="37">
        <f>表1温室气体盘查表!AL42</f>
        <v>0</v>
      </c>
      <c r="AK41" s="37">
        <f>表1温室气体盘查表!AM42</f>
        <v>149088.58665000001</v>
      </c>
    </row>
    <row r="42" spans="1:37" s="16" customFormat="1" ht="18">
      <c r="A42" s="24">
        <v>38</v>
      </c>
      <c r="B42" s="25" t="str">
        <f>表1温室气体盘查表!B43</f>
        <v>外购商品和服务的上游排放</v>
      </c>
      <c r="C42" s="26" t="str">
        <f>表1温室气体盘查表!C43</f>
        <v>钼铁生产</v>
      </c>
      <c r="D42" s="27" t="str">
        <f>表1温室气体盘查表!E43</f>
        <v>范围三 类别1</v>
      </c>
      <c r="E42" s="28">
        <f>表1温室气体盘查表!F43</f>
        <v>7268.72</v>
      </c>
      <c r="F42" s="29" t="str">
        <f>表1温室气体盘查表!G43</f>
        <v>t</v>
      </c>
      <c r="G42" s="30">
        <f>'附表2-EF'!K44*10</f>
        <v>0</v>
      </c>
      <c r="H42" s="29" t="s">
        <v>807</v>
      </c>
      <c r="I42" s="31">
        <f>'附表1-GWP TABLE'!E42</f>
        <v>0</v>
      </c>
      <c r="J42" s="32"/>
      <c r="K42" s="29"/>
      <c r="L42" s="31"/>
      <c r="M42" s="32"/>
      <c r="N42" s="29"/>
      <c r="O42" s="31"/>
      <c r="P42" s="33"/>
      <c r="Q42" s="34"/>
      <c r="R42" s="35"/>
      <c r="S42" s="34"/>
      <c r="T42" s="32"/>
      <c r="U42" s="29"/>
      <c r="V42" s="36"/>
      <c r="W42" s="29"/>
      <c r="X42" s="32"/>
      <c r="Y42" s="29"/>
      <c r="Z42" s="31"/>
      <c r="AA42" s="32"/>
      <c r="AB42" s="34"/>
      <c r="AC42" s="31"/>
      <c r="AD42" s="37">
        <f>表1温室气体盘查表!AF43</f>
        <v>58876.631999999998</v>
      </c>
      <c r="AE42" s="37">
        <f>表1温室气体盘查表!AG43</f>
        <v>0</v>
      </c>
      <c r="AF42" s="37">
        <f>表1温室气体盘查表!AH43</f>
        <v>0</v>
      </c>
      <c r="AG42" s="37">
        <f>表1温室气体盘查表!AI43</f>
        <v>0</v>
      </c>
      <c r="AH42" s="37">
        <f>表1温室气体盘查表!AJ43</f>
        <v>0</v>
      </c>
      <c r="AI42" s="37">
        <f>表1温室气体盘查表!AK43</f>
        <v>0</v>
      </c>
      <c r="AJ42" s="37">
        <f>表1温室气体盘查表!AL43</f>
        <v>0</v>
      </c>
      <c r="AK42" s="37">
        <f>表1温室气体盘查表!AM43</f>
        <v>58876.631999999998</v>
      </c>
    </row>
    <row r="43" spans="1:37" s="16" customFormat="1" ht="18">
      <c r="A43" s="24">
        <v>39</v>
      </c>
      <c r="B43" s="25" t="str">
        <f>表1温室气体盘查表!B44</f>
        <v>外购商品和服务的上游排放</v>
      </c>
      <c r="C43" s="26" t="str">
        <f>表1温室气体盘查表!C44</f>
        <v>铝铁生产</v>
      </c>
      <c r="D43" s="27" t="str">
        <f>表1温室气体盘查表!E44</f>
        <v>范围三 类别1</v>
      </c>
      <c r="E43" s="28">
        <f>表1温室气体盘查表!F44</f>
        <v>2370.13</v>
      </c>
      <c r="F43" s="29" t="str">
        <f>表1温室气体盘查表!G44</f>
        <v>t</v>
      </c>
      <c r="G43" s="30">
        <f>'附表2-EF'!K45*10</f>
        <v>0</v>
      </c>
      <c r="H43" s="29" t="s">
        <v>808</v>
      </c>
      <c r="I43" s="31">
        <f>'附表1-GWP TABLE'!E43</f>
        <v>0</v>
      </c>
      <c r="J43" s="32"/>
      <c r="K43" s="29"/>
      <c r="L43" s="31"/>
      <c r="M43" s="32"/>
      <c r="N43" s="29"/>
      <c r="O43" s="31"/>
      <c r="P43" s="33"/>
      <c r="Q43" s="34"/>
      <c r="R43" s="35"/>
      <c r="S43" s="34"/>
      <c r="T43" s="32"/>
      <c r="U43" s="29"/>
      <c r="V43" s="36"/>
      <c r="W43" s="29"/>
      <c r="X43" s="32"/>
      <c r="Y43" s="29"/>
      <c r="Z43" s="31"/>
      <c r="AA43" s="32"/>
      <c r="AB43" s="34"/>
      <c r="AC43" s="31"/>
      <c r="AD43" s="37">
        <f>表1温室气体盘查表!AF44</f>
        <v>13585.604688791962</v>
      </c>
      <c r="AE43" s="37">
        <f>表1温室气体盘查表!AG44</f>
        <v>0</v>
      </c>
      <c r="AF43" s="37">
        <f>表1温室气体盘查表!AH44</f>
        <v>0</v>
      </c>
      <c r="AG43" s="37">
        <f>表1温室气体盘查表!AI44</f>
        <v>0</v>
      </c>
      <c r="AH43" s="37">
        <f>表1温室气体盘查表!AJ44</f>
        <v>0</v>
      </c>
      <c r="AI43" s="37">
        <f>表1温室气体盘查表!AK44</f>
        <v>0</v>
      </c>
      <c r="AJ43" s="37">
        <f>表1温室气体盘查表!AL44</f>
        <v>0</v>
      </c>
      <c r="AK43" s="37">
        <f>表1温室气体盘查表!AM44</f>
        <v>13585.604688791962</v>
      </c>
    </row>
    <row r="44" spans="1:37" s="16" customFormat="1" ht="18">
      <c r="A44" s="24">
        <v>40</v>
      </c>
      <c r="B44" s="25" t="str">
        <f>表1温室气体盘查表!B45</f>
        <v>外购商品和服务的上游排放</v>
      </c>
      <c r="C44" s="26" t="str">
        <f>表1温室气体盘查表!C45</f>
        <v>铝生产</v>
      </c>
      <c r="D44" s="27" t="str">
        <f>表1温室气体盘查表!E45</f>
        <v>范围三 类别1</v>
      </c>
      <c r="E44" s="28">
        <f>表1温室气体盘查表!F45</f>
        <v>7438.6</v>
      </c>
      <c r="F44" s="29" t="str">
        <f>表1温室气体盘查表!G45</f>
        <v>t</v>
      </c>
      <c r="G44" s="30">
        <f>'附表2-EF'!K46*10</f>
        <v>0</v>
      </c>
      <c r="H44" s="29" t="s">
        <v>809</v>
      </c>
      <c r="I44" s="31">
        <f>'附表1-GWP TABLE'!E44</f>
        <v>0</v>
      </c>
      <c r="J44" s="32"/>
      <c r="K44" s="29"/>
      <c r="L44" s="31"/>
      <c r="M44" s="32"/>
      <c r="N44" s="29"/>
      <c r="O44" s="31"/>
      <c r="P44" s="33"/>
      <c r="Q44" s="34"/>
      <c r="R44" s="35"/>
      <c r="S44" s="34"/>
      <c r="T44" s="32"/>
      <c r="U44" s="29"/>
      <c r="V44" s="36"/>
      <c r="W44" s="29"/>
      <c r="X44" s="32"/>
      <c r="Y44" s="29"/>
      <c r="Z44" s="31"/>
      <c r="AA44" s="32"/>
      <c r="AB44" s="34"/>
      <c r="AC44" s="31"/>
      <c r="AD44" s="37">
        <f>表1温室气体盘查表!AF45</f>
        <v>165810.56564347973</v>
      </c>
      <c r="AE44" s="37">
        <f>表1温室气体盘查表!AG45</f>
        <v>0</v>
      </c>
      <c r="AF44" s="37">
        <f>表1温室气体盘查表!AH45</f>
        <v>0</v>
      </c>
      <c r="AG44" s="37">
        <f>表1温室气体盘查表!AI45</f>
        <v>0</v>
      </c>
      <c r="AH44" s="37">
        <f>表1温室气体盘查表!AJ45</f>
        <v>0</v>
      </c>
      <c r="AI44" s="37">
        <f>表1温室气体盘查表!AK45</f>
        <v>0</v>
      </c>
      <c r="AJ44" s="37">
        <f>表1温室气体盘查表!AL45</f>
        <v>0</v>
      </c>
      <c r="AK44" s="37">
        <f>表1温室气体盘查表!AM45</f>
        <v>165810.56564347973</v>
      </c>
    </row>
    <row r="45" spans="1:37" s="16" customFormat="1" ht="18">
      <c r="A45" s="24">
        <v>41</v>
      </c>
      <c r="B45" s="25" t="str">
        <f>表1温室气体盘查表!B46</f>
        <v>外购商品和服务的上游排放</v>
      </c>
      <c r="C45" s="26" t="str">
        <f>表1温室气体盘查表!C46</f>
        <v>增碳剂生产</v>
      </c>
      <c r="D45" s="27" t="str">
        <f>表1温室气体盘查表!E46</f>
        <v>范围三 类别1</v>
      </c>
      <c r="E45" s="28">
        <f>表1温室气体盘查表!F46</f>
        <v>8679.77</v>
      </c>
      <c r="F45" s="29" t="str">
        <f>表1温室气体盘查表!G46</f>
        <v>t</v>
      </c>
      <c r="G45" s="30">
        <f>'附表2-EF'!K47*10</f>
        <v>0</v>
      </c>
      <c r="H45" s="29" t="s">
        <v>810</v>
      </c>
      <c r="I45" s="31">
        <f>'附表1-GWP TABLE'!E45</f>
        <v>0</v>
      </c>
      <c r="J45" s="32"/>
      <c r="K45" s="29"/>
      <c r="L45" s="31"/>
      <c r="M45" s="32"/>
      <c r="N45" s="29"/>
      <c r="O45" s="31"/>
      <c r="P45" s="33"/>
      <c r="Q45" s="34"/>
      <c r="R45" s="35"/>
      <c r="S45" s="34"/>
      <c r="T45" s="32"/>
      <c r="U45" s="29"/>
      <c r="V45" s="36"/>
      <c r="W45" s="29"/>
      <c r="X45" s="32"/>
      <c r="Y45" s="29"/>
      <c r="Z45" s="31"/>
      <c r="AA45" s="32"/>
      <c r="AB45" s="34"/>
      <c r="AC45" s="31"/>
      <c r="AD45" s="37">
        <f>表1温室气体盘查表!AF46</f>
        <v>14447.768081031645</v>
      </c>
      <c r="AE45" s="37">
        <f>表1温室气体盘查表!AG46</f>
        <v>0</v>
      </c>
      <c r="AF45" s="37">
        <f>表1温室气体盘查表!AH46</f>
        <v>0</v>
      </c>
      <c r="AG45" s="37">
        <f>表1温室气体盘查表!AI46</f>
        <v>0</v>
      </c>
      <c r="AH45" s="37">
        <f>表1温室气体盘查表!AJ46</f>
        <v>0</v>
      </c>
      <c r="AI45" s="37">
        <f>表1温室气体盘查表!AK46</f>
        <v>0</v>
      </c>
      <c r="AJ45" s="37">
        <f>表1温室气体盘查表!AL46</f>
        <v>0</v>
      </c>
      <c r="AK45" s="37">
        <f>表1温室气体盘查表!AM46</f>
        <v>14447.768081031645</v>
      </c>
    </row>
    <row r="46" spans="1:37" s="16" customFormat="1" ht="18">
      <c r="A46" s="24">
        <v>42</v>
      </c>
      <c r="B46" s="25" t="str">
        <f>表1温室气体盘查表!B47</f>
        <v>外购商品和服务的上游排放</v>
      </c>
      <c r="C46" s="26" t="str">
        <f>表1温室气体盘查表!C47</f>
        <v>铁鳞生产</v>
      </c>
      <c r="D46" s="27" t="str">
        <f>表1温室气体盘查表!E47</f>
        <v>范围三 类别1</v>
      </c>
      <c r="E46" s="28">
        <f>表1温室气体盘查表!F47</f>
        <v>8286.02</v>
      </c>
      <c r="F46" s="29" t="str">
        <f>表1温室气体盘查表!G47</f>
        <v>t</v>
      </c>
      <c r="G46" s="30">
        <f>'附表2-EF'!K48*10</f>
        <v>0</v>
      </c>
      <c r="H46" s="29" t="s">
        <v>811</v>
      </c>
      <c r="I46" s="31">
        <f>'附表1-GWP TABLE'!E46</f>
        <v>0</v>
      </c>
      <c r="J46" s="32"/>
      <c r="K46" s="29"/>
      <c r="L46" s="31"/>
      <c r="M46" s="32"/>
      <c r="N46" s="29"/>
      <c r="O46" s="31"/>
      <c r="P46" s="33"/>
      <c r="Q46" s="34"/>
      <c r="R46" s="35"/>
      <c r="S46" s="34"/>
      <c r="T46" s="32"/>
      <c r="U46" s="29"/>
      <c r="V46" s="36"/>
      <c r="W46" s="29"/>
      <c r="X46" s="32"/>
      <c r="Y46" s="29"/>
      <c r="Z46" s="31"/>
      <c r="AA46" s="32"/>
      <c r="AB46" s="34"/>
      <c r="AC46" s="31"/>
      <c r="AD46" s="37">
        <f>表1温室气体盘查表!AF47</f>
        <v>29.192523942209355</v>
      </c>
      <c r="AE46" s="37">
        <f>表1温室气体盘查表!AG47</f>
        <v>0</v>
      </c>
      <c r="AF46" s="37">
        <f>表1温室气体盘查表!AH47</f>
        <v>0</v>
      </c>
      <c r="AG46" s="37">
        <f>表1温室气体盘查表!AI47</f>
        <v>0</v>
      </c>
      <c r="AH46" s="37">
        <f>表1温室气体盘查表!AJ47</f>
        <v>0</v>
      </c>
      <c r="AI46" s="37">
        <f>表1温室气体盘查表!AK47</f>
        <v>0</v>
      </c>
      <c r="AJ46" s="37">
        <f>表1温室气体盘查表!AL47</f>
        <v>0</v>
      </c>
      <c r="AK46" s="37">
        <f>表1温室气体盘查表!AM47</f>
        <v>29.192523942209355</v>
      </c>
    </row>
    <row r="47" spans="1:37" s="16" customFormat="1" ht="18">
      <c r="A47" s="24">
        <v>43</v>
      </c>
      <c r="B47" s="25" t="str">
        <f>表1温室气体盘查表!B48</f>
        <v>外购商品和服务的上游排放</v>
      </c>
      <c r="C47" s="26" t="str">
        <f>表1温室气体盘查表!C48</f>
        <v>氨水生产</v>
      </c>
      <c r="D47" s="27" t="str">
        <f>表1温室气体盘查表!E48</f>
        <v>范围三 类别1</v>
      </c>
      <c r="E47" s="28">
        <f>表1温室气体盘查表!F48</f>
        <v>4876.1400000000003</v>
      </c>
      <c r="F47" s="29" t="str">
        <f>表1温室气体盘查表!G48</f>
        <v>t</v>
      </c>
      <c r="G47" s="30">
        <f>'附表2-EF'!K49*10</f>
        <v>0</v>
      </c>
      <c r="H47" s="29" t="s">
        <v>812</v>
      </c>
      <c r="I47" s="31">
        <f>'附表1-GWP TABLE'!E47</f>
        <v>17400</v>
      </c>
      <c r="J47" s="32"/>
      <c r="K47" s="29"/>
      <c r="L47" s="31"/>
      <c r="M47" s="32"/>
      <c r="N47" s="29"/>
      <c r="O47" s="31"/>
      <c r="P47" s="33"/>
      <c r="Q47" s="34"/>
      <c r="R47" s="35"/>
      <c r="S47" s="34"/>
      <c r="T47" s="32"/>
      <c r="U47" s="29"/>
      <c r="V47" s="36"/>
      <c r="W47" s="29"/>
      <c r="X47" s="32"/>
      <c r="Y47" s="29"/>
      <c r="Z47" s="31"/>
      <c r="AA47" s="32"/>
      <c r="AB47" s="34"/>
      <c r="AC47" s="31"/>
      <c r="AD47" s="37">
        <f>表1温室气体盘查表!AF48</f>
        <v>26510.816290815455</v>
      </c>
      <c r="AE47" s="37">
        <f>表1温室气体盘查表!AG48</f>
        <v>0</v>
      </c>
      <c r="AF47" s="37">
        <f>表1温室气体盘查表!AH48</f>
        <v>0</v>
      </c>
      <c r="AG47" s="37">
        <f>表1温室气体盘查表!AI48</f>
        <v>0</v>
      </c>
      <c r="AH47" s="37">
        <f>表1温室气体盘查表!AJ48</f>
        <v>0</v>
      </c>
      <c r="AI47" s="37">
        <f>表1温室气体盘查表!AK48</f>
        <v>0</v>
      </c>
      <c r="AJ47" s="37">
        <f>表1温室气体盘查表!AL48</f>
        <v>0</v>
      </c>
      <c r="AK47" s="37">
        <f>表1温室气体盘查表!AM48</f>
        <v>26510.816290815455</v>
      </c>
    </row>
    <row r="48" spans="1:37" s="16" customFormat="1" ht="18">
      <c r="A48" s="24">
        <v>44</v>
      </c>
      <c r="B48" s="25" t="str">
        <f>表1温室气体盘查表!B49</f>
        <v>外购商品和服务的上游排放</v>
      </c>
      <c r="C48" s="26" t="str">
        <f>表1温室气体盘查表!C49</f>
        <v>盐酸生产</v>
      </c>
      <c r="D48" s="27" t="str">
        <f>表1温室气体盘查表!E49</f>
        <v>范围三 类别1</v>
      </c>
      <c r="E48" s="28">
        <f>表1温室气体盘查表!F49</f>
        <v>2.17</v>
      </c>
      <c r="F48" s="29" t="str">
        <f>表1温室气体盘查表!G49</f>
        <v>t</v>
      </c>
      <c r="G48" s="30">
        <f>'附表2-EF'!K50*10</f>
        <v>0</v>
      </c>
      <c r="H48" s="29" t="s">
        <v>813</v>
      </c>
      <c r="I48" s="31">
        <f>'附表1-GWP TABLE'!E48</f>
        <v>24300</v>
      </c>
      <c r="J48" s="32"/>
      <c r="K48" s="29"/>
      <c r="L48" s="31"/>
      <c r="M48" s="32"/>
      <c r="N48" s="29"/>
      <c r="O48" s="31"/>
      <c r="P48" s="33"/>
      <c r="Q48" s="34"/>
      <c r="R48" s="35"/>
      <c r="S48" s="34"/>
      <c r="T48" s="32"/>
      <c r="U48" s="29"/>
      <c r="V48" s="36"/>
      <c r="W48" s="29"/>
      <c r="X48" s="32"/>
      <c r="Y48" s="29"/>
      <c r="Z48" s="31"/>
      <c r="AA48" s="32"/>
      <c r="AB48" s="34"/>
      <c r="AC48" s="31"/>
      <c r="AD48" s="37">
        <f>表1温室气体盘查表!AF49</f>
        <v>2.1173455277962305</v>
      </c>
      <c r="AE48" s="37">
        <f>表1温室气体盘查表!AG49</f>
        <v>0</v>
      </c>
      <c r="AF48" s="37">
        <f>表1温室气体盘查表!AH49</f>
        <v>0</v>
      </c>
      <c r="AG48" s="37">
        <f>表1温室气体盘查表!AI49</f>
        <v>0</v>
      </c>
      <c r="AH48" s="37">
        <f>表1温室气体盘查表!AJ49</f>
        <v>0</v>
      </c>
      <c r="AI48" s="37">
        <f>表1温室气体盘查表!AK49</f>
        <v>0</v>
      </c>
      <c r="AJ48" s="37">
        <f>表1温室气体盘查表!AL49</f>
        <v>0</v>
      </c>
      <c r="AK48" s="37">
        <f>表1温室气体盘查表!AM49</f>
        <v>2.1173455277962305</v>
      </c>
    </row>
    <row r="49" spans="1:37" s="16" customFormat="1" ht="18">
      <c r="A49" s="24">
        <v>45</v>
      </c>
      <c r="B49" s="25" t="str">
        <f>表1温室气体盘查表!B50</f>
        <v>外购商品和服务的上游排放</v>
      </c>
      <c r="C49" s="26" t="str">
        <f>表1温室气体盘查表!C50</f>
        <v>氢氧化钠生产</v>
      </c>
      <c r="D49" s="27" t="str">
        <f>表1温室气体盘查表!E50</f>
        <v>范围三 类别1</v>
      </c>
      <c r="E49" s="28">
        <f>表1温室气体盘查表!F50</f>
        <v>2.2400000000000002</v>
      </c>
      <c r="F49" s="29" t="str">
        <f>表1温室气体盘查表!G50</f>
        <v>t</v>
      </c>
      <c r="G49" s="30">
        <f>'附表2-EF'!K51*10</f>
        <v>0</v>
      </c>
      <c r="H49" s="29" t="s">
        <v>814</v>
      </c>
      <c r="I49" s="31">
        <f>'附表1-GWP TABLE'!E49</f>
        <v>0</v>
      </c>
      <c r="J49" s="32"/>
      <c r="K49" s="29"/>
      <c r="L49" s="31"/>
      <c r="M49" s="32"/>
      <c r="N49" s="29"/>
      <c r="O49" s="31"/>
      <c r="P49" s="33"/>
      <c r="Q49" s="34"/>
      <c r="R49" s="35"/>
      <c r="S49" s="34"/>
      <c r="T49" s="32"/>
      <c r="U49" s="29"/>
      <c r="V49" s="36"/>
      <c r="W49" s="29"/>
      <c r="X49" s="32"/>
      <c r="Y49" s="29"/>
      <c r="Z49" s="31"/>
      <c r="AA49" s="32"/>
      <c r="AB49" s="34"/>
      <c r="AC49" s="31"/>
      <c r="AD49" s="37">
        <f>表1温室气体盘查表!AF50</f>
        <v>3.2806275245320866</v>
      </c>
      <c r="AE49" s="37">
        <f>表1温室气体盘查表!AG50</f>
        <v>0</v>
      </c>
      <c r="AF49" s="37">
        <f>表1温室气体盘查表!AH50</f>
        <v>0</v>
      </c>
      <c r="AG49" s="37">
        <f>表1温室气体盘查表!AI50</f>
        <v>0</v>
      </c>
      <c r="AH49" s="37">
        <f>表1温室气体盘查表!AJ50</f>
        <v>0</v>
      </c>
      <c r="AI49" s="37">
        <f>表1温室气体盘查表!AK50</f>
        <v>0</v>
      </c>
      <c r="AJ49" s="37">
        <f>表1温室气体盘查表!AL50</f>
        <v>0</v>
      </c>
      <c r="AK49" s="37">
        <f>表1温室气体盘查表!AM50</f>
        <v>3.2806275245320866</v>
      </c>
    </row>
    <row r="50" spans="1:37" s="16" customFormat="1" ht="18">
      <c r="A50" s="24">
        <v>46</v>
      </c>
      <c r="B50" s="25" t="str">
        <f>表1温室气体盘查表!B51</f>
        <v>外购商品和服务的上游排放</v>
      </c>
      <c r="C50" s="26" t="str">
        <f>表1温室气体盘查表!C51</f>
        <v>碳化硅生产</v>
      </c>
      <c r="D50" s="27" t="str">
        <f>表1温室气体盘查表!E51</f>
        <v>范围三 类别1</v>
      </c>
      <c r="E50" s="28">
        <f>表1温室气体盘查表!F51</f>
        <v>3676.3869999999993</v>
      </c>
      <c r="F50" s="29" t="str">
        <f>表1温室气体盘查表!G51</f>
        <v>t</v>
      </c>
      <c r="G50" s="30">
        <f>'附表2-EF'!K50*10</f>
        <v>0</v>
      </c>
      <c r="H50" s="29" t="s">
        <v>813</v>
      </c>
      <c r="I50" s="31">
        <f>'附表1-GWP TABLE'!E48</f>
        <v>24300</v>
      </c>
      <c r="J50" s="32"/>
      <c r="K50" s="29"/>
      <c r="L50" s="31"/>
      <c r="M50" s="32"/>
      <c r="N50" s="29"/>
      <c r="O50" s="31"/>
      <c r="P50" s="33"/>
      <c r="Q50" s="34"/>
      <c r="R50" s="35"/>
      <c r="S50" s="34"/>
      <c r="T50" s="32"/>
      <c r="U50" s="29"/>
      <c r="V50" s="36"/>
      <c r="W50" s="29"/>
      <c r="X50" s="32"/>
      <c r="Y50" s="29"/>
      <c r="Z50" s="31"/>
      <c r="AA50" s="32"/>
      <c r="AB50" s="34"/>
      <c r="AC50" s="31"/>
      <c r="AD50" s="37">
        <f>表1温室气体盘查表!AF51</f>
        <v>26760.682458681189</v>
      </c>
      <c r="AE50" s="37">
        <f>表1温室气体盘查表!AG51</f>
        <v>0</v>
      </c>
      <c r="AF50" s="37">
        <f>表1温室气体盘查表!AH51</f>
        <v>0</v>
      </c>
      <c r="AG50" s="37">
        <f>表1温室气体盘查表!AI51</f>
        <v>0</v>
      </c>
      <c r="AH50" s="37">
        <f>表1温室气体盘查表!AJ51</f>
        <v>0</v>
      </c>
      <c r="AI50" s="37">
        <f>表1温室气体盘查表!AK51</f>
        <v>0</v>
      </c>
      <c r="AJ50" s="37">
        <f>表1温室气体盘查表!AL51</f>
        <v>0</v>
      </c>
      <c r="AK50" s="37">
        <f>表1温室气体盘查表!AM51</f>
        <v>26760.682458681189</v>
      </c>
    </row>
    <row r="51" spans="1:37" s="16" customFormat="1" ht="18">
      <c r="A51" s="24">
        <v>47</v>
      </c>
      <c r="B51" s="25" t="str">
        <f>表1温室气体盘查表!B52</f>
        <v>外购商品和服务的上游排放</v>
      </c>
      <c r="C51" s="26" t="str">
        <f>表1温室气体盘查表!C52</f>
        <v>镁生产</v>
      </c>
      <c r="D51" s="27" t="str">
        <f>表1温室气体盘查表!E52</f>
        <v>范围三 类别1</v>
      </c>
      <c r="E51" s="28">
        <f>表1温室气体盘查表!F52</f>
        <v>9749.982</v>
      </c>
      <c r="F51" s="29" t="str">
        <f>表1温室气体盘查表!G52</f>
        <v>t</v>
      </c>
      <c r="G51" s="30">
        <f>'附表2-EF'!K51*10</f>
        <v>0</v>
      </c>
      <c r="H51" s="29" t="s">
        <v>814</v>
      </c>
      <c r="I51" s="31">
        <f>'附表1-GWP TABLE'!E49</f>
        <v>0</v>
      </c>
      <c r="J51" s="32"/>
      <c r="K51" s="29"/>
      <c r="L51" s="31"/>
      <c r="M51" s="32"/>
      <c r="N51" s="29"/>
      <c r="O51" s="31"/>
      <c r="P51" s="33"/>
      <c r="Q51" s="34"/>
      <c r="R51" s="35"/>
      <c r="S51" s="34"/>
      <c r="T51" s="32"/>
      <c r="U51" s="29"/>
      <c r="V51" s="36"/>
      <c r="W51" s="29"/>
      <c r="X51" s="32"/>
      <c r="Y51" s="29"/>
      <c r="Z51" s="31"/>
      <c r="AA51" s="32"/>
      <c r="AB51" s="34"/>
      <c r="AC51" s="31"/>
      <c r="AD51" s="37">
        <f>表1温室气体盘查表!AF52</f>
        <v>256865.11189706987</v>
      </c>
      <c r="AE51" s="37">
        <f>表1温室气体盘查表!AG52</f>
        <v>0</v>
      </c>
      <c r="AF51" s="37">
        <f>表1温室气体盘查表!AH52</f>
        <v>0</v>
      </c>
      <c r="AG51" s="37">
        <f>表1温室气体盘查表!AI52</f>
        <v>0</v>
      </c>
      <c r="AH51" s="37">
        <f>表1温室气体盘查表!AJ52</f>
        <v>0</v>
      </c>
      <c r="AI51" s="37">
        <f>表1温室气体盘查表!AK52</f>
        <v>0</v>
      </c>
      <c r="AJ51" s="37">
        <f>表1温室气体盘查表!AL52</f>
        <v>0</v>
      </c>
      <c r="AK51" s="37">
        <f>表1温室气体盘查表!AM52</f>
        <v>256865.11189706987</v>
      </c>
    </row>
    <row r="52" spans="1:37" s="16" customFormat="1" ht="18">
      <c r="A52" s="24">
        <v>48</v>
      </c>
      <c r="B52" s="25" t="str">
        <f>表1温室气体盘查表!B53</f>
        <v>外购商品和服务的上游排放</v>
      </c>
      <c r="C52" s="26" t="str">
        <f>表1温室气体盘查表!C53</f>
        <v>所有其他纸制品加工制造</v>
      </c>
      <c r="D52" s="27" t="str">
        <f>表1温室气体盘查表!E53</f>
        <v>范围三 类别1</v>
      </c>
      <c r="E52" s="28">
        <f>表1温室气体盘查表!F53</f>
        <v>15287.09</v>
      </c>
      <c r="F52" s="29" t="str">
        <f>表1温室气体盘查表!G53</f>
        <v>$</v>
      </c>
      <c r="G52" s="30">
        <f>'附表2-EF'!K52*10</f>
        <v>0</v>
      </c>
      <c r="H52" s="29" t="s">
        <v>815</v>
      </c>
      <c r="I52" s="31">
        <f>'附表1-GWP TABLE'!E50</f>
        <v>0</v>
      </c>
      <c r="J52" s="32"/>
      <c r="K52" s="29"/>
      <c r="L52" s="31"/>
      <c r="M52" s="32"/>
      <c r="N52" s="29"/>
      <c r="O52" s="31"/>
      <c r="P52" s="33"/>
      <c r="Q52" s="34"/>
      <c r="R52" s="35"/>
      <c r="S52" s="34"/>
      <c r="T52" s="32"/>
      <c r="U52" s="29"/>
      <c r="V52" s="36"/>
      <c r="W52" s="29"/>
      <c r="X52" s="32"/>
      <c r="Y52" s="29"/>
      <c r="Z52" s="31"/>
      <c r="AA52" s="32"/>
      <c r="AB52" s="34"/>
      <c r="AC52" s="31"/>
      <c r="AD52" s="37">
        <f>表1温室气体盘查表!AF53</f>
        <v>5.2434718699999996</v>
      </c>
      <c r="AE52" s="37">
        <f>表1温室气体盘查表!AG53</f>
        <v>0</v>
      </c>
      <c r="AF52" s="37">
        <f>表1温室气体盘查表!AH53</f>
        <v>0</v>
      </c>
      <c r="AG52" s="37">
        <f>表1温室气体盘查表!AI53</f>
        <v>0</v>
      </c>
      <c r="AH52" s="37">
        <f>表1温室气体盘查表!AJ53</f>
        <v>0</v>
      </c>
      <c r="AI52" s="37">
        <f>表1温室气体盘查表!AK53</f>
        <v>0</v>
      </c>
      <c r="AJ52" s="37">
        <f>表1温室气体盘查表!AL53</f>
        <v>0</v>
      </c>
      <c r="AK52" s="37">
        <f>表1温室气体盘查表!AM53</f>
        <v>5.2434718699999996</v>
      </c>
    </row>
    <row r="53" spans="1:37" s="16" customFormat="1" ht="18">
      <c r="A53" s="24">
        <v>49</v>
      </c>
      <c r="B53" s="25" t="str">
        <f>表1温室气体盘查表!B54</f>
        <v>外购商品和服务的上游排放</v>
      </c>
      <c r="C53" s="26" t="str">
        <f>表1温室气体盘查表!C54</f>
        <v>办公用品(纸张除外)制造</v>
      </c>
      <c r="D53" s="27" t="str">
        <f>表1温室气体盘查表!E54</f>
        <v>范围三 类别1</v>
      </c>
      <c r="E53" s="28">
        <f>表1温室气体盘查表!F54</f>
        <v>272877.67</v>
      </c>
      <c r="F53" s="29" t="str">
        <f>表1温室气体盘查表!G54</f>
        <v>$</v>
      </c>
      <c r="G53" s="30">
        <f>'附表2-EF'!K53*10</f>
        <v>0</v>
      </c>
      <c r="H53" s="29" t="s">
        <v>816</v>
      </c>
      <c r="I53" s="31">
        <f>'附表1-GWP TABLE'!E51</f>
        <v>0</v>
      </c>
      <c r="J53" s="32"/>
      <c r="K53" s="29"/>
      <c r="L53" s="31"/>
      <c r="M53" s="32"/>
      <c r="N53" s="29"/>
      <c r="O53" s="31"/>
      <c r="P53" s="33"/>
      <c r="Q53" s="34"/>
      <c r="R53" s="35"/>
      <c r="S53" s="34"/>
      <c r="T53" s="32"/>
      <c r="U53" s="29"/>
      <c r="V53" s="36"/>
      <c r="W53" s="29"/>
      <c r="X53" s="32"/>
      <c r="Y53" s="29"/>
      <c r="Z53" s="31"/>
      <c r="AA53" s="32"/>
      <c r="AB53" s="34"/>
      <c r="AC53" s="31"/>
      <c r="AD53" s="37">
        <f>表1温室气体盘查表!AF54</f>
        <v>72.312582549999988</v>
      </c>
      <c r="AE53" s="37">
        <f>表1温室气体盘查表!AG54</f>
        <v>0</v>
      </c>
      <c r="AF53" s="37">
        <f>表1温室气体盘查表!AH54</f>
        <v>0</v>
      </c>
      <c r="AG53" s="37">
        <f>表1温室气体盘查表!AI54</f>
        <v>0</v>
      </c>
      <c r="AH53" s="37">
        <f>表1温室气体盘查表!AJ54</f>
        <v>0</v>
      </c>
      <c r="AI53" s="37">
        <f>表1温室气体盘查表!AK54</f>
        <v>0</v>
      </c>
      <c r="AJ53" s="37">
        <f>表1温室气体盘查表!AL54</f>
        <v>0</v>
      </c>
      <c r="AK53" s="37">
        <f>表1温室气体盘查表!AM54</f>
        <v>72.312582549999988</v>
      </c>
    </row>
    <row r="54" spans="1:37" s="16" customFormat="1" ht="18">
      <c r="A54" s="24">
        <v>50</v>
      </c>
      <c r="B54" s="25" t="str">
        <f>表1温室气体盘查表!B55</f>
        <v>外购商品和服务的上游排放</v>
      </c>
      <c r="C54" s="26" t="str">
        <f>表1温室气体盘查表!C55</f>
        <v>源水</v>
      </c>
      <c r="D54" s="27" t="str">
        <f>表1温室气体盘查表!E55</f>
        <v>范围三 类别1</v>
      </c>
      <c r="E54" s="28">
        <f>表1温室气体盘查表!F55</f>
        <v>20647661.309999999</v>
      </c>
      <c r="F54" s="29" t="str">
        <f>表1温室气体盘查表!G55</f>
        <v>t</v>
      </c>
      <c r="G54" s="30">
        <f>'附表2-EF'!K54*10</f>
        <v>0</v>
      </c>
      <c r="H54" s="29" t="s">
        <v>817</v>
      </c>
      <c r="I54" s="31">
        <f>'附表1-GWP TABLE'!E52</f>
        <v>0</v>
      </c>
      <c r="J54" s="32"/>
      <c r="K54" s="29"/>
      <c r="L54" s="31"/>
      <c r="M54" s="32"/>
      <c r="N54" s="29"/>
      <c r="O54" s="31"/>
      <c r="P54" s="33"/>
      <c r="Q54" s="34"/>
      <c r="R54" s="35"/>
      <c r="S54" s="34"/>
      <c r="T54" s="32"/>
      <c r="U54" s="29"/>
      <c r="V54" s="36"/>
      <c r="W54" s="29"/>
      <c r="X54" s="32"/>
      <c r="Y54" s="29"/>
      <c r="Z54" s="31"/>
      <c r="AA54" s="32"/>
      <c r="AB54" s="34"/>
      <c r="AC54" s="31"/>
      <c r="AD54" s="37">
        <f>表1温室气体盘查表!AF55</f>
        <v>26397.411515179178</v>
      </c>
      <c r="AE54" s="37">
        <f>表1温室气体盘查表!AG55</f>
        <v>0</v>
      </c>
      <c r="AF54" s="37">
        <f>表1温室气体盘查表!AH55</f>
        <v>0</v>
      </c>
      <c r="AG54" s="37">
        <f>表1温室气体盘查表!AI55</f>
        <v>0</v>
      </c>
      <c r="AH54" s="37">
        <f>表1温室气体盘查表!AJ55</f>
        <v>0</v>
      </c>
      <c r="AI54" s="37">
        <f>表1温室气体盘查表!AK55</f>
        <v>0</v>
      </c>
      <c r="AJ54" s="37">
        <f>表1温室气体盘查表!AL55</f>
        <v>0</v>
      </c>
      <c r="AK54" s="37">
        <f>表1温室气体盘查表!AM55</f>
        <v>26397.411515179178</v>
      </c>
    </row>
    <row r="55" spans="1:37" s="16" customFormat="1" ht="33">
      <c r="A55" s="24">
        <v>51</v>
      </c>
      <c r="B55" s="25" t="str">
        <f>表1温室气体盘查表!B56</f>
        <v>资本货物</v>
      </c>
      <c r="C55" s="26" t="str">
        <f>表1温室气体盘查表!C56</f>
        <v>采购产品空调和暖空气加热设备和商业和工业制冷设备制造</v>
      </c>
      <c r="D55" s="27" t="str">
        <f>表1温室气体盘查表!E56</f>
        <v>范围三 类别2</v>
      </c>
      <c r="E55" s="28">
        <f>表1温室气体盘查表!F56</f>
        <v>1112205.76</v>
      </c>
      <c r="F55" s="29" t="str">
        <f>表1温室气体盘查表!G56</f>
        <v>$</v>
      </c>
      <c r="G55" s="30">
        <f>'附表2-EF'!K55*10</f>
        <v>0</v>
      </c>
      <c r="H55" s="29" t="s">
        <v>818</v>
      </c>
      <c r="I55" s="31">
        <f>'附表1-GWP TABLE'!E53</f>
        <v>0</v>
      </c>
      <c r="J55" s="32"/>
      <c r="K55" s="29"/>
      <c r="L55" s="31"/>
      <c r="M55" s="32"/>
      <c r="N55" s="29"/>
      <c r="O55" s="31"/>
      <c r="P55" s="33"/>
      <c r="Q55" s="34"/>
      <c r="R55" s="35"/>
      <c r="S55" s="34"/>
      <c r="T55" s="32"/>
      <c r="U55" s="29"/>
      <c r="V55" s="36"/>
      <c r="W55" s="29"/>
      <c r="X55" s="32"/>
      <c r="Y55" s="29"/>
      <c r="Z55" s="31"/>
      <c r="AA55" s="32"/>
      <c r="AB55" s="34"/>
      <c r="AC55" s="31"/>
      <c r="AD55" s="37">
        <f>表1温室气体盘查表!AF56</f>
        <v>120.11822208</v>
      </c>
      <c r="AE55" s="37">
        <f>表1温室气体盘查表!AG56</f>
        <v>0</v>
      </c>
      <c r="AF55" s="37">
        <f>表1温室气体盘查表!AH56</f>
        <v>0</v>
      </c>
      <c r="AG55" s="37">
        <f>表1温室气体盘查表!AI56</f>
        <v>0</v>
      </c>
      <c r="AH55" s="37">
        <f>表1温室气体盘查表!AJ56</f>
        <v>0</v>
      </c>
      <c r="AI55" s="37">
        <f>表1温室气体盘查表!AK56</f>
        <v>0</v>
      </c>
      <c r="AJ55" s="37">
        <f>表1温室气体盘查表!AL56</f>
        <v>0</v>
      </c>
      <c r="AK55" s="37">
        <f>表1温室气体盘查表!AM56</f>
        <v>120.11822208</v>
      </c>
    </row>
    <row r="56" spans="1:37" s="16" customFormat="1" ht="18">
      <c r="A56" s="24">
        <v>52</v>
      </c>
      <c r="B56" s="25" t="str">
        <f>表1温室气体盘查表!B57</f>
        <v>资本货物</v>
      </c>
      <c r="C56" s="26" t="str">
        <f>表1温室气体盘查表!C57</f>
        <v>电子计算机制造</v>
      </c>
      <c r="D56" s="27" t="str">
        <f>表1温室气体盘查表!E57</f>
        <v>范围三 类别2</v>
      </c>
      <c r="E56" s="28">
        <f>表1温室气体盘查表!F57</f>
        <v>445501.57</v>
      </c>
      <c r="F56" s="29" t="str">
        <f>表1温室气体盘查表!G57</f>
        <v>$</v>
      </c>
      <c r="G56" s="30">
        <f>'附表2-EF'!K56*10</f>
        <v>0</v>
      </c>
      <c r="H56" s="29" t="s">
        <v>819</v>
      </c>
      <c r="I56" s="31">
        <f>'附表1-GWP TABLE'!E54</f>
        <v>0</v>
      </c>
      <c r="J56" s="32"/>
      <c r="K56" s="29"/>
      <c r="L56" s="31"/>
      <c r="M56" s="32"/>
      <c r="N56" s="29"/>
      <c r="O56" s="31"/>
      <c r="P56" s="33"/>
      <c r="Q56" s="34"/>
      <c r="R56" s="35"/>
      <c r="S56" s="34"/>
      <c r="T56" s="32"/>
      <c r="U56" s="29"/>
      <c r="V56" s="36"/>
      <c r="W56" s="29"/>
      <c r="X56" s="32"/>
      <c r="Y56" s="29"/>
      <c r="Z56" s="31"/>
      <c r="AA56" s="32"/>
      <c r="AB56" s="34"/>
      <c r="AC56" s="31"/>
      <c r="AD56" s="37">
        <f>表1温室气体盘查表!AF57</f>
        <v>25.839091060000001</v>
      </c>
      <c r="AE56" s="37">
        <f>表1温室气体盘查表!AG57</f>
        <v>0</v>
      </c>
      <c r="AF56" s="37">
        <f>表1温室气体盘查表!AH57</f>
        <v>0</v>
      </c>
      <c r="AG56" s="37">
        <f>表1温室气体盘查表!AI57</f>
        <v>0</v>
      </c>
      <c r="AH56" s="37">
        <f>表1温室气体盘查表!AJ57</f>
        <v>0</v>
      </c>
      <c r="AI56" s="37">
        <f>表1温室气体盘查表!AK57</f>
        <v>0</v>
      </c>
      <c r="AJ56" s="37">
        <f>表1温室气体盘查表!AL57</f>
        <v>0</v>
      </c>
      <c r="AK56" s="37">
        <f>表1温室气体盘查表!AM57</f>
        <v>25.839091060000001</v>
      </c>
    </row>
    <row r="57" spans="1:37" s="16" customFormat="1" ht="18">
      <c r="A57" s="24">
        <v>53</v>
      </c>
      <c r="B57" s="25" t="str">
        <f>表1温室气体盘查表!B58</f>
        <v>资本货物</v>
      </c>
      <c r="C57" s="26" t="str">
        <f>表1温室气体盘查表!C58</f>
        <v>其他工业设备制造</v>
      </c>
      <c r="D57" s="27" t="str">
        <f>表1温室气体盘查表!E58</f>
        <v>范围三 类别2</v>
      </c>
      <c r="E57" s="28">
        <f>表1温室气体盘查表!F58</f>
        <v>2803779.74</v>
      </c>
      <c r="F57" s="29" t="str">
        <f>表1温室气体盘查表!G58</f>
        <v>$</v>
      </c>
      <c r="G57" s="30">
        <f>'附表2-EF'!K57*10</f>
        <v>0</v>
      </c>
      <c r="H57" s="29" t="s">
        <v>820</v>
      </c>
      <c r="I57" s="31">
        <f>'附表1-GWP TABLE'!E55</f>
        <v>0</v>
      </c>
      <c r="J57" s="32"/>
      <c r="K57" s="29"/>
      <c r="L57" s="31"/>
      <c r="M57" s="32"/>
      <c r="N57" s="29"/>
      <c r="O57" s="31"/>
      <c r="P57" s="33"/>
      <c r="Q57" s="34"/>
      <c r="R57" s="35"/>
      <c r="S57" s="34"/>
      <c r="T57" s="32"/>
      <c r="U57" s="29"/>
      <c r="V57" s="36"/>
      <c r="W57" s="29"/>
      <c r="X57" s="32"/>
      <c r="Y57" s="29"/>
      <c r="Z57" s="31"/>
      <c r="AA57" s="32"/>
      <c r="AB57" s="34"/>
      <c r="AC57" s="31"/>
      <c r="AD57" s="37">
        <f>表1温室气体盘查表!AF58</f>
        <v>518.69925190000004</v>
      </c>
      <c r="AE57" s="37">
        <f>表1温室气体盘查表!AG58</f>
        <v>0</v>
      </c>
      <c r="AF57" s="37">
        <f>表1温室气体盘查表!AH58</f>
        <v>0</v>
      </c>
      <c r="AG57" s="37">
        <f>表1温室气体盘查表!AI58</f>
        <v>0</v>
      </c>
      <c r="AH57" s="37">
        <f>表1温室气体盘查表!AJ58</f>
        <v>0</v>
      </c>
      <c r="AI57" s="37">
        <f>表1温室气体盘查表!AK58</f>
        <v>0</v>
      </c>
      <c r="AJ57" s="37">
        <f>表1温室气体盘查表!AL58</f>
        <v>0</v>
      </c>
      <c r="AK57" s="37">
        <f>表1温室气体盘查表!AM58</f>
        <v>518.69925190000004</v>
      </c>
    </row>
    <row r="58" spans="1:37" s="16" customFormat="1" ht="24.75">
      <c r="A58" s="24">
        <v>54</v>
      </c>
      <c r="B58" s="25" t="str">
        <f>表1温室气体盘查表!B59</f>
        <v>资本货物</v>
      </c>
      <c r="C58" s="26" t="str">
        <f>表1温室气体盘查表!C59</f>
        <v>测量和测试电力和电气信号的仪器制造</v>
      </c>
      <c r="D58" s="27" t="str">
        <f>表1温室气体盘查表!E59</f>
        <v>范围三 类别2</v>
      </c>
      <c r="E58" s="28">
        <f>表1温室气体盘查表!F59</f>
        <v>2788670.79</v>
      </c>
      <c r="F58" s="29" t="str">
        <f>表1温室气体盘查表!G59</f>
        <v>$</v>
      </c>
      <c r="G58" s="30">
        <f>'附表2-EF'!K58*10</f>
        <v>0</v>
      </c>
      <c r="H58" s="29" t="s">
        <v>821</v>
      </c>
      <c r="I58" s="31">
        <f>'附表1-GWP TABLE'!E56</f>
        <v>0</v>
      </c>
      <c r="J58" s="32"/>
      <c r="K58" s="29"/>
      <c r="L58" s="31"/>
      <c r="M58" s="32"/>
      <c r="N58" s="29"/>
      <c r="O58" s="31"/>
      <c r="P58" s="33"/>
      <c r="Q58" s="34"/>
      <c r="R58" s="35"/>
      <c r="S58" s="34"/>
      <c r="T58" s="32"/>
      <c r="U58" s="29"/>
      <c r="V58" s="36"/>
      <c r="W58" s="29"/>
      <c r="X58" s="32"/>
      <c r="Y58" s="29"/>
      <c r="Z58" s="31"/>
      <c r="AA58" s="32"/>
      <c r="AB58" s="34"/>
      <c r="AC58" s="31"/>
      <c r="AD58" s="37">
        <f>表1温室气体盘查表!AF59</f>
        <v>220.30499240999998</v>
      </c>
      <c r="AE58" s="37">
        <f>表1温室气体盘查表!AG59</f>
        <v>0</v>
      </c>
      <c r="AF58" s="37">
        <f>表1温室气体盘查表!AH59</f>
        <v>0</v>
      </c>
      <c r="AG58" s="37">
        <f>表1温室气体盘查表!AI59</f>
        <v>0</v>
      </c>
      <c r="AH58" s="37">
        <f>表1温室气体盘查表!AJ59</f>
        <v>0</v>
      </c>
      <c r="AI58" s="37">
        <f>表1温室气体盘查表!AK59</f>
        <v>0</v>
      </c>
      <c r="AJ58" s="37">
        <f>表1温室气体盘查表!AL59</f>
        <v>0</v>
      </c>
      <c r="AK58" s="37">
        <f>表1温室气体盘查表!AM59</f>
        <v>220.30499240999998</v>
      </c>
    </row>
    <row r="59" spans="1:37" s="16" customFormat="1" ht="18">
      <c r="A59" s="24">
        <v>55</v>
      </c>
      <c r="B59" s="25" t="str">
        <f>表1温室气体盘查表!B60</f>
        <v>资本货物</v>
      </c>
      <c r="C59" s="26" t="str">
        <f>表1温室气体盘查表!C60</f>
        <v>机械动力传动设备制造</v>
      </c>
      <c r="D59" s="27" t="str">
        <f>表1温室气体盘查表!E60</f>
        <v>范围三 类别2</v>
      </c>
      <c r="E59" s="28">
        <f>表1温室气体盘查表!F60</f>
        <v>5368992.5999999996</v>
      </c>
      <c r="F59" s="29" t="str">
        <f>表1温室气体盘查表!G60</f>
        <v>$</v>
      </c>
      <c r="G59" s="30">
        <f>'附表2-EF'!K59*10</f>
        <v>0</v>
      </c>
      <c r="H59" s="29" t="s">
        <v>822</v>
      </c>
      <c r="I59" s="31">
        <f>'附表1-GWP TABLE'!E57</f>
        <v>0</v>
      </c>
      <c r="J59" s="32"/>
      <c r="K59" s="29"/>
      <c r="L59" s="31"/>
      <c r="M59" s="32"/>
      <c r="N59" s="29"/>
      <c r="O59" s="31"/>
      <c r="P59" s="33"/>
      <c r="Q59" s="34"/>
      <c r="R59" s="35"/>
      <c r="S59" s="34"/>
      <c r="T59" s="32"/>
      <c r="U59" s="29"/>
      <c r="V59" s="36"/>
      <c r="W59" s="29"/>
      <c r="X59" s="32"/>
      <c r="Y59" s="29"/>
      <c r="Z59" s="31"/>
      <c r="AA59" s="32"/>
      <c r="AB59" s="34"/>
      <c r="AC59" s="31"/>
      <c r="AD59" s="37">
        <f>表1温室气体盘查表!AF60</f>
        <v>1122.1194533999999</v>
      </c>
      <c r="AE59" s="37">
        <f>表1温室气体盘查表!AG60</f>
        <v>0</v>
      </c>
      <c r="AF59" s="37">
        <f>表1温室气体盘查表!AH60</f>
        <v>0</v>
      </c>
      <c r="AG59" s="37">
        <f>表1温室气体盘查表!AI60</f>
        <v>0</v>
      </c>
      <c r="AH59" s="37">
        <f>表1温室气体盘查表!AJ60</f>
        <v>0</v>
      </c>
      <c r="AI59" s="37">
        <f>表1温室气体盘查表!AK60</f>
        <v>0</v>
      </c>
      <c r="AJ59" s="37">
        <f>表1温室气体盘查表!AL60</f>
        <v>0</v>
      </c>
      <c r="AK59" s="37">
        <f>表1温室气体盘查表!AM60</f>
        <v>1122.1194533999999</v>
      </c>
    </row>
    <row r="60" spans="1:37" s="16" customFormat="1" ht="18">
      <c r="A60" s="24">
        <v>56</v>
      </c>
      <c r="B60" s="25" t="str">
        <f>表1温室气体盘查表!B61</f>
        <v>资本货物</v>
      </c>
      <c r="C60" s="26" t="str">
        <f>表1温室气体盘查表!C61</f>
        <v>测量、分配及其他泵类设备制造</v>
      </c>
      <c r="D60" s="27" t="str">
        <f>表1温室气体盘查表!E61</f>
        <v>范围三 类别2</v>
      </c>
      <c r="E60" s="28">
        <f>表1温室气体盘查表!F61</f>
        <v>2709414.35</v>
      </c>
      <c r="F60" s="29" t="str">
        <f>表1温室气体盘查表!G61</f>
        <v>$</v>
      </c>
      <c r="G60" s="30">
        <f>'附表2-EF'!K60*10</f>
        <v>0</v>
      </c>
      <c r="H60" s="29" t="s">
        <v>823</v>
      </c>
      <c r="I60" s="31">
        <f>'附表1-GWP TABLE'!E58</f>
        <v>0</v>
      </c>
      <c r="J60" s="32"/>
      <c r="K60" s="29"/>
      <c r="L60" s="31"/>
      <c r="M60" s="32"/>
      <c r="N60" s="29"/>
      <c r="O60" s="31"/>
      <c r="P60" s="33"/>
      <c r="Q60" s="34"/>
      <c r="R60" s="35"/>
      <c r="S60" s="34"/>
      <c r="T60" s="32"/>
      <c r="U60" s="29"/>
      <c r="V60" s="36"/>
      <c r="W60" s="29"/>
      <c r="X60" s="32"/>
      <c r="Y60" s="29"/>
      <c r="Z60" s="31"/>
      <c r="AA60" s="32"/>
      <c r="AB60" s="34"/>
      <c r="AC60" s="31"/>
      <c r="AD60" s="37">
        <f>表1温室气体盘查表!AF61</f>
        <v>604.19940005000001</v>
      </c>
      <c r="AE60" s="37">
        <f>表1温室气体盘查表!AG61</f>
        <v>0</v>
      </c>
      <c r="AF60" s="37">
        <f>表1温室气体盘查表!AH61</f>
        <v>0</v>
      </c>
      <c r="AG60" s="37">
        <f>表1温室气体盘查表!AI61</f>
        <v>0</v>
      </c>
      <c r="AH60" s="37">
        <f>表1温室气体盘查表!AJ61</f>
        <v>0</v>
      </c>
      <c r="AI60" s="37">
        <f>表1温室气体盘查表!AK61</f>
        <v>0</v>
      </c>
      <c r="AJ60" s="37">
        <f>表1温室气体盘查表!AL61</f>
        <v>0</v>
      </c>
      <c r="AK60" s="37">
        <f>表1温室气体盘查表!AM61</f>
        <v>604.19940005000001</v>
      </c>
    </row>
    <row r="61" spans="1:37" s="16" customFormat="1" ht="33">
      <c r="A61" s="24">
        <v>57</v>
      </c>
      <c r="B61" s="25" t="str">
        <f>表1温室气体盘查表!B62</f>
        <v>资本货物</v>
      </c>
      <c r="C61" s="26" t="str">
        <f>表1温室气体盘查表!C62</f>
        <v>用于测量、显示和控制工业过程变量的仪器及相关产品制造</v>
      </c>
      <c r="D61" s="27" t="str">
        <f>表1温室气体盘查表!E62</f>
        <v>范围三 类别2</v>
      </c>
      <c r="E61" s="28">
        <f>表1温室气体盘查表!F62</f>
        <v>2228829.6800000002</v>
      </c>
      <c r="F61" s="29" t="str">
        <f>表1温室气体盘查表!G62</f>
        <v>$</v>
      </c>
      <c r="G61" s="30">
        <f>'附表2-EF'!K61*10</f>
        <v>0</v>
      </c>
      <c r="H61" s="29" t="s">
        <v>824</v>
      </c>
      <c r="I61" s="31">
        <f>'附表1-GWP TABLE'!E59</f>
        <v>0</v>
      </c>
      <c r="J61" s="32"/>
      <c r="K61" s="29"/>
      <c r="L61" s="31"/>
      <c r="M61" s="32"/>
      <c r="N61" s="29"/>
      <c r="O61" s="31"/>
      <c r="P61" s="33"/>
      <c r="Q61" s="34"/>
      <c r="R61" s="35"/>
      <c r="S61" s="34"/>
      <c r="T61" s="32"/>
      <c r="U61" s="29"/>
      <c r="V61" s="36"/>
      <c r="W61" s="29"/>
      <c r="X61" s="32"/>
      <c r="Y61" s="29"/>
      <c r="Z61" s="31"/>
      <c r="AA61" s="32"/>
      <c r="AB61" s="34"/>
      <c r="AC61" s="31"/>
      <c r="AD61" s="37">
        <f>表1温室气体盘查表!AF62</f>
        <v>140.41626984000001</v>
      </c>
      <c r="AE61" s="37">
        <f>表1温室气体盘查表!AG62</f>
        <v>0</v>
      </c>
      <c r="AF61" s="37">
        <f>表1温室气体盘查表!AH62</f>
        <v>0</v>
      </c>
      <c r="AG61" s="37">
        <f>表1温室气体盘查表!AI62</f>
        <v>0</v>
      </c>
      <c r="AH61" s="37">
        <f>表1温室气体盘查表!AJ62</f>
        <v>0</v>
      </c>
      <c r="AI61" s="37">
        <f>表1温室气体盘查表!AK62</f>
        <v>0</v>
      </c>
      <c r="AJ61" s="37">
        <f>表1温室气体盘查表!AL62</f>
        <v>0</v>
      </c>
      <c r="AK61" s="37">
        <f>表1温室气体盘查表!AM62</f>
        <v>140.41626984000001</v>
      </c>
    </row>
    <row r="62" spans="1:37" s="16" customFormat="1" ht="18">
      <c r="A62" s="24">
        <v>58</v>
      </c>
      <c r="B62" s="25" t="str">
        <f>表1温室气体盘查表!B63</f>
        <v>资本货物</v>
      </c>
      <c r="C62" s="26" t="str">
        <f>表1温室气体盘查表!C63</f>
        <v>所有其他杂项电气设备及元件制造</v>
      </c>
      <c r="D62" s="27" t="str">
        <f>表1温室气体盘查表!E63</f>
        <v>范围三 类别2</v>
      </c>
      <c r="E62" s="28">
        <f>表1温室气体盘查表!F63</f>
        <v>8525989.8900000006</v>
      </c>
      <c r="F62" s="29" t="str">
        <f>表1温室气体盘查表!G63</f>
        <v>$</v>
      </c>
      <c r="G62" s="30">
        <f>'附表2-EF'!K62*10</f>
        <v>0</v>
      </c>
      <c r="H62" s="29" t="s">
        <v>825</v>
      </c>
      <c r="I62" s="31">
        <f>'附表1-GWP TABLE'!E60</f>
        <v>0</v>
      </c>
      <c r="J62" s="32"/>
      <c r="K62" s="29"/>
      <c r="L62" s="31"/>
      <c r="M62" s="32"/>
      <c r="N62" s="29"/>
      <c r="O62" s="31"/>
      <c r="P62" s="33"/>
      <c r="Q62" s="34"/>
      <c r="R62" s="35"/>
      <c r="S62" s="34"/>
      <c r="T62" s="32"/>
      <c r="U62" s="29"/>
      <c r="V62" s="36"/>
      <c r="W62" s="29"/>
      <c r="X62" s="32"/>
      <c r="Y62" s="29"/>
      <c r="Z62" s="31"/>
      <c r="AA62" s="32"/>
      <c r="AB62" s="34"/>
      <c r="AC62" s="31"/>
      <c r="AD62" s="37">
        <f>表1温室气体盘查表!AF63</f>
        <v>1091.32670592</v>
      </c>
      <c r="AE62" s="37">
        <f>表1温室气体盘查表!AG63</f>
        <v>0</v>
      </c>
      <c r="AF62" s="37">
        <f>表1温室气体盘查表!AH63</f>
        <v>0</v>
      </c>
      <c r="AG62" s="37">
        <f>表1温室气体盘查表!AI63</f>
        <v>0</v>
      </c>
      <c r="AH62" s="37">
        <f>表1温室气体盘查表!AJ63</f>
        <v>0</v>
      </c>
      <c r="AI62" s="37">
        <f>表1温室气体盘查表!AK63</f>
        <v>0</v>
      </c>
      <c r="AJ62" s="37">
        <f>表1温室气体盘查表!AL63</f>
        <v>0</v>
      </c>
      <c r="AK62" s="37">
        <f>表1温室气体盘查表!AM63</f>
        <v>1091.32670592</v>
      </c>
    </row>
    <row r="63" spans="1:37" s="16" customFormat="1" ht="18">
      <c r="A63" s="24">
        <v>59</v>
      </c>
      <c r="B63" s="25" t="str">
        <f>表1温室气体盘查表!B64</f>
        <v>资本货物</v>
      </c>
      <c r="C63" s="26" t="str">
        <f>表1温室气体盘查表!C64</f>
        <v>所有其他杂项制造</v>
      </c>
      <c r="D63" s="27" t="str">
        <f>表1温室气体盘查表!E64</f>
        <v>范围三 类别2</v>
      </c>
      <c r="E63" s="28">
        <f>表1温室气体盘查表!F64</f>
        <v>236451624.12</v>
      </c>
      <c r="F63" s="29" t="str">
        <f>表1温室气体盘查表!G64</f>
        <v>$</v>
      </c>
      <c r="G63" s="30">
        <f>'附表2-EF'!K63*10</f>
        <v>0</v>
      </c>
      <c r="H63" s="29" t="s">
        <v>826</v>
      </c>
      <c r="I63" s="31">
        <f>'附表1-GWP TABLE'!E61</f>
        <v>0</v>
      </c>
      <c r="J63" s="32"/>
      <c r="K63" s="29"/>
      <c r="L63" s="31"/>
      <c r="M63" s="32"/>
      <c r="N63" s="29"/>
      <c r="O63" s="31"/>
      <c r="P63" s="33"/>
      <c r="Q63" s="34"/>
      <c r="R63" s="35"/>
      <c r="S63" s="34"/>
      <c r="T63" s="32"/>
      <c r="U63" s="29"/>
      <c r="V63" s="36"/>
      <c r="W63" s="29"/>
      <c r="X63" s="32"/>
      <c r="Y63" s="29"/>
      <c r="Z63" s="31"/>
      <c r="AA63" s="32"/>
      <c r="AB63" s="34"/>
      <c r="AC63" s="31"/>
      <c r="AD63" s="37">
        <f>表1温室气体盘查表!AF64</f>
        <v>43034.195589840005</v>
      </c>
      <c r="AE63" s="37">
        <f>表1温室气体盘查表!AG64</f>
        <v>0</v>
      </c>
      <c r="AF63" s="37">
        <f>表1温室气体盘查表!AH64</f>
        <v>0</v>
      </c>
      <c r="AG63" s="37">
        <f>表1温室气体盘查表!AI64</f>
        <v>0</v>
      </c>
      <c r="AH63" s="37">
        <f>表1温室气体盘查表!AJ64</f>
        <v>0</v>
      </c>
      <c r="AI63" s="37">
        <f>表1温室气体盘查表!AK64</f>
        <v>0</v>
      </c>
      <c r="AJ63" s="37">
        <f>表1温室气体盘查表!AL64</f>
        <v>0</v>
      </c>
      <c r="AK63" s="37">
        <f>表1温室气体盘查表!AM64</f>
        <v>43034.195589840005</v>
      </c>
    </row>
    <row r="64" spans="1:37" s="16" customFormat="1" ht="18">
      <c r="A64" s="24">
        <v>60</v>
      </c>
      <c r="B64" s="25" t="str">
        <f>表1温室气体盘查表!B65</f>
        <v>范围一、二相关燃料和能源相关的活动产生的排放</v>
      </c>
      <c r="C64" s="26" t="str">
        <f>表1温室气体盘查表!C65</f>
        <v>液化石油气生产</v>
      </c>
      <c r="D64" s="27" t="str">
        <f>表1温室气体盘查表!E65</f>
        <v>范围三 类别3</v>
      </c>
      <c r="E64" s="28">
        <f>表1温室气体盘查表!F65</f>
        <v>9.43</v>
      </c>
      <c r="F64" s="29" t="str">
        <f>表1温室气体盘查表!G65</f>
        <v>t</v>
      </c>
      <c r="G64" s="30">
        <f>'附表2-EF'!K64*10</f>
        <v>0</v>
      </c>
      <c r="H64" s="29" t="s">
        <v>827</v>
      </c>
      <c r="I64" s="31">
        <f>'附表1-GWP TABLE'!E62</f>
        <v>0</v>
      </c>
      <c r="J64" s="32"/>
      <c r="K64" s="29"/>
      <c r="L64" s="31"/>
      <c r="M64" s="32"/>
      <c r="N64" s="29"/>
      <c r="O64" s="31"/>
      <c r="P64" s="33"/>
      <c r="Q64" s="34"/>
      <c r="R64" s="35"/>
      <c r="S64" s="34"/>
      <c r="T64" s="32"/>
      <c r="U64" s="29"/>
      <c r="V64" s="36"/>
      <c r="W64" s="29"/>
      <c r="X64" s="32"/>
      <c r="Y64" s="29"/>
      <c r="Z64" s="31"/>
      <c r="AA64" s="32"/>
      <c r="AB64" s="34"/>
      <c r="AC64" s="31"/>
      <c r="AD64" s="37">
        <f>表1温室气体盘查表!AF65</f>
        <v>9.4887070688452404</v>
      </c>
      <c r="AE64" s="37">
        <f>表1温室气体盘查表!AG65</f>
        <v>0</v>
      </c>
      <c r="AF64" s="37">
        <f>表1温室气体盘查表!AH65</f>
        <v>0</v>
      </c>
      <c r="AG64" s="37">
        <f>表1温室气体盘查表!AI65</f>
        <v>0</v>
      </c>
      <c r="AH64" s="37">
        <f>表1温室气体盘查表!AJ65</f>
        <v>0</v>
      </c>
      <c r="AI64" s="37">
        <f>表1温室气体盘查表!AK65</f>
        <v>0</v>
      </c>
      <c r="AJ64" s="37">
        <f>表1温室气体盘查表!AL65</f>
        <v>0</v>
      </c>
      <c r="AK64" s="37">
        <f>表1温室气体盘查表!AM65</f>
        <v>9.4887070688452404</v>
      </c>
    </row>
    <row r="65" spans="1:37" s="16" customFormat="1" ht="18">
      <c r="A65" s="24">
        <v>61</v>
      </c>
      <c r="B65" s="25" t="str">
        <f>表1温室气体盘查表!B66</f>
        <v>范围一、二相关燃料和能源相关的活动产生的排放</v>
      </c>
      <c r="C65" s="26" t="str">
        <f>表1温室气体盘查表!C66</f>
        <v>洗精煤生产</v>
      </c>
      <c r="D65" s="27" t="str">
        <f>表1温室气体盘查表!E66</f>
        <v>范围三 类别3</v>
      </c>
      <c r="E65" s="28">
        <f>表1温室气体盘查表!F66</f>
        <v>2093622.77</v>
      </c>
      <c r="F65" s="29" t="str">
        <f>表1温室气体盘查表!G66</f>
        <v>t</v>
      </c>
      <c r="G65" s="30">
        <f>'附表2-EF'!K65*10</f>
        <v>0</v>
      </c>
      <c r="H65" s="29" t="s">
        <v>828</v>
      </c>
      <c r="I65" s="31">
        <f>'附表1-GWP TABLE'!E63</f>
        <v>0</v>
      </c>
      <c r="J65" s="32"/>
      <c r="K65" s="29"/>
      <c r="L65" s="31"/>
      <c r="M65" s="32"/>
      <c r="N65" s="29"/>
      <c r="O65" s="31"/>
      <c r="P65" s="33"/>
      <c r="Q65" s="34"/>
      <c r="R65" s="35"/>
      <c r="S65" s="34"/>
      <c r="T65" s="32"/>
      <c r="U65" s="29"/>
      <c r="V65" s="36"/>
      <c r="W65" s="29"/>
      <c r="X65" s="32"/>
      <c r="Y65" s="29"/>
      <c r="Z65" s="31"/>
      <c r="AA65" s="32"/>
      <c r="AB65" s="34"/>
      <c r="AC65" s="31"/>
      <c r="AD65" s="37">
        <f>表1温室气体盘查表!AF66</f>
        <v>1204984.5852735001</v>
      </c>
      <c r="AE65" s="37">
        <f>表1温室气体盘查表!AG66</f>
        <v>0</v>
      </c>
      <c r="AF65" s="37">
        <f>表1温室气体盘查表!AH66</f>
        <v>0</v>
      </c>
      <c r="AG65" s="37">
        <f>表1温室气体盘查表!AI66</f>
        <v>0</v>
      </c>
      <c r="AH65" s="37">
        <f>表1温室气体盘查表!AJ66</f>
        <v>0</v>
      </c>
      <c r="AI65" s="37">
        <f>表1温室气体盘查表!AK66</f>
        <v>0</v>
      </c>
      <c r="AJ65" s="37">
        <f>表1温室气体盘查表!AL66</f>
        <v>0</v>
      </c>
      <c r="AK65" s="37">
        <f>表1温室气体盘查表!AM66</f>
        <v>1204984.5852735001</v>
      </c>
    </row>
    <row r="66" spans="1:37" s="16" customFormat="1" ht="18">
      <c r="A66" s="24">
        <v>62</v>
      </c>
      <c r="B66" s="25" t="str">
        <f>表1温室气体盘查表!B67</f>
        <v>范围一、二相关燃料和能源相关的活动产生的排放</v>
      </c>
      <c r="C66" s="26" t="str">
        <f>表1温室气体盘查表!C67</f>
        <v>柴油生产</v>
      </c>
      <c r="D66" s="27" t="str">
        <f>表1温室气体盘查表!E67</f>
        <v>范围三 类别3</v>
      </c>
      <c r="E66" s="28">
        <f>表1温室气体盘查表!F67</f>
        <v>1422.69</v>
      </c>
      <c r="F66" s="29" t="str">
        <f>表1温室气体盘查表!G67</f>
        <v>t</v>
      </c>
      <c r="G66" s="30">
        <f>'附表2-EF'!K68*10</f>
        <v>0</v>
      </c>
      <c r="H66" s="29" t="s">
        <v>829</v>
      </c>
      <c r="I66" s="31">
        <f>'附表1-GWP TABLE'!E64</f>
        <v>0</v>
      </c>
      <c r="J66" s="32"/>
      <c r="K66" s="29"/>
      <c r="L66" s="31"/>
      <c r="M66" s="32"/>
      <c r="N66" s="29"/>
      <c r="O66" s="31"/>
      <c r="P66" s="33"/>
      <c r="Q66" s="34"/>
      <c r="R66" s="35"/>
      <c r="S66" s="34"/>
      <c r="T66" s="32"/>
      <c r="U66" s="29"/>
      <c r="V66" s="36"/>
      <c r="W66" s="29"/>
      <c r="X66" s="32"/>
      <c r="Y66" s="29"/>
      <c r="Z66" s="31"/>
      <c r="AA66" s="32"/>
      <c r="AB66" s="34"/>
      <c r="AC66" s="31"/>
      <c r="AD66" s="37">
        <f>表1温室气体盘查表!AF67</f>
        <v>1198.0757028</v>
      </c>
      <c r="AE66" s="37">
        <f>表1温室气体盘查表!AG67</f>
        <v>0</v>
      </c>
      <c r="AF66" s="37">
        <f>表1温室气体盘查表!AH67</f>
        <v>0</v>
      </c>
      <c r="AG66" s="37">
        <f>表1温室气体盘查表!AI67</f>
        <v>0</v>
      </c>
      <c r="AH66" s="37">
        <f>表1温室气体盘查表!AJ67</f>
        <v>0</v>
      </c>
      <c r="AI66" s="37">
        <f>表1温室气体盘查表!AK67</f>
        <v>0</v>
      </c>
      <c r="AJ66" s="37">
        <f>表1温室气体盘查表!AL67</f>
        <v>0</v>
      </c>
      <c r="AK66" s="37">
        <f>表1温室气体盘查表!AM67</f>
        <v>1198.0757028</v>
      </c>
    </row>
    <row r="67" spans="1:37" s="16" customFormat="1" ht="18">
      <c r="A67" s="24">
        <v>63</v>
      </c>
      <c r="B67" s="25" t="str">
        <f>表1温室气体盘查表!B68</f>
        <v>范围一、二相关燃料和能源相关的活动产生的排放</v>
      </c>
      <c r="C67" s="26" t="str">
        <f>表1温室气体盘查表!C68</f>
        <v>汽油生产</v>
      </c>
      <c r="D67" s="27" t="str">
        <f>表1温室气体盘查表!E68</f>
        <v>范围三 类别3</v>
      </c>
      <c r="E67" s="28">
        <f>表1温室气体盘查表!F68</f>
        <v>47.34</v>
      </c>
      <c r="F67" s="29" t="str">
        <f>表1温室气体盘查表!G68</f>
        <v>t</v>
      </c>
      <c r="G67" s="30">
        <f>'附表2-EF'!K69*10</f>
        <v>0</v>
      </c>
      <c r="H67" s="29" t="s">
        <v>830</v>
      </c>
      <c r="I67" s="31">
        <f>'附表1-GWP TABLE'!E65</f>
        <v>0</v>
      </c>
      <c r="J67" s="32"/>
      <c r="K67" s="29"/>
      <c r="L67" s="31"/>
      <c r="M67" s="32"/>
      <c r="N67" s="29"/>
      <c r="O67" s="31"/>
      <c r="P67" s="33"/>
      <c r="Q67" s="34"/>
      <c r="R67" s="35"/>
      <c r="S67" s="34"/>
      <c r="T67" s="32"/>
      <c r="U67" s="29"/>
      <c r="V67" s="36"/>
      <c r="W67" s="29"/>
      <c r="X67" s="32"/>
      <c r="Y67" s="29"/>
      <c r="Z67" s="31"/>
      <c r="AA67" s="32"/>
      <c r="AB67" s="34"/>
      <c r="AC67" s="31"/>
      <c r="AD67" s="37">
        <f>表1温室气体盘查表!AF68</f>
        <v>46.740216649323479</v>
      </c>
      <c r="AE67" s="37">
        <f>表1温室气体盘查表!AG68</f>
        <v>0</v>
      </c>
      <c r="AF67" s="37">
        <f>表1温室气体盘查表!AH68</f>
        <v>0</v>
      </c>
      <c r="AG67" s="37">
        <f>表1温室气体盘查表!AI68</f>
        <v>0</v>
      </c>
      <c r="AH67" s="37">
        <f>表1温室气体盘查表!AJ68</f>
        <v>0</v>
      </c>
      <c r="AI67" s="37">
        <f>表1温室气体盘查表!AK68</f>
        <v>0</v>
      </c>
      <c r="AJ67" s="37">
        <f>表1温室气体盘查表!AL68</f>
        <v>0</v>
      </c>
      <c r="AK67" s="37">
        <f>表1温室气体盘查表!AM68</f>
        <v>46.740216649323479</v>
      </c>
    </row>
    <row r="68" spans="1:37" s="16" customFormat="1" ht="18">
      <c r="A68" s="24">
        <v>64</v>
      </c>
      <c r="B68" s="25" t="str">
        <f>表1温室气体盘查表!B69</f>
        <v>范围一、二相关燃料和能源相关的活动产生的排放</v>
      </c>
      <c r="C68" s="26" t="str">
        <f>表1温室气体盘查表!C69</f>
        <v>焦炭生产</v>
      </c>
      <c r="D68" s="27" t="str">
        <f>表1温室气体盘查表!E69</f>
        <v>范围三 类别3</v>
      </c>
      <c r="E68" s="28">
        <f>表1温室气体盘查表!F69</f>
        <v>221509.16999999998</v>
      </c>
      <c r="F68" s="29" t="str">
        <f>表1温室气体盘查表!G69</f>
        <v>t</v>
      </c>
      <c r="G68" s="30">
        <f>'附表2-EF'!K70*10</f>
        <v>0</v>
      </c>
      <c r="H68" s="29" t="s">
        <v>831</v>
      </c>
      <c r="I68" s="31">
        <f>'附表1-GWP TABLE'!E66</f>
        <v>0</v>
      </c>
      <c r="J68" s="32"/>
      <c r="K68" s="29"/>
      <c r="L68" s="31"/>
      <c r="M68" s="32"/>
      <c r="N68" s="29"/>
      <c r="O68" s="31"/>
      <c r="P68" s="33"/>
      <c r="Q68" s="34"/>
      <c r="R68" s="35"/>
      <c r="S68" s="34"/>
      <c r="T68" s="32"/>
      <c r="U68" s="29"/>
      <c r="V68" s="36"/>
      <c r="W68" s="29"/>
      <c r="X68" s="32"/>
      <c r="Y68" s="29"/>
      <c r="Z68" s="31"/>
      <c r="AA68" s="32"/>
      <c r="AB68" s="34"/>
      <c r="AC68" s="31"/>
      <c r="AD68" s="37">
        <f>表1温室气体盘查表!AF69</f>
        <v>77306.700329999992</v>
      </c>
      <c r="AE68" s="37">
        <f>表1温室气体盘查表!AG69</f>
        <v>0</v>
      </c>
      <c r="AF68" s="37">
        <f>表1温室气体盘查表!AH69</f>
        <v>0</v>
      </c>
      <c r="AG68" s="37">
        <f>表1温室气体盘查表!AI69</f>
        <v>0</v>
      </c>
      <c r="AH68" s="37">
        <f>表1温室气体盘查表!AJ69</f>
        <v>0</v>
      </c>
      <c r="AI68" s="37">
        <f>表1温室气体盘查表!AK69</f>
        <v>0</v>
      </c>
      <c r="AJ68" s="37">
        <f>表1温室气体盘查表!AL69</f>
        <v>0</v>
      </c>
      <c r="AK68" s="37">
        <f>表1温室气体盘查表!AM69</f>
        <v>77306.700329999992</v>
      </c>
    </row>
    <row r="69" spans="1:37" s="16" customFormat="1" ht="18">
      <c r="A69" s="24">
        <v>65</v>
      </c>
      <c r="B69" s="25" t="str">
        <f>表1温室气体盘查表!B70</f>
        <v>范围一、二相关燃料和能源相关的活动产生的排放</v>
      </c>
      <c r="C69" s="26" t="str">
        <f>表1温室气体盘查表!C70</f>
        <v>烟煤生产</v>
      </c>
      <c r="D69" s="27" t="str">
        <f>表1温室气体盘查表!E70</f>
        <v>范围三 类别3</v>
      </c>
      <c r="E69" s="28">
        <f>表1温室气体盘查表!F70</f>
        <v>323067.87000000005</v>
      </c>
      <c r="F69" s="29" t="str">
        <f>表1温室气体盘查表!G70</f>
        <v>t</v>
      </c>
      <c r="G69" s="30">
        <f>'附表2-EF'!K72*10</f>
        <v>0</v>
      </c>
      <c r="H69" s="29" t="s">
        <v>832</v>
      </c>
      <c r="I69" s="31">
        <f>'附表1-GWP TABLE'!E68</f>
        <v>0</v>
      </c>
      <c r="J69" s="32"/>
      <c r="K69" s="29"/>
      <c r="L69" s="31"/>
      <c r="M69" s="32"/>
      <c r="N69" s="29"/>
      <c r="O69" s="31"/>
      <c r="P69" s="33"/>
      <c r="Q69" s="34"/>
      <c r="R69" s="35"/>
      <c r="S69" s="34"/>
      <c r="T69" s="32"/>
      <c r="U69" s="29"/>
      <c r="V69" s="36"/>
      <c r="W69" s="29"/>
      <c r="X69" s="32"/>
      <c r="Y69" s="29"/>
      <c r="Z69" s="31"/>
      <c r="AA69" s="32"/>
      <c r="AB69" s="34"/>
      <c r="AC69" s="31"/>
      <c r="AD69" s="37">
        <f>表1温室气体盘查表!AF70</f>
        <v>57829.148730000008</v>
      </c>
      <c r="AE69" s="37">
        <f>表1温室气体盘查表!AG70</f>
        <v>0</v>
      </c>
      <c r="AF69" s="37">
        <f>表1温室气体盘查表!AH70</f>
        <v>0</v>
      </c>
      <c r="AG69" s="37">
        <f>表1温室气体盘查表!AI70</f>
        <v>0</v>
      </c>
      <c r="AH69" s="37">
        <f>表1温室气体盘查表!AJ70</f>
        <v>0</v>
      </c>
      <c r="AI69" s="37">
        <f>表1温室气体盘查表!AK70</f>
        <v>0</v>
      </c>
      <c r="AJ69" s="37">
        <f>表1温室气体盘查表!AL70</f>
        <v>0</v>
      </c>
      <c r="AK69" s="37">
        <f>表1温室气体盘查表!AM70</f>
        <v>57829.148730000008</v>
      </c>
    </row>
    <row r="70" spans="1:37" s="16" customFormat="1" ht="18">
      <c r="A70" s="24">
        <v>66</v>
      </c>
      <c r="B70" s="25" t="str">
        <f>表1温室气体盘查表!B71</f>
        <v>范围一、二相关燃料和能源相关的活动产生的排放</v>
      </c>
      <c r="C70" s="26" t="str">
        <f>表1温室气体盘查表!C71</f>
        <v>无烟煤生产</v>
      </c>
      <c r="D70" s="27" t="str">
        <f>表1温室气体盘查表!E71</f>
        <v>范围三 类别3</v>
      </c>
      <c r="E70" s="28">
        <f>表1温室气体盘查表!F71</f>
        <v>335482.33</v>
      </c>
      <c r="F70" s="29" t="str">
        <f>表1温室气体盘查表!G71</f>
        <v>t</v>
      </c>
      <c r="G70" s="30">
        <f>'附表2-EF'!K73*10</f>
        <v>0</v>
      </c>
      <c r="H70" s="29" t="s">
        <v>833</v>
      </c>
      <c r="I70" s="31">
        <f>'附表1-GWP TABLE'!E69</f>
        <v>0</v>
      </c>
      <c r="J70" s="32"/>
      <c r="K70" s="29"/>
      <c r="L70" s="31"/>
      <c r="M70" s="32"/>
      <c r="N70" s="29"/>
      <c r="O70" s="31"/>
      <c r="P70" s="33"/>
      <c r="Q70" s="34"/>
      <c r="R70" s="35"/>
      <c r="S70" s="34"/>
      <c r="T70" s="32"/>
      <c r="U70" s="29"/>
      <c r="V70" s="36"/>
      <c r="W70" s="29"/>
      <c r="X70" s="32"/>
      <c r="Y70" s="29"/>
      <c r="Z70" s="31"/>
      <c r="AA70" s="32"/>
      <c r="AB70" s="34"/>
      <c r="AC70" s="31"/>
      <c r="AD70" s="37">
        <f>表1温室气体盘查表!AF71</f>
        <v>229469.91372000004</v>
      </c>
      <c r="AE70" s="37">
        <f>表1温室气体盘查表!AG71</f>
        <v>0</v>
      </c>
      <c r="AF70" s="37">
        <f>表1温室气体盘查表!AH71</f>
        <v>0</v>
      </c>
      <c r="AG70" s="37">
        <f>表1温室气体盘查表!AI71</f>
        <v>0</v>
      </c>
      <c r="AH70" s="37">
        <f>表1温室气体盘查表!AJ71</f>
        <v>0</v>
      </c>
      <c r="AI70" s="37">
        <f>表1温室气体盘查表!AK71</f>
        <v>0</v>
      </c>
      <c r="AJ70" s="37">
        <f>表1温室气体盘查表!AL71</f>
        <v>0</v>
      </c>
      <c r="AK70" s="37">
        <f>表1温室气体盘查表!AM71</f>
        <v>229469.91372000004</v>
      </c>
    </row>
    <row r="71" spans="1:37" s="16" customFormat="1" ht="18">
      <c r="A71" s="24">
        <v>67</v>
      </c>
      <c r="B71" s="25" t="str">
        <f>表1温室气体盘查表!B72</f>
        <v>范围一、二相关燃料和能源相关的活动产生的排放</v>
      </c>
      <c r="C71" s="26" t="str">
        <f>表1温室气体盘查表!C72</f>
        <v>天然气生产</v>
      </c>
      <c r="D71" s="27" t="str">
        <f>表1温室气体盘查表!E72</f>
        <v>范围三 类别3</v>
      </c>
      <c r="E71" s="28">
        <f>表1温室气体盘查表!F72</f>
        <v>1454</v>
      </c>
      <c r="F71" s="29" t="str">
        <f>表1温室气体盘查表!G72</f>
        <v>10000Nm3</v>
      </c>
      <c r="G71" s="30" t="e">
        <f>'附表2-EF'!#REF!*10</f>
        <v>#REF!</v>
      </c>
      <c r="H71" s="29" t="s">
        <v>834</v>
      </c>
      <c r="I71" s="31">
        <f>'附表1-GWP TABLE'!E70</f>
        <v>0</v>
      </c>
      <c r="J71" s="32"/>
      <c r="K71" s="29"/>
      <c r="L71" s="31"/>
      <c r="M71" s="32"/>
      <c r="N71" s="29"/>
      <c r="O71" s="31"/>
      <c r="P71" s="33"/>
      <c r="Q71" s="34"/>
      <c r="R71" s="35"/>
      <c r="S71" s="34"/>
      <c r="T71" s="32"/>
      <c r="U71" s="29"/>
      <c r="V71" s="36"/>
      <c r="W71" s="29"/>
      <c r="X71" s="32"/>
      <c r="Y71" s="29"/>
      <c r="Z71" s="31"/>
      <c r="AA71" s="32"/>
      <c r="AB71" s="34"/>
      <c r="AC71" s="31"/>
      <c r="AD71" s="37">
        <f>表1温室气体盘查表!AF72</f>
        <v>9000.26</v>
      </c>
      <c r="AE71" s="37">
        <f>表1温室气体盘查表!AG72</f>
        <v>0</v>
      </c>
      <c r="AF71" s="37">
        <f>表1温室气体盘查表!AH72</f>
        <v>0</v>
      </c>
      <c r="AG71" s="37">
        <f>表1温室气体盘查表!AI72</f>
        <v>0</v>
      </c>
      <c r="AH71" s="37">
        <f>表1温室气体盘查表!AJ72</f>
        <v>0</v>
      </c>
      <c r="AI71" s="37">
        <f>表1温室气体盘查表!AK72</f>
        <v>0</v>
      </c>
      <c r="AJ71" s="37">
        <f>表1温室气体盘查表!AL72</f>
        <v>0</v>
      </c>
      <c r="AK71" s="37">
        <f>表1温室气体盘查表!AM72</f>
        <v>9000.26</v>
      </c>
    </row>
    <row r="72" spans="1:37" s="16" customFormat="1" ht="18">
      <c r="A72" s="24">
        <v>68</v>
      </c>
      <c r="B72" s="25" t="str">
        <f>表1温室气体盘查表!B73</f>
        <v>范围一、二相关燃料和能源相关的活动产生的排放</v>
      </c>
      <c r="C72" s="26" t="str">
        <f>表1温室气体盘查表!C73</f>
        <v>外购电力上游排放</v>
      </c>
      <c r="D72" s="27" t="str">
        <f>表1温室气体盘查表!E73</f>
        <v>范围三 类别3</v>
      </c>
      <c r="E72" s="28">
        <f>表1温室气体盘查表!F73</f>
        <v>1966850.83</v>
      </c>
      <c r="F72" s="29" t="str">
        <f>表1温室气体盘查表!G73</f>
        <v>MWh</v>
      </c>
      <c r="G72" s="30">
        <f>'附表2-EF'!K74*10</f>
        <v>0</v>
      </c>
      <c r="H72" s="29" t="s">
        <v>835</v>
      </c>
      <c r="I72" s="31">
        <f>'附表1-GWP TABLE'!E71</f>
        <v>0</v>
      </c>
      <c r="J72" s="32"/>
      <c r="K72" s="29"/>
      <c r="L72" s="31"/>
      <c r="M72" s="32"/>
      <c r="N72" s="29"/>
      <c r="O72" s="31"/>
      <c r="P72" s="33"/>
      <c r="Q72" s="34"/>
      <c r="R72" s="35"/>
      <c r="S72" s="34"/>
      <c r="T72" s="32"/>
      <c r="U72" s="29"/>
      <c r="V72" s="36"/>
      <c r="W72" s="29"/>
      <c r="X72" s="32"/>
      <c r="Y72" s="29"/>
      <c r="Z72" s="31"/>
      <c r="AA72" s="32"/>
      <c r="AB72" s="34"/>
      <c r="AC72" s="31"/>
      <c r="AD72" s="37">
        <f>表1温室气体盘查表!AF73</f>
        <v>176819.88961700018</v>
      </c>
      <c r="AE72" s="37">
        <f>表1温室气体盘查表!AG73</f>
        <v>0</v>
      </c>
      <c r="AF72" s="37">
        <f>表1温室气体盘查表!AH73</f>
        <v>0</v>
      </c>
      <c r="AG72" s="37">
        <f>表1温室气体盘查表!AI73</f>
        <v>0</v>
      </c>
      <c r="AH72" s="37">
        <f>表1温室气体盘查表!AJ73</f>
        <v>0</v>
      </c>
      <c r="AI72" s="37">
        <f>表1温室气体盘查表!AK73</f>
        <v>0</v>
      </c>
      <c r="AJ72" s="37">
        <f>表1温室气体盘查表!AL73</f>
        <v>0</v>
      </c>
      <c r="AK72" s="37">
        <f>表1温室气体盘查表!AM73</f>
        <v>176819.88961700018</v>
      </c>
    </row>
    <row r="73" spans="1:37" s="16" customFormat="1" ht="18">
      <c r="A73" s="24">
        <v>69</v>
      </c>
      <c r="B73" s="25" t="str">
        <f>表1温室气体盘查表!B74</f>
        <v>上游运输配送产生的排放</v>
      </c>
      <c r="C73" s="26" t="str">
        <f>表1温室气体盘查表!C74</f>
        <v>船运</v>
      </c>
      <c r="D73" s="27" t="str">
        <f>表1温室气体盘查表!E74</f>
        <v>范围三 类别4</v>
      </c>
      <c r="E73" s="28">
        <f>表1温室气体盘查表!F74</f>
        <v>4821908726.5299997</v>
      </c>
      <c r="F73" s="29" t="str">
        <f>表1温室气体盘查表!G74</f>
        <v>tkm</v>
      </c>
      <c r="G73" s="30">
        <f>'附表2-EF'!K75*10</f>
        <v>0</v>
      </c>
      <c r="H73" s="29" t="s">
        <v>836</v>
      </c>
      <c r="I73" s="31">
        <f>'附表1-GWP TABLE'!E72</f>
        <v>0</v>
      </c>
      <c r="J73" s="32"/>
      <c r="K73" s="29"/>
      <c r="L73" s="31"/>
      <c r="M73" s="32"/>
      <c r="N73" s="29"/>
      <c r="O73" s="31"/>
      <c r="P73" s="33"/>
      <c r="Q73" s="34"/>
      <c r="R73" s="35"/>
      <c r="S73" s="34"/>
      <c r="T73" s="32"/>
      <c r="U73" s="29"/>
      <c r="V73" s="36"/>
      <c r="W73" s="29"/>
      <c r="X73" s="32"/>
      <c r="Y73" s="29"/>
      <c r="Z73" s="31"/>
      <c r="AA73" s="32"/>
      <c r="AB73" s="34"/>
      <c r="AC73" s="31"/>
      <c r="AD73" s="37">
        <f>表1温室气体盘查表!AF74</f>
        <v>250587.64380757129</v>
      </c>
      <c r="AE73" s="37">
        <f>表1温室气体盘查表!AG74</f>
        <v>0</v>
      </c>
      <c r="AF73" s="37">
        <f>表1温室气体盘查表!AH74</f>
        <v>0</v>
      </c>
      <c r="AG73" s="37">
        <f>表1温室气体盘查表!AI74</f>
        <v>0</v>
      </c>
      <c r="AH73" s="37">
        <f>表1温室气体盘查表!AJ74</f>
        <v>0</v>
      </c>
      <c r="AI73" s="37">
        <f>表1温室气体盘查表!AK74</f>
        <v>0</v>
      </c>
      <c r="AJ73" s="37">
        <f>表1温室气体盘查表!AL74</f>
        <v>0</v>
      </c>
      <c r="AK73" s="37">
        <f>表1温室气体盘查表!AM74</f>
        <v>250587.64380757129</v>
      </c>
    </row>
    <row r="74" spans="1:37" s="16" customFormat="1" ht="18">
      <c r="A74" s="24">
        <v>70</v>
      </c>
      <c r="B74" s="25" t="str">
        <f>表1温室气体盘查表!B75</f>
        <v>上游运输配送产生的排放</v>
      </c>
      <c r="C74" s="26" t="str">
        <f>表1温室气体盘查表!C75</f>
        <v>汽运</v>
      </c>
      <c r="D74" s="27" t="str">
        <f>表1温室气体盘查表!E75</f>
        <v>范围三 类别4</v>
      </c>
      <c r="E74" s="28">
        <f>表1温室气体盘查表!F75</f>
        <v>491140477.41000003</v>
      </c>
      <c r="F74" s="29" t="str">
        <f>表1温室气体盘查表!G75</f>
        <v>tkm</v>
      </c>
      <c r="G74" s="30">
        <f>'附表2-EF'!K76*10</f>
        <v>0</v>
      </c>
      <c r="H74" s="29" t="s">
        <v>837</v>
      </c>
      <c r="I74" s="31">
        <f>'附表1-GWP TABLE'!E73</f>
        <v>0</v>
      </c>
      <c r="J74" s="32"/>
      <c r="K74" s="29"/>
      <c r="L74" s="31"/>
      <c r="M74" s="32"/>
      <c r="N74" s="29"/>
      <c r="O74" s="31"/>
      <c r="P74" s="33"/>
      <c r="Q74" s="34"/>
      <c r="R74" s="35"/>
      <c r="S74" s="34"/>
      <c r="T74" s="32"/>
      <c r="U74" s="29"/>
      <c r="V74" s="36"/>
      <c r="W74" s="29"/>
      <c r="X74" s="32"/>
      <c r="Y74" s="29"/>
      <c r="Z74" s="31"/>
      <c r="AA74" s="32"/>
      <c r="AB74" s="34"/>
      <c r="AC74" s="31"/>
      <c r="AD74" s="37">
        <f>表1温室气体盘查表!AF75</f>
        <v>74635.120596859735</v>
      </c>
      <c r="AE74" s="37">
        <f>表1温室气体盘查表!AG75</f>
        <v>0</v>
      </c>
      <c r="AF74" s="37">
        <f>表1温室气体盘查表!AH75</f>
        <v>0</v>
      </c>
      <c r="AG74" s="37">
        <f>表1温室气体盘查表!AI75</f>
        <v>0</v>
      </c>
      <c r="AH74" s="37">
        <f>表1温室气体盘查表!AJ75</f>
        <v>0</v>
      </c>
      <c r="AI74" s="37">
        <f>表1温室气体盘查表!AK75</f>
        <v>0</v>
      </c>
      <c r="AJ74" s="37">
        <f>表1温室气体盘查表!AL75</f>
        <v>0</v>
      </c>
      <c r="AK74" s="37">
        <f>表1温室气体盘查表!AM75</f>
        <v>74635.120596859735</v>
      </c>
    </row>
    <row r="75" spans="1:37" s="16" customFormat="1" ht="18">
      <c r="A75" s="24">
        <v>71</v>
      </c>
      <c r="B75" s="25" t="str">
        <f>表1温室气体盘查表!B76</f>
        <v>上游运输配送产生的排放</v>
      </c>
      <c r="C75" s="26" t="str">
        <f>表1温室气体盘查表!C76</f>
        <v>铁路运输</v>
      </c>
      <c r="D75" s="27" t="str">
        <f>表1温室气体盘查表!E76</f>
        <v>范围三 类别4</v>
      </c>
      <c r="E75" s="28">
        <f>表1温室气体盘查表!F76</f>
        <v>1555767247.0999999</v>
      </c>
      <c r="F75" s="29" t="str">
        <f>表1温室气体盘查表!G76</f>
        <v>tkm</v>
      </c>
      <c r="G75" s="30">
        <f>'附表2-EF'!K77*10</f>
        <v>0</v>
      </c>
      <c r="H75" s="29" t="s">
        <v>838</v>
      </c>
      <c r="I75" s="31">
        <f>'附表1-GWP TABLE'!E74</f>
        <v>0</v>
      </c>
      <c r="J75" s="32"/>
      <c r="K75" s="29"/>
      <c r="L75" s="31"/>
      <c r="M75" s="32"/>
      <c r="N75" s="29"/>
      <c r="O75" s="31"/>
      <c r="P75" s="33"/>
      <c r="Q75" s="34"/>
      <c r="R75" s="35"/>
      <c r="S75" s="34"/>
      <c r="T75" s="32"/>
      <c r="U75" s="29"/>
      <c r="V75" s="36"/>
      <c r="W75" s="29"/>
      <c r="X75" s="32"/>
      <c r="Y75" s="29"/>
      <c r="Z75" s="31"/>
      <c r="AA75" s="32"/>
      <c r="AB75" s="34"/>
      <c r="AC75" s="31"/>
      <c r="AD75" s="37">
        <f>表1温室气体盘查表!AF76</f>
        <v>75504.263804014496</v>
      </c>
      <c r="AE75" s="37">
        <f>表1温室气体盘查表!AG76</f>
        <v>0</v>
      </c>
      <c r="AF75" s="37">
        <f>表1温室气体盘查表!AH76</f>
        <v>0</v>
      </c>
      <c r="AG75" s="37">
        <f>表1温室气体盘查表!AI76</f>
        <v>0</v>
      </c>
      <c r="AH75" s="37">
        <f>表1温室气体盘查表!AJ76</f>
        <v>0</v>
      </c>
      <c r="AI75" s="37">
        <f>表1温室气体盘查表!AK76</f>
        <v>0</v>
      </c>
      <c r="AJ75" s="37">
        <f>表1温室气体盘查表!AL76</f>
        <v>0</v>
      </c>
      <c r="AK75" s="37">
        <f>表1温室气体盘查表!AM76</f>
        <v>75504.263804014496</v>
      </c>
    </row>
    <row r="76" spans="1:37" s="16" customFormat="1" ht="18">
      <c r="A76" s="24">
        <v>72</v>
      </c>
      <c r="B76" s="25" t="str">
        <f>表1温室气体盘查表!B77</f>
        <v>运营中产生的废物排放</v>
      </c>
      <c r="C76" s="26" t="str">
        <f>表1温室气体盘查表!C77</f>
        <v>生活垃圾和厨余垃圾</v>
      </c>
      <c r="D76" s="27" t="str">
        <f>表1温室气体盘查表!E77</f>
        <v>范围三 类别5</v>
      </c>
      <c r="E76" s="28">
        <f>表1温室气体盘查表!F77</f>
        <v>2801.4</v>
      </c>
      <c r="F76" s="29" t="str">
        <f>表1温室气体盘查表!G77</f>
        <v>t</v>
      </c>
      <c r="G76" s="30">
        <f>'附表2-EF'!K78*10</f>
        <v>0</v>
      </c>
      <c r="H76" s="29" t="s">
        <v>839</v>
      </c>
      <c r="I76" s="31">
        <f>'附表1-GWP TABLE'!E75</f>
        <v>0</v>
      </c>
      <c r="J76" s="32"/>
      <c r="K76" s="29"/>
      <c r="L76" s="31"/>
      <c r="M76" s="32"/>
      <c r="N76" s="29"/>
      <c r="O76" s="31"/>
      <c r="P76" s="33"/>
      <c r="Q76" s="34"/>
      <c r="R76" s="35"/>
      <c r="S76" s="34"/>
      <c r="T76" s="32"/>
      <c r="U76" s="29"/>
      <c r="V76" s="36"/>
      <c r="W76" s="29"/>
      <c r="X76" s="32"/>
      <c r="Y76" s="29"/>
      <c r="Z76" s="31"/>
      <c r="AA76" s="32"/>
      <c r="AB76" s="34"/>
      <c r="AC76" s="31"/>
      <c r="AD76" s="37">
        <f>表1温室气体盘查表!AF77</f>
        <v>1040.2559007235884</v>
      </c>
      <c r="AE76" s="37">
        <f>表1温室气体盘查表!AG77</f>
        <v>0</v>
      </c>
      <c r="AF76" s="37">
        <f>表1温室气体盘查表!AH77</f>
        <v>0</v>
      </c>
      <c r="AG76" s="37">
        <f>表1温室气体盘查表!AI77</f>
        <v>0</v>
      </c>
      <c r="AH76" s="37">
        <f>表1温室气体盘查表!AJ77</f>
        <v>0</v>
      </c>
      <c r="AI76" s="37">
        <f>表1温室气体盘查表!AK77</f>
        <v>0</v>
      </c>
      <c r="AJ76" s="37">
        <f>表1温室气体盘查表!AL77</f>
        <v>0</v>
      </c>
      <c r="AK76" s="37">
        <f>表1温室气体盘查表!AM77</f>
        <v>1040.2559007235884</v>
      </c>
    </row>
    <row r="77" spans="1:37" s="16" customFormat="1" ht="18">
      <c r="A77" s="24">
        <v>73</v>
      </c>
      <c r="B77" s="25" t="str">
        <f>表1温室气体盘查表!B78</f>
        <v>运营中产生的废物排放</v>
      </c>
      <c r="C77" s="26" t="str">
        <f>表1温室气体盘查表!C78</f>
        <v>废油</v>
      </c>
      <c r="D77" s="27" t="str">
        <f>表1温室气体盘查表!E78</f>
        <v>范围三 类别5</v>
      </c>
      <c r="E77" s="28">
        <f>表1温室气体盘查表!F78</f>
        <v>1719.05</v>
      </c>
      <c r="F77" s="29" t="str">
        <f>表1温室气体盘查表!G78</f>
        <v>t</v>
      </c>
      <c r="G77" s="30">
        <f>'附表2-EF'!K79*10</f>
        <v>0</v>
      </c>
      <c r="H77" s="29" t="s">
        <v>840</v>
      </c>
      <c r="I77" s="31">
        <f>'附表1-GWP TABLE'!E76</f>
        <v>0</v>
      </c>
      <c r="J77" s="32"/>
      <c r="K77" s="29"/>
      <c r="L77" s="31"/>
      <c r="M77" s="32"/>
      <c r="N77" s="29"/>
      <c r="O77" s="31"/>
      <c r="P77" s="33"/>
      <c r="Q77" s="34"/>
      <c r="R77" s="35"/>
      <c r="S77" s="34"/>
      <c r="T77" s="32"/>
      <c r="U77" s="29"/>
      <c r="V77" s="36"/>
      <c r="W77" s="29"/>
      <c r="X77" s="32"/>
      <c r="Y77" s="29"/>
      <c r="Z77" s="31"/>
      <c r="AA77" s="32"/>
      <c r="AB77" s="34"/>
      <c r="AC77" s="31"/>
      <c r="AD77" s="37">
        <f>表1温室气体盘查表!AF78</f>
        <v>4897.6714742239055</v>
      </c>
      <c r="AE77" s="37">
        <f>表1温室气体盘查表!AG78</f>
        <v>0</v>
      </c>
      <c r="AF77" s="37">
        <f>表1温室气体盘查表!AH78</f>
        <v>0</v>
      </c>
      <c r="AG77" s="37">
        <f>表1温室气体盘查表!AI78</f>
        <v>0</v>
      </c>
      <c r="AH77" s="37">
        <f>表1温室气体盘查表!AJ78</f>
        <v>0</v>
      </c>
      <c r="AI77" s="37">
        <f>表1温室气体盘查表!AK78</f>
        <v>0</v>
      </c>
      <c r="AJ77" s="37">
        <f>表1温室气体盘查表!AL78</f>
        <v>0</v>
      </c>
      <c r="AK77" s="37">
        <f>表1温室气体盘查表!AM78</f>
        <v>4897.6714742239055</v>
      </c>
    </row>
    <row r="78" spans="1:37" s="16" customFormat="1" ht="18">
      <c r="A78" s="24">
        <v>74</v>
      </c>
      <c r="B78" s="25" t="str">
        <f>表1温室气体盘查表!B79</f>
        <v>运营中产生的废物排放</v>
      </c>
      <c r="C78" s="26" t="str">
        <f>表1温室气体盘查表!C79</f>
        <v>废油水</v>
      </c>
      <c r="D78" s="27" t="str">
        <f>表1温室气体盘查表!E79</f>
        <v>范围三 类别5</v>
      </c>
      <c r="E78" s="28">
        <f>表1温室气体盘查表!F79</f>
        <v>5203.3</v>
      </c>
      <c r="F78" s="29" t="str">
        <f>表1温室气体盘查表!G79</f>
        <v>t</v>
      </c>
      <c r="G78" s="30">
        <f>'附表2-EF'!K80*10</f>
        <v>0</v>
      </c>
      <c r="H78" s="29" t="s">
        <v>841</v>
      </c>
      <c r="I78" s="31">
        <f>'附表1-GWP TABLE'!E77</f>
        <v>0</v>
      </c>
      <c r="J78" s="32"/>
      <c r="K78" s="29"/>
      <c r="L78" s="31"/>
      <c r="M78" s="32"/>
      <c r="N78" s="29"/>
      <c r="O78" s="31"/>
      <c r="P78" s="33"/>
      <c r="Q78" s="34"/>
      <c r="R78" s="35"/>
      <c r="S78" s="34"/>
      <c r="T78" s="32"/>
      <c r="U78" s="29"/>
      <c r="V78" s="36"/>
      <c r="W78" s="29"/>
      <c r="X78" s="32"/>
      <c r="Y78" s="29"/>
      <c r="Z78" s="31"/>
      <c r="AA78" s="32"/>
      <c r="AB78" s="34"/>
      <c r="AC78" s="31"/>
      <c r="AD78" s="37">
        <f>表1温室气体盘查表!AF79</f>
        <v>14824.498404251912</v>
      </c>
      <c r="AE78" s="37">
        <f>表1温室气体盘查表!AG79</f>
        <v>0</v>
      </c>
      <c r="AF78" s="37">
        <f>表1温室气体盘查表!AH79</f>
        <v>0</v>
      </c>
      <c r="AG78" s="37">
        <f>表1温室气体盘查表!AI79</f>
        <v>0</v>
      </c>
      <c r="AH78" s="37">
        <f>表1温室气体盘查表!AJ79</f>
        <v>0</v>
      </c>
      <c r="AI78" s="37">
        <f>表1温室气体盘查表!AK79</f>
        <v>0</v>
      </c>
      <c r="AJ78" s="37">
        <f>表1温室气体盘查表!AL79</f>
        <v>0</v>
      </c>
      <c r="AK78" s="37">
        <f>表1温室气体盘查表!AM79</f>
        <v>14824.498404251912</v>
      </c>
    </row>
    <row r="79" spans="1:37" s="16" customFormat="1" ht="18">
      <c r="A79" s="24">
        <v>75</v>
      </c>
      <c r="B79" s="25" t="str">
        <f>表1温室气体盘查表!B80</f>
        <v>运营中产生的废物排放</v>
      </c>
      <c r="C79" s="26" t="str">
        <f>表1温室气体盘查表!C80</f>
        <v>废弃物运输</v>
      </c>
      <c r="D79" s="27" t="str">
        <f>表1温室气体盘查表!E80</f>
        <v>范围三 类别5</v>
      </c>
      <c r="E79" s="28">
        <f>表1温室气体盘查表!F80</f>
        <v>67053169.530000001</v>
      </c>
      <c r="F79" s="29" t="str">
        <f>表1温室气体盘查表!G80</f>
        <v>tkm</v>
      </c>
      <c r="G79" s="30">
        <f>'附表2-EF'!K82*10</f>
        <v>0</v>
      </c>
      <c r="H79" s="29" t="s">
        <v>842</v>
      </c>
      <c r="I79" s="31">
        <f>'附表1-GWP TABLE'!E79</f>
        <v>0</v>
      </c>
      <c r="J79" s="32"/>
      <c r="K79" s="29"/>
      <c r="L79" s="31"/>
      <c r="M79" s="32"/>
      <c r="N79" s="29"/>
      <c r="O79" s="31"/>
      <c r="P79" s="33"/>
      <c r="Q79" s="34"/>
      <c r="R79" s="35"/>
      <c r="S79" s="34"/>
      <c r="T79" s="32"/>
      <c r="U79" s="29"/>
      <c r="V79" s="36"/>
      <c r="W79" s="29"/>
      <c r="X79" s="32"/>
      <c r="Y79" s="29"/>
      <c r="Z79" s="31"/>
      <c r="AA79" s="32"/>
      <c r="AB79" s="34"/>
      <c r="AC79" s="31"/>
      <c r="AD79" s="37">
        <f>表1温室气体盘查表!AF80</f>
        <v>10189.592640916659</v>
      </c>
      <c r="AE79" s="37">
        <f>表1温室气体盘查表!AG80</f>
        <v>0</v>
      </c>
      <c r="AF79" s="37">
        <f>表1温室气体盘查表!AH80</f>
        <v>0</v>
      </c>
      <c r="AG79" s="37">
        <f>表1温室气体盘查表!AI80</f>
        <v>0</v>
      </c>
      <c r="AH79" s="37">
        <f>表1温室气体盘查表!AJ80</f>
        <v>0</v>
      </c>
      <c r="AI79" s="37">
        <f>表1温室气体盘查表!AK80</f>
        <v>0</v>
      </c>
      <c r="AJ79" s="37">
        <f>表1温室气体盘查表!AL80</f>
        <v>0</v>
      </c>
      <c r="AK79" s="37">
        <f>表1温室气体盘查表!AM80</f>
        <v>10189.592640916659</v>
      </c>
    </row>
    <row r="80" spans="1:37" s="16" customFormat="1" ht="18">
      <c r="A80" s="24">
        <v>76</v>
      </c>
      <c r="B80" s="25" t="str">
        <f>表1温室气体盘查表!B81</f>
        <v>商务旅行产生的排放</v>
      </c>
      <c r="C80" s="26" t="str">
        <f>表1温室气体盘查表!C81</f>
        <v>航运</v>
      </c>
      <c r="D80" s="27" t="str">
        <f>表1温室气体盘查表!E81</f>
        <v>范围三 类别6</v>
      </c>
      <c r="E80" s="28">
        <f>表1温室气体盘查表!F81</f>
        <v>3709585</v>
      </c>
      <c r="F80" s="29" t="str">
        <f>表1温室气体盘查表!G81</f>
        <v>passenger*km</v>
      </c>
      <c r="G80" s="30">
        <f>'附表2-EF'!K83*10</f>
        <v>0</v>
      </c>
      <c r="H80" s="29" t="s">
        <v>843</v>
      </c>
      <c r="I80" s="31">
        <f>'附表1-GWP TABLE'!E80</f>
        <v>0</v>
      </c>
      <c r="J80" s="32"/>
      <c r="K80" s="29"/>
      <c r="L80" s="31"/>
      <c r="M80" s="32"/>
      <c r="N80" s="29"/>
      <c r="O80" s="31"/>
      <c r="P80" s="33"/>
      <c r="Q80" s="34"/>
      <c r="R80" s="35"/>
      <c r="S80" s="34"/>
      <c r="T80" s="32"/>
      <c r="U80" s="29"/>
      <c r="V80" s="36"/>
      <c r="W80" s="29"/>
      <c r="X80" s="32"/>
      <c r="Y80" s="29"/>
      <c r="Z80" s="31"/>
      <c r="AA80" s="32"/>
      <c r="AB80" s="34"/>
      <c r="AC80" s="31"/>
      <c r="AD80" s="37">
        <f>表1温室气体盘查表!AF81</f>
        <v>311.60514000000001</v>
      </c>
      <c r="AE80" s="37">
        <f>表1温室气体盘查表!AG81</f>
        <v>0</v>
      </c>
      <c r="AF80" s="37">
        <f>表1温室气体盘查表!AH81</f>
        <v>0</v>
      </c>
      <c r="AG80" s="37">
        <f>表1温室气体盘查表!AI81</f>
        <v>0</v>
      </c>
      <c r="AH80" s="37">
        <f>表1温室气体盘查表!AJ81</f>
        <v>0</v>
      </c>
      <c r="AI80" s="37">
        <f>表1温室气体盘查表!AK81</f>
        <v>0</v>
      </c>
      <c r="AJ80" s="37">
        <f>表1温室气体盘查表!AL81</f>
        <v>0</v>
      </c>
      <c r="AK80" s="37">
        <f>表1温室气体盘查表!AM81</f>
        <v>311.60514000000001</v>
      </c>
    </row>
    <row r="81" spans="1:37" s="16" customFormat="1" ht="18">
      <c r="A81" s="24">
        <v>77</v>
      </c>
      <c r="B81" s="25" t="str">
        <f>表1温室气体盘查表!B82</f>
        <v>商务旅行产生的排放</v>
      </c>
      <c r="C81" s="26" t="str">
        <f>表1温室气体盘查表!C82</f>
        <v>铁路运输</v>
      </c>
      <c r="D81" s="27" t="str">
        <f>表1温室气体盘查表!E82</f>
        <v>范围三 类别6</v>
      </c>
      <c r="E81" s="28">
        <f>表1温室气体盘查表!F82</f>
        <v>9687112</v>
      </c>
      <c r="F81" s="29" t="str">
        <f>表1温室气体盘查表!G82</f>
        <v>passenger*km</v>
      </c>
      <c r="G81" s="30">
        <f>'附表2-EF'!K84*10</f>
        <v>0</v>
      </c>
      <c r="H81" s="29" t="s">
        <v>844</v>
      </c>
      <c r="I81" s="31">
        <f>'附表1-GWP TABLE'!E81</f>
        <v>0</v>
      </c>
      <c r="J81" s="32"/>
      <c r="K81" s="29"/>
      <c r="L81" s="31"/>
      <c r="M81" s="32"/>
      <c r="N81" s="29"/>
      <c r="O81" s="31"/>
      <c r="P81" s="33"/>
      <c r="Q81" s="34"/>
      <c r="R81" s="35"/>
      <c r="S81" s="34"/>
      <c r="T81" s="32"/>
      <c r="U81" s="29"/>
      <c r="V81" s="36"/>
      <c r="W81" s="29"/>
      <c r="X81" s="32"/>
      <c r="Y81" s="29"/>
      <c r="Z81" s="31"/>
      <c r="AA81" s="32"/>
      <c r="AB81" s="34"/>
      <c r="AC81" s="31"/>
      <c r="AD81" s="37">
        <f>表1温室气体盘查表!AF82</f>
        <v>725.30840949439869</v>
      </c>
      <c r="AE81" s="37">
        <f>表1温室气体盘查表!AG82</f>
        <v>0</v>
      </c>
      <c r="AF81" s="37">
        <f>表1温室气体盘查表!AH82</f>
        <v>0</v>
      </c>
      <c r="AG81" s="37">
        <f>表1温室气体盘查表!AI82</f>
        <v>0</v>
      </c>
      <c r="AH81" s="37">
        <f>表1温室气体盘查表!AJ82</f>
        <v>0</v>
      </c>
      <c r="AI81" s="37">
        <f>表1温室气体盘查表!AK82</f>
        <v>0</v>
      </c>
      <c r="AJ81" s="37">
        <f>表1温室气体盘查表!AL82</f>
        <v>0</v>
      </c>
      <c r="AK81" s="37">
        <f>表1温室气体盘查表!AM82</f>
        <v>725.30840949439869</v>
      </c>
    </row>
    <row r="82" spans="1:37" s="20" customFormat="1" ht="14.65" customHeight="1">
      <c r="A82" s="24">
        <v>78</v>
      </c>
      <c r="B82" s="25" t="str">
        <f>表1温室气体盘查表!B83</f>
        <v>商务旅行产生的排放</v>
      </c>
      <c r="C82" s="26" t="str">
        <f>表1温室气体盘查表!C83</f>
        <v>员工差旅住宿</v>
      </c>
      <c r="D82" s="27" t="str">
        <f>表1温室气体盘查表!E83</f>
        <v>范围三 类别6</v>
      </c>
      <c r="E82" s="28">
        <f>表1温室气体盘查表!F83</f>
        <v>14352</v>
      </c>
      <c r="F82" s="29" t="str">
        <f>表1温室气体盘查表!G83</f>
        <v>总间*晚</v>
      </c>
      <c r="G82" s="30">
        <f>'附表2-EF'!K85*10</f>
        <v>0</v>
      </c>
      <c r="H82" s="29" t="s">
        <v>845</v>
      </c>
      <c r="I82" s="31">
        <f>'附表1-GWP TABLE'!E82</f>
        <v>0</v>
      </c>
      <c r="J82" s="32"/>
      <c r="K82" s="29"/>
      <c r="L82" s="31"/>
      <c r="M82" s="32"/>
      <c r="N82" s="29"/>
      <c r="O82" s="31"/>
      <c r="P82" s="33"/>
      <c r="Q82" s="34"/>
      <c r="R82" s="35"/>
      <c r="S82" s="34"/>
      <c r="T82" s="32"/>
      <c r="U82" s="29"/>
      <c r="V82" s="36"/>
      <c r="W82" s="29"/>
      <c r="X82" s="32"/>
      <c r="Y82" s="29"/>
      <c r="Z82" s="31"/>
      <c r="AA82" s="32"/>
      <c r="AB82" s="34"/>
      <c r="AC82" s="31"/>
      <c r="AD82" s="37">
        <f>表1温室气体盘查表!AF83</f>
        <v>767.83199999999999</v>
      </c>
      <c r="AE82" s="37">
        <f>表1温室气体盘查表!AG83</f>
        <v>0</v>
      </c>
      <c r="AF82" s="37">
        <f>表1温室气体盘查表!AH83</f>
        <v>0</v>
      </c>
      <c r="AG82" s="37">
        <f>表1温室气体盘查表!AI83</f>
        <v>0</v>
      </c>
      <c r="AH82" s="37">
        <f>表1温室气体盘查表!AJ83</f>
        <v>0</v>
      </c>
      <c r="AI82" s="37">
        <f>表1温室气体盘查表!AK83</f>
        <v>0</v>
      </c>
      <c r="AJ82" s="37">
        <f>表1温室气体盘查表!AL83</f>
        <v>0</v>
      </c>
      <c r="AK82" s="37">
        <f>表1温室气体盘查表!AM83</f>
        <v>767.83199999999999</v>
      </c>
    </row>
    <row r="83" spans="1:37" s="20" customFormat="1" ht="15.4" customHeight="1">
      <c r="A83" s="24">
        <v>79</v>
      </c>
      <c r="B83" s="25" t="str">
        <f>表1温室气体盘查表!B84</f>
        <v>员工通勤产生的排放</v>
      </c>
      <c r="C83" s="26" t="str">
        <f>表1温室气体盘查表!C84</f>
        <v>通勤车</v>
      </c>
      <c r="D83" s="27" t="str">
        <f>表1温室气体盘查表!E84</f>
        <v>范围三 类别7</v>
      </c>
      <c r="E83" s="28">
        <f>表1温室气体盘查表!F84</f>
        <v>6808531.2653061226</v>
      </c>
      <c r="F83" s="29" t="str">
        <f>表1温室气体盘查表!G84</f>
        <v>passenger*km</v>
      </c>
      <c r="G83" s="30">
        <f>'附表2-EF'!K86*10</f>
        <v>0</v>
      </c>
      <c r="H83" s="29" t="s">
        <v>846</v>
      </c>
      <c r="I83" s="31">
        <f>'附表1-GWP TABLE'!E83</f>
        <v>0</v>
      </c>
      <c r="J83" s="32"/>
      <c r="K83" s="29"/>
      <c r="L83" s="31"/>
      <c r="M83" s="32"/>
      <c r="N83" s="29"/>
      <c r="O83" s="31"/>
      <c r="P83" s="33"/>
      <c r="Q83" s="34"/>
      <c r="R83" s="35"/>
      <c r="S83" s="34"/>
      <c r="T83" s="32"/>
      <c r="U83" s="29"/>
      <c r="V83" s="36"/>
      <c r="W83" s="29"/>
      <c r="X83" s="32"/>
      <c r="Y83" s="29"/>
      <c r="Z83" s="31"/>
      <c r="AA83" s="32"/>
      <c r="AB83" s="34"/>
      <c r="AC83" s="31"/>
      <c r="AD83" s="37">
        <f>表1温室气体盘查表!AF84</f>
        <v>59.915075134693886</v>
      </c>
      <c r="AE83" s="37">
        <f>表1温室气体盘查表!AG84</f>
        <v>0</v>
      </c>
      <c r="AF83" s="37">
        <f>表1温室气体盘查表!AH84</f>
        <v>0</v>
      </c>
      <c r="AG83" s="37">
        <f>表1温室气体盘查表!AI84</f>
        <v>0</v>
      </c>
      <c r="AH83" s="37">
        <f>表1温室气体盘查表!AJ84</f>
        <v>0</v>
      </c>
      <c r="AI83" s="37">
        <f>表1温室气体盘查表!AK84</f>
        <v>0</v>
      </c>
      <c r="AJ83" s="37">
        <f>表1温室气体盘查表!AL84</f>
        <v>0</v>
      </c>
      <c r="AK83" s="37">
        <f>表1温室气体盘查表!AM84</f>
        <v>59.915075134693886</v>
      </c>
    </row>
    <row r="84" spans="1:37" s="20" customFormat="1" ht="18">
      <c r="A84" s="24">
        <v>80</v>
      </c>
      <c r="B84" s="25" t="str">
        <f>表1温室气体盘查表!B85</f>
        <v>员工通勤产生的排放</v>
      </c>
      <c r="C84" s="26" t="str">
        <f>表1温室气体盘查表!C85</f>
        <v>电力公交</v>
      </c>
      <c r="D84" s="27" t="str">
        <f>表1温室气体盘查表!E85</f>
        <v>范围三 类别7</v>
      </c>
      <c r="E84" s="28">
        <f>表1温室气体盘查表!F85</f>
        <v>316087.408</v>
      </c>
      <c r="F84" s="29" t="str">
        <f>表1温室气体盘查表!G85</f>
        <v>passenger*km</v>
      </c>
      <c r="G84" s="30">
        <f>'附表2-EF'!K87*10</f>
        <v>0</v>
      </c>
      <c r="H84" s="29" t="s">
        <v>847</v>
      </c>
      <c r="I84" s="31">
        <f>'附表1-GWP TABLE'!E84</f>
        <v>0</v>
      </c>
      <c r="J84" s="32"/>
      <c r="K84" s="29"/>
      <c r="L84" s="31"/>
      <c r="M84" s="32"/>
      <c r="N84" s="29"/>
      <c r="O84" s="31"/>
      <c r="P84" s="33"/>
      <c r="Q84" s="34"/>
      <c r="R84" s="35"/>
      <c r="S84" s="34"/>
      <c r="T84" s="32"/>
      <c r="U84" s="29"/>
      <c r="V84" s="36"/>
      <c r="W84" s="29"/>
      <c r="X84" s="32"/>
      <c r="Y84" s="29"/>
      <c r="Z84" s="31"/>
      <c r="AA84" s="32"/>
      <c r="AB84" s="34"/>
      <c r="AC84" s="31"/>
      <c r="AD84" s="37">
        <f>表1温室气体盘查表!AF85</f>
        <v>2.7815691903999999</v>
      </c>
      <c r="AE84" s="37">
        <f>表1温室气体盘查表!AG85</f>
        <v>0</v>
      </c>
      <c r="AF84" s="37">
        <f>表1温室气体盘查表!AH85</f>
        <v>0</v>
      </c>
      <c r="AG84" s="37">
        <f>表1温室气体盘查表!AI85</f>
        <v>0</v>
      </c>
      <c r="AH84" s="37">
        <f>表1温室气体盘查表!AJ85</f>
        <v>0</v>
      </c>
      <c r="AI84" s="37">
        <f>表1温室气体盘查表!AK85</f>
        <v>0</v>
      </c>
      <c r="AJ84" s="37">
        <f>表1温室气体盘查表!AL85</f>
        <v>0</v>
      </c>
      <c r="AK84" s="37">
        <f>表1温室气体盘查表!AM85</f>
        <v>2.7815691903999999</v>
      </c>
    </row>
    <row r="85" spans="1:37" s="20" customFormat="1" ht="18">
      <c r="A85" s="24">
        <v>81</v>
      </c>
      <c r="B85" s="25" t="str">
        <f>表1温室气体盘查表!B86</f>
        <v>员工通勤产生的排放</v>
      </c>
      <c r="C85" s="26" t="str">
        <f>表1温室气体盘查表!C86</f>
        <v>电瓶车</v>
      </c>
      <c r="D85" s="27" t="str">
        <f>表1温室气体盘查表!E86</f>
        <v>范围三 类别7</v>
      </c>
      <c r="E85" s="28">
        <f>表1温室气体盘查表!F86</f>
        <v>10595750.399999999</v>
      </c>
      <c r="F85" s="29" t="str">
        <f>表1温室气体盘查表!G86</f>
        <v>passenger*km</v>
      </c>
      <c r="G85" s="30">
        <f>'附表2-EF'!K88*10</f>
        <v>0</v>
      </c>
      <c r="H85" s="29" t="s">
        <v>848</v>
      </c>
      <c r="I85" s="31">
        <f>'附表1-GWP TABLE'!E85</f>
        <v>0</v>
      </c>
      <c r="J85" s="32"/>
      <c r="K85" s="29"/>
      <c r="L85" s="31"/>
      <c r="M85" s="32"/>
      <c r="N85" s="29"/>
      <c r="O85" s="31"/>
      <c r="P85" s="33"/>
      <c r="Q85" s="34"/>
      <c r="R85" s="35"/>
      <c r="S85" s="34"/>
      <c r="T85" s="32"/>
      <c r="U85" s="29"/>
      <c r="V85" s="36"/>
      <c r="W85" s="29"/>
      <c r="X85" s="32"/>
      <c r="Y85" s="29"/>
      <c r="Z85" s="31"/>
      <c r="AA85" s="32"/>
      <c r="AB85" s="34"/>
      <c r="AC85" s="31"/>
      <c r="AD85" s="37">
        <f>表1温室气体盘查表!AF86</f>
        <v>286.29993180666088</v>
      </c>
      <c r="AE85" s="37">
        <f>表1温室气体盘查表!AG86</f>
        <v>0</v>
      </c>
      <c r="AF85" s="37">
        <f>表1温室气体盘查表!AH86</f>
        <v>0</v>
      </c>
      <c r="AG85" s="37">
        <f>表1温室气体盘查表!AI86</f>
        <v>0</v>
      </c>
      <c r="AH85" s="37">
        <f>表1温室气体盘查表!AJ86</f>
        <v>0</v>
      </c>
      <c r="AI85" s="37">
        <f>表1温室气体盘查表!AK86</f>
        <v>0</v>
      </c>
      <c r="AJ85" s="37">
        <f>表1温室气体盘查表!AL86</f>
        <v>0</v>
      </c>
      <c r="AK85" s="37">
        <f>表1温室气体盘查表!AM86</f>
        <v>286.29993180666088</v>
      </c>
    </row>
    <row r="86" spans="1:37" ht="18" customHeight="1">
      <c r="A86" s="24">
        <v>82</v>
      </c>
      <c r="B86" s="25" t="str">
        <f>表1温室气体盘查表!B87</f>
        <v>员工通勤产生的排放</v>
      </c>
      <c r="C86" s="26" t="str">
        <f>表1温室气体盘查表!C87</f>
        <v>自驾油车</v>
      </c>
      <c r="D86" s="27" t="str">
        <f>表1温室气体盘查表!E87</f>
        <v>范围三 类别7</v>
      </c>
      <c r="E86" s="28">
        <f>表1温室气体盘查表!F87</f>
        <v>12199616</v>
      </c>
      <c r="F86" s="29" t="str">
        <f>表1温室气体盘查表!G87</f>
        <v>km</v>
      </c>
      <c r="G86" s="30">
        <f>'附表2-EF'!K89*10</f>
        <v>0</v>
      </c>
      <c r="H86" s="29" t="s">
        <v>849</v>
      </c>
      <c r="I86" s="31">
        <f>'附表1-GWP TABLE'!E86</f>
        <v>0</v>
      </c>
      <c r="J86" s="32"/>
      <c r="K86" s="29"/>
      <c r="L86" s="31"/>
      <c r="M86" s="32"/>
      <c r="N86" s="29"/>
      <c r="O86" s="31"/>
      <c r="P86" s="33"/>
      <c r="Q86" s="34"/>
      <c r="R86" s="35"/>
      <c r="S86" s="34"/>
      <c r="T86" s="32"/>
      <c r="U86" s="29"/>
      <c r="V86" s="36"/>
      <c r="W86" s="29"/>
      <c r="X86" s="32"/>
      <c r="Y86" s="29"/>
      <c r="Z86" s="31"/>
      <c r="AA86" s="32"/>
      <c r="AB86" s="34"/>
      <c r="AC86" s="31"/>
      <c r="AD86" s="37">
        <f>表1温室气体盘查表!AF87</f>
        <v>4531.2742832535278</v>
      </c>
      <c r="AE86" s="37">
        <f>表1温室气体盘查表!AG87</f>
        <v>0</v>
      </c>
      <c r="AF86" s="37">
        <f>表1温室气体盘查表!AH87</f>
        <v>0</v>
      </c>
      <c r="AG86" s="37">
        <f>表1温室气体盘查表!AI87</f>
        <v>0</v>
      </c>
      <c r="AH86" s="37">
        <f>表1温室气体盘查表!AJ87</f>
        <v>0</v>
      </c>
      <c r="AI86" s="37">
        <f>表1温室气体盘查表!AK87</f>
        <v>0</v>
      </c>
      <c r="AJ86" s="37">
        <f>表1温室气体盘查表!AL87</f>
        <v>0</v>
      </c>
      <c r="AK86" s="37">
        <f>表1温室气体盘查表!AM87</f>
        <v>4531.2742832535278</v>
      </c>
    </row>
    <row r="87" spans="1:37" ht="18" customHeight="1">
      <c r="A87" s="24">
        <v>83</v>
      </c>
      <c r="B87" s="25" t="str">
        <f>表1温室气体盘查表!B88</f>
        <v>员工通勤产生的排放</v>
      </c>
      <c r="C87" s="26" t="str">
        <f>表1温室气体盘查表!C88</f>
        <v>自驾电车</v>
      </c>
      <c r="D87" s="27" t="str">
        <f>表1温室气体盘查表!E88</f>
        <v>范围三 类别7</v>
      </c>
      <c r="E87" s="28">
        <f>表1温室气体盘查表!F88</f>
        <v>1527084.7999999998</v>
      </c>
      <c r="F87" s="29" t="str">
        <f>表1温室气体盘查表!G88</f>
        <v>km</v>
      </c>
      <c r="G87" s="30">
        <f>'附表2-EF'!K90*10</f>
        <v>0</v>
      </c>
      <c r="H87" s="29" t="s">
        <v>850</v>
      </c>
      <c r="I87" s="31">
        <f>'附表1-GWP TABLE'!E87</f>
        <v>0</v>
      </c>
      <c r="J87" s="32"/>
      <c r="K87" s="29"/>
      <c r="L87" s="31"/>
      <c r="M87" s="32"/>
      <c r="N87" s="29"/>
      <c r="O87" s="31"/>
      <c r="P87" s="33"/>
      <c r="Q87" s="34"/>
      <c r="R87" s="35"/>
      <c r="S87" s="34"/>
      <c r="T87" s="32"/>
      <c r="U87" s="29"/>
      <c r="V87" s="36"/>
      <c r="W87" s="29"/>
      <c r="X87" s="32"/>
      <c r="Y87" s="29"/>
      <c r="Z87" s="31"/>
      <c r="AA87" s="32"/>
      <c r="AB87" s="34"/>
      <c r="AC87" s="31"/>
      <c r="AD87" s="37">
        <f>表1温室气体盘查表!AF88</f>
        <v>567.20146622544166</v>
      </c>
      <c r="AE87" s="37">
        <f>表1温室气体盘查表!AG88</f>
        <v>0</v>
      </c>
      <c r="AF87" s="37">
        <f>表1温室气体盘查表!AH88</f>
        <v>0</v>
      </c>
      <c r="AG87" s="37">
        <f>表1温室气体盘查表!AI88</f>
        <v>0</v>
      </c>
      <c r="AH87" s="37">
        <f>表1温室气体盘查表!AJ88</f>
        <v>0</v>
      </c>
      <c r="AI87" s="37">
        <f>表1温室气体盘查表!AK88</f>
        <v>0</v>
      </c>
      <c r="AJ87" s="37">
        <f>表1温室气体盘查表!AL88</f>
        <v>0</v>
      </c>
      <c r="AK87" s="37">
        <f>表1温室气体盘查表!AM88</f>
        <v>567.20146622544166</v>
      </c>
    </row>
    <row r="88" spans="1:37" ht="18" customHeight="1">
      <c r="A88" s="24">
        <v>84</v>
      </c>
      <c r="B88" s="25" t="str">
        <f>表1温室气体盘查表!B89</f>
        <v>下游运输配送产生的排放</v>
      </c>
      <c r="C88" s="26" t="str">
        <f>表1温室气体盘查表!C89</f>
        <v>船运</v>
      </c>
      <c r="D88" s="27" t="str">
        <f>表1温室气体盘查表!E89</f>
        <v>范围三 类别9</v>
      </c>
      <c r="E88" s="28">
        <f>表1温室气体盘查表!F89</f>
        <v>965477841.62</v>
      </c>
      <c r="F88" s="29" t="str">
        <f>表1温室气体盘查表!G89</f>
        <v>tkm</v>
      </c>
      <c r="G88" s="30">
        <f>'附表2-EF'!K91*10</f>
        <v>0</v>
      </c>
      <c r="H88" s="29" t="s">
        <v>851</v>
      </c>
      <c r="I88" s="31">
        <f>'附表1-GWP TABLE'!E88</f>
        <v>0</v>
      </c>
      <c r="J88" s="32"/>
      <c r="K88" s="29"/>
      <c r="L88" s="31"/>
      <c r="M88" s="32"/>
      <c r="N88" s="29"/>
      <c r="O88" s="31"/>
      <c r="P88" s="33"/>
      <c r="Q88" s="34"/>
      <c r="R88" s="35"/>
      <c r="S88" s="34"/>
      <c r="T88" s="32"/>
      <c r="U88" s="29"/>
      <c r="V88" s="36"/>
      <c r="W88" s="29"/>
      <c r="X88" s="32"/>
      <c r="Y88" s="29"/>
      <c r="Z88" s="31"/>
      <c r="AA88" s="32"/>
      <c r="AB88" s="34"/>
      <c r="AC88" s="31"/>
      <c r="AD88" s="37">
        <f>表1温室气体盘查表!AF89</f>
        <v>50174.491306491567</v>
      </c>
      <c r="AE88" s="37">
        <f>表1温室气体盘查表!AG89</f>
        <v>0</v>
      </c>
      <c r="AF88" s="37">
        <f>表1温室气体盘查表!AH89</f>
        <v>0</v>
      </c>
      <c r="AG88" s="37">
        <f>表1温室气体盘查表!AI89</f>
        <v>0</v>
      </c>
      <c r="AH88" s="37">
        <f>表1温室气体盘查表!AJ89</f>
        <v>0</v>
      </c>
      <c r="AI88" s="37">
        <f>表1温室气体盘查表!AK89</f>
        <v>0</v>
      </c>
      <c r="AJ88" s="37">
        <f>表1温室气体盘查表!AL89</f>
        <v>0</v>
      </c>
      <c r="AK88" s="37">
        <f>表1温室气体盘查表!AM89</f>
        <v>50174.491306491567</v>
      </c>
    </row>
    <row r="89" spans="1:37" ht="18" customHeight="1">
      <c r="A89" s="24">
        <v>85</v>
      </c>
      <c r="B89" s="25" t="str">
        <f>表1温室气体盘查表!B90</f>
        <v>下游运输配送产生的排放</v>
      </c>
      <c r="C89" s="26" t="str">
        <f>表1温室气体盘查表!C90</f>
        <v>汽运</v>
      </c>
      <c r="D89" s="27" t="str">
        <f>表1温室气体盘查表!E90</f>
        <v>范围三 类别9</v>
      </c>
      <c r="E89" s="28">
        <f>表1温室气体盘查表!F90</f>
        <v>1366758643.75</v>
      </c>
      <c r="F89" s="29" t="str">
        <f>表1温室气体盘查表!G90</f>
        <v>tkm</v>
      </c>
      <c r="G89" s="30">
        <f>'附表2-EF'!K92*10</f>
        <v>0</v>
      </c>
      <c r="H89" s="29" t="s">
        <v>852</v>
      </c>
      <c r="I89" s="31">
        <f>'附表1-GWP TABLE'!E89</f>
        <v>0</v>
      </c>
      <c r="J89" s="32"/>
      <c r="K89" s="29"/>
      <c r="L89" s="31"/>
      <c r="M89" s="32"/>
      <c r="N89" s="29"/>
      <c r="O89" s="31"/>
      <c r="P89" s="33"/>
      <c r="Q89" s="34"/>
      <c r="R89" s="35"/>
      <c r="S89" s="34"/>
      <c r="T89" s="32"/>
      <c r="U89" s="29"/>
      <c r="V89" s="36"/>
      <c r="W89" s="29"/>
      <c r="X89" s="32"/>
      <c r="Y89" s="29"/>
      <c r="Z89" s="31"/>
      <c r="AA89" s="32"/>
      <c r="AB89" s="34"/>
      <c r="AC89" s="31"/>
      <c r="AD89" s="37">
        <f>表1温室气体盘查表!AF90</f>
        <v>207696.57744565431</v>
      </c>
      <c r="AE89" s="37">
        <f>表1温室气体盘查表!AG90</f>
        <v>0</v>
      </c>
      <c r="AF89" s="37">
        <f>表1温室气体盘查表!AH90</f>
        <v>0</v>
      </c>
      <c r="AG89" s="37">
        <f>表1温室气体盘查表!AI90</f>
        <v>0</v>
      </c>
      <c r="AH89" s="37">
        <f>表1温室气体盘查表!AJ90</f>
        <v>0</v>
      </c>
      <c r="AI89" s="37">
        <f>表1温室气体盘查表!AK90</f>
        <v>0</v>
      </c>
      <c r="AJ89" s="37">
        <f>表1温室气体盘查表!AL90</f>
        <v>0</v>
      </c>
      <c r="AK89" s="37">
        <f>表1温室气体盘查表!AM90</f>
        <v>207696.57744565431</v>
      </c>
    </row>
    <row r="90" spans="1:37" ht="18" customHeight="1">
      <c r="A90" s="24">
        <v>86</v>
      </c>
      <c r="B90" s="25" t="str">
        <f>表1温室气体盘查表!B91</f>
        <v>下游运输配送产生的排放</v>
      </c>
      <c r="C90" s="26" t="str">
        <f>表1温室气体盘查表!C91</f>
        <v>铁路运输</v>
      </c>
      <c r="D90" s="27" t="str">
        <f>表1温室气体盘查表!E91</f>
        <v>范围三 类别9</v>
      </c>
      <c r="E90" s="28">
        <f>表1温室气体盘查表!F91</f>
        <v>343519032.62</v>
      </c>
      <c r="F90" s="29" t="str">
        <f>表1温室气体盘查表!G91</f>
        <v>tkm</v>
      </c>
      <c r="G90" s="30" t="e">
        <f>'附表2-EF'!#REF!*10</f>
        <v>#REF!</v>
      </c>
      <c r="H90" s="29" t="s">
        <v>853</v>
      </c>
      <c r="I90" s="31">
        <f>'附表1-GWP TABLE'!E90</f>
        <v>0</v>
      </c>
      <c r="J90" s="32"/>
      <c r="K90" s="29"/>
      <c r="L90" s="31"/>
      <c r="M90" s="32"/>
      <c r="N90" s="29"/>
      <c r="O90" s="31"/>
      <c r="P90" s="33"/>
      <c r="Q90" s="34"/>
      <c r="R90" s="35"/>
      <c r="S90" s="34"/>
      <c r="T90" s="32"/>
      <c r="U90" s="29"/>
      <c r="V90" s="36"/>
      <c r="W90" s="29"/>
      <c r="X90" s="32"/>
      <c r="Y90" s="29"/>
      <c r="Z90" s="31"/>
      <c r="AA90" s="32"/>
      <c r="AB90" s="34"/>
      <c r="AC90" s="31"/>
      <c r="AD90" s="37">
        <f>表1温室气体盘查表!AF91</f>
        <v>16671.614413395077</v>
      </c>
      <c r="AE90" s="37">
        <f>表1温室气体盘查表!AG91</f>
        <v>0</v>
      </c>
      <c r="AF90" s="37">
        <f>表1温室气体盘查表!AH91</f>
        <v>0</v>
      </c>
      <c r="AG90" s="37">
        <f>表1温室气体盘查表!AI91</f>
        <v>0</v>
      </c>
      <c r="AH90" s="37">
        <f>表1温室气体盘查表!AJ91</f>
        <v>0</v>
      </c>
      <c r="AI90" s="37">
        <f>表1温室气体盘查表!AK91</f>
        <v>0</v>
      </c>
      <c r="AJ90" s="37">
        <f>表1温室气体盘查表!AL91</f>
        <v>0</v>
      </c>
      <c r="AK90" s="37">
        <f>表1温室气体盘查表!AM91</f>
        <v>16671.614413395077</v>
      </c>
    </row>
    <row r="91" spans="1:37" ht="18" customHeight="1">
      <c r="A91" s="24">
        <v>87</v>
      </c>
      <c r="B91" s="25" t="str">
        <f>表1温室气体盘查表!B92</f>
        <v>下游运输配送产生的排放</v>
      </c>
      <c r="C91" s="26" t="str">
        <f>表1温室气体盘查表!C92</f>
        <v>汽运-副产品</v>
      </c>
      <c r="D91" s="27" t="str">
        <f>表1温室气体盘查表!E92</f>
        <v>范围三 类别9</v>
      </c>
      <c r="E91" s="28">
        <f>表1温室气体盘查表!F92</f>
        <v>43030612.399999999</v>
      </c>
      <c r="F91" s="29" t="str">
        <f>表1温室气体盘查表!G92</f>
        <v>tkm</v>
      </c>
      <c r="G91" s="30">
        <f>'附表2-EF'!K93*10</f>
        <v>0</v>
      </c>
      <c r="H91" s="29" t="s">
        <v>854</v>
      </c>
      <c r="I91" s="31">
        <f>'附表1-GWP TABLE'!E91</f>
        <v>0</v>
      </c>
      <c r="J91" s="32"/>
      <c r="K91" s="29"/>
      <c r="L91" s="31"/>
      <c r="M91" s="32"/>
      <c r="N91" s="29"/>
      <c r="O91" s="31"/>
      <c r="P91" s="33"/>
      <c r="Q91" s="34"/>
      <c r="R91" s="35"/>
      <c r="S91" s="34"/>
      <c r="T91" s="32"/>
      <c r="U91" s="29"/>
      <c r="V91" s="36"/>
      <c r="W91" s="29"/>
      <c r="X91" s="32"/>
      <c r="Y91" s="29"/>
      <c r="Z91" s="31"/>
      <c r="AA91" s="32"/>
      <c r="AB91" s="34"/>
      <c r="AC91" s="31"/>
      <c r="AD91" s="37">
        <f>表1温室气体盘查表!AF92</f>
        <v>6539.0557153156715</v>
      </c>
      <c r="AE91" s="37">
        <f>表1温室气体盘查表!AG92</f>
        <v>0</v>
      </c>
      <c r="AF91" s="37">
        <f>表1温室气体盘查表!AH92</f>
        <v>0</v>
      </c>
      <c r="AG91" s="37">
        <f>表1温室气体盘查表!AI92</f>
        <v>0</v>
      </c>
      <c r="AH91" s="37">
        <f>表1温室气体盘查表!AJ92</f>
        <v>0</v>
      </c>
      <c r="AI91" s="37">
        <f>表1温室气体盘查表!AK92</f>
        <v>0</v>
      </c>
      <c r="AJ91" s="37">
        <f>表1温室气体盘查表!AL92</f>
        <v>0</v>
      </c>
      <c r="AK91" s="37">
        <f>表1温室气体盘查表!AM92</f>
        <v>6539.0557153156715</v>
      </c>
    </row>
    <row r="92" spans="1:37" ht="18" customHeight="1">
      <c r="A92" s="24">
        <v>88</v>
      </c>
      <c r="B92" s="25" t="str">
        <f>表1温室气体盘查表!B93</f>
        <v>外销产品加工产生的排放</v>
      </c>
      <c r="C92" s="26" t="str">
        <f>表1温室气体盘查表!C93</f>
        <v>锻材加工</v>
      </c>
      <c r="D92" s="27" t="str">
        <f>表1温室气体盘查表!E93</f>
        <v>范围三 类别10</v>
      </c>
      <c r="E92" s="28">
        <f>表1温室气体盘查表!F93</f>
        <v>172270</v>
      </c>
      <c r="F92" s="29" t="str">
        <f>表1温室气体盘查表!G93</f>
        <v>t</v>
      </c>
      <c r="G92" s="30">
        <f>'附表2-EF'!K94*10</f>
        <v>0</v>
      </c>
      <c r="H92" s="29" t="s">
        <v>855</v>
      </c>
      <c r="I92" s="31">
        <f>'附表1-GWP TABLE'!E92</f>
        <v>0</v>
      </c>
      <c r="J92" s="32"/>
      <c r="K92" s="29"/>
      <c r="L92" s="31"/>
      <c r="M92" s="32"/>
      <c r="N92" s="29"/>
      <c r="O92" s="31"/>
      <c r="P92" s="33"/>
      <c r="Q92" s="34"/>
      <c r="R92" s="35"/>
      <c r="S92" s="34"/>
      <c r="T92" s="32"/>
      <c r="U92" s="29"/>
      <c r="V92" s="36"/>
      <c r="W92" s="29"/>
      <c r="X92" s="32"/>
      <c r="Y92" s="29"/>
      <c r="Z92" s="31"/>
      <c r="AA92" s="32"/>
      <c r="AB92" s="34"/>
      <c r="AC92" s="31"/>
      <c r="AD92" s="37">
        <f>表1温室气体盘查表!AF93</f>
        <v>135333.26981830696</v>
      </c>
      <c r="AE92" s="37">
        <f>表1温室气体盘查表!AG93</f>
        <v>0</v>
      </c>
      <c r="AF92" s="37">
        <f>表1温室气体盘查表!AH93</f>
        <v>0</v>
      </c>
      <c r="AG92" s="37">
        <f>表1温室气体盘查表!AI93</f>
        <v>0</v>
      </c>
      <c r="AH92" s="37">
        <f>表1温室气体盘查表!AJ93</f>
        <v>0</v>
      </c>
      <c r="AI92" s="37">
        <f>表1温室气体盘查表!AK93</f>
        <v>0</v>
      </c>
      <c r="AJ92" s="37">
        <f>表1温室气体盘查表!AL93</f>
        <v>0</v>
      </c>
      <c r="AK92" s="37">
        <f>表1温室气体盘查表!AM93</f>
        <v>135333.26981830696</v>
      </c>
    </row>
    <row r="93" spans="1:37" ht="18" customHeight="1">
      <c r="A93" s="24">
        <v>89</v>
      </c>
      <c r="B93" s="25" t="str">
        <f>表1温室气体盘查表!B94</f>
        <v>外销产品加工产生的排放</v>
      </c>
      <c r="C93" s="26" t="str">
        <f>表1温室气体盘查表!C94</f>
        <v>棒材加工</v>
      </c>
      <c r="D93" s="27" t="str">
        <f>表1温室气体盘查表!E94</f>
        <v>范围三 类别10</v>
      </c>
      <c r="E93" s="28">
        <f>表1温室气体盘查表!F94</f>
        <v>2063196.54</v>
      </c>
      <c r="F93" s="29" t="str">
        <f>表1温室气体盘查表!G94</f>
        <v>t</v>
      </c>
      <c r="G93" s="30">
        <f>'附表2-EF'!K95*10</f>
        <v>0</v>
      </c>
      <c r="H93" s="29" t="s">
        <v>856</v>
      </c>
      <c r="I93" s="31">
        <f>'附表1-GWP TABLE'!E93</f>
        <v>0</v>
      </c>
      <c r="J93" s="32"/>
      <c r="K93" s="29"/>
      <c r="L93" s="31"/>
      <c r="M93" s="32"/>
      <c r="N93" s="29"/>
      <c r="O93" s="31"/>
      <c r="P93" s="33"/>
      <c r="Q93" s="34"/>
      <c r="R93" s="35"/>
      <c r="S93" s="34"/>
      <c r="T93" s="32"/>
      <c r="U93" s="29"/>
      <c r="V93" s="36"/>
      <c r="W93" s="29"/>
      <c r="X93" s="32"/>
      <c r="Y93" s="29"/>
      <c r="Z93" s="31"/>
      <c r="AA93" s="32"/>
      <c r="AB93" s="34"/>
      <c r="AC93" s="31"/>
      <c r="AD93" s="37">
        <f>表1温室气体盘查表!AF94</f>
        <v>2075519.7277605545</v>
      </c>
      <c r="AE93" s="37">
        <f>表1温室气体盘查表!AG94</f>
        <v>0</v>
      </c>
      <c r="AF93" s="37">
        <f>表1温室气体盘查表!AH94</f>
        <v>0</v>
      </c>
      <c r="AG93" s="37">
        <f>表1温室气体盘查表!AI94</f>
        <v>0</v>
      </c>
      <c r="AH93" s="37">
        <f>表1温室气体盘查表!AJ94</f>
        <v>0</v>
      </c>
      <c r="AI93" s="37">
        <f>表1温室气体盘查表!AK94</f>
        <v>0</v>
      </c>
      <c r="AJ93" s="37">
        <f>表1温室气体盘查表!AL94</f>
        <v>0</v>
      </c>
      <c r="AK93" s="37">
        <f>表1温室气体盘查表!AM94</f>
        <v>2075519.7277605545</v>
      </c>
    </row>
    <row r="94" spans="1:37" ht="18" customHeight="1">
      <c r="A94" s="24">
        <v>90</v>
      </c>
      <c r="B94" s="25" t="str">
        <f>表1温室气体盘查表!B95</f>
        <v>外销产品加工产生的排放</v>
      </c>
      <c r="C94" s="26" t="str">
        <f>表1温室气体盘查表!C95</f>
        <v>钢管加工</v>
      </c>
      <c r="D94" s="27" t="str">
        <f>表1温室气体盘查表!E95</f>
        <v>范围三 类别10</v>
      </c>
      <c r="E94" s="28">
        <f>表1温室气体盘查表!F95</f>
        <v>649008.66</v>
      </c>
      <c r="F94" s="29" t="str">
        <f>表1温室气体盘查表!G95</f>
        <v>t</v>
      </c>
      <c r="G94" s="30">
        <f>'附表2-EF'!K96*10</f>
        <v>0</v>
      </c>
      <c r="H94" s="29" t="s">
        <v>857</v>
      </c>
      <c r="I94" s="31">
        <f>'附表1-GWP TABLE'!E94</f>
        <v>0</v>
      </c>
      <c r="J94" s="32"/>
      <c r="K94" s="29"/>
      <c r="L94" s="31"/>
      <c r="M94" s="32"/>
      <c r="N94" s="29"/>
      <c r="O94" s="31"/>
      <c r="P94" s="33"/>
      <c r="Q94" s="34"/>
      <c r="R94" s="35"/>
      <c r="S94" s="34"/>
      <c r="T94" s="32"/>
      <c r="U94" s="29"/>
      <c r="V94" s="36"/>
      <c r="W94" s="29"/>
      <c r="X94" s="32"/>
      <c r="Y94" s="29"/>
      <c r="Z94" s="31"/>
      <c r="AA94" s="32"/>
      <c r="AB94" s="34"/>
      <c r="AC94" s="31"/>
      <c r="AD94" s="37">
        <f>表1温室气体盘查表!AF95</f>
        <v>61948.696404295377</v>
      </c>
      <c r="AE94" s="37">
        <f>表1温室气体盘查表!AG95</f>
        <v>0</v>
      </c>
      <c r="AF94" s="37">
        <f>表1温室气体盘查表!AH95</f>
        <v>0</v>
      </c>
      <c r="AG94" s="37">
        <f>表1温室气体盘查表!AI95</f>
        <v>0</v>
      </c>
      <c r="AH94" s="37">
        <f>表1温室气体盘查表!AJ95</f>
        <v>0</v>
      </c>
      <c r="AI94" s="37">
        <f>表1温室气体盘查表!AK95</f>
        <v>0</v>
      </c>
      <c r="AJ94" s="37">
        <f>表1温室气体盘查表!AL95</f>
        <v>0</v>
      </c>
      <c r="AK94" s="37">
        <f>表1温室气体盘查表!AM95</f>
        <v>61948.696404295377</v>
      </c>
    </row>
    <row r="95" spans="1:37" ht="18" customHeight="1">
      <c r="A95" s="24">
        <v>91</v>
      </c>
      <c r="B95" s="25" t="str">
        <f>表1温室气体盘查表!B96</f>
        <v>外销产品加工产生的排放</v>
      </c>
      <c r="C95" s="26" t="str">
        <f>表1温室气体盘查表!C96</f>
        <v>钢坯加工</v>
      </c>
      <c r="D95" s="27" t="str">
        <f>表1温室气体盘查表!E96</f>
        <v>范围三 类别10</v>
      </c>
      <c r="E95" s="28">
        <f>表1温室气体盘查表!F96</f>
        <v>608494.19999999995</v>
      </c>
      <c r="F95" s="29" t="str">
        <f>表1温室气体盘查表!G96</f>
        <v>t</v>
      </c>
      <c r="G95" s="30">
        <f>'附表2-EF'!K97*10</f>
        <v>0</v>
      </c>
      <c r="H95" s="29" t="s">
        <v>858</v>
      </c>
      <c r="I95" s="31">
        <f>'附表1-GWP TABLE'!E95</f>
        <v>0</v>
      </c>
      <c r="J95" s="32"/>
      <c r="K95" s="29"/>
      <c r="L95" s="31"/>
      <c r="M95" s="32"/>
      <c r="N95" s="29"/>
      <c r="O95" s="31"/>
      <c r="P95" s="33"/>
      <c r="Q95" s="34"/>
      <c r="R95" s="35"/>
      <c r="S95" s="34"/>
      <c r="T95" s="32"/>
      <c r="U95" s="29"/>
      <c r="V95" s="36"/>
      <c r="W95" s="29"/>
      <c r="X95" s="32"/>
      <c r="Y95" s="29"/>
      <c r="Z95" s="31"/>
      <c r="AA95" s="32"/>
      <c r="AB95" s="34"/>
      <c r="AC95" s="31"/>
      <c r="AD95" s="37">
        <f>表1温室气体盘查表!AF96</f>
        <v>176591.21304006039</v>
      </c>
      <c r="AE95" s="37">
        <f>表1温室气体盘查表!AG96</f>
        <v>0</v>
      </c>
      <c r="AF95" s="37">
        <f>表1温室气体盘查表!AH96</f>
        <v>0</v>
      </c>
      <c r="AG95" s="37">
        <f>表1温室气体盘查表!AI96</f>
        <v>0</v>
      </c>
      <c r="AH95" s="37">
        <f>表1温室气体盘查表!AJ96</f>
        <v>0</v>
      </c>
      <c r="AI95" s="37">
        <f>表1温室气体盘查表!AK96</f>
        <v>0</v>
      </c>
      <c r="AJ95" s="37">
        <f>表1温室气体盘查表!AL96</f>
        <v>0</v>
      </c>
      <c r="AK95" s="37">
        <f>表1温室气体盘查表!AM96</f>
        <v>176591.21304006039</v>
      </c>
    </row>
    <row r="96" spans="1:37" ht="18" customHeight="1">
      <c r="A96" s="24">
        <v>92</v>
      </c>
      <c r="B96" s="25" t="str">
        <f>表1温室气体盘查表!B97</f>
        <v>外销产品使用产生的排放</v>
      </c>
      <c r="C96" s="26" t="str">
        <f>表1温室气体盘查表!C97</f>
        <v>外售焦炉煤气燃烧</v>
      </c>
      <c r="D96" s="27" t="str">
        <f>表1温室气体盘查表!E97</f>
        <v>范围三 类别11</v>
      </c>
      <c r="E96" s="28">
        <f>表1温室气体盘查表!F97</f>
        <v>788.73</v>
      </c>
      <c r="F96" s="29" t="str">
        <f>表1温室气体盘查表!G97</f>
        <v>10000Nm3</v>
      </c>
      <c r="G96" s="30">
        <f>'附表2-EF'!K98*10</f>
        <v>0</v>
      </c>
      <c r="H96" s="29" t="s">
        <v>859</v>
      </c>
      <c r="I96" s="31">
        <f>'附表1-GWP TABLE'!E96</f>
        <v>0</v>
      </c>
      <c r="J96" s="32"/>
      <c r="K96" s="29"/>
      <c r="L96" s="31"/>
      <c r="M96" s="32"/>
      <c r="N96" s="29"/>
      <c r="O96" s="31"/>
      <c r="P96" s="33"/>
      <c r="Q96" s="34"/>
      <c r="R96" s="35"/>
      <c r="S96" s="34"/>
      <c r="T96" s="32"/>
      <c r="U96" s="29"/>
      <c r="V96" s="36"/>
      <c r="W96" s="29"/>
      <c r="X96" s="32"/>
      <c r="Y96" s="29"/>
      <c r="Z96" s="31"/>
      <c r="AA96" s="32"/>
      <c r="AB96" s="34"/>
      <c r="AC96" s="31"/>
      <c r="AD96" s="37">
        <f>表1温室气体盘查表!AF97</f>
        <v>6027.4166284015209</v>
      </c>
      <c r="AE96" s="37">
        <f>表1温室气体盘查表!AG97</f>
        <v>3.7874982867658202</v>
      </c>
      <c r="AF96" s="37">
        <f>表1温室气体盘查表!AH97</f>
        <v>3.7060467107063406</v>
      </c>
      <c r="AG96" s="37">
        <f>表1温室气体盘查表!AI97</f>
        <v>0</v>
      </c>
      <c r="AH96" s="37">
        <f>表1温室气体盘查表!AJ97</f>
        <v>0</v>
      </c>
      <c r="AI96" s="37">
        <f>表1温室气体盘查表!AK97</f>
        <v>0</v>
      </c>
      <c r="AJ96" s="37">
        <f>表1温室气体盘查表!AL97</f>
        <v>0</v>
      </c>
      <c r="AK96" s="37">
        <f>表1温室气体盘查表!AM97</f>
        <v>6034.9101733989937</v>
      </c>
    </row>
    <row r="97" spans="1:37" ht="18" customHeight="1">
      <c r="A97" s="24">
        <v>93</v>
      </c>
      <c r="B97" s="25" t="str">
        <f>表1温室气体盘查表!B98</f>
        <v>外售产品报废产生的排放</v>
      </c>
      <c r="C97" s="26" t="str">
        <f>表1温室气体盘查表!C98</f>
        <v>产品报废</v>
      </c>
      <c r="D97" s="27" t="str">
        <f>表1温室气体盘查表!E98</f>
        <v>范围三 类别12</v>
      </c>
      <c r="E97" s="28">
        <f>表1温室气体盘查表!F98</f>
        <v>573065.29</v>
      </c>
      <c r="F97" s="29" t="str">
        <f>表1温室气体盘查表!G98</f>
        <v>t</v>
      </c>
      <c r="G97" s="30">
        <f>'附表2-EF'!K99*10</f>
        <v>0</v>
      </c>
      <c r="H97" s="29" t="s">
        <v>860</v>
      </c>
      <c r="I97" s="31">
        <f>'附表1-GWP TABLE'!E97</f>
        <v>0</v>
      </c>
      <c r="J97" s="32"/>
      <c r="K97" s="29"/>
      <c r="L97" s="31"/>
      <c r="M97" s="32"/>
      <c r="N97" s="29"/>
      <c r="O97" s="31"/>
      <c r="P97" s="33"/>
      <c r="Q97" s="34"/>
      <c r="R97" s="35"/>
      <c r="S97" s="34"/>
      <c r="T97" s="32"/>
      <c r="U97" s="29"/>
      <c r="V97" s="36"/>
      <c r="W97" s="29"/>
      <c r="X97" s="32"/>
      <c r="Y97" s="29"/>
      <c r="Z97" s="31"/>
      <c r="AA97" s="32"/>
      <c r="AB97" s="34"/>
      <c r="AC97" s="31"/>
      <c r="AD97" s="37">
        <f>表1温室气体盘查表!AF98</f>
        <v>3589.1150200565844</v>
      </c>
      <c r="AE97" s="37">
        <f>表1温室气体盘查表!AG98</f>
        <v>0</v>
      </c>
      <c r="AF97" s="37">
        <f>表1温室气体盘查表!AH98</f>
        <v>0</v>
      </c>
      <c r="AG97" s="37">
        <f>表1温室气体盘查表!AI98</f>
        <v>0</v>
      </c>
      <c r="AH97" s="37">
        <f>表1温室气体盘查表!AJ98</f>
        <v>0</v>
      </c>
      <c r="AI97" s="37">
        <f>表1温室气体盘查表!AK98</f>
        <v>0</v>
      </c>
      <c r="AJ97" s="37">
        <f>表1温室气体盘查表!AL98</f>
        <v>0</v>
      </c>
      <c r="AK97" s="37">
        <f>表1温室气体盘查表!AM98</f>
        <v>3589.1150200565844</v>
      </c>
    </row>
    <row r="98" spans="1:37" ht="18" customHeight="1">
      <c r="A98" s="38"/>
      <c r="C98" s="38"/>
      <c r="D98" s="39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40">
        <f t="shared" ref="AD98:AK98" si="0">SUM(AD5:AD97)</f>
        <v>15480605.848434757</v>
      </c>
      <c r="AE98" s="40">
        <f t="shared" si="0"/>
        <v>10689.761699171035</v>
      </c>
      <c r="AF98" s="40">
        <f t="shared" si="0"/>
        <v>31508.550504739411</v>
      </c>
      <c r="AG98" s="40">
        <f t="shared" si="0"/>
        <v>570.54</v>
      </c>
      <c r="AH98" s="40">
        <f t="shared" si="0"/>
        <v>0</v>
      </c>
      <c r="AI98" s="40">
        <f t="shared" si="0"/>
        <v>0</v>
      </c>
      <c r="AJ98" s="40">
        <f t="shared" si="0"/>
        <v>0</v>
      </c>
      <c r="AK98" s="41">
        <f t="shared" si="0"/>
        <v>15523374.700638669</v>
      </c>
    </row>
    <row r="99" spans="1:37" ht="18" customHeight="1">
      <c r="C99" s="21"/>
    </row>
    <row r="100" spans="1:37" ht="18" customHeight="1">
      <c r="C100" s="21"/>
    </row>
    <row r="101" spans="1:37" ht="18" customHeight="1">
      <c r="C101" s="21"/>
    </row>
    <row r="102" spans="1:37" ht="18" customHeight="1">
      <c r="C102" s="21"/>
    </row>
    <row r="103" spans="1:37" ht="18" customHeight="1">
      <c r="C103" s="21"/>
    </row>
    <row r="104" spans="1:37" ht="18" customHeight="1">
      <c r="C104" s="21"/>
    </row>
    <row r="105" spans="1:37" ht="18" customHeight="1">
      <c r="C105" s="21"/>
    </row>
    <row r="106" spans="1:37" ht="18" customHeight="1">
      <c r="C106" s="21"/>
    </row>
    <row r="107" spans="1:37" ht="18" customHeight="1">
      <c r="C107" s="21"/>
    </row>
    <row r="108" spans="1:37" ht="18" customHeight="1">
      <c r="C108" s="21"/>
    </row>
    <row r="109" spans="1:37" ht="18" customHeight="1">
      <c r="C109" s="21"/>
    </row>
    <row r="110" spans="1:37" ht="18" customHeight="1">
      <c r="C110" s="21"/>
    </row>
    <row r="111" spans="1:37" ht="18" customHeight="1">
      <c r="C111" s="21"/>
    </row>
    <row r="112" spans="1:37" ht="18" customHeight="1">
      <c r="C112" s="21"/>
    </row>
    <row r="113" spans="3:3" ht="18" customHeight="1">
      <c r="C113" s="21"/>
    </row>
    <row r="114" spans="3:3" ht="18" customHeight="1">
      <c r="C114" s="21"/>
    </row>
    <row r="115" spans="3:3" ht="18" customHeight="1">
      <c r="C115" s="21"/>
    </row>
    <row r="116" spans="3:3" ht="18" customHeight="1">
      <c r="C116" s="21"/>
    </row>
    <row r="117" spans="3:3" ht="18" customHeight="1">
      <c r="C117" s="21"/>
    </row>
    <row r="118" spans="3:3" ht="18" customHeight="1">
      <c r="C118" s="21"/>
    </row>
    <row r="119" spans="3:3" ht="18" customHeight="1">
      <c r="C119" s="21"/>
    </row>
    <row r="120" spans="3:3" ht="18" customHeight="1">
      <c r="C120" s="21"/>
    </row>
    <row r="121" spans="3:3" ht="18" customHeight="1">
      <c r="C121" s="21"/>
    </row>
    <row r="122" spans="3:3" ht="18" customHeight="1">
      <c r="C122" s="21"/>
    </row>
    <row r="123" spans="3:3">
      <c r="C123" s="21"/>
    </row>
    <row r="124" spans="3:3">
      <c r="C124" s="21"/>
    </row>
    <row r="125" spans="3:3">
      <c r="C125" s="21"/>
    </row>
    <row r="126" spans="3:3">
      <c r="C126" s="21"/>
    </row>
    <row r="127" spans="3:3">
      <c r="C127" s="21"/>
    </row>
    <row r="128" spans="3:3">
      <c r="C128" s="21"/>
    </row>
    <row r="129" spans="3:3">
      <c r="C129" s="21"/>
    </row>
    <row r="130" spans="3:3">
      <c r="C130" s="21"/>
    </row>
    <row r="131" spans="3:3">
      <c r="C131" s="21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1"/>
    </row>
    <row r="137" spans="3:3">
      <c r="C137" s="21"/>
    </row>
    <row r="138" spans="3:3">
      <c r="C138" s="21"/>
    </row>
    <row r="139" spans="3:3">
      <c r="C139" s="21"/>
    </row>
    <row r="140" spans="3:3">
      <c r="C140" s="21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1"/>
    </row>
    <row r="146" spans="3:3">
      <c r="C146" s="21"/>
    </row>
    <row r="147" spans="3:3">
      <c r="C147" s="21"/>
    </row>
    <row r="148" spans="3:3">
      <c r="C148" s="21"/>
    </row>
    <row r="149" spans="3:3">
      <c r="C149" s="21"/>
    </row>
    <row r="150" spans="3:3">
      <c r="C150" s="21"/>
    </row>
    <row r="151" spans="3:3">
      <c r="C151" s="21"/>
    </row>
    <row r="152" spans="3:3">
      <c r="C152" s="21"/>
    </row>
    <row r="153" spans="3:3">
      <c r="C153" s="21"/>
    </row>
    <row r="154" spans="3:3">
      <c r="C154" s="21"/>
    </row>
    <row r="155" spans="3:3">
      <c r="C155" s="21"/>
    </row>
    <row r="156" spans="3:3">
      <c r="C156" s="21"/>
    </row>
    <row r="157" spans="3:3">
      <c r="C157" s="21"/>
    </row>
    <row r="158" spans="3:3">
      <c r="C158" s="21"/>
    </row>
    <row r="159" spans="3:3">
      <c r="C159" s="21"/>
    </row>
    <row r="160" spans="3:3">
      <c r="C160" s="21"/>
    </row>
    <row r="161" spans="3:3">
      <c r="C161" s="21"/>
    </row>
    <row r="162" spans="3:3">
      <c r="C162" s="21"/>
    </row>
    <row r="163" spans="3:3">
      <c r="C163" s="21"/>
    </row>
    <row r="164" spans="3:3">
      <c r="C164" s="21"/>
    </row>
    <row r="165" spans="3:3">
      <c r="C165" s="21"/>
    </row>
  </sheetData>
  <mergeCells count="16">
    <mergeCell ref="AD4:AK4"/>
    <mergeCell ref="A2:A4"/>
    <mergeCell ref="B2:B4"/>
    <mergeCell ref="C2:C4"/>
    <mergeCell ref="D2:D4"/>
    <mergeCell ref="E2:F3"/>
    <mergeCell ref="A1:AK1"/>
    <mergeCell ref="G2:AC2"/>
    <mergeCell ref="AD2:AK2"/>
    <mergeCell ref="G3:I3"/>
    <mergeCell ref="J3:L3"/>
    <mergeCell ref="M3:O3"/>
    <mergeCell ref="P3:S3"/>
    <mergeCell ref="T3:W3"/>
    <mergeCell ref="X3:Z3"/>
    <mergeCell ref="AA3:AC3"/>
  </mergeCells>
  <phoneticPr fontId="89" type="noConversion"/>
  <printOptions horizontalCentered="1"/>
  <pageMargins left="0" right="0" top="0.70866141732283505" bottom="0.511811023622047" header="0.39370078740157499" footer="0.35433070866141703"/>
  <pageSetup paperSize="9" scale="64" fitToWidth="3" orientation="landscape"/>
  <headerFooter alignWithMargins="0">
    <oddFooter>&amp;L文件名称：温室气体盘查表V1.0_20111226</oddFooter>
  </headerFooter>
  <colBreaks count="1" manualBreakCount="1">
    <brk id="29" max="53" man="1"/>
  </colBreaks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6"/>
  <sheetViews>
    <sheetView topLeftCell="A37" zoomScale="145" zoomScaleNormal="145" workbookViewId="0">
      <selection activeCell="L18" sqref="L18"/>
    </sheetView>
  </sheetViews>
  <sheetFormatPr defaultColWidth="9" defaultRowHeight="15"/>
  <cols>
    <col min="1" max="1" width="7.75" customWidth="1"/>
    <col min="2" max="2" width="8.125" style="1" customWidth="1"/>
    <col min="3" max="3" width="11.25" style="1" customWidth="1"/>
    <col min="4" max="4" width="6.375" style="1" customWidth="1"/>
    <col min="5" max="5" width="7" style="1" customWidth="1"/>
    <col min="6" max="6" width="6.375" style="1" customWidth="1"/>
    <col min="7" max="7" width="4.125" style="1" customWidth="1"/>
    <col min="8" max="8" width="6" style="1" customWidth="1"/>
    <col min="9" max="9" width="3.75" style="1" customWidth="1"/>
    <col min="10" max="10" width="11.125" style="1" customWidth="1"/>
    <col min="11" max="11" width="9" style="2"/>
    <col min="12" max="12" width="9" customWidth="1"/>
  </cols>
  <sheetData>
    <row r="1" spans="1:12">
      <c r="A1" s="651" t="s">
        <v>241</v>
      </c>
      <c r="B1" s="647" t="s">
        <v>429</v>
      </c>
      <c r="C1" s="647"/>
      <c r="D1" s="647"/>
      <c r="E1" s="647"/>
      <c r="F1" s="647"/>
      <c r="G1" s="647"/>
      <c r="H1" s="647"/>
      <c r="I1" s="647"/>
      <c r="J1" s="647"/>
      <c r="K1" s="3" t="s">
        <v>862</v>
      </c>
      <c r="L1" s="3" t="s">
        <v>862</v>
      </c>
    </row>
    <row r="2" spans="1:12">
      <c r="A2" s="652"/>
      <c r="B2" s="4" t="s">
        <v>863</v>
      </c>
      <c r="C2" s="5" t="s">
        <v>224</v>
      </c>
      <c r="D2" s="5" t="s">
        <v>225</v>
      </c>
      <c r="E2" s="5" t="s">
        <v>226</v>
      </c>
      <c r="F2" s="5" t="s">
        <v>29</v>
      </c>
      <c r="G2" s="5" t="s">
        <v>30</v>
      </c>
      <c r="H2" s="5" t="s">
        <v>227</v>
      </c>
      <c r="I2" s="5" t="s">
        <v>228</v>
      </c>
      <c r="J2" s="4" t="s">
        <v>25</v>
      </c>
    </row>
    <row r="3" spans="1:12">
      <c r="A3" s="653"/>
      <c r="B3" s="6" t="s">
        <v>864</v>
      </c>
      <c r="C3" s="7">
        <f>表1温室气体盘查表!B105</f>
        <v>7131923.6091479082</v>
      </c>
      <c r="D3" s="7">
        <f>表1温室气体盘查表!C105</f>
        <v>10685.97420088427</v>
      </c>
      <c r="E3" s="7">
        <f>表1温室气体盘查表!D105</f>
        <v>31504.844458028703</v>
      </c>
      <c r="F3" s="7">
        <f>表1温室气体盘查表!E105</f>
        <v>570.54</v>
      </c>
      <c r="G3" s="7">
        <f>表1温室气体盘查表!F105</f>
        <v>0</v>
      </c>
      <c r="H3" s="7">
        <f>表1温室气体盘查表!G105</f>
        <v>0</v>
      </c>
      <c r="I3" s="7">
        <f>表1温室气体盘查表!H105</f>
        <v>0</v>
      </c>
      <c r="J3" s="7">
        <f>表1温室气体盘查表!I105</f>
        <v>7174684.9678068208</v>
      </c>
      <c r="K3" s="8">
        <f>J3/$J$56</f>
        <v>0.46648907260767325</v>
      </c>
    </row>
    <row r="4" spans="1:12">
      <c r="A4" s="651" t="s">
        <v>312</v>
      </c>
      <c r="B4" s="647" t="s">
        <v>865</v>
      </c>
      <c r="C4" s="647"/>
      <c r="D4" s="647"/>
      <c r="E4" s="647"/>
      <c r="F4" s="647"/>
      <c r="G4" s="647"/>
      <c r="H4" s="647"/>
      <c r="I4" s="647"/>
      <c r="J4" s="647"/>
    </row>
    <row r="5" spans="1:12">
      <c r="A5" s="652"/>
      <c r="B5" s="4" t="s">
        <v>863</v>
      </c>
      <c r="C5" s="5" t="s">
        <v>224</v>
      </c>
      <c r="D5" s="5" t="s">
        <v>225</v>
      </c>
      <c r="E5" s="5" t="s">
        <v>226</v>
      </c>
      <c r="F5" s="5" t="s">
        <v>29</v>
      </c>
      <c r="G5" s="5" t="s">
        <v>30</v>
      </c>
      <c r="H5" s="5" t="s">
        <v>227</v>
      </c>
      <c r="I5" s="5" t="s">
        <v>228</v>
      </c>
      <c r="J5" s="4" t="s">
        <v>25</v>
      </c>
    </row>
    <row r="6" spans="1:12">
      <c r="A6" s="653"/>
      <c r="B6" s="9" t="s">
        <v>864</v>
      </c>
      <c r="C6" s="10">
        <f>表1温室气体盘查表!C109</f>
        <v>1043611.0503979999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f>表1温室气体盘查表!D109</f>
        <v>1043611.0503979999</v>
      </c>
      <c r="K6" s="8">
        <f>J6/$J$56</f>
        <v>6.7854289525983102E-2</v>
      </c>
    </row>
    <row r="7" spans="1:12">
      <c r="A7" s="648" t="s">
        <v>866</v>
      </c>
      <c r="B7" s="647" t="s">
        <v>437</v>
      </c>
      <c r="C7" s="647"/>
      <c r="D7" s="647"/>
      <c r="E7" s="647"/>
      <c r="F7" s="647"/>
      <c r="G7" s="647"/>
      <c r="H7" s="647"/>
      <c r="I7" s="647"/>
      <c r="J7" s="647"/>
    </row>
    <row r="8" spans="1:12">
      <c r="A8" s="649"/>
      <c r="B8" s="4" t="s">
        <v>863</v>
      </c>
      <c r="C8" s="5" t="s">
        <v>224</v>
      </c>
      <c r="D8" s="5" t="s">
        <v>225</v>
      </c>
      <c r="E8" s="5" t="s">
        <v>226</v>
      </c>
      <c r="F8" s="5" t="s">
        <v>29</v>
      </c>
      <c r="G8" s="5" t="s">
        <v>30</v>
      </c>
      <c r="H8" s="5" t="s">
        <v>227</v>
      </c>
      <c r="I8" s="5" t="s">
        <v>228</v>
      </c>
      <c r="J8" s="4" t="s">
        <v>25</v>
      </c>
    </row>
    <row r="9" spans="1:12">
      <c r="A9" s="650"/>
      <c r="B9" s="11" t="s">
        <v>864</v>
      </c>
      <c r="C9" s="12">
        <f>表1温室气体盘查表!B115</f>
        <v>2179317.5099891252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f>表1温室气体盘查表!C115</f>
        <v>2179317.5099891252</v>
      </c>
      <c r="K9" s="8">
        <f>J9/$J$56</f>
        <v>0.14169650775109316</v>
      </c>
      <c r="L9" s="14">
        <f>K9/SUM($K$9:$K$51)</f>
        <v>0.30429365324224128</v>
      </c>
    </row>
    <row r="10" spans="1:12">
      <c r="A10" s="648" t="s">
        <v>867</v>
      </c>
      <c r="B10" s="647" t="s">
        <v>438</v>
      </c>
      <c r="C10" s="647"/>
      <c r="D10" s="647"/>
      <c r="E10" s="647"/>
      <c r="F10" s="647"/>
      <c r="G10" s="647"/>
      <c r="H10" s="647"/>
      <c r="I10" s="647"/>
      <c r="J10" s="647"/>
    </row>
    <row r="11" spans="1:12">
      <c r="A11" s="649"/>
      <c r="B11" s="4" t="s">
        <v>863</v>
      </c>
      <c r="C11" s="5" t="s">
        <v>224</v>
      </c>
      <c r="D11" s="5" t="s">
        <v>225</v>
      </c>
      <c r="E11" s="5" t="s">
        <v>226</v>
      </c>
      <c r="F11" s="5" t="s">
        <v>29</v>
      </c>
      <c r="G11" s="5" t="s">
        <v>30</v>
      </c>
      <c r="H11" s="5" t="s">
        <v>227</v>
      </c>
      <c r="I11" s="5" t="s">
        <v>228</v>
      </c>
      <c r="J11" s="4" t="s">
        <v>25</v>
      </c>
    </row>
    <row r="12" spans="1:12">
      <c r="A12" s="650"/>
      <c r="B12" s="11" t="s">
        <v>864</v>
      </c>
      <c r="C12" s="12">
        <f>表1温室气体盘查表!B119</f>
        <v>46877.218976500008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f>C12</f>
        <v>46877.218976500008</v>
      </c>
      <c r="K12" s="8">
        <f>J12/$J$56</f>
        <v>3.0478983404701181E-3</v>
      </c>
      <c r="L12" s="8">
        <f>K12/SUM($K$9:$K$51)</f>
        <v>6.545370351411936E-3</v>
      </c>
    </row>
    <row r="13" spans="1:12">
      <c r="A13" s="648" t="s">
        <v>868</v>
      </c>
      <c r="B13" s="647" t="s">
        <v>439</v>
      </c>
      <c r="C13" s="647"/>
      <c r="D13" s="647"/>
      <c r="E13" s="647"/>
      <c r="F13" s="647"/>
      <c r="G13" s="647"/>
      <c r="H13" s="647"/>
      <c r="I13" s="647"/>
      <c r="J13" s="647"/>
    </row>
    <row r="14" spans="1:12">
      <c r="A14" s="649"/>
      <c r="B14" s="4" t="s">
        <v>863</v>
      </c>
      <c r="C14" s="5" t="s">
        <v>224</v>
      </c>
      <c r="D14" s="5" t="s">
        <v>225</v>
      </c>
      <c r="E14" s="5" t="s">
        <v>226</v>
      </c>
      <c r="F14" s="5" t="s">
        <v>29</v>
      </c>
      <c r="G14" s="5" t="s">
        <v>30</v>
      </c>
      <c r="H14" s="5" t="s">
        <v>227</v>
      </c>
      <c r="I14" s="5" t="s">
        <v>228</v>
      </c>
      <c r="J14" s="4" t="s">
        <v>25</v>
      </c>
    </row>
    <row r="15" spans="1:12">
      <c r="A15" s="650"/>
      <c r="B15" s="11" t="s">
        <v>864</v>
      </c>
      <c r="C15" s="12">
        <f>表1温室气体盘查表!B123</f>
        <v>1756664.8022970185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>C15</f>
        <v>1756664.8022970185</v>
      </c>
      <c r="K15" s="8">
        <f>J15/$J$56</f>
        <v>0.1142161555779883</v>
      </c>
      <c r="L15" s="14">
        <f>K15/SUM($K$9:$K$51)</f>
        <v>0.24527951882315971</v>
      </c>
    </row>
    <row r="16" spans="1:12">
      <c r="A16" s="648" t="s">
        <v>869</v>
      </c>
      <c r="B16" s="647" t="s">
        <v>376</v>
      </c>
      <c r="C16" s="647"/>
      <c r="D16" s="647"/>
      <c r="E16" s="647"/>
      <c r="F16" s="647"/>
      <c r="G16" s="647"/>
      <c r="H16" s="647"/>
      <c r="I16" s="647"/>
      <c r="J16" s="647"/>
    </row>
    <row r="17" spans="1:12">
      <c r="A17" s="649"/>
      <c r="B17" s="4" t="s">
        <v>863</v>
      </c>
      <c r="C17" s="5" t="s">
        <v>224</v>
      </c>
      <c r="D17" s="5" t="s">
        <v>225</v>
      </c>
      <c r="E17" s="5" t="s">
        <v>226</v>
      </c>
      <c r="F17" s="5" t="s">
        <v>29</v>
      </c>
      <c r="G17" s="5" t="s">
        <v>30</v>
      </c>
      <c r="H17" s="5" t="s">
        <v>227</v>
      </c>
      <c r="I17" s="5" t="s">
        <v>228</v>
      </c>
      <c r="J17" s="4" t="s">
        <v>25</v>
      </c>
    </row>
    <row r="18" spans="1:12">
      <c r="A18" s="650"/>
      <c r="B18" s="11" t="s">
        <v>864</v>
      </c>
      <c r="C18" s="12">
        <f>表1温室气体盘查表!B127</f>
        <v>400727.02820844552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>C18</f>
        <v>400727.02820844552</v>
      </c>
      <c r="K18" s="8">
        <f>J18/$J$56</f>
        <v>2.6054771825741844E-2</v>
      </c>
      <c r="L18" s="8">
        <f>K18/SUM($K$9:$K$51)</f>
        <v>5.5952696570158347E-2</v>
      </c>
    </row>
    <row r="19" spans="1:12">
      <c r="A19" s="648" t="s">
        <v>870</v>
      </c>
      <c r="B19" s="647" t="s">
        <v>440</v>
      </c>
      <c r="C19" s="647"/>
      <c r="D19" s="647"/>
      <c r="E19" s="647"/>
      <c r="F19" s="647"/>
      <c r="G19" s="647"/>
      <c r="H19" s="647"/>
      <c r="I19" s="647"/>
      <c r="J19" s="647"/>
    </row>
    <row r="20" spans="1:12">
      <c r="A20" s="649"/>
      <c r="B20" s="4" t="s">
        <v>863</v>
      </c>
      <c r="C20" s="5" t="s">
        <v>224</v>
      </c>
      <c r="D20" s="5" t="s">
        <v>225</v>
      </c>
      <c r="E20" s="5" t="s">
        <v>226</v>
      </c>
      <c r="F20" s="5" t="s">
        <v>29</v>
      </c>
      <c r="G20" s="5" t="s">
        <v>30</v>
      </c>
      <c r="H20" s="5" t="s">
        <v>227</v>
      </c>
      <c r="I20" s="5" t="s">
        <v>228</v>
      </c>
      <c r="J20" s="4" t="s">
        <v>25</v>
      </c>
    </row>
    <row r="21" spans="1:12">
      <c r="A21" s="650"/>
      <c r="B21" s="11" t="s">
        <v>864</v>
      </c>
      <c r="C21" s="12">
        <f>表1温室气体盘查表!B131</f>
        <v>30952.018420116066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f>C21</f>
        <v>30952.018420116066</v>
      </c>
      <c r="K21" s="8">
        <f>J21/$J$56</f>
        <v>2.0124616527308309E-3</v>
      </c>
      <c r="L21" s="8">
        <f>K21/SUM($K$9:$K$51)</f>
        <v>4.3217671207190275E-3</v>
      </c>
    </row>
    <row r="22" spans="1:12">
      <c r="A22" s="648" t="s">
        <v>871</v>
      </c>
      <c r="B22" s="647" t="s">
        <v>391</v>
      </c>
      <c r="C22" s="647"/>
      <c r="D22" s="647"/>
      <c r="E22" s="647"/>
      <c r="F22" s="647"/>
      <c r="G22" s="647"/>
      <c r="H22" s="647"/>
      <c r="I22" s="647"/>
      <c r="J22" s="647"/>
    </row>
    <row r="23" spans="1:12">
      <c r="A23" s="649"/>
      <c r="B23" s="4" t="s">
        <v>863</v>
      </c>
      <c r="C23" s="5" t="s">
        <v>224</v>
      </c>
      <c r="D23" s="5" t="s">
        <v>225</v>
      </c>
      <c r="E23" s="5" t="s">
        <v>226</v>
      </c>
      <c r="F23" s="5" t="s">
        <v>29</v>
      </c>
      <c r="G23" s="5" t="s">
        <v>30</v>
      </c>
      <c r="H23" s="5" t="s">
        <v>227</v>
      </c>
      <c r="I23" s="5" t="s">
        <v>228</v>
      </c>
      <c r="J23" s="4" t="s">
        <v>25</v>
      </c>
    </row>
    <row r="24" spans="1:12">
      <c r="A24" s="650"/>
      <c r="B24" s="11" t="s">
        <v>864</v>
      </c>
      <c r="C24" s="12">
        <f>表1温室气体盘查表!B135</f>
        <v>1804.7455494943988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f>C24</f>
        <v>1804.7455494943988</v>
      </c>
      <c r="K24" s="8">
        <f>J24/$J$56</f>
        <v>1.1734230582305559E-4</v>
      </c>
      <c r="L24" s="8">
        <f>K24/SUM($K$9:$K$51)</f>
        <v>2.5199293536216623E-4</v>
      </c>
    </row>
    <row r="25" spans="1:12">
      <c r="A25" s="648" t="s">
        <v>872</v>
      </c>
      <c r="B25" s="647" t="s">
        <v>398</v>
      </c>
      <c r="C25" s="647"/>
      <c r="D25" s="647"/>
      <c r="E25" s="647"/>
      <c r="F25" s="647"/>
      <c r="G25" s="647"/>
      <c r="H25" s="647"/>
      <c r="I25" s="647"/>
      <c r="J25" s="647"/>
    </row>
    <row r="26" spans="1:12">
      <c r="A26" s="649"/>
      <c r="B26" s="4" t="s">
        <v>863</v>
      </c>
      <c r="C26" s="5" t="s">
        <v>224</v>
      </c>
      <c r="D26" s="5" t="s">
        <v>225</v>
      </c>
      <c r="E26" s="5" t="s">
        <v>226</v>
      </c>
      <c r="F26" s="5" t="s">
        <v>29</v>
      </c>
      <c r="G26" s="5" t="s">
        <v>30</v>
      </c>
      <c r="H26" s="5" t="s">
        <v>227</v>
      </c>
      <c r="I26" s="5" t="s">
        <v>228</v>
      </c>
      <c r="J26" s="4" t="s">
        <v>25</v>
      </c>
    </row>
    <row r="27" spans="1:12">
      <c r="A27" s="650"/>
      <c r="B27" s="11" t="s">
        <v>864</v>
      </c>
      <c r="C27" s="12">
        <f>表1温室气体盘查表!B139</f>
        <v>5447.4723256107236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f>C27</f>
        <v>5447.4723256107236</v>
      </c>
      <c r="K27" s="8">
        <f>J27/$J$56</f>
        <v>3.5418785976423279E-4</v>
      </c>
      <c r="L27" s="8">
        <f>K27/SUM($K$9:$K$51)</f>
        <v>7.6061943580876682E-4</v>
      </c>
    </row>
    <row r="28" spans="1:12">
      <c r="A28" s="648" t="s">
        <v>873</v>
      </c>
      <c r="B28" s="647" t="s">
        <v>442</v>
      </c>
      <c r="C28" s="647"/>
      <c r="D28" s="647"/>
      <c r="E28" s="647"/>
      <c r="F28" s="647"/>
      <c r="G28" s="647"/>
      <c r="H28" s="647"/>
      <c r="I28" s="647"/>
      <c r="J28" s="647"/>
    </row>
    <row r="29" spans="1:12">
      <c r="A29" s="649"/>
      <c r="B29" s="4" t="s">
        <v>863</v>
      </c>
      <c r="C29" s="5" t="s">
        <v>224</v>
      </c>
      <c r="D29" s="5" t="s">
        <v>225</v>
      </c>
      <c r="E29" s="5" t="s">
        <v>226</v>
      </c>
      <c r="F29" s="5" t="s">
        <v>29</v>
      </c>
      <c r="G29" s="5" t="s">
        <v>30</v>
      </c>
      <c r="H29" s="5" t="s">
        <v>227</v>
      </c>
      <c r="I29" s="5" t="s">
        <v>228</v>
      </c>
      <c r="J29" s="4" t="s">
        <v>25</v>
      </c>
    </row>
    <row r="30" spans="1:12">
      <c r="A30" s="650"/>
      <c r="B30" s="11" t="s">
        <v>864</v>
      </c>
      <c r="C30" s="12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f>C30</f>
        <v>0</v>
      </c>
    </row>
    <row r="31" spans="1:12">
      <c r="A31" s="648" t="s">
        <v>874</v>
      </c>
      <c r="B31" s="647" t="s">
        <v>407</v>
      </c>
      <c r="C31" s="647"/>
      <c r="D31" s="647"/>
      <c r="E31" s="647"/>
      <c r="F31" s="647"/>
      <c r="G31" s="647"/>
      <c r="H31" s="647"/>
      <c r="I31" s="647"/>
      <c r="J31" s="647"/>
    </row>
    <row r="32" spans="1:12">
      <c r="A32" s="649"/>
      <c r="B32" s="4" t="s">
        <v>863</v>
      </c>
      <c r="C32" s="5" t="s">
        <v>224</v>
      </c>
      <c r="D32" s="5" t="s">
        <v>225</v>
      </c>
      <c r="E32" s="5" t="s">
        <v>226</v>
      </c>
      <c r="F32" s="5" t="s">
        <v>29</v>
      </c>
      <c r="G32" s="5" t="s">
        <v>30</v>
      </c>
      <c r="H32" s="5" t="s">
        <v>227</v>
      </c>
      <c r="I32" s="5" t="s">
        <v>228</v>
      </c>
      <c r="J32" s="4" t="s">
        <v>25</v>
      </c>
    </row>
    <row r="33" spans="1:12">
      <c r="A33" s="650"/>
      <c r="B33" s="11" t="s">
        <v>864</v>
      </c>
      <c r="C33" s="12">
        <f>表1温室气体盘查表!B147</f>
        <v>281081.73888085666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f>C33</f>
        <v>281081.73888085666</v>
      </c>
      <c r="K33" s="8">
        <f>J33/$J$56</f>
        <v>1.8275584264094126E-2</v>
      </c>
      <c r="L33" s="8">
        <f>K33/SUM($K$9:$K$51)</f>
        <v>3.9246869165092152E-2</v>
      </c>
    </row>
    <row r="34" spans="1:12">
      <c r="A34" s="648" t="s">
        <v>875</v>
      </c>
      <c r="B34" s="647" t="s">
        <v>411</v>
      </c>
      <c r="C34" s="647"/>
      <c r="D34" s="647"/>
      <c r="E34" s="647"/>
      <c r="F34" s="647"/>
      <c r="G34" s="647"/>
      <c r="H34" s="647"/>
      <c r="I34" s="647"/>
      <c r="J34" s="647"/>
    </row>
    <row r="35" spans="1:12">
      <c r="A35" s="649"/>
      <c r="B35" s="4" t="s">
        <v>863</v>
      </c>
      <c r="C35" s="5" t="s">
        <v>224</v>
      </c>
      <c r="D35" s="5" t="s">
        <v>225</v>
      </c>
      <c r="E35" s="5" t="s">
        <v>226</v>
      </c>
      <c r="F35" s="5" t="s">
        <v>29</v>
      </c>
      <c r="G35" s="5" t="s">
        <v>30</v>
      </c>
      <c r="H35" s="5" t="s">
        <v>227</v>
      </c>
      <c r="I35" s="5" t="s">
        <v>228</v>
      </c>
      <c r="J35" s="4" t="s">
        <v>25</v>
      </c>
    </row>
    <row r="36" spans="1:12">
      <c r="A36" s="650"/>
      <c r="B36" s="11" t="s">
        <v>864</v>
      </c>
      <c r="C36" s="12">
        <f>表1温室气体盘查表!B151</f>
        <v>2449392.9070232175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f>C36</f>
        <v>2449392.9070232175</v>
      </c>
      <c r="K36" s="8">
        <f>J36/$J$56</f>
        <v>0.15925647338887292</v>
      </c>
      <c r="L36" s="14">
        <f>K36/SUM($K$9:$K$51)</f>
        <v>0.34200372937280138</v>
      </c>
    </row>
    <row r="37" spans="1:12">
      <c r="A37" s="648" t="s">
        <v>876</v>
      </c>
      <c r="B37" s="647" t="s">
        <v>417</v>
      </c>
      <c r="C37" s="647"/>
      <c r="D37" s="647"/>
      <c r="E37" s="647"/>
      <c r="F37" s="647"/>
      <c r="G37" s="647"/>
      <c r="H37" s="647"/>
      <c r="I37" s="647"/>
      <c r="J37" s="647"/>
    </row>
    <row r="38" spans="1:12">
      <c r="A38" s="649"/>
      <c r="B38" s="4" t="s">
        <v>863</v>
      </c>
      <c r="C38" s="5" t="s">
        <v>224</v>
      </c>
      <c r="D38" s="5" t="s">
        <v>225</v>
      </c>
      <c r="E38" s="5" t="s">
        <v>226</v>
      </c>
      <c r="F38" s="5" t="s">
        <v>29</v>
      </c>
      <c r="G38" s="5" t="s">
        <v>30</v>
      </c>
      <c r="H38" s="5" t="s">
        <v>227</v>
      </c>
      <c r="I38" s="5" t="s">
        <v>228</v>
      </c>
      <c r="J38" s="4" t="s">
        <v>25</v>
      </c>
    </row>
    <row r="39" spans="1:12">
      <c r="A39" s="650"/>
      <c r="B39" s="11" t="s">
        <v>864</v>
      </c>
      <c r="C39" s="12">
        <f>表1温室气体盘查表!AF97</f>
        <v>6027.4166284015209</v>
      </c>
      <c r="D39" s="12">
        <f>表1温室气体盘查表!AG97</f>
        <v>3.7874982867658202</v>
      </c>
      <c r="E39" s="12">
        <f>表1温室气体盘查表!AH97</f>
        <v>3.7060467107063406</v>
      </c>
      <c r="F39" s="12">
        <f>表1温室气体盘查表!AI97</f>
        <v>0</v>
      </c>
      <c r="G39" s="12">
        <f>表1温室气体盘查表!AJ97</f>
        <v>0</v>
      </c>
      <c r="H39" s="12">
        <f>表1温室气体盘查表!AK97</f>
        <v>0</v>
      </c>
      <c r="I39" s="12">
        <f>表1温室气体盘查表!AL97</f>
        <v>0</v>
      </c>
      <c r="J39" s="10">
        <f>SUM(C39:I39)</f>
        <v>6034.9101733989937</v>
      </c>
      <c r="K39" s="8">
        <f>J39/$J$56</f>
        <v>3.923823363243883E-4</v>
      </c>
      <c r="L39" s="8">
        <f>K39/SUM($K$9:$K$51)</f>
        <v>8.4264218280956729E-4</v>
      </c>
    </row>
    <row r="40" spans="1:12">
      <c r="A40" s="648" t="s">
        <v>877</v>
      </c>
      <c r="B40" s="647" t="s">
        <v>421</v>
      </c>
      <c r="C40" s="647"/>
      <c r="D40" s="647"/>
      <c r="E40" s="647"/>
      <c r="F40" s="647"/>
      <c r="G40" s="647"/>
      <c r="H40" s="647"/>
      <c r="I40" s="647"/>
      <c r="J40" s="647"/>
    </row>
    <row r="41" spans="1:12">
      <c r="A41" s="649"/>
      <c r="B41" s="4" t="s">
        <v>863</v>
      </c>
      <c r="C41" s="5" t="s">
        <v>224</v>
      </c>
      <c r="D41" s="5" t="s">
        <v>225</v>
      </c>
      <c r="E41" s="5" t="s">
        <v>226</v>
      </c>
      <c r="F41" s="5" t="s">
        <v>29</v>
      </c>
      <c r="G41" s="5" t="s">
        <v>30</v>
      </c>
      <c r="H41" s="5" t="s">
        <v>227</v>
      </c>
      <c r="I41" s="5" t="s">
        <v>228</v>
      </c>
      <c r="J41" s="4" t="s">
        <v>25</v>
      </c>
    </row>
    <row r="42" spans="1:12">
      <c r="A42" s="650"/>
      <c r="B42" s="11" t="s">
        <v>864</v>
      </c>
      <c r="C42" s="12">
        <f>表1温室气体盘查表!B159</f>
        <v>3589.1150200565844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f>C42</f>
        <v>3589.1150200565844</v>
      </c>
      <c r="K42" s="8">
        <f>J42/$J$56</f>
        <v>2.3335978439486334E-4</v>
      </c>
      <c r="L42" s="8">
        <f>K42/SUM($K$9:$K$51)</f>
        <v>5.0114080043576028E-4</v>
      </c>
    </row>
    <row r="43" spans="1:12">
      <c r="A43" s="648" t="s">
        <v>878</v>
      </c>
      <c r="B43" s="647" t="s">
        <v>445</v>
      </c>
      <c r="C43" s="647"/>
      <c r="D43" s="647"/>
      <c r="E43" s="647"/>
      <c r="F43" s="647"/>
      <c r="G43" s="647"/>
      <c r="H43" s="647"/>
      <c r="I43" s="647"/>
      <c r="J43" s="647"/>
    </row>
    <row r="44" spans="1:12">
      <c r="A44" s="649"/>
      <c r="B44" s="4" t="s">
        <v>863</v>
      </c>
      <c r="C44" s="5" t="s">
        <v>224</v>
      </c>
      <c r="D44" s="5" t="s">
        <v>225</v>
      </c>
      <c r="E44" s="5" t="s">
        <v>226</v>
      </c>
      <c r="F44" s="5" t="s">
        <v>29</v>
      </c>
      <c r="G44" s="5" t="s">
        <v>30</v>
      </c>
      <c r="H44" s="5" t="s">
        <v>227</v>
      </c>
      <c r="I44" s="5" t="s">
        <v>228</v>
      </c>
      <c r="J44" s="4" t="s">
        <v>25</v>
      </c>
    </row>
    <row r="45" spans="1:12">
      <c r="A45" s="650"/>
      <c r="B45" s="11" t="s">
        <v>864</v>
      </c>
      <c r="C45" s="12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f>C45</f>
        <v>0</v>
      </c>
    </row>
    <row r="46" spans="1:12">
      <c r="A46" s="648" t="s">
        <v>879</v>
      </c>
      <c r="B46" s="647" t="s">
        <v>448</v>
      </c>
      <c r="C46" s="647"/>
      <c r="D46" s="647"/>
      <c r="E46" s="647"/>
      <c r="F46" s="647"/>
      <c r="G46" s="647"/>
      <c r="H46" s="647"/>
      <c r="I46" s="647"/>
      <c r="J46" s="647"/>
    </row>
    <row r="47" spans="1:12">
      <c r="A47" s="649"/>
      <c r="B47" s="4" t="s">
        <v>863</v>
      </c>
      <c r="C47" s="5" t="s">
        <v>224</v>
      </c>
      <c r="D47" s="5" t="s">
        <v>225</v>
      </c>
      <c r="E47" s="5" t="s">
        <v>226</v>
      </c>
      <c r="F47" s="5" t="s">
        <v>29</v>
      </c>
      <c r="G47" s="5" t="s">
        <v>30</v>
      </c>
      <c r="H47" s="5" t="s">
        <v>227</v>
      </c>
      <c r="I47" s="5" t="s">
        <v>228</v>
      </c>
      <c r="J47" s="4" t="s">
        <v>25</v>
      </c>
    </row>
    <row r="48" spans="1:12">
      <c r="A48" s="650"/>
      <c r="B48" s="11" t="s">
        <v>864</v>
      </c>
      <c r="C48" s="12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f>C48</f>
        <v>0</v>
      </c>
    </row>
    <row r="49" spans="1:10">
      <c r="A49" s="648" t="s">
        <v>880</v>
      </c>
      <c r="B49" s="647" t="s">
        <v>451</v>
      </c>
      <c r="C49" s="647"/>
      <c r="D49" s="647"/>
      <c r="E49" s="647"/>
      <c r="F49" s="647"/>
      <c r="G49" s="647"/>
      <c r="H49" s="647"/>
      <c r="I49" s="647"/>
      <c r="J49" s="647"/>
    </row>
    <row r="50" spans="1:10">
      <c r="A50" s="649"/>
      <c r="B50" s="4" t="s">
        <v>863</v>
      </c>
      <c r="C50" s="5" t="s">
        <v>224</v>
      </c>
      <c r="D50" s="5" t="s">
        <v>225</v>
      </c>
      <c r="E50" s="5" t="s">
        <v>226</v>
      </c>
      <c r="F50" s="5" t="s">
        <v>29</v>
      </c>
      <c r="G50" s="5" t="s">
        <v>30</v>
      </c>
      <c r="H50" s="5" t="s">
        <v>227</v>
      </c>
      <c r="I50" s="5" t="s">
        <v>228</v>
      </c>
      <c r="J50" s="4" t="s">
        <v>25</v>
      </c>
    </row>
    <row r="51" spans="1:10">
      <c r="A51" s="650"/>
      <c r="B51" s="11" t="s">
        <v>864</v>
      </c>
      <c r="C51" s="12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f>C51</f>
        <v>0</v>
      </c>
    </row>
    <row r="52" spans="1:10">
      <c r="A52" s="648" t="s">
        <v>881</v>
      </c>
      <c r="B52" s="4" t="s">
        <v>863</v>
      </c>
      <c r="C52" s="5" t="s">
        <v>224</v>
      </c>
      <c r="D52" s="5" t="s">
        <v>225</v>
      </c>
      <c r="E52" s="5" t="s">
        <v>226</v>
      </c>
      <c r="F52" s="5" t="s">
        <v>29</v>
      </c>
      <c r="G52" s="5" t="s">
        <v>30</v>
      </c>
      <c r="H52" s="5" t="s">
        <v>227</v>
      </c>
      <c r="I52" s="5" t="s">
        <v>228</v>
      </c>
      <c r="J52" s="4" t="s">
        <v>25</v>
      </c>
    </row>
    <row r="53" spans="1:10">
      <c r="A53" s="654"/>
      <c r="B53" s="11" t="s">
        <v>241</v>
      </c>
      <c r="C53" s="12">
        <f>C3</f>
        <v>7131923.6091479082</v>
      </c>
      <c r="D53" s="12">
        <f t="shared" ref="D53:J53" si="0">D3</f>
        <v>10685.97420088427</v>
      </c>
      <c r="E53" s="12">
        <f t="shared" si="0"/>
        <v>31504.844458028703</v>
      </c>
      <c r="F53" s="12">
        <f t="shared" si="0"/>
        <v>570.54</v>
      </c>
      <c r="G53" s="12">
        <f t="shared" si="0"/>
        <v>0</v>
      </c>
      <c r="H53" s="12">
        <f t="shared" si="0"/>
        <v>0</v>
      </c>
      <c r="I53" s="12">
        <f t="shared" si="0"/>
        <v>0</v>
      </c>
      <c r="J53" s="12">
        <f t="shared" si="0"/>
        <v>7174684.9678068208</v>
      </c>
    </row>
    <row r="54" spans="1:10" ht="19.5">
      <c r="A54" s="654"/>
      <c r="B54" s="13" t="s">
        <v>882</v>
      </c>
      <c r="C54" s="12">
        <f>C6</f>
        <v>1043611.0503979999</v>
      </c>
      <c r="D54" s="12">
        <f t="shared" ref="D54:J54" si="1">D6</f>
        <v>0</v>
      </c>
      <c r="E54" s="12">
        <f t="shared" si="1"/>
        <v>0</v>
      </c>
      <c r="F54" s="12">
        <f t="shared" si="1"/>
        <v>0</v>
      </c>
      <c r="G54" s="12">
        <f t="shared" si="1"/>
        <v>0</v>
      </c>
      <c r="H54" s="12">
        <f t="shared" si="1"/>
        <v>0</v>
      </c>
      <c r="I54" s="12">
        <f t="shared" si="1"/>
        <v>0</v>
      </c>
      <c r="J54" s="12">
        <f t="shared" si="1"/>
        <v>1043611.0503979999</v>
      </c>
    </row>
    <row r="55" spans="1:10">
      <c r="A55" s="654"/>
      <c r="B55" s="11" t="s">
        <v>436</v>
      </c>
      <c r="C55" s="12">
        <f>SUM(C9,C12,C15,C18,C21,C24,C27,C30,C33,C36,C39,C42,C45,C48,C51)</f>
        <v>7161881.9733188432</v>
      </c>
      <c r="D55" s="12">
        <f t="shared" ref="D55:I55" si="2">SUM(D9,D12,D15,D18,D21,D24,D27,D30,D33,D36,D39,D42,D45,D48,D51)</f>
        <v>3.7874982867658202</v>
      </c>
      <c r="E55" s="12">
        <f t="shared" si="2"/>
        <v>3.7060467107063406</v>
      </c>
      <c r="F55" s="12">
        <f t="shared" si="2"/>
        <v>0</v>
      </c>
      <c r="G55" s="12">
        <f t="shared" si="2"/>
        <v>0</v>
      </c>
      <c r="H55" s="12">
        <f t="shared" si="2"/>
        <v>0</v>
      </c>
      <c r="I55" s="12">
        <f t="shared" si="2"/>
        <v>0</v>
      </c>
      <c r="J55" s="7">
        <f>C55</f>
        <v>7161881.9733188432</v>
      </c>
    </row>
    <row r="56" spans="1:10">
      <c r="A56" s="655"/>
      <c r="B56" s="11" t="s">
        <v>883</v>
      </c>
      <c r="C56" s="12">
        <f>SUM(C53:C55)</f>
        <v>15337416.632864751</v>
      </c>
      <c r="D56" s="12">
        <f t="shared" ref="D56:J56" si="3">SUM(D53:D55)</f>
        <v>10689.761699171035</v>
      </c>
      <c r="E56" s="12">
        <f t="shared" si="3"/>
        <v>31508.550504739411</v>
      </c>
      <c r="F56" s="12">
        <f t="shared" si="3"/>
        <v>570.54</v>
      </c>
      <c r="G56" s="12">
        <f t="shared" si="3"/>
        <v>0</v>
      </c>
      <c r="H56" s="12">
        <f t="shared" si="3"/>
        <v>0</v>
      </c>
      <c r="I56" s="12">
        <f t="shared" si="3"/>
        <v>0</v>
      </c>
      <c r="J56" s="12">
        <f t="shared" si="3"/>
        <v>15380177.991523664</v>
      </c>
    </row>
  </sheetData>
  <mergeCells count="35">
    <mergeCell ref="A43:A45"/>
    <mergeCell ref="A46:A48"/>
    <mergeCell ref="A49:A51"/>
    <mergeCell ref="A52:A56"/>
    <mergeCell ref="B46:J46"/>
    <mergeCell ref="B49:J49"/>
    <mergeCell ref="B43:J43"/>
    <mergeCell ref="A1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B31:J31"/>
    <mergeCell ref="B34:J34"/>
    <mergeCell ref="B37:J37"/>
    <mergeCell ref="B40:J40"/>
    <mergeCell ref="B16:J16"/>
    <mergeCell ref="B19:J19"/>
    <mergeCell ref="B22:J22"/>
    <mergeCell ref="B25:J25"/>
    <mergeCell ref="B28:J28"/>
    <mergeCell ref="B1:J1"/>
    <mergeCell ref="B4:J4"/>
    <mergeCell ref="B7:J7"/>
    <mergeCell ref="B10:J10"/>
    <mergeCell ref="B13:J13"/>
  </mergeCells>
  <phoneticPr fontId="89" type="noConversion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6"/>
  <sheetViews>
    <sheetView topLeftCell="A35" zoomScale="145" zoomScaleNormal="145" workbookViewId="0">
      <selection activeCell="R19" sqref="R19"/>
    </sheetView>
  </sheetViews>
  <sheetFormatPr defaultColWidth="9" defaultRowHeight="15"/>
  <cols>
    <col min="1" max="1" width="7.75" customWidth="1"/>
    <col min="2" max="2" width="8.125" style="1" customWidth="1"/>
    <col min="3" max="3" width="12.5" style="1" customWidth="1"/>
    <col min="4" max="4" width="6.375" style="1" customWidth="1"/>
    <col min="5" max="5" width="7" style="1" customWidth="1"/>
    <col min="6" max="6" width="6.375" style="1" customWidth="1"/>
    <col min="7" max="7" width="4.125" style="1" customWidth="1"/>
    <col min="8" max="8" width="6" style="1" customWidth="1"/>
    <col min="9" max="9" width="3.75" style="1" customWidth="1"/>
    <col min="10" max="10" width="13.75" style="1" customWidth="1"/>
    <col min="11" max="11" width="9" style="2"/>
  </cols>
  <sheetData>
    <row r="1" spans="1:11">
      <c r="A1" s="651" t="s">
        <v>241</v>
      </c>
      <c r="B1" s="647" t="s">
        <v>429</v>
      </c>
      <c r="C1" s="647"/>
      <c r="D1" s="647"/>
      <c r="E1" s="647"/>
      <c r="F1" s="647"/>
      <c r="G1" s="647"/>
      <c r="H1" s="647"/>
      <c r="I1" s="647"/>
      <c r="J1" s="647"/>
      <c r="K1" s="3" t="s">
        <v>862</v>
      </c>
    </row>
    <row r="2" spans="1:11">
      <c r="A2" s="652"/>
      <c r="B2" s="4" t="s">
        <v>863</v>
      </c>
      <c r="C2" s="5" t="s">
        <v>224</v>
      </c>
      <c r="D2" s="5" t="s">
        <v>225</v>
      </c>
      <c r="E2" s="5" t="s">
        <v>226</v>
      </c>
      <c r="F2" s="5" t="s">
        <v>29</v>
      </c>
      <c r="G2" s="5" t="s">
        <v>30</v>
      </c>
      <c r="H2" s="5" t="s">
        <v>227</v>
      </c>
      <c r="I2" s="5" t="s">
        <v>228</v>
      </c>
      <c r="J2" s="4" t="s">
        <v>25</v>
      </c>
    </row>
    <row r="3" spans="1:11">
      <c r="A3" s="653"/>
      <c r="B3" s="6" t="s">
        <v>864</v>
      </c>
      <c r="C3" s="7">
        <f>表1温室气体盘查表!B105</f>
        <v>7131923.6091479082</v>
      </c>
      <c r="D3" s="7">
        <f>表1温室气体盘查表!C105</f>
        <v>10685.97420088427</v>
      </c>
      <c r="E3" s="7">
        <f>表1温室气体盘查表!D105</f>
        <v>31504.844458028703</v>
      </c>
      <c r="F3" s="7">
        <f>表1温室气体盘查表!E105</f>
        <v>570.54</v>
      </c>
      <c r="G3" s="7">
        <f>表1温室气体盘查表!F105</f>
        <v>0</v>
      </c>
      <c r="H3" s="7">
        <f>表1温室气体盘查表!G105</f>
        <v>0</v>
      </c>
      <c r="I3" s="7">
        <f>表1温室气体盘查表!H105</f>
        <v>0</v>
      </c>
      <c r="J3" s="7">
        <f>表1温室气体盘查表!I105</f>
        <v>7174684.9678068208</v>
      </c>
      <c r="K3" s="8">
        <f>J3/$J$56</f>
        <v>0.4621861270232806</v>
      </c>
    </row>
    <row r="4" spans="1:11">
      <c r="A4" s="651" t="s">
        <v>312</v>
      </c>
      <c r="B4" s="647" t="s">
        <v>884</v>
      </c>
      <c r="C4" s="647"/>
      <c r="D4" s="647"/>
      <c r="E4" s="647"/>
      <c r="F4" s="647"/>
      <c r="G4" s="647"/>
      <c r="H4" s="647"/>
      <c r="I4" s="647"/>
      <c r="J4" s="647"/>
    </row>
    <row r="5" spans="1:11">
      <c r="A5" s="652"/>
      <c r="B5" s="4" t="s">
        <v>863</v>
      </c>
      <c r="C5" s="5" t="s">
        <v>224</v>
      </c>
      <c r="D5" s="5" t="s">
        <v>225</v>
      </c>
      <c r="E5" s="5" t="s">
        <v>226</v>
      </c>
      <c r="F5" s="5" t="s">
        <v>29</v>
      </c>
      <c r="G5" s="5" t="s">
        <v>30</v>
      </c>
      <c r="H5" s="5" t="s">
        <v>227</v>
      </c>
      <c r="I5" s="5" t="s">
        <v>228</v>
      </c>
      <c r="J5" s="4" t="s">
        <v>25</v>
      </c>
    </row>
    <row r="6" spans="1:11">
      <c r="A6" s="653"/>
      <c r="B6" s="9" t="s">
        <v>864</v>
      </c>
      <c r="C6" s="10">
        <f>表1温室气体盘查表!AF31</f>
        <v>1186800.2659680001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f>C6</f>
        <v>1186800.2659680001</v>
      </c>
      <c r="K6" s="8">
        <f>J6/$J$56</f>
        <v>7.6452502226815308E-2</v>
      </c>
    </row>
    <row r="7" spans="1:11">
      <c r="A7" s="648" t="s">
        <v>866</v>
      </c>
      <c r="B7" s="647" t="s">
        <v>437</v>
      </c>
      <c r="C7" s="647"/>
      <c r="D7" s="647"/>
      <c r="E7" s="647"/>
      <c r="F7" s="647"/>
      <c r="G7" s="647"/>
      <c r="H7" s="647"/>
      <c r="I7" s="647"/>
      <c r="J7" s="647"/>
    </row>
    <row r="8" spans="1:11">
      <c r="A8" s="649"/>
      <c r="B8" s="4" t="s">
        <v>863</v>
      </c>
      <c r="C8" s="5" t="s">
        <v>224</v>
      </c>
      <c r="D8" s="5" t="s">
        <v>225</v>
      </c>
      <c r="E8" s="5" t="s">
        <v>226</v>
      </c>
      <c r="F8" s="5" t="s">
        <v>29</v>
      </c>
      <c r="G8" s="5" t="s">
        <v>30</v>
      </c>
      <c r="H8" s="5" t="s">
        <v>227</v>
      </c>
      <c r="I8" s="5" t="s">
        <v>228</v>
      </c>
      <c r="J8" s="4" t="s">
        <v>25</v>
      </c>
    </row>
    <row r="9" spans="1:11">
      <c r="A9" s="650"/>
      <c r="B9" s="11" t="s">
        <v>864</v>
      </c>
      <c r="C9" s="12">
        <f>表1温室气体盘查表!B115</f>
        <v>2179317.5099891252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f>表1温室气体盘查表!C115</f>
        <v>2179317.5099891252</v>
      </c>
      <c r="K9" s="8">
        <f>J9/$J$56</f>
        <v>0.14038948386103045</v>
      </c>
    </row>
    <row r="10" spans="1:11">
      <c r="A10" s="648" t="s">
        <v>867</v>
      </c>
      <c r="B10" s="647" t="s">
        <v>438</v>
      </c>
      <c r="C10" s="647"/>
      <c r="D10" s="647"/>
      <c r="E10" s="647"/>
      <c r="F10" s="647"/>
      <c r="G10" s="647"/>
      <c r="H10" s="647"/>
      <c r="I10" s="647"/>
      <c r="J10" s="647"/>
    </row>
    <row r="11" spans="1:11">
      <c r="A11" s="649"/>
      <c r="B11" s="4" t="s">
        <v>863</v>
      </c>
      <c r="C11" s="5" t="s">
        <v>224</v>
      </c>
      <c r="D11" s="5" t="s">
        <v>225</v>
      </c>
      <c r="E11" s="5" t="s">
        <v>226</v>
      </c>
      <c r="F11" s="5" t="s">
        <v>29</v>
      </c>
      <c r="G11" s="5" t="s">
        <v>30</v>
      </c>
      <c r="H11" s="5" t="s">
        <v>227</v>
      </c>
      <c r="I11" s="5" t="s">
        <v>228</v>
      </c>
      <c r="J11" s="4" t="s">
        <v>25</v>
      </c>
    </row>
    <row r="12" spans="1:11">
      <c r="A12" s="650"/>
      <c r="B12" s="11" t="s">
        <v>864</v>
      </c>
      <c r="C12" s="12">
        <f>表1温室气体盘查表!B119</f>
        <v>46877.218976500008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f>C12</f>
        <v>46877.218976500008</v>
      </c>
      <c r="K12" s="8">
        <f>J12/$J$56</f>
        <v>3.0197841970187162E-3</v>
      </c>
    </row>
    <row r="13" spans="1:11">
      <c r="A13" s="648" t="s">
        <v>868</v>
      </c>
      <c r="B13" s="647" t="s">
        <v>439</v>
      </c>
      <c r="C13" s="647"/>
      <c r="D13" s="647"/>
      <c r="E13" s="647"/>
      <c r="F13" s="647"/>
      <c r="G13" s="647"/>
      <c r="H13" s="647"/>
      <c r="I13" s="647"/>
      <c r="J13" s="647"/>
    </row>
    <row r="14" spans="1:11">
      <c r="A14" s="649"/>
      <c r="B14" s="4" t="s">
        <v>863</v>
      </c>
      <c r="C14" s="5" t="s">
        <v>224</v>
      </c>
      <c r="D14" s="5" t="s">
        <v>225</v>
      </c>
      <c r="E14" s="5" t="s">
        <v>226</v>
      </c>
      <c r="F14" s="5" t="s">
        <v>29</v>
      </c>
      <c r="G14" s="5" t="s">
        <v>30</v>
      </c>
      <c r="H14" s="5" t="s">
        <v>227</v>
      </c>
      <c r="I14" s="5" t="s">
        <v>228</v>
      </c>
      <c r="J14" s="4" t="s">
        <v>25</v>
      </c>
    </row>
    <row r="15" spans="1:11">
      <c r="A15" s="650"/>
      <c r="B15" s="11" t="s">
        <v>864</v>
      </c>
      <c r="C15" s="12">
        <f>表1温室气体盘查表!B123</f>
        <v>1756664.8022970185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f>C15</f>
        <v>1756664.8022970185</v>
      </c>
      <c r="K15" s="8">
        <f>J15/$J$56</f>
        <v>0.11316261342412108</v>
      </c>
    </row>
    <row r="16" spans="1:11">
      <c r="A16" s="648" t="s">
        <v>869</v>
      </c>
      <c r="B16" s="647" t="s">
        <v>376</v>
      </c>
      <c r="C16" s="647"/>
      <c r="D16" s="647"/>
      <c r="E16" s="647"/>
      <c r="F16" s="647"/>
      <c r="G16" s="647"/>
      <c r="H16" s="647"/>
      <c r="I16" s="647"/>
      <c r="J16" s="647"/>
    </row>
    <row r="17" spans="1:11">
      <c r="A17" s="649"/>
      <c r="B17" s="4" t="s">
        <v>863</v>
      </c>
      <c r="C17" s="5" t="s">
        <v>224</v>
      </c>
      <c r="D17" s="5" t="s">
        <v>225</v>
      </c>
      <c r="E17" s="5" t="s">
        <v>226</v>
      </c>
      <c r="F17" s="5" t="s">
        <v>29</v>
      </c>
      <c r="G17" s="5" t="s">
        <v>30</v>
      </c>
      <c r="H17" s="5" t="s">
        <v>227</v>
      </c>
      <c r="I17" s="5" t="s">
        <v>228</v>
      </c>
      <c r="J17" s="4" t="s">
        <v>25</v>
      </c>
    </row>
    <row r="18" spans="1:11">
      <c r="A18" s="650"/>
      <c r="B18" s="11" t="s">
        <v>864</v>
      </c>
      <c r="C18" s="12">
        <f>表1温室气体盘查表!B127</f>
        <v>400727.02820844552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f>C18</f>
        <v>400727.02820844552</v>
      </c>
      <c r="K18" s="8">
        <f>J18/$J$56</f>
        <v>2.5814439796626506E-2</v>
      </c>
    </row>
    <row r="19" spans="1:11">
      <c r="A19" s="648" t="s">
        <v>870</v>
      </c>
      <c r="B19" s="647" t="s">
        <v>440</v>
      </c>
      <c r="C19" s="647"/>
      <c r="D19" s="647"/>
      <c r="E19" s="647"/>
      <c r="F19" s="647"/>
      <c r="G19" s="647"/>
      <c r="H19" s="647"/>
      <c r="I19" s="647"/>
      <c r="J19" s="647"/>
    </row>
    <row r="20" spans="1:11">
      <c r="A20" s="649"/>
      <c r="B20" s="4" t="s">
        <v>863</v>
      </c>
      <c r="C20" s="5" t="s">
        <v>224</v>
      </c>
      <c r="D20" s="5" t="s">
        <v>225</v>
      </c>
      <c r="E20" s="5" t="s">
        <v>226</v>
      </c>
      <c r="F20" s="5" t="s">
        <v>29</v>
      </c>
      <c r="G20" s="5" t="s">
        <v>30</v>
      </c>
      <c r="H20" s="5" t="s">
        <v>227</v>
      </c>
      <c r="I20" s="5" t="s">
        <v>228</v>
      </c>
      <c r="J20" s="4" t="s">
        <v>25</v>
      </c>
    </row>
    <row r="21" spans="1:11">
      <c r="A21" s="650"/>
      <c r="B21" s="11" t="s">
        <v>864</v>
      </c>
      <c r="C21" s="12">
        <f>表1温室气体盘查表!B131</f>
        <v>30952.018420116066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f>C21</f>
        <v>30952.018420116066</v>
      </c>
      <c r="K21" s="8">
        <f>J21/$J$56</f>
        <v>1.9938984891095034E-3</v>
      </c>
    </row>
    <row r="22" spans="1:11">
      <c r="A22" s="648" t="s">
        <v>871</v>
      </c>
      <c r="B22" s="647" t="s">
        <v>391</v>
      </c>
      <c r="C22" s="647"/>
      <c r="D22" s="647"/>
      <c r="E22" s="647"/>
      <c r="F22" s="647"/>
      <c r="G22" s="647"/>
      <c r="H22" s="647"/>
      <c r="I22" s="647"/>
      <c r="J22" s="647"/>
    </row>
    <row r="23" spans="1:11">
      <c r="A23" s="649"/>
      <c r="B23" s="4" t="s">
        <v>863</v>
      </c>
      <c r="C23" s="5" t="s">
        <v>224</v>
      </c>
      <c r="D23" s="5" t="s">
        <v>225</v>
      </c>
      <c r="E23" s="5" t="s">
        <v>226</v>
      </c>
      <c r="F23" s="5" t="s">
        <v>29</v>
      </c>
      <c r="G23" s="5" t="s">
        <v>30</v>
      </c>
      <c r="H23" s="5" t="s">
        <v>227</v>
      </c>
      <c r="I23" s="5" t="s">
        <v>228</v>
      </c>
      <c r="J23" s="4" t="s">
        <v>25</v>
      </c>
    </row>
    <row r="24" spans="1:11">
      <c r="A24" s="650"/>
      <c r="B24" s="11" t="s">
        <v>864</v>
      </c>
      <c r="C24" s="12">
        <f>表1温室气体盘查表!B135</f>
        <v>1804.7455494943988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f>C24</f>
        <v>1804.7455494943988</v>
      </c>
      <c r="K24" s="8">
        <f>J24/$J$56</f>
        <v>1.1625992772171813E-4</v>
      </c>
    </row>
    <row r="25" spans="1:11">
      <c r="A25" s="648" t="s">
        <v>872</v>
      </c>
      <c r="B25" s="647" t="s">
        <v>398</v>
      </c>
      <c r="C25" s="647"/>
      <c r="D25" s="647"/>
      <c r="E25" s="647"/>
      <c r="F25" s="647"/>
      <c r="G25" s="647"/>
      <c r="H25" s="647"/>
      <c r="I25" s="647"/>
      <c r="J25" s="647"/>
    </row>
    <row r="26" spans="1:11">
      <c r="A26" s="649"/>
      <c r="B26" s="4" t="s">
        <v>863</v>
      </c>
      <c r="C26" s="5" t="s">
        <v>224</v>
      </c>
      <c r="D26" s="5" t="s">
        <v>225</v>
      </c>
      <c r="E26" s="5" t="s">
        <v>226</v>
      </c>
      <c r="F26" s="5" t="s">
        <v>29</v>
      </c>
      <c r="G26" s="5" t="s">
        <v>30</v>
      </c>
      <c r="H26" s="5" t="s">
        <v>227</v>
      </c>
      <c r="I26" s="5" t="s">
        <v>228</v>
      </c>
      <c r="J26" s="4" t="s">
        <v>25</v>
      </c>
    </row>
    <row r="27" spans="1:11">
      <c r="A27" s="650"/>
      <c r="B27" s="11" t="s">
        <v>864</v>
      </c>
      <c r="C27" s="12">
        <f>表1温室气体盘查表!B139</f>
        <v>5447.4723256107236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f>C27</f>
        <v>5447.4723256107236</v>
      </c>
      <c r="K27" s="8">
        <f>J27/$J$56</f>
        <v>3.5092079269511897E-4</v>
      </c>
    </row>
    <row r="28" spans="1:11">
      <c r="A28" s="648" t="s">
        <v>873</v>
      </c>
      <c r="B28" s="647" t="s">
        <v>442</v>
      </c>
      <c r="C28" s="647"/>
      <c r="D28" s="647"/>
      <c r="E28" s="647"/>
      <c r="F28" s="647"/>
      <c r="G28" s="647"/>
      <c r="H28" s="647"/>
      <c r="I28" s="647"/>
      <c r="J28" s="647"/>
    </row>
    <row r="29" spans="1:11">
      <c r="A29" s="649"/>
      <c r="B29" s="4" t="s">
        <v>863</v>
      </c>
      <c r="C29" s="5" t="s">
        <v>224</v>
      </c>
      <c r="D29" s="5" t="s">
        <v>225</v>
      </c>
      <c r="E29" s="5" t="s">
        <v>226</v>
      </c>
      <c r="F29" s="5" t="s">
        <v>29</v>
      </c>
      <c r="G29" s="5" t="s">
        <v>30</v>
      </c>
      <c r="H29" s="5" t="s">
        <v>227</v>
      </c>
      <c r="I29" s="5" t="s">
        <v>228</v>
      </c>
      <c r="J29" s="4" t="s">
        <v>25</v>
      </c>
    </row>
    <row r="30" spans="1:11">
      <c r="A30" s="650"/>
      <c r="B30" s="11" t="s">
        <v>864</v>
      </c>
      <c r="C30" s="12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f>C30</f>
        <v>0</v>
      </c>
    </row>
    <row r="31" spans="1:11">
      <c r="A31" s="648" t="s">
        <v>874</v>
      </c>
      <c r="B31" s="647" t="s">
        <v>407</v>
      </c>
      <c r="C31" s="647"/>
      <c r="D31" s="647"/>
      <c r="E31" s="647"/>
      <c r="F31" s="647"/>
      <c r="G31" s="647"/>
      <c r="H31" s="647"/>
      <c r="I31" s="647"/>
      <c r="J31" s="647"/>
    </row>
    <row r="32" spans="1:11">
      <c r="A32" s="649"/>
      <c r="B32" s="4" t="s">
        <v>863</v>
      </c>
      <c r="C32" s="5" t="s">
        <v>224</v>
      </c>
      <c r="D32" s="5" t="s">
        <v>225</v>
      </c>
      <c r="E32" s="5" t="s">
        <v>226</v>
      </c>
      <c r="F32" s="5" t="s">
        <v>29</v>
      </c>
      <c r="G32" s="5" t="s">
        <v>30</v>
      </c>
      <c r="H32" s="5" t="s">
        <v>227</v>
      </c>
      <c r="I32" s="5" t="s">
        <v>228</v>
      </c>
      <c r="J32" s="4" t="s">
        <v>25</v>
      </c>
    </row>
    <row r="33" spans="1:11">
      <c r="A33" s="650"/>
      <c r="B33" s="11" t="s">
        <v>864</v>
      </c>
      <c r="C33" s="12">
        <f>表1温室气体盘查表!B147</f>
        <v>281081.73888085666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f>C33</f>
        <v>281081.73888085666</v>
      </c>
      <c r="K33" s="8">
        <f>J33/$J$56</f>
        <v>1.8107008301163657E-2</v>
      </c>
    </row>
    <row r="34" spans="1:11">
      <c r="A34" s="648" t="s">
        <v>875</v>
      </c>
      <c r="B34" s="647" t="s">
        <v>411</v>
      </c>
      <c r="C34" s="647"/>
      <c r="D34" s="647"/>
      <c r="E34" s="647"/>
      <c r="F34" s="647"/>
      <c r="G34" s="647"/>
      <c r="H34" s="647"/>
      <c r="I34" s="647"/>
      <c r="J34" s="647"/>
    </row>
    <row r="35" spans="1:11">
      <c r="A35" s="649"/>
      <c r="B35" s="4" t="s">
        <v>863</v>
      </c>
      <c r="C35" s="5" t="s">
        <v>224</v>
      </c>
      <c r="D35" s="5" t="s">
        <v>225</v>
      </c>
      <c r="E35" s="5" t="s">
        <v>226</v>
      </c>
      <c r="F35" s="5" t="s">
        <v>29</v>
      </c>
      <c r="G35" s="5" t="s">
        <v>30</v>
      </c>
      <c r="H35" s="5" t="s">
        <v>227</v>
      </c>
      <c r="I35" s="5" t="s">
        <v>228</v>
      </c>
      <c r="J35" s="4" t="s">
        <v>25</v>
      </c>
    </row>
    <row r="36" spans="1:11">
      <c r="A36" s="650"/>
      <c r="B36" s="11" t="s">
        <v>864</v>
      </c>
      <c r="C36" s="12">
        <f>表1温室气体盘查表!B151</f>
        <v>2449392.9070232175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f>C36</f>
        <v>2449392.9070232175</v>
      </c>
      <c r="K36" s="8">
        <f>J36/$J$56</f>
        <v>0.15778747447937239</v>
      </c>
    </row>
    <row r="37" spans="1:11">
      <c r="A37" s="648" t="s">
        <v>876</v>
      </c>
      <c r="B37" s="647" t="s">
        <v>417</v>
      </c>
      <c r="C37" s="647"/>
      <c r="D37" s="647"/>
      <c r="E37" s="647"/>
      <c r="F37" s="647"/>
      <c r="G37" s="647"/>
      <c r="H37" s="647"/>
      <c r="I37" s="647"/>
      <c r="J37" s="647"/>
    </row>
    <row r="38" spans="1:11">
      <c r="A38" s="649"/>
      <c r="B38" s="4" t="s">
        <v>863</v>
      </c>
      <c r="C38" s="5" t="s">
        <v>224</v>
      </c>
      <c r="D38" s="5" t="s">
        <v>225</v>
      </c>
      <c r="E38" s="5" t="s">
        <v>226</v>
      </c>
      <c r="F38" s="5" t="s">
        <v>29</v>
      </c>
      <c r="G38" s="5" t="s">
        <v>30</v>
      </c>
      <c r="H38" s="5" t="s">
        <v>227</v>
      </c>
      <c r="I38" s="5" t="s">
        <v>228</v>
      </c>
      <c r="J38" s="4" t="s">
        <v>25</v>
      </c>
    </row>
    <row r="39" spans="1:11">
      <c r="A39" s="650"/>
      <c r="B39" s="11" t="s">
        <v>864</v>
      </c>
      <c r="C39" s="12">
        <f>表1温室气体盘查表!B155</f>
        <v>6027.4166284015209</v>
      </c>
      <c r="D39" s="12">
        <f>表1温室气体盘查表!C155</f>
        <v>3.7874982867658202</v>
      </c>
      <c r="E39" s="12">
        <f>表1温室气体盘查表!D155</f>
        <v>3.7060467107063406</v>
      </c>
      <c r="F39" s="12">
        <f>表1温室气体盘查表!E155</f>
        <v>0</v>
      </c>
      <c r="G39" s="12">
        <f>表1温室气体盘查表!F155</f>
        <v>0</v>
      </c>
      <c r="H39" s="12">
        <f>表1温室气体盘查表!G155</f>
        <v>0</v>
      </c>
      <c r="I39" s="12">
        <f>表1温室气体盘查表!H155</f>
        <v>0</v>
      </c>
      <c r="J39" s="10">
        <f>SUM(C39:I39)</f>
        <v>6034.9101733989937</v>
      </c>
      <c r="K39" s="8">
        <f>J39/$J$56</f>
        <v>3.8876295927865701E-4</v>
      </c>
    </row>
    <row r="40" spans="1:11">
      <c r="A40" s="648" t="s">
        <v>877</v>
      </c>
      <c r="B40" s="647" t="s">
        <v>421</v>
      </c>
      <c r="C40" s="647"/>
      <c r="D40" s="647"/>
      <c r="E40" s="647"/>
      <c r="F40" s="647"/>
      <c r="G40" s="647"/>
      <c r="H40" s="647"/>
      <c r="I40" s="647"/>
      <c r="J40" s="647"/>
    </row>
    <row r="41" spans="1:11">
      <c r="A41" s="649"/>
      <c r="B41" s="4" t="s">
        <v>863</v>
      </c>
      <c r="C41" s="5" t="s">
        <v>224</v>
      </c>
      <c r="D41" s="5" t="s">
        <v>225</v>
      </c>
      <c r="E41" s="5" t="s">
        <v>226</v>
      </c>
      <c r="F41" s="5" t="s">
        <v>29</v>
      </c>
      <c r="G41" s="5" t="s">
        <v>30</v>
      </c>
      <c r="H41" s="5" t="s">
        <v>227</v>
      </c>
      <c r="I41" s="5" t="s">
        <v>228</v>
      </c>
      <c r="J41" s="4" t="s">
        <v>25</v>
      </c>
    </row>
    <row r="42" spans="1:11">
      <c r="A42" s="650"/>
      <c r="B42" s="11" t="s">
        <v>864</v>
      </c>
      <c r="C42" s="12">
        <f>表1温室气体盘查表!B159</f>
        <v>3589.1150200565844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f>C42</f>
        <v>3589.1150200565844</v>
      </c>
      <c r="K42" s="8">
        <f>J42/$J$56</f>
        <v>2.3120724854182911E-4</v>
      </c>
    </row>
    <row r="43" spans="1:11">
      <c r="A43" s="648" t="s">
        <v>878</v>
      </c>
      <c r="B43" s="647" t="s">
        <v>445</v>
      </c>
      <c r="C43" s="647"/>
      <c r="D43" s="647"/>
      <c r="E43" s="647"/>
      <c r="F43" s="647"/>
      <c r="G43" s="647"/>
      <c r="H43" s="647"/>
      <c r="I43" s="647"/>
      <c r="J43" s="647"/>
    </row>
    <row r="44" spans="1:11">
      <c r="A44" s="649"/>
      <c r="B44" s="4" t="s">
        <v>863</v>
      </c>
      <c r="C44" s="5" t="s">
        <v>224</v>
      </c>
      <c r="D44" s="5" t="s">
        <v>225</v>
      </c>
      <c r="E44" s="5" t="s">
        <v>226</v>
      </c>
      <c r="F44" s="5" t="s">
        <v>29</v>
      </c>
      <c r="G44" s="5" t="s">
        <v>30</v>
      </c>
      <c r="H44" s="5" t="s">
        <v>227</v>
      </c>
      <c r="I44" s="5" t="s">
        <v>228</v>
      </c>
      <c r="J44" s="4" t="s">
        <v>25</v>
      </c>
    </row>
    <row r="45" spans="1:11">
      <c r="A45" s="650"/>
      <c r="B45" s="11" t="s">
        <v>864</v>
      </c>
      <c r="C45" s="12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f>C45</f>
        <v>0</v>
      </c>
    </row>
    <row r="46" spans="1:11">
      <c r="A46" s="648" t="s">
        <v>879</v>
      </c>
      <c r="B46" s="647" t="s">
        <v>448</v>
      </c>
      <c r="C46" s="647"/>
      <c r="D46" s="647"/>
      <c r="E46" s="647"/>
      <c r="F46" s="647"/>
      <c r="G46" s="647"/>
      <c r="H46" s="647"/>
      <c r="I46" s="647"/>
      <c r="J46" s="647"/>
    </row>
    <row r="47" spans="1:11">
      <c r="A47" s="649"/>
      <c r="B47" s="4" t="s">
        <v>863</v>
      </c>
      <c r="C47" s="5" t="s">
        <v>224</v>
      </c>
      <c r="D47" s="5" t="s">
        <v>225</v>
      </c>
      <c r="E47" s="5" t="s">
        <v>226</v>
      </c>
      <c r="F47" s="5" t="s">
        <v>29</v>
      </c>
      <c r="G47" s="5" t="s">
        <v>30</v>
      </c>
      <c r="H47" s="5" t="s">
        <v>227</v>
      </c>
      <c r="I47" s="5" t="s">
        <v>228</v>
      </c>
      <c r="J47" s="4" t="s">
        <v>25</v>
      </c>
    </row>
    <row r="48" spans="1:11">
      <c r="A48" s="650"/>
      <c r="B48" s="11" t="s">
        <v>864</v>
      </c>
      <c r="C48" s="12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f>C48</f>
        <v>0</v>
      </c>
    </row>
    <row r="49" spans="1:10">
      <c r="A49" s="648" t="s">
        <v>880</v>
      </c>
      <c r="B49" s="647" t="s">
        <v>451</v>
      </c>
      <c r="C49" s="647"/>
      <c r="D49" s="647"/>
      <c r="E49" s="647"/>
      <c r="F49" s="647"/>
      <c r="G49" s="647"/>
      <c r="H49" s="647"/>
      <c r="I49" s="647"/>
      <c r="J49" s="647"/>
    </row>
    <row r="50" spans="1:10">
      <c r="A50" s="649"/>
      <c r="B50" s="4" t="s">
        <v>863</v>
      </c>
      <c r="C50" s="5" t="s">
        <v>224</v>
      </c>
      <c r="D50" s="5" t="s">
        <v>225</v>
      </c>
      <c r="E50" s="5" t="s">
        <v>226</v>
      </c>
      <c r="F50" s="5" t="s">
        <v>29</v>
      </c>
      <c r="G50" s="5" t="s">
        <v>30</v>
      </c>
      <c r="H50" s="5" t="s">
        <v>227</v>
      </c>
      <c r="I50" s="5" t="s">
        <v>228</v>
      </c>
      <c r="J50" s="4" t="s">
        <v>25</v>
      </c>
    </row>
    <row r="51" spans="1:10">
      <c r="A51" s="650"/>
      <c r="B51" s="11" t="s">
        <v>864</v>
      </c>
      <c r="C51" s="12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f>C51</f>
        <v>0</v>
      </c>
    </row>
    <row r="52" spans="1:10">
      <c r="A52" s="648" t="s">
        <v>881</v>
      </c>
      <c r="B52" s="4" t="s">
        <v>863</v>
      </c>
      <c r="C52" s="5" t="s">
        <v>224</v>
      </c>
      <c r="D52" s="5" t="s">
        <v>225</v>
      </c>
      <c r="E52" s="5" t="s">
        <v>226</v>
      </c>
      <c r="F52" s="5" t="s">
        <v>29</v>
      </c>
      <c r="G52" s="5" t="s">
        <v>30</v>
      </c>
      <c r="H52" s="5" t="s">
        <v>227</v>
      </c>
      <c r="I52" s="5" t="s">
        <v>228</v>
      </c>
      <c r="J52" s="4" t="s">
        <v>25</v>
      </c>
    </row>
    <row r="53" spans="1:10">
      <c r="A53" s="654"/>
      <c r="B53" s="11" t="s">
        <v>241</v>
      </c>
      <c r="C53" s="12">
        <f t="shared" ref="C53:J53" si="0">C3</f>
        <v>7131923.6091479082</v>
      </c>
      <c r="D53" s="12">
        <f t="shared" si="0"/>
        <v>10685.97420088427</v>
      </c>
      <c r="E53" s="12">
        <f t="shared" si="0"/>
        <v>31504.844458028703</v>
      </c>
      <c r="F53" s="12">
        <f t="shared" si="0"/>
        <v>570.54</v>
      </c>
      <c r="G53" s="12">
        <f t="shared" si="0"/>
        <v>0</v>
      </c>
      <c r="H53" s="12">
        <f t="shared" si="0"/>
        <v>0</v>
      </c>
      <c r="I53" s="12">
        <f t="shared" si="0"/>
        <v>0</v>
      </c>
      <c r="J53" s="12">
        <f t="shared" si="0"/>
        <v>7174684.9678068208</v>
      </c>
    </row>
    <row r="54" spans="1:10" ht="19.5">
      <c r="A54" s="654"/>
      <c r="B54" s="13" t="s">
        <v>885</v>
      </c>
      <c r="C54" s="12">
        <f>C6</f>
        <v>1186800.2659680001</v>
      </c>
      <c r="D54" s="12">
        <f t="shared" ref="D54:J54" si="1">D6</f>
        <v>0</v>
      </c>
      <c r="E54" s="12">
        <f t="shared" si="1"/>
        <v>0</v>
      </c>
      <c r="F54" s="12">
        <f t="shared" si="1"/>
        <v>0</v>
      </c>
      <c r="G54" s="12">
        <f t="shared" si="1"/>
        <v>0</v>
      </c>
      <c r="H54" s="12">
        <f t="shared" si="1"/>
        <v>0</v>
      </c>
      <c r="I54" s="12">
        <f t="shared" si="1"/>
        <v>0</v>
      </c>
      <c r="J54" s="12">
        <f t="shared" si="1"/>
        <v>1186800.2659680001</v>
      </c>
    </row>
    <row r="55" spans="1:10">
      <c r="A55" s="654"/>
      <c r="B55" s="11" t="s">
        <v>436</v>
      </c>
      <c r="C55" s="12">
        <f>SUM(C9,C12,C15,C18,C21,C24,C27,C30,C33,C36,C39,C42,C45,C48,C51)</f>
        <v>7161881.9733188432</v>
      </c>
      <c r="D55" s="12">
        <f t="shared" ref="D55:I55" si="2">SUM(D9,D12,D15,D18,D21,D24,D27,D30,D33,D36,D39,D42,D45,D48,D51)</f>
        <v>3.7874982867658202</v>
      </c>
      <c r="E55" s="12">
        <f t="shared" si="2"/>
        <v>3.7060467107063406</v>
      </c>
      <c r="F55" s="12">
        <f t="shared" si="2"/>
        <v>0</v>
      </c>
      <c r="G55" s="12">
        <f t="shared" si="2"/>
        <v>0</v>
      </c>
      <c r="H55" s="12">
        <f t="shared" si="2"/>
        <v>0</v>
      </c>
      <c r="I55" s="12">
        <f t="shared" si="2"/>
        <v>0</v>
      </c>
      <c r="J55" s="7">
        <f>C55</f>
        <v>7161881.9733188432</v>
      </c>
    </row>
    <row r="56" spans="1:10">
      <c r="A56" s="655"/>
      <c r="B56" s="11" t="s">
        <v>883</v>
      </c>
      <c r="C56" s="12">
        <f>SUM(C53:C55)</f>
        <v>15480605.848434752</v>
      </c>
      <c r="D56" s="12">
        <f t="shared" ref="D56:J56" si="3">SUM(D53:D55)</f>
        <v>10689.761699171035</v>
      </c>
      <c r="E56" s="12">
        <f t="shared" si="3"/>
        <v>31508.550504739411</v>
      </c>
      <c r="F56" s="12">
        <f t="shared" si="3"/>
        <v>570.54</v>
      </c>
      <c r="G56" s="12">
        <f t="shared" si="3"/>
        <v>0</v>
      </c>
      <c r="H56" s="12">
        <f t="shared" si="3"/>
        <v>0</v>
      </c>
      <c r="I56" s="12">
        <f t="shared" si="3"/>
        <v>0</v>
      </c>
      <c r="J56" s="12">
        <f t="shared" si="3"/>
        <v>15523367.207093664</v>
      </c>
    </row>
  </sheetData>
  <mergeCells count="35">
    <mergeCell ref="A43:A45"/>
    <mergeCell ref="A46:A48"/>
    <mergeCell ref="A49:A51"/>
    <mergeCell ref="A52:A56"/>
    <mergeCell ref="B46:J46"/>
    <mergeCell ref="B49:J49"/>
    <mergeCell ref="B43:J43"/>
    <mergeCell ref="A1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B31:J31"/>
    <mergeCell ref="B34:J34"/>
    <mergeCell ref="B37:J37"/>
    <mergeCell ref="B40:J40"/>
    <mergeCell ref="B16:J16"/>
    <mergeCell ref="B19:J19"/>
    <mergeCell ref="B22:J22"/>
    <mergeCell ref="B25:J25"/>
    <mergeCell ref="B28:J28"/>
    <mergeCell ref="B1:J1"/>
    <mergeCell ref="B4:J4"/>
    <mergeCell ref="B7:J7"/>
    <mergeCell ref="B10:J10"/>
    <mergeCell ref="B13:J13"/>
  </mergeCells>
  <phoneticPr fontId="8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5</vt:i4>
      </vt:variant>
    </vt:vector>
  </HeadingPairs>
  <TitlesOfParts>
    <vt:vector size="19" baseType="lpstr">
      <vt:lpstr>温室气体盘查清册 (2)</vt:lpstr>
      <vt:lpstr>修改日志&amp;问题</vt:lpstr>
      <vt:lpstr>基本信息</vt:lpstr>
      <vt:lpstr>温室气体盘查清册</vt:lpstr>
      <vt:lpstr>表1温室气体盘查表</vt:lpstr>
      <vt:lpstr>表2.1不确定性评估——基于位置</vt:lpstr>
      <vt:lpstr>表2.1不确定性评估——基于市场</vt:lpstr>
      <vt:lpstr>附表1-GWP TABLE</vt:lpstr>
      <vt:lpstr>附表2-EF</vt:lpstr>
      <vt:lpstr>减排行动统计</vt:lpstr>
      <vt:lpstr>活动数据汇总表（GHG基于位置）</vt:lpstr>
      <vt:lpstr>活动数据汇总表（GHG基于市场）</vt:lpstr>
      <vt:lpstr>基准年温室气体清单 (GHG位置)</vt:lpstr>
      <vt:lpstr>基准年温室气体清单（GHG市场）</vt:lpstr>
      <vt:lpstr>表1温室气体盘查表!Print_Area</vt:lpstr>
      <vt:lpstr>'附表1-GWP TABLE'!Print_Area</vt:lpstr>
      <vt:lpstr>'附表2-EF'!Print_Area</vt:lpstr>
      <vt:lpstr>'活动数据汇总表（GHG基于市场）'!Print_Area</vt:lpstr>
      <vt:lpstr>'活动数据汇总表（GHG基于位置）'!Print_Area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费玲芳</dc:creator>
  <cp:lastModifiedBy>扬 邱</cp:lastModifiedBy>
  <cp:lastPrinted>2022-03-31T15:43:00Z</cp:lastPrinted>
  <dcterms:created xsi:type="dcterms:W3CDTF">2017-10-24T16:05:00Z</dcterms:created>
  <dcterms:modified xsi:type="dcterms:W3CDTF">2026-04-17T03:48:32Z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494EE183B00E4259A10C4B937785E784_13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