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805" tabRatio="789" firstSheet="1" activeTab="1"/>
  </bookViews>
  <sheets>
    <sheet name="温室气体盘查清册 (2)" sheetId="24" state="hidden" r:id="rId1"/>
    <sheet name="基本信息" sheetId="25" r:id="rId2"/>
    <sheet name="温室气体盘查清册" sheetId="8" r:id="rId3"/>
    <sheet name="表1温室气体盘查表" sheetId="2" r:id="rId4"/>
    <sheet name="表2.1不确定性评估——基于位置" sheetId="18" r:id="rId5"/>
    <sheet name="表2.1不确定性评估——基于市场" sheetId="21" r:id="rId6"/>
    <sheet name="附表1-GWP TABLE" sheetId="4" r:id="rId7"/>
    <sheet name="附表2-EF" sheetId="5" r:id="rId8"/>
    <sheet name="减排行动统计" sheetId="13" r:id="rId9"/>
    <sheet name="活动数据汇总表（GHG基于位置）" sheetId="15" r:id="rId10"/>
    <sheet name="活动数据汇总表（GHG基于市场）" sheetId="23" r:id="rId11"/>
    <sheet name="基准年温室气体清单 (GHG位置)" sheetId="22" r:id="rId12"/>
    <sheet name="基准年温室气体清单（GHG市场）" sheetId="14" r:id="rId13"/>
  </sheets>
  <definedNames>
    <definedName name="CONST_CNTR_TotProd">#REF!</definedName>
    <definedName name="CONST_ElecConsumption">#REF!</definedName>
    <definedName name="_xlnm.Print_Area" localSheetId="3">表1温室气体盘查表!$A$1:$AL$104</definedName>
    <definedName name="_xlnm.Print_Area" localSheetId="6">'附表1-GWP TABLE'!$A$1:$J$49</definedName>
    <definedName name="_xlnm.Print_Area" localSheetId="7">'附表2-EF'!$A$1:$Q$39</definedName>
    <definedName name="_xlnm.Print_Area" localSheetId="10">'活动数据汇总表（GHG基于市场）'!$A$1:$AK$84</definedName>
    <definedName name="_xlnm.Print_Area" localSheetId="9">'活动数据汇总表（GHG基于位置）'!$A$1:$AK$84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Infraware Corporation</author>
    <author>侯溯文</author>
    <author>邱扬</author>
    <author>17802</author>
  </authors>
  <commentList>
    <comment ref="B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ISO14064-3 Table A.2;
GHG Protocol D;
IPCC 2006 Guidelines for National GHG Inventories;</t>
        </r>
      </text>
    </comment>
    <comment ref="C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4.3.1 ;4.3.2</t>
        </r>
      </text>
    </comment>
    <comment ref="D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5.1</t>
        </r>
      </text>
    </comment>
    <comment ref="F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Clause 4.3</t>
        </r>
      </text>
    </comment>
    <comment ref="F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天然气发票</t>
        </r>
      </text>
    </comment>
    <comment ref="F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《2024冶钢宾馆水电气》</t>
        </r>
      </text>
    </comment>
    <comment ref="F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收发存-发出量</t>
        </r>
      </text>
    </comment>
    <comment ref="F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收发存-发出量</t>
        </r>
      </text>
    </comment>
    <comment ref="F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 焦煤、气煤、瘦煤等</t>
        </r>
      </text>
    </comment>
    <comment ref="F10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</t>
        </r>
      </text>
    </comment>
    <comment ref="F11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</t>
        </r>
      </text>
    </comment>
    <comment ref="F1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《2024年冶钢能源介质平衡表》-焦炉煤气-其他</t>
        </r>
      </text>
    </comment>
    <comment ref="F13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</t>
        </r>
      </text>
    </comment>
    <comment ref="F14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《总经办小车队汽油统计-2024年》，汽油密度0.775/10^3t/L来源GB17930-2016 表2</t>
        </r>
      </text>
    </comment>
    <comment ref="F1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《空调加氟汇总表》</t>
        </r>
      </text>
    </comment>
    <comment ref="F1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《收发存》，按购入量推算淘汰/使用量，淘汰/使用量按逸散算</t>
        </r>
      </text>
    </comment>
    <comment ref="F1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（人数*人均BOD*0.001*BOD修正因子*251*8/24）计算依据见下附图</t>
        </r>
      </text>
    </comment>
    <comment ref="F1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《2024年工业废水处置》</t>
        </r>
      </text>
    </comment>
    <comment ref="F1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《电气设备SF6统计》</t>
        </r>
      </text>
    </comment>
    <comment ref="F20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《2024年统计月报（转炉）》《2024年统计月报（烧结）》
《脱硫脱硝成本补充（汇总2024炼铁厂）》</t>
        </r>
      </text>
    </comment>
    <comment ref="F21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</t>
        </r>
      </text>
    </comment>
    <comment ref="F2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</t>
        </r>
      </text>
    </comment>
    <comment ref="F23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《2024年统计月报（转炉）》《2024年50t电炉台账》《2024年大电炉台账》
因收发存包含了部分未作区分的自产废钢，因此选用生产数据</t>
        </r>
      </text>
    </comment>
    <comment ref="F24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</t>
        </r>
      </text>
    </comment>
    <comment ref="F2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 镍铁+水淬镍</t>
        </r>
      </text>
    </comment>
    <comment ref="F26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</t>
        </r>
      </text>
    </comment>
    <comment ref="F27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收发存-发出量</t>
        </r>
      </text>
    </comment>
    <comment ref="F2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收发存-发出量</t>
        </r>
      </text>
    </comment>
    <comment ref="F2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2024年产量表 50t+70t+转炉</t>
        </r>
      </text>
    </comment>
    <comment ref="F30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新化能完成情况</t>
        </r>
      </text>
    </comment>
    <comment ref="F3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基本电费、自发电</t>
        </r>
      </text>
    </comment>
    <comment ref="F33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基本电费、自发电</t>
        </r>
      </text>
    </comment>
    <comment ref="F34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《2024年统计月报（烧结）》《2024年统计报表（中高炉）》
收发存统计有重复计算的问题</t>
        </r>
      </text>
    </comment>
    <comment ref="F3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收发存-入库量</t>
        </r>
      </text>
    </comment>
    <comment ref="F3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收发存不全，改用《2024年统计月报（转炉）》《脱硫脱硝成本补充（汇总2024炼铁厂）》</t>
        </r>
      </text>
    </comment>
    <comment ref="F3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3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3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收发存-入库量</t>
        </r>
      </text>
    </comment>
    <comment ref="F4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《2024年统计月报（转炉厂）》《2024年50t电炉台账》《2024年大电炉台账》</t>
        </r>
      </text>
    </comment>
    <comment ref="F4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4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收发存-入库量</t>
        </r>
      </text>
    </comment>
    <comment ref="F43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收发存-入库量 镍铁+水淬镍</t>
        </r>
      </text>
    </comment>
    <comment ref="F44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收发存-入库量</t>
        </r>
      </text>
    </comment>
    <comment ref="F4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收发存-入库量</t>
        </r>
      </text>
    </comment>
    <comment ref="F46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收发存-入库量</t>
        </r>
      </text>
    </comment>
    <comment ref="F4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4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4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5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5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5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《脱硫脱硝成本补充》 收发存统计不全</t>
        </r>
      </text>
    </comment>
    <comment ref="F5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54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收发存-入库量</t>
        </r>
      </text>
    </comment>
    <comment ref="F5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5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5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《2024年12月能源报表》中，“净化水”展开后的“水源站取水量”</t>
        </r>
      </text>
    </comment>
    <comment ref="F5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5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6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6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6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6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6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6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F7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《数据统计表》中表3.1.1 原辅材料采购运输</t>
        </r>
      </text>
    </comment>
    <comment ref="F8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《数据统计表》中表3.1.1 原辅材料采购运输</t>
        </r>
      </text>
    </comment>
    <comment ref="F8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《数据统计表》中表3.1.1 原辅材料采购运输</t>
        </r>
      </text>
    </comment>
    <comment ref="F8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垃圾表</t>
        </r>
      </text>
    </comment>
    <comment ref="F83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《2024环保指标统计》</t>
        </r>
      </text>
    </comment>
    <comment ref="F84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《2024环保指标统计》</t>
        </r>
      </text>
    </comment>
    <comment ref="F8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《2024年环保指标统计》</t>
        </r>
      </text>
    </comment>
    <comment ref="F86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《危险废物转移联单》</t>
        </r>
      </text>
    </comment>
    <comment ref="F8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取2024年出行城市人次达总人次前80%的差旅距离加权平均后得到平均单程差旅距离约为1019km，出差人次为1914</t>
        </r>
      </text>
    </comment>
    <comment ref="F8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取2024年出行城市人次达总人次前80%的差旅距离加权平均后得到平均单程差旅距离约为357.02km，出差人次为11593</t>
        </r>
      </text>
    </comment>
    <comment ref="F8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假设出差每人次住宿一天估算</t>
        </r>
      </text>
    </comment>
    <comment ref="F90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《员工通勤情况统计》</t>
        </r>
      </text>
    </comment>
    <comment ref="F91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《员工通勤情况统计》
</t>
        </r>
      </text>
    </comment>
    <comment ref="F92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《员工通勤情况统计》</t>
        </r>
      </text>
    </comment>
    <comment ref="F93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《员工通勤情况统计》
</t>
        </r>
      </text>
    </comment>
    <comment ref="F94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</t>
        </r>
      </text>
    </comment>
    <comment ref="F9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
</t>
        </r>
      </text>
    </comment>
    <comment ref="F9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</t>
        </r>
      </text>
    </comment>
    <comment ref="F97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《粗苯汽车衡结净计量实绩_24年汇总表》</t>
        </r>
      </text>
    </comment>
    <comment ref="F9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F9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</t>
        </r>
      </text>
    </comment>
    <comment ref="F10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F10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F10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根据与核查老师沟通，保守计算：将2024年产出的所有钢材报废产生的排放计算到2024年范围三中
计算公式说明：钢材总量*（2023年全国废钢总资源量-2023年废钢消耗量）/2023年全国废钢总资源量
即钢材总量*报废废钢比例
数据来源《废钢助力钢铁行业电炉短流程发展研究》</t>
        </r>
      </text>
    </comment>
  </commentList>
</comments>
</file>

<file path=xl/comments2.xml><?xml version="1.0" encoding="utf-8"?>
<comments xmlns="http://schemas.openxmlformats.org/spreadsheetml/2006/main">
  <authors>
    <author>Infraware Corporation</author>
  </authors>
  <commentList>
    <comment ref="E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5.1</t>
        </r>
      </text>
    </comment>
    <comment ref="E131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5.1</t>
        </r>
      </text>
    </comment>
  </commentList>
</comments>
</file>

<file path=xl/comments3.xml><?xml version="1.0" encoding="utf-8"?>
<comments xmlns="http://schemas.openxmlformats.org/spreadsheetml/2006/main">
  <authors>
    <author>Infraware Corporation</author>
    <author>侯溯文</author>
    <author>邱扬</author>
    <author>17802</author>
  </authors>
  <commentList>
    <comment ref="B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ISO14064-3 Table A.2;
GHG Protocol D;
IPCC 2006 Guidelines for National GHG Inventories;</t>
        </r>
      </text>
    </comment>
    <comment ref="C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4.3.1 ;4.3.2</t>
        </r>
      </text>
    </comment>
    <comment ref="E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Clause 4.3</t>
        </r>
      </text>
    </comment>
    <comment ref="E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天然气量通知单</t>
        </r>
      </text>
    </comment>
    <comment ref="E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《2024冶钢宾馆水电气》</t>
        </r>
      </text>
    </comment>
    <comment ref="E7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8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 焦煤 </t>
        </r>
      </text>
    </comment>
    <comment ref="E10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11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1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
</t>
        </r>
      </text>
    </comment>
    <comment ref="E1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《汽油耗量》，汽油密度0.775/10^3t/L来源GB17930-2016 表2</t>
        </r>
      </text>
    </comment>
    <comment ref="E14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《空调加氟汇总表》</t>
        </r>
      </text>
    </comment>
    <comment ref="E1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《空调加氟汇总表》</t>
        </r>
      </text>
    </comment>
    <comment ref="E1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（人数*人均BOD*0.001*BOD修正因子*251*8/24）计算依据见下附图</t>
        </r>
      </text>
    </comment>
    <comment ref="E1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《细化收资清单（动力）（六氟化硫）》</t>
        </r>
      </text>
    </comment>
    <comment ref="E1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《细化收资清单（动力）（六氟化硫）》</t>
        </r>
      </text>
    </comment>
    <comment ref="E1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收发存、脱硫脱硝成本补充
</t>
        </r>
      </text>
    </comment>
    <comment ref="E20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收发存中没有烧结的用量，用分厂月报表数据加和</t>
        </r>
      </text>
    </comment>
    <comment ref="E21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2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23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2024年产量表 50t+70t+转炉</t>
        </r>
      </text>
    </comment>
    <comment ref="E24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能源报表</t>
        </r>
      </text>
    </comment>
    <comment ref="E2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新化能完成情况</t>
        </r>
      </text>
    </comment>
    <comment ref="E26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基本电费、自发电</t>
        </r>
      </text>
    </comment>
    <comment ref="E27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基本电费、自发电；2024年冶钢宾馆水电气</t>
        </r>
      </text>
    </comment>
    <comment ref="E2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《2024年统计月报（烧结）》《2024年统计报表（中高炉）》
收发存统计有重复计算的问题</t>
        </r>
      </text>
    </comment>
    <comment ref="E2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用了使用量加和 收发存里没有烧结的生石灰</t>
        </r>
      </text>
    </comment>
    <comment ref="E3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</t>
        </r>
      </text>
    </comment>
    <comment ref="E3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4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 镍铁+水淬镍</t>
        </r>
      </text>
    </comment>
    <comment ref="E36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7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8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</t>
        </r>
      </text>
    </comment>
    <comment ref="E4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</t>
        </r>
      </text>
    </comment>
    <comment ref="E4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</t>
        </r>
      </text>
    </comment>
    <comment ref="E4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《脱硫脱硝成本补充》</t>
        </r>
      </text>
    </comment>
    <comment ref="E4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44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4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《2024年12月能源报表》中，“净化水”展开后的“水源站取水量”</t>
        </r>
      </text>
    </comment>
    <comment ref="E4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4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4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5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5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5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6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数据来源：《垃圾表》
</t>
        </r>
      </text>
    </comment>
    <comment ref="E66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《2024环保指标统计》</t>
        </r>
      </text>
    </comment>
    <comment ref="E67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《2024环保指标统计》</t>
        </r>
      </text>
    </comment>
    <comment ref="E68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《危险废物转移联单》</t>
        </r>
      </text>
    </comment>
    <comment ref="E6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取2024年出行城市人次达总人次前80%的差旅距离加权平均后得到平均单程差旅距离约为1019km，出差人次为1914</t>
        </r>
      </text>
    </comment>
    <comment ref="E7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取2024年出行城市人次达总人次前80%的差旅距离加权平均后得到平均单程差旅距离约为357.02km，出差人次为11593</t>
        </r>
      </text>
    </comment>
    <comment ref="E71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《7.员工通勤情况统计》</t>
        </r>
      </text>
    </comment>
    <comment ref="E72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《7.员工通勤情况统计》
</t>
        </r>
      </text>
    </comment>
    <comment ref="E73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《7.员工通勤情况统计》
</t>
        </r>
      </text>
    </comment>
    <comment ref="E74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《7.员工通勤情况统计》
</t>
        </r>
      </text>
    </comment>
    <comment ref="E7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</t>
        </r>
      </text>
    </comment>
    <comment ref="E7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
</t>
        </r>
      </text>
    </comment>
    <comment ref="E7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</t>
        </r>
      </text>
    </comment>
    <comment ref="E78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《粗苯汽车衡结净计量实绩_24年汇总表》《危险废物转移联单(煤焦油）》</t>
        </r>
      </text>
    </comment>
    <comment ref="E7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E8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</t>
        </r>
      </text>
    </comment>
    <comment ref="E8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E8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E8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根据与核查老师沟通，保守计算：将2024年产出的所有钢材报废产生的排放计算到2024年范围三中
计算公式说明：钢材总量*（2023年全国废钢总资源量-2023年废钢消耗量）/2023年全国废钢总资源量
即钢材总量*报废废钢比例
数据来源《废钢助力钢铁行业电炉短流程发展研究》</t>
        </r>
      </text>
    </comment>
  </commentList>
</comments>
</file>

<file path=xl/comments4.xml><?xml version="1.0" encoding="utf-8"?>
<comments xmlns="http://schemas.openxmlformats.org/spreadsheetml/2006/main">
  <authors>
    <author>Infraware Corporation</author>
    <author>侯溯文</author>
    <author>邱扬</author>
    <author>17802</author>
  </authors>
  <commentList>
    <comment ref="B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ISO14064-3 Table A.2;
GHG Protocol D;
IPCC 2006 Guidelines for National GHG Inventories;</t>
        </r>
      </text>
    </comment>
    <comment ref="C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4.3.1 ;4.3.2</t>
        </r>
      </text>
    </comment>
    <comment ref="E2" authorId="0">
      <text>
        <r>
          <rPr>
            <b/>
            <sz val="8"/>
            <color indexed="8"/>
            <rFont val="Tahoma"/>
            <charset val="134"/>
          </rPr>
          <t>xin_li:</t>
        </r>
        <r>
          <rPr>
            <sz val="8"/>
            <color indexed="8"/>
            <rFont val="Tahoma"/>
            <charset val="134"/>
          </rPr>
          <t xml:space="preserve">
ISO14064-1 Clause 4.3</t>
        </r>
      </text>
    </comment>
    <comment ref="E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天然气量通知单</t>
        </r>
      </text>
    </comment>
    <comment ref="E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《2024冶钢宾馆水电气》</t>
        </r>
      </text>
    </comment>
    <comment ref="E7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8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 焦煤 </t>
        </r>
      </text>
    </comment>
    <comment ref="E10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11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1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
</t>
        </r>
      </text>
    </comment>
    <comment ref="E1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《汽油耗量》，汽油密度0.775/10^3t/L来源GB17930-2016 表2</t>
        </r>
      </text>
    </comment>
    <comment ref="E14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《空调加氟汇总表》</t>
        </r>
      </text>
    </comment>
    <comment ref="E1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《空调加氟汇总表》</t>
        </r>
      </text>
    </comment>
    <comment ref="E1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（人数*人均BOD*0.001*BOD修正因子*251*8/24）计算依据见下附图</t>
        </r>
      </text>
    </comment>
    <comment ref="E1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《细化收资清单（动力）（六氟化硫）》</t>
        </r>
      </text>
    </comment>
    <comment ref="E1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《细化收资清单（动力）（六氟化硫）》</t>
        </r>
      </text>
    </comment>
    <comment ref="E1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收发存、脱硫脱硝成本补充
</t>
        </r>
      </text>
    </comment>
    <comment ref="E20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收发存中没有烧结的用量，用分厂月报表数据加和</t>
        </r>
      </text>
    </comment>
    <comment ref="E21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22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23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2024年产量表 50t+70t+转炉</t>
        </r>
      </text>
    </comment>
    <comment ref="E24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能源报表</t>
        </r>
      </text>
    </comment>
    <comment ref="E2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新化能完成情况</t>
        </r>
      </text>
    </comment>
    <comment ref="E26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基本电费、自发电</t>
        </r>
      </text>
    </comment>
    <comment ref="E27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基本电费、自发电；2024年冶钢宾馆水电气</t>
        </r>
      </text>
    </comment>
    <comment ref="E2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《2024年统计月报（烧结）》《2024年统计报表（中高炉）》
收发存统计有重复计算的问题</t>
        </r>
      </text>
    </comment>
    <comment ref="E29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用了使用量加和 收发存里没有烧结的生石灰</t>
        </r>
      </text>
    </comment>
    <comment ref="E3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</t>
        </r>
      </text>
    </comment>
    <comment ref="E3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《2024生铁、废钢、白云石、水处理药剂数据》</t>
        </r>
      </text>
    </comment>
    <comment ref="E34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5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 镍铁+水淬镍</t>
        </r>
      </text>
    </comment>
    <comment ref="E36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7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8" authorId="1">
      <text>
        <r>
          <rPr>
            <b/>
            <sz val="9"/>
            <rFont val="宋体"/>
            <charset val="134"/>
          </rPr>
          <t>侯溯文:</t>
        </r>
        <r>
          <rPr>
            <sz val="9"/>
            <rFont val="宋体"/>
            <charset val="134"/>
          </rPr>
          <t xml:space="preserve">
收发存</t>
        </r>
      </text>
    </comment>
    <comment ref="E3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</t>
        </r>
      </text>
    </comment>
    <comment ref="E4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</t>
        </r>
      </text>
    </comment>
    <comment ref="E4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收发存</t>
        </r>
      </text>
    </comment>
    <comment ref="E4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《脱硫脱硝成本补充》</t>
        </r>
      </text>
    </comment>
    <comment ref="E4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44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4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《2024年12月能源报表》中，“净化水”展开后的“水源站取水量”</t>
        </r>
      </text>
    </comment>
    <comment ref="E4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48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4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5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5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5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折算美元（汇率1：6.7261）</t>
        </r>
      </text>
    </comment>
    <comment ref="E6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数据来源：《垃圾表》
</t>
        </r>
      </text>
    </comment>
    <comment ref="E66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《2024环保指标统计》</t>
        </r>
      </text>
    </comment>
    <comment ref="E67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《2024环保指标统计》</t>
        </r>
      </text>
    </comment>
    <comment ref="E68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《危险废物转移联单》</t>
        </r>
      </text>
    </comment>
    <comment ref="E6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取2024年出行城市人次达总人次前80%的差旅距离加权平均后得到平均单程差旅距离约为1019km，出差人次为1914</t>
        </r>
      </text>
    </comment>
    <comment ref="E7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取2024年出行城市人次达总人次前80%的差旅距离加权平均后得到平均单程差旅距离约为357.02km，出差人次为11593</t>
        </r>
      </text>
    </comment>
    <comment ref="E71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《7.员工通勤情况统计》</t>
        </r>
      </text>
    </comment>
    <comment ref="E72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《7.员工通勤情况统计》
</t>
        </r>
      </text>
    </comment>
    <comment ref="E73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《7.员工通勤情况统计》
</t>
        </r>
      </text>
    </comment>
    <comment ref="E74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《7.员工通勤情况统计》
</t>
        </r>
      </text>
    </comment>
    <comment ref="E75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</t>
        </r>
      </text>
    </comment>
    <comment ref="E76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
</t>
        </r>
      </text>
    </comment>
    <comment ref="E77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《2024产品销售运输统计》</t>
        </r>
      </text>
    </comment>
    <comment ref="E78" authorId="3">
      <text>
        <r>
          <rPr>
            <b/>
            <sz val="9"/>
            <rFont val="宋体"/>
            <charset val="134"/>
          </rPr>
          <t>17802:</t>
        </r>
        <r>
          <rPr>
            <sz val="9"/>
            <rFont val="宋体"/>
            <charset val="134"/>
          </rPr>
          <t xml:space="preserve">
《粗苯汽车衡结净计量实绩_24年汇总表》《危险废物转移联单(煤焦油）》</t>
        </r>
      </text>
    </comment>
    <comment ref="E79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E80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</t>
        </r>
      </text>
    </comment>
    <comment ref="E81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E82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《2024年钢坯钢材外销情况统计表》
</t>
        </r>
      </text>
    </comment>
    <comment ref="E83" authorId="2">
      <text>
        <r>
          <rPr>
            <b/>
            <sz val="12"/>
            <rFont val="宋体"/>
            <charset val="134"/>
          </rPr>
          <t>邱扬:</t>
        </r>
        <r>
          <rPr>
            <sz val="12"/>
            <rFont val="宋体"/>
            <charset val="134"/>
          </rPr>
          <t xml:space="preserve">
根据与核查老师沟通，保守计算：将2024年产出的所有钢材报废产生的排放计算到2024年范围三中
计算公式说明：钢材总量*（2023年全国废钢总资源量-2023年废钢消耗量）/2023年全国废钢总资源量
即钢材总量*报废废钢比例
数据来源《废钢助力钢铁行业电炉短流程发展研究》</t>
        </r>
      </text>
    </comment>
  </commentList>
</comments>
</file>

<file path=xl/sharedStrings.xml><?xml version="1.0" encoding="utf-8"?>
<sst xmlns="http://schemas.openxmlformats.org/spreadsheetml/2006/main" count="3188" uniqueCount="866">
  <si>
    <r>
      <rPr>
        <b/>
        <sz val="20"/>
        <color indexed="8"/>
        <rFont val="宋体"/>
        <charset val="134"/>
      </rPr>
      <t>温室气体盘查清册</t>
    </r>
  </si>
  <si>
    <r>
      <rPr>
        <sz val="10"/>
        <color theme="1"/>
        <rFont val="宋体"/>
        <charset val="134"/>
      </rPr>
      <t>编号：</t>
    </r>
    <r>
      <rPr>
        <sz val="10"/>
        <color indexed="8"/>
        <rFont val="Arial"/>
        <charset val="134"/>
      </rPr>
      <t>DY-GHG-2025-01</t>
    </r>
  </si>
  <si>
    <r>
      <rPr>
        <sz val="10"/>
        <color indexed="8"/>
        <rFont val="宋体"/>
        <charset val="134"/>
      </rPr>
      <t>版本</t>
    </r>
    <r>
      <rPr>
        <sz val="10"/>
        <color indexed="8"/>
        <rFont val="Arial"/>
        <charset val="134"/>
      </rPr>
      <t>/</t>
    </r>
    <r>
      <rPr>
        <sz val="10"/>
        <color indexed="8"/>
        <rFont val="宋体"/>
        <charset val="134"/>
      </rPr>
      <t>版次：</t>
    </r>
    <r>
      <rPr>
        <sz val="10"/>
        <color indexed="8"/>
        <rFont val="Arial"/>
        <charset val="134"/>
      </rPr>
      <t>A/1</t>
    </r>
  </si>
  <si>
    <r>
      <rPr>
        <sz val="10"/>
        <color theme="1"/>
        <rFont val="宋体"/>
        <charset val="134"/>
      </rPr>
      <t>日期：</t>
    </r>
    <r>
      <rPr>
        <sz val="10"/>
        <color indexed="8"/>
        <rFont val="Arial"/>
        <charset val="134"/>
      </rPr>
      <t>2025/7/3</t>
    </r>
  </si>
  <si>
    <r>
      <rPr>
        <b/>
        <sz val="12"/>
        <color indexed="53"/>
        <rFont val="宋体"/>
        <charset val="134"/>
      </rPr>
      <t>组织名称：</t>
    </r>
  </si>
  <si>
    <r>
      <rPr>
        <sz val="12"/>
        <color indexed="8"/>
        <rFont val="宋体"/>
        <charset val="134"/>
      </rPr>
      <t>大冶特殊钢有限公司</t>
    </r>
  </si>
  <si>
    <r>
      <rPr>
        <b/>
        <sz val="12"/>
        <color indexed="53"/>
        <rFont val="宋体"/>
        <charset val="134"/>
      </rPr>
      <t>组织边界：</t>
    </r>
  </si>
  <si>
    <r>
      <rPr>
        <sz val="12"/>
        <color indexed="8"/>
        <rFont val="宋体"/>
        <charset val="134"/>
      </rPr>
      <t>湖北省黄石市黄石大道</t>
    </r>
    <r>
      <rPr>
        <sz val="12"/>
        <color indexed="8"/>
        <rFont val="Arial"/>
        <charset val="134"/>
      </rPr>
      <t>316</t>
    </r>
    <r>
      <rPr>
        <sz val="12"/>
        <color indexed="8"/>
        <rFont val="宋体"/>
        <charset val="134"/>
      </rPr>
      <t>号</t>
    </r>
  </si>
  <si>
    <r>
      <rPr>
        <b/>
        <sz val="12"/>
        <color indexed="53"/>
        <rFont val="宋体"/>
        <charset val="134"/>
      </rPr>
      <t>盘查覆盖周期</t>
    </r>
    <r>
      <rPr>
        <b/>
        <sz val="12"/>
        <color indexed="53"/>
        <rFont val="Arial"/>
        <charset val="134"/>
      </rPr>
      <t>:</t>
    </r>
  </si>
  <si>
    <r>
      <rPr>
        <sz val="12"/>
        <color indexed="8"/>
        <rFont val="Arial"/>
        <charset val="134"/>
      </rPr>
      <t>2024</t>
    </r>
    <r>
      <rPr>
        <sz val="12"/>
        <color indexed="8"/>
        <rFont val="宋体"/>
        <charset val="134"/>
      </rPr>
      <t>年</t>
    </r>
    <r>
      <rPr>
        <sz val="12"/>
        <color indexed="8"/>
        <rFont val="Arial"/>
        <charset val="134"/>
      </rPr>
      <t>1</t>
    </r>
    <r>
      <rPr>
        <sz val="12"/>
        <color indexed="8"/>
        <rFont val="宋体"/>
        <charset val="134"/>
      </rPr>
      <t>月</t>
    </r>
    <r>
      <rPr>
        <sz val="12"/>
        <color indexed="8"/>
        <rFont val="Arial"/>
        <charset val="134"/>
      </rPr>
      <t>1</t>
    </r>
    <r>
      <rPr>
        <sz val="12"/>
        <color indexed="8"/>
        <rFont val="宋体"/>
        <charset val="134"/>
      </rPr>
      <t>日至</t>
    </r>
    <r>
      <rPr>
        <sz val="12"/>
        <color indexed="8"/>
        <rFont val="Arial"/>
        <charset val="134"/>
      </rPr>
      <t>2024</t>
    </r>
    <r>
      <rPr>
        <sz val="12"/>
        <color indexed="8"/>
        <rFont val="宋体"/>
        <charset val="134"/>
      </rPr>
      <t>年</t>
    </r>
    <r>
      <rPr>
        <sz val="12"/>
        <color indexed="8"/>
        <rFont val="Arial"/>
        <charset val="134"/>
      </rPr>
      <t>12</t>
    </r>
    <r>
      <rPr>
        <sz val="12"/>
        <color indexed="8"/>
        <rFont val="宋体"/>
        <charset val="134"/>
      </rPr>
      <t>月</t>
    </r>
    <r>
      <rPr>
        <sz val="12"/>
        <color indexed="8"/>
        <rFont val="Arial"/>
        <charset val="134"/>
      </rPr>
      <t>31</t>
    </r>
    <r>
      <rPr>
        <sz val="12"/>
        <color indexed="8"/>
        <rFont val="宋体"/>
        <charset val="134"/>
      </rPr>
      <t>日</t>
    </r>
  </si>
  <si>
    <r>
      <rPr>
        <b/>
        <sz val="12"/>
        <color indexed="53"/>
        <rFont val="宋体"/>
        <charset val="134"/>
      </rPr>
      <t>编制</t>
    </r>
    <r>
      <rPr>
        <b/>
        <sz val="12"/>
        <color indexed="53"/>
        <rFont val="Arial"/>
        <charset val="134"/>
      </rPr>
      <t xml:space="preserve"> </t>
    </r>
    <r>
      <rPr>
        <b/>
        <sz val="12"/>
        <color indexed="53"/>
        <rFont val="宋体"/>
        <charset val="134"/>
      </rPr>
      <t>：</t>
    </r>
  </si>
  <si>
    <r>
      <rPr>
        <b/>
        <sz val="12"/>
        <color indexed="53"/>
        <rFont val="宋体"/>
        <charset val="134"/>
      </rPr>
      <t>审核：</t>
    </r>
  </si>
  <si>
    <r>
      <rPr>
        <b/>
        <sz val="12"/>
        <color indexed="53"/>
        <rFont val="宋体"/>
        <charset val="134"/>
      </rPr>
      <t>核准：</t>
    </r>
  </si>
  <si>
    <r>
      <rPr>
        <b/>
        <sz val="12"/>
        <color indexed="8"/>
        <rFont val="宋体"/>
        <charset val="134"/>
      </rPr>
      <t>报告边界</t>
    </r>
  </si>
  <si>
    <r>
      <rPr>
        <b/>
        <sz val="12"/>
        <color indexed="8"/>
        <rFont val="宋体"/>
        <charset val="134"/>
      </rPr>
      <t>运营控制权</t>
    </r>
  </si>
  <si>
    <t>范围一排放量：</t>
  </si>
  <si>
    <r>
      <rPr>
        <b/>
        <sz val="12"/>
        <color indexed="8"/>
        <rFont val="宋体"/>
        <charset val="134"/>
      </rPr>
      <t>单位：</t>
    </r>
    <r>
      <rPr>
        <b/>
        <sz val="12"/>
        <color indexed="8"/>
        <rFont val="Arial"/>
        <charset val="134"/>
      </rPr>
      <t>tCO</t>
    </r>
    <r>
      <rPr>
        <b/>
        <vertAlign val="subscript"/>
        <sz val="12"/>
        <color indexed="8"/>
        <rFont val="Arial"/>
        <charset val="134"/>
      </rPr>
      <t>2</t>
    </r>
    <r>
      <rPr>
        <b/>
        <sz val="12"/>
        <color indexed="8"/>
        <rFont val="Arial"/>
        <charset val="134"/>
      </rPr>
      <t>e</t>
    </r>
  </si>
  <si>
    <t>范围二（基于位置）排放量：</t>
  </si>
  <si>
    <t>范围二（基于市场）排放量：</t>
  </si>
  <si>
    <r>
      <rPr>
        <b/>
        <sz val="12"/>
        <color indexed="53"/>
        <rFont val="宋体"/>
        <charset val="134"/>
      </rPr>
      <t>排放</t>
    </r>
  </si>
  <si>
    <t>范围三排放量：</t>
  </si>
  <si>
    <t>编号</t>
  </si>
  <si>
    <t>排放源</t>
  </si>
  <si>
    <t>排放设施</t>
  </si>
  <si>
    <t>备注</t>
  </si>
  <si>
    <t>总排放量</t>
  </si>
  <si>
    <r>
      <rPr>
        <b/>
        <sz val="10"/>
        <color indexed="9"/>
        <rFont val="Arial"/>
        <charset val="134"/>
      </rPr>
      <t>CO</t>
    </r>
    <r>
      <rPr>
        <b/>
        <vertAlign val="subscript"/>
        <sz val="10"/>
        <color indexed="9"/>
        <rFont val="Arial"/>
        <charset val="134"/>
      </rPr>
      <t>2</t>
    </r>
  </si>
  <si>
    <r>
      <rPr>
        <b/>
        <sz val="10"/>
        <color indexed="9"/>
        <rFont val="Arial"/>
        <charset val="134"/>
      </rPr>
      <t>CH</t>
    </r>
    <r>
      <rPr>
        <b/>
        <vertAlign val="subscript"/>
        <sz val="10"/>
        <color indexed="9"/>
        <rFont val="Arial"/>
        <charset val="134"/>
      </rPr>
      <t>4</t>
    </r>
  </si>
  <si>
    <r>
      <rPr>
        <b/>
        <sz val="10"/>
        <color indexed="9"/>
        <rFont val="Arial"/>
        <charset val="134"/>
      </rPr>
      <t>N</t>
    </r>
    <r>
      <rPr>
        <b/>
        <vertAlign val="subscript"/>
        <sz val="10"/>
        <color indexed="9"/>
        <rFont val="Arial"/>
        <charset val="134"/>
      </rPr>
      <t>2</t>
    </r>
    <r>
      <rPr>
        <b/>
        <sz val="10"/>
        <color indexed="9"/>
        <rFont val="Arial"/>
        <charset val="134"/>
      </rPr>
      <t>O</t>
    </r>
  </si>
  <si>
    <t>HFCs</t>
  </si>
  <si>
    <t>PFCs</t>
  </si>
  <si>
    <r>
      <rPr>
        <b/>
        <sz val="10"/>
        <color indexed="9"/>
        <rFont val="Arial"/>
        <charset val="134"/>
      </rPr>
      <t>SF</t>
    </r>
    <r>
      <rPr>
        <b/>
        <vertAlign val="subscript"/>
        <sz val="10"/>
        <color indexed="9"/>
        <rFont val="Arial"/>
        <charset val="134"/>
      </rPr>
      <t>6</t>
    </r>
  </si>
  <si>
    <r>
      <rPr>
        <b/>
        <sz val="10"/>
        <color indexed="9"/>
        <rFont val="Arial"/>
        <charset val="134"/>
      </rPr>
      <t>NF</t>
    </r>
    <r>
      <rPr>
        <b/>
        <vertAlign val="subscript"/>
        <sz val="10"/>
        <color indexed="9"/>
        <rFont val="Arial"/>
        <charset val="134"/>
      </rPr>
      <t>3</t>
    </r>
  </si>
  <si>
    <r>
      <rPr>
        <b/>
        <sz val="10"/>
        <color theme="0"/>
        <rFont val="Arial"/>
        <charset val="134"/>
      </rPr>
      <t>tCO</t>
    </r>
    <r>
      <rPr>
        <b/>
        <vertAlign val="subscript"/>
        <sz val="10"/>
        <color theme="0"/>
        <rFont val="Arial"/>
        <charset val="134"/>
      </rPr>
      <t>2</t>
    </r>
    <r>
      <rPr>
        <b/>
        <sz val="10"/>
        <color theme="0"/>
        <rFont val="Arial"/>
        <charset val="134"/>
      </rPr>
      <t>e</t>
    </r>
  </si>
  <si>
    <r>
      <rPr>
        <b/>
        <sz val="10"/>
        <color indexed="8"/>
        <rFont val="宋体"/>
        <charset val="134"/>
      </rPr>
      <t>范围一</t>
    </r>
    <r>
      <rPr>
        <b/>
        <sz val="10"/>
        <color indexed="8"/>
        <rFont val="Arial"/>
        <charset val="134"/>
      </rPr>
      <t xml:space="preserve"> </t>
    </r>
    <r>
      <rPr>
        <b/>
        <sz val="10"/>
        <color indexed="8"/>
        <rFont val="宋体"/>
        <charset val="134"/>
      </rPr>
      <t>直接排放</t>
    </r>
  </si>
  <si>
    <t>固定源燃烧直接排放</t>
  </si>
  <si>
    <t>1.1.1</t>
  </si>
  <si>
    <t>1.1.2</t>
  </si>
  <si>
    <t>1.1.3</t>
  </si>
  <si>
    <t>1.1.4</t>
  </si>
  <si>
    <t>1.1.5</t>
  </si>
  <si>
    <t>1.1.6</t>
  </si>
  <si>
    <t>1.1.7</t>
  </si>
  <si>
    <t>1.1.8</t>
  </si>
  <si>
    <t>移动源燃烧直接排放</t>
  </si>
  <si>
    <t>1.2.1</t>
  </si>
  <si>
    <t>1.2.2</t>
  </si>
  <si>
    <t>逸散源直接排放</t>
  </si>
  <si>
    <t>1.3.1</t>
  </si>
  <si>
    <t>1.3.2</t>
  </si>
  <si>
    <t>1.3.3</t>
  </si>
  <si>
    <t>1.3.4</t>
  </si>
  <si>
    <t>1.3.5</t>
  </si>
  <si>
    <t>制程排放</t>
  </si>
  <si>
    <t>1.4.1</t>
  </si>
  <si>
    <t>1.4.2</t>
  </si>
  <si>
    <t>1.4.3</t>
  </si>
  <si>
    <t>1.4.4</t>
  </si>
  <si>
    <t>1.4.5</t>
  </si>
  <si>
    <t>1.4.6</t>
  </si>
  <si>
    <t>1.4.7</t>
  </si>
  <si>
    <t>1.4.8</t>
  </si>
  <si>
    <t>1.4.9</t>
  </si>
  <si>
    <t>1.4.10</t>
  </si>
  <si>
    <t>1.4.11</t>
  </si>
  <si>
    <t>1.4.12</t>
  </si>
  <si>
    <t>范围二 外购电间接排放</t>
  </si>
  <si>
    <t>范围三 类别1</t>
  </si>
  <si>
    <t>外购商品和服务的上游排放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</si>
  <si>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</si>
  <si>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</si>
  <si>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</si>
  <si>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</si>
  <si>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</si>
  <si>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</si>
  <si>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</si>
  <si>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</si>
  <si>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3.1.9</t>
  </si>
  <si>
    <t>3.1.10</t>
  </si>
  <si>
    <t>3.1.11</t>
  </si>
  <si>
    <t>3.1.12</t>
  </si>
  <si>
    <t>3.1.13</t>
  </si>
  <si>
    <t>3.1.14</t>
  </si>
  <si>
    <t>3.1.15</t>
  </si>
  <si>
    <t>3.1.16</t>
  </si>
  <si>
    <t>3.1.17</t>
  </si>
  <si>
    <t>3.1.18</t>
  </si>
  <si>
    <t>3.1.19</t>
  </si>
  <si>
    <t>3.1.20</t>
  </si>
  <si>
    <t>3.1.21</t>
  </si>
  <si>
    <t>3.1.22</t>
  </si>
  <si>
    <t>3.1.23</t>
  </si>
  <si>
    <t>3.1.24</t>
  </si>
  <si>
    <t>范围三 类别2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</si>
  <si>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</si>
  <si>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</si>
  <si>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</si>
  <si>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</si>
  <si>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</si>
  <si>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</si>
  <si>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</si>
  <si>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</si>
  <si>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>3.2.9</t>
  </si>
  <si>
    <t>3.2.10</t>
  </si>
  <si>
    <t>3.2.11</t>
  </si>
  <si>
    <t>范围三 类别3</t>
  </si>
  <si>
    <t>3.3.1</t>
  </si>
  <si>
    <t>3.3.2</t>
  </si>
  <si>
    <t>3.3.3</t>
  </si>
  <si>
    <t>3.3.4</t>
  </si>
  <si>
    <t>3.3.5</t>
  </si>
  <si>
    <t>3.3.6</t>
  </si>
  <si>
    <t>3.3.7</t>
  </si>
  <si>
    <t>3.3.8</t>
  </si>
  <si>
    <t>3.3.9</t>
  </si>
  <si>
    <t>3.3.10</t>
  </si>
  <si>
    <t>范围三 类别4</t>
  </si>
  <si>
    <t>3.4.1</t>
  </si>
  <si>
    <t>3.4.2</t>
  </si>
  <si>
    <t>3.4.3</t>
  </si>
  <si>
    <t>范围三 类别5</t>
  </si>
  <si>
    <t>3.5.1</t>
  </si>
  <si>
    <t>3.5.2</t>
  </si>
  <si>
    <t>3.5.3</t>
  </si>
  <si>
    <t>3.5.4</t>
  </si>
  <si>
    <t>3.5.5</t>
  </si>
  <si>
    <t>范围三 类别6</t>
  </si>
  <si>
    <t>3.6.1</t>
  </si>
  <si>
    <t>3.6.2</t>
  </si>
  <si>
    <t>3.6.3</t>
  </si>
  <si>
    <t>范围三 类别7</t>
  </si>
  <si>
    <t>3.7.1</t>
  </si>
  <si>
    <t>3.7.2</t>
  </si>
  <si>
    <t>3.7.3</t>
  </si>
  <si>
    <t>3.7.4</t>
  </si>
  <si>
    <t>范围三 类别9</t>
  </si>
  <si>
    <t>3.9.1</t>
  </si>
  <si>
    <t>3.9.2</t>
  </si>
  <si>
    <t>3.9.3</t>
  </si>
  <si>
    <t>3.9.4</t>
  </si>
  <si>
    <t>范围三 类别10</t>
  </si>
  <si>
    <t>3.10.1</t>
  </si>
  <si>
    <t>3.10.2</t>
  </si>
  <si>
    <t>3.10.3</t>
  </si>
  <si>
    <t>3.10.4</t>
  </si>
  <si>
    <t>范围三 类别12</t>
  </si>
  <si>
    <t>3.12.1</t>
  </si>
  <si>
    <t>变量名</t>
  </si>
  <si>
    <t>值</t>
  </si>
  <si>
    <t>公司名称</t>
  </si>
  <si>
    <t>company_name</t>
  </si>
  <si>
    <t>大冶特殊钢有限公司</t>
  </si>
  <si>
    <t>报告周期</t>
  </si>
  <si>
    <t>reporting_period</t>
  </si>
  <si>
    <t>2024年1月1日至2024年12月31日</t>
  </si>
  <si>
    <t>报告编号</t>
  </si>
  <si>
    <t>document_number</t>
  </si>
  <si>
    <t>DY-GHG-2025-02</t>
  </si>
  <si>
    <t>生成日期</t>
  </si>
  <si>
    <t>posted_time</t>
  </si>
  <si>
    <t>统一社会信用代码</t>
  </si>
  <si>
    <t>Unified_Social_Credit_Identifier</t>
  </si>
  <si>
    <t>91420000798750168P</t>
  </si>
  <si>
    <t>法人代表</t>
  </si>
  <si>
    <t>legal_person</t>
  </si>
  <si>
    <t>蒋乔</t>
  </si>
  <si>
    <t>注册资金</t>
  </si>
  <si>
    <t>registered_capital</t>
  </si>
  <si>
    <t>207218.53万元</t>
  </si>
  <si>
    <t>注册日期</t>
  </si>
  <si>
    <t>date_of_establishment</t>
  </si>
  <si>
    <t>注册地址</t>
  </si>
  <si>
    <t>registered_address</t>
  </si>
  <si>
    <t>湖北省黄石市黄石大道316号</t>
  </si>
  <si>
    <t>生产地址</t>
  </si>
  <si>
    <t>production_address</t>
  </si>
  <si>
    <t>经营范围</t>
  </si>
  <si>
    <t>scope_of_business</t>
  </si>
  <si>
    <t>大冶特殊钢有限公司成立于2007年03月09日，注册地位于湖北省黄石市黄石大道316号，法定代表人为蒋乔。经营范围包括黑色、有色金属冶炼、压延加工；生产、销售高温合金材料、耐蚀合金材料、铁矿石、钢坯、钢锭、钢材、金属制品、钢管及管件和相应的工业辅助材料及承接来料加工业务；钢铁和合金材料检测；再生资源回收经营；货物或技术进出口（国家限定公司经营或禁止进出口的商品和技术除外）；机械零件、汽车零部件制造和加工；机械、仪表、电器制造和修理；化工产品（不含危险品和限制类产品）制造；港口码头建设及经营；煤气、热力、自来水、工业用水生产和供应；餐饮经营与管理。（涉及许可经营项目，应取得相关部门许可后方可经营）。</t>
  </si>
  <si>
    <t>公司简介</t>
  </si>
  <si>
    <t>company_profile</t>
  </si>
  <si>
    <t>大冶特殊钢有限公司（简称：大冶特钢）是中国近代“钢铁摇篮”，地处中国矿冶之都、先进制造业基地湖北省黄石市。隶属中信泰富特钢集团，是其沿海沿江产业链的战略布局中的重要一环。
大冶特钢是国家高新技术企业、全国首批两化融合示范企业、全国首批绿色制造示范企业、全国绿化模范单位。拥有国家认定企业技术中心、院士专家工作站、博士后科研工作站、高品质特殊钢湖北省重点实验室，先后承担国家多项冶金课题的项目攻关，主持或参与起草修订了多项国家和行业技术标准。先后荣获“全国质量奖”、“全国质量标杆”、“中国工业大奖表彰奖”，多项产品荣获国家冶金产品实物质量“金杯奖”、“国家科学技术进步一等奖、二等奖”、“冶金科学技术奖一等奖”、“国家知识产权优势企业”、“中国航天突出贡献供应商”、“中国工模具行业最具影响力钢厂品牌”等奖项。
大冶特钢是中国品种规格最齐全的高品质棒材、高端中厚壁无缝钢管、高合金锻材三大特钢生产基地，工艺技术和装备具备世界先进水平。主要产品有轴承钢、汽车用钢、能源用钢、工程机械用钢、航空航天用钢等。主要服务于航天航空、海洋、核电、风电、交通、火电、油气、工程机械、重燃、船舶、石化、汽车、高铁等关键领域。
从中国第一炉电渣钢到第一根极薄壁高温合金旋压管，从第一个飞机用高温合金涡轮盘，到第一根轧制的飞机大梁(毛坯)，从中国第一颗人造地球卫星，到神舟系列飞船的上天，到“嫦娥”奔月，再到“天宫”“北斗”发射升空，大冶特钢均提供了关键部件的用钢。工程机械用无缝钢管已连续13年产销量全国第一、13年全球第一，石油工具及装备用中厚壁无缝钢管连续10年产销量全国第一，大口径厚壁高压锅炉用管连续5年产销量全国第一。
大冶特钢秉承“诚信、创新、融合、卓越”的理念，牢记为客户创造价值，为员工创造幸福，为股东创造效益，为社会创造财富的企业使命，致力于为客户提供多规格、多品种、高品质的特殊钢产品及整体服务方案，致力于“创建全球最具竞争力的特钢企业集团”。</t>
  </si>
  <si>
    <t>DDL</t>
  </si>
  <si>
    <t>deadline</t>
  </si>
  <si>
    <t>2025年6月底前</t>
  </si>
  <si>
    <t>规则文件</t>
  </si>
  <si>
    <t>rule_file</t>
  </si>
  <si>
    <t>《大冶特殊钢温室气体盘查控制程序（DY-GHG-2023）》</t>
  </si>
  <si>
    <t>GWP值来源文件</t>
  </si>
  <si>
    <t>GWP_Value_Reference_Document</t>
  </si>
  <si>
    <t>IPCC 2021年出具的《第六次评估报告AR6》</t>
  </si>
  <si>
    <t>source_file</t>
  </si>
  <si>
    <t>《温室气体盘查清册》-表2 不确定性评估</t>
  </si>
  <si>
    <t>3.11.1</t>
  </si>
  <si>
    <r>
      <rPr>
        <b/>
        <sz val="20"/>
        <rFont val="宋体"/>
        <charset val="134"/>
      </rPr>
      <t>温室气体盘查表</t>
    </r>
  </si>
  <si>
    <r>
      <rPr>
        <b/>
        <sz val="12"/>
        <rFont val="宋体"/>
        <charset val="134"/>
      </rPr>
      <t>编号</t>
    </r>
  </si>
  <si>
    <r>
      <rPr>
        <b/>
        <sz val="12"/>
        <rFont val="Arial"/>
        <charset val="134"/>
      </rPr>
      <t>GHG</t>
    </r>
    <r>
      <rPr>
        <b/>
        <sz val="12"/>
        <rFont val="宋体"/>
        <charset val="134"/>
      </rPr>
      <t>排放类别</t>
    </r>
  </si>
  <si>
    <r>
      <rPr>
        <b/>
        <sz val="12"/>
        <rFont val="宋体"/>
        <charset val="134"/>
      </rPr>
      <t>排放源</t>
    </r>
  </si>
  <si>
    <r>
      <rPr>
        <b/>
        <sz val="12"/>
        <rFont val="宋体"/>
        <charset val="134"/>
      </rPr>
      <t>设施</t>
    </r>
  </si>
  <si>
    <r>
      <rPr>
        <b/>
        <sz val="12"/>
        <rFont val="宋体"/>
        <charset val="134"/>
      </rPr>
      <t>报告边界</t>
    </r>
  </si>
  <si>
    <r>
      <rPr>
        <b/>
        <sz val="12"/>
        <rFont val="宋体"/>
        <charset val="134"/>
      </rPr>
      <t>活动数据</t>
    </r>
  </si>
  <si>
    <r>
      <rPr>
        <b/>
        <sz val="12"/>
        <rFont val="宋体"/>
        <charset val="134"/>
      </rPr>
      <t>排放因子</t>
    </r>
    <r>
      <rPr>
        <b/>
        <sz val="12"/>
        <rFont val="Arial"/>
        <charset val="134"/>
      </rPr>
      <t>&amp;</t>
    </r>
    <r>
      <rPr>
        <b/>
        <sz val="12"/>
        <rFont val="宋体"/>
        <charset val="134"/>
      </rPr>
      <t>系数</t>
    </r>
  </si>
  <si>
    <r>
      <rPr>
        <b/>
        <sz val="12"/>
        <rFont val="宋体"/>
        <charset val="134"/>
      </rPr>
      <t>排放量</t>
    </r>
  </si>
  <si>
    <t>CO2</t>
  </si>
  <si>
    <t>CH4</t>
  </si>
  <si>
    <t>N2O</t>
  </si>
  <si>
    <t>SF6</t>
  </si>
  <si>
    <t>NF3</t>
  </si>
  <si>
    <r>
      <rPr>
        <b/>
        <sz val="12"/>
        <rFont val="宋体"/>
        <charset val="134"/>
      </rPr>
      <t>总量</t>
    </r>
  </si>
  <si>
    <r>
      <rPr>
        <b/>
        <sz val="12"/>
        <rFont val="宋体"/>
        <charset val="134"/>
      </rPr>
      <t>数值</t>
    </r>
  </si>
  <si>
    <r>
      <rPr>
        <b/>
        <sz val="12"/>
        <rFont val="宋体"/>
        <charset val="134"/>
      </rPr>
      <t>计量单位</t>
    </r>
  </si>
  <si>
    <t>EF</t>
  </si>
  <si>
    <t>GWP</t>
  </si>
  <si>
    <r>
      <rPr>
        <b/>
        <sz val="12"/>
        <rFont val="宋体"/>
        <charset val="134"/>
      </rPr>
      <t>型号</t>
    </r>
  </si>
  <si>
    <t>tCO2e</t>
  </si>
  <si>
    <r>
      <rPr>
        <sz val="10"/>
        <rFont val="宋体"/>
        <charset val="134"/>
      </rPr>
      <t>固定燃烧</t>
    </r>
  </si>
  <si>
    <r>
      <rPr>
        <sz val="10"/>
        <rFont val="宋体"/>
        <charset val="134"/>
      </rPr>
      <t>天然气燃烧</t>
    </r>
  </si>
  <si>
    <t>热处理炉（加热炉）</t>
  </si>
  <si>
    <t>范围一</t>
  </si>
  <si>
    <t>10000Nm3</t>
  </si>
  <si>
    <t>tCO2/10000Nm3</t>
  </si>
  <si>
    <t>液化石油气燃烧</t>
  </si>
  <si>
    <t>冶钢宾馆</t>
  </si>
  <si>
    <t>t</t>
  </si>
  <si>
    <t>tCO2/t</t>
  </si>
  <si>
    <r>
      <rPr>
        <sz val="10"/>
        <rFont val="宋体"/>
        <charset val="134"/>
      </rPr>
      <t>烟煤燃烧</t>
    </r>
  </si>
  <si>
    <r>
      <rPr>
        <sz val="10"/>
        <rFont val="宋体"/>
        <charset val="134"/>
      </rPr>
      <t>高炉</t>
    </r>
  </si>
  <si>
    <r>
      <rPr>
        <sz val="10"/>
        <rFont val="宋体"/>
        <charset val="134"/>
      </rPr>
      <t>无烟煤燃烧</t>
    </r>
  </si>
  <si>
    <t>高炉、烧结</t>
  </si>
  <si>
    <t>固定燃烧</t>
  </si>
  <si>
    <t>洗精煤燃烧</t>
  </si>
  <si>
    <t>焦炉</t>
  </si>
  <si>
    <t>焦炭燃烧</t>
  </si>
  <si>
    <t>高炉</t>
  </si>
  <si>
    <t>焦屑燃烧</t>
  </si>
  <si>
    <t>烧结、高炉</t>
  </si>
  <si>
    <t>焦炉煤气燃烧</t>
  </si>
  <si>
    <t>外售</t>
  </si>
  <si>
    <r>
      <rPr>
        <sz val="10"/>
        <rFont val="宋体"/>
        <charset val="134"/>
      </rPr>
      <t>移动燃烧</t>
    </r>
  </si>
  <si>
    <r>
      <rPr>
        <sz val="10"/>
        <rFont val="Arial"/>
        <charset val="134"/>
      </rPr>
      <t>0#</t>
    </r>
    <r>
      <rPr>
        <sz val="10"/>
        <rFont val="宋体"/>
        <charset val="134"/>
      </rPr>
      <t>柴油燃烧</t>
    </r>
  </si>
  <si>
    <t>场内运输</t>
  </si>
  <si>
    <r>
      <rPr>
        <sz val="10"/>
        <rFont val="Arial"/>
        <charset val="134"/>
      </rPr>
      <t>92#</t>
    </r>
    <r>
      <rPr>
        <sz val="10"/>
        <rFont val="宋体"/>
        <charset val="134"/>
      </rPr>
      <t>汽油燃烧</t>
    </r>
  </si>
  <si>
    <r>
      <rPr>
        <sz val="10"/>
        <rFont val="宋体"/>
        <charset val="134"/>
      </rPr>
      <t>公务车</t>
    </r>
  </si>
  <si>
    <r>
      <rPr>
        <sz val="10"/>
        <rFont val="宋体"/>
        <charset val="134"/>
      </rPr>
      <t>逸散排放</t>
    </r>
  </si>
  <si>
    <r>
      <rPr>
        <sz val="10"/>
        <rFont val="宋体"/>
        <charset val="134"/>
      </rPr>
      <t>制冷剂逸散（</t>
    </r>
    <r>
      <rPr>
        <sz val="10"/>
        <rFont val="Arial"/>
        <charset val="134"/>
      </rPr>
      <t>R32</t>
    </r>
    <r>
      <rPr>
        <sz val="10"/>
        <rFont val="宋体"/>
        <charset val="134"/>
      </rPr>
      <t>）</t>
    </r>
  </si>
  <si>
    <r>
      <rPr>
        <sz val="10"/>
        <rFont val="宋体"/>
        <charset val="134"/>
      </rPr>
      <t>分体式空调</t>
    </r>
  </si>
  <si>
    <t>tHFCs/t</t>
  </si>
  <si>
    <t>HFC-32</t>
  </si>
  <si>
    <r>
      <rPr>
        <sz val="10"/>
        <rFont val="Arial"/>
        <charset val="134"/>
      </rPr>
      <t>CO2</t>
    </r>
    <r>
      <rPr>
        <sz val="10"/>
        <rFont val="宋体"/>
        <charset val="134"/>
      </rPr>
      <t>逸散</t>
    </r>
  </si>
  <si>
    <r>
      <rPr>
        <sz val="10"/>
        <rFont val="宋体"/>
        <charset val="134"/>
      </rPr>
      <t>二氧化碳灭火器</t>
    </r>
  </si>
  <si>
    <r>
      <rPr>
        <sz val="10"/>
        <rFont val="Arial"/>
        <charset val="134"/>
      </rPr>
      <t>CH4</t>
    </r>
    <r>
      <rPr>
        <sz val="10"/>
        <rFont val="宋体"/>
        <charset val="134"/>
      </rPr>
      <t>逸散</t>
    </r>
  </si>
  <si>
    <r>
      <rPr>
        <sz val="10"/>
        <rFont val="宋体"/>
        <charset val="134"/>
      </rPr>
      <t>化粪池</t>
    </r>
  </si>
  <si>
    <t>tBOD</t>
  </si>
  <si>
    <t>tCH4/tBOD</t>
  </si>
  <si>
    <t>逸散排放</t>
  </si>
  <si>
    <t>耗氧池</t>
  </si>
  <si>
    <t>tCOD</t>
  </si>
  <si>
    <t>tCH4/tCOD</t>
  </si>
  <si>
    <r>
      <rPr>
        <sz val="10"/>
        <rFont val="Arial"/>
        <charset val="134"/>
      </rPr>
      <t>SF6</t>
    </r>
    <r>
      <rPr>
        <sz val="10"/>
        <rFont val="宋体"/>
        <charset val="134"/>
      </rPr>
      <t>逸散</t>
    </r>
  </si>
  <si>
    <r>
      <rPr>
        <sz val="10"/>
        <rFont val="宋体"/>
        <charset val="134"/>
      </rPr>
      <t>高压开关</t>
    </r>
  </si>
  <si>
    <t>tSF6/t</t>
  </si>
  <si>
    <t>石灰石</t>
  </si>
  <si>
    <t>石灰窑</t>
  </si>
  <si>
    <t>白云石</t>
  </si>
  <si>
    <t>电极</t>
  </si>
  <si>
    <r>
      <rPr>
        <sz val="10"/>
        <rFont val="宋体"/>
        <charset val="134"/>
      </rPr>
      <t>炼钢</t>
    </r>
  </si>
  <si>
    <t>废钢</t>
  </si>
  <si>
    <t>锰铁</t>
  </si>
  <si>
    <t>镍铁</t>
  </si>
  <si>
    <t>铬铁</t>
  </si>
  <si>
    <t>硅铁</t>
  </si>
  <si>
    <t>钼铁</t>
  </si>
  <si>
    <t>钢坯</t>
  </si>
  <si>
    <t>固碳产品</t>
  </si>
  <si>
    <t>粗苯</t>
  </si>
  <si>
    <t>煤焦油</t>
  </si>
  <si>
    <t>危废处置</t>
  </si>
  <si>
    <r>
      <rPr>
        <sz val="10"/>
        <rFont val="宋体"/>
        <charset val="134"/>
      </rPr>
      <t>输入能源间接温室气体排放</t>
    </r>
  </si>
  <si>
    <t>外购电力（基于位置）</t>
  </si>
  <si>
    <r>
      <rPr>
        <sz val="10"/>
        <rFont val="宋体"/>
        <charset val="134"/>
      </rPr>
      <t>用电设备</t>
    </r>
  </si>
  <si>
    <t>范围二</t>
  </si>
  <si>
    <t>MWh</t>
  </si>
  <si>
    <t>tCO2/MWh</t>
  </si>
  <si>
    <t>外购电力（基于市场）</t>
  </si>
  <si>
    <t>铁矿石生产</t>
  </si>
  <si>
    <t>烧结</t>
  </si>
  <si>
    <t>生石灰生产</t>
  </si>
  <si>
    <t>烧结、转炉、电炉</t>
  </si>
  <si>
    <t>石灰石生产</t>
  </si>
  <si>
    <t>转炉</t>
  </si>
  <si>
    <t>白云石生产</t>
  </si>
  <si>
    <t>轻烧白云石生产</t>
  </si>
  <si>
    <t>转炉、电炉</t>
  </si>
  <si>
    <t>球团生产</t>
  </si>
  <si>
    <t>高炉、转炉</t>
  </si>
  <si>
    <t>废钢生产</t>
  </si>
  <si>
    <t>电极生产</t>
  </si>
  <si>
    <t>锰铁生产</t>
  </si>
  <si>
    <t>镍铁生产</t>
  </si>
  <si>
    <t>铬铁生产</t>
  </si>
  <si>
    <t>萤石生产</t>
  </si>
  <si>
    <t>硅铁生产</t>
  </si>
  <si>
    <t>钼铁生产</t>
  </si>
  <si>
    <t>铝铁生产</t>
  </si>
  <si>
    <t>铝生产</t>
  </si>
  <si>
    <t>增碳剂生产</t>
  </si>
  <si>
    <t>铁鳞生产</t>
  </si>
  <si>
    <t>炼钢</t>
  </si>
  <si>
    <t>氨水生产</t>
  </si>
  <si>
    <t>碳化硅生产</t>
  </si>
  <si>
    <t>-</t>
  </si>
  <si>
    <t>镁生产</t>
  </si>
  <si>
    <t>所有其他纸制品加工制造</t>
  </si>
  <si>
    <t>办公室</t>
  </si>
  <si>
    <t>$</t>
  </si>
  <si>
    <t>t CO2e/2022 USD, purchaser price</t>
  </si>
  <si>
    <t>办公用品(纸张除外)制造</t>
  </si>
  <si>
    <t>源水</t>
  </si>
  <si>
    <t>水处理工序</t>
  </si>
  <si>
    <t>资本货物</t>
  </si>
  <si>
    <t>采购产品空调和暖空气加热设备和商业和工业制冷设备制造</t>
  </si>
  <si>
    <t>办公室、各工序</t>
  </si>
  <si>
    <t>电子计算机制造</t>
  </si>
  <si>
    <t>焊接及焊接设备制造</t>
  </si>
  <si>
    <t>各工序</t>
  </si>
  <si>
    <t>其他工业设备制造</t>
  </si>
  <si>
    <t>测量和测试电力和电气信号的仪器制造</t>
  </si>
  <si>
    <t>计算机系统设计服务</t>
  </si>
  <si>
    <t>机械动力传动设备制造</t>
  </si>
  <si>
    <t>测量、分配及其他泵类设备制造</t>
  </si>
  <si>
    <t>用于测量、显示和控制工业过程变量的仪器及相关产品制造</t>
  </si>
  <si>
    <t>所有其他杂项电气设备及元件制造</t>
  </si>
  <si>
    <t>所有其他杂项制造</t>
  </si>
  <si>
    <t>范围一、二相关燃料和能源相关的活动产生的排放</t>
  </si>
  <si>
    <t>液化石油气生产</t>
  </si>
  <si>
    <t>洗精煤生产</t>
  </si>
  <si>
    <t>焦化</t>
  </si>
  <si>
    <t>柴油生产</t>
  </si>
  <si>
    <t>汽油生产</t>
  </si>
  <si>
    <t>车队</t>
  </si>
  <si>
    <t>焦炭生产</t>
  </si>
  <si>
    <t>焦屑生产</t>
  </si>
  <si>
    <t>烟煤生产</t>
  </si>
  <si>
    <t>无烟煤生产</t>
  </si>
  <si>
    <t>天然气生产</t>
  </si>
  <si>
    <t>转炉、电炉、锻造、热处理</t>
  </si>
  <si>
    <t>外购电力上游排放</t>
  </si>
  <si>
    <t>上游运输配送产生的排放</t>
  </si>
  <si>
    <t>船运</t>
  </si>
  <si>
    <t>tkm</t>
  </si>
  <si>
    <t>汽运</t>
  </si>
  <si>
    <t>铁路运输</t>
  </si>
  <si>
    <t>运营中产生的废物排放</t>
  </si>
  <si>
    <t>生活垃圾和厨余垃圾</t>
  </si>
  <si>
    <t>垃圾站</t>
  </si>
  <si>
    <t>废油</t>
  </si>
  <si>
    <t>废油水</t>
  </si>
  <si>
    <t>废弃物运输</t>
  </si>
  <si>
    <t>商务旅行产生的排放</t>
  </si>
  <si>
    <t>航运</t>
  </si>
  <si>
    <t>passenger*km</t>
  </si>
  <si>
    <t>员工差旅住宿</t>
  </si>
  <si>
    <r>
      <rPr>
        <sz val="10"/>
        <color indexed="8"/>
        <rFont val="宋体"/>
        <charset val="134"/>
      </rPr>
      <t>总间</t>
    </r>
    <r>
      <rPr>
        <sz val="10"/>
        <color indexed="8"/>
        <rFont val="Arial"/>
        <charset val="134"/>
      </rPr>
      <t>*</t>
    </r>
    <r>
      <rPr>
        <sz val="10"/>
        <color indexed="8"/>
        <rFont val="宋体"/>
        <charset val="134"/>
      </rPr>
      <t>晚</t>
    </r>
  </si>
  <si>
    <r>
      <rPr>
        <sz val="10"/>
        <color indexed="8"/>
        <rFont val="Arial"/>
        <charset val="134"/>
      </rPr>
      <t>tCO2/</t>
    </r>
    <r>
      <rPr>
        <sz val="10"/>
        <color indexed="8"/>
        <rFont val="宋体"/>
        <charset val="134"/>
      </rPr>
      <t>间</t>
    </r>
    <r>
      <rPr>
        <sz val="10"/>
        <color indexed="8"/>
        <rFont val="Arial"/>
        <charset val="134"/>
      </rPr>
      <t>*</t>
    </r>
    <r>
      <rPr>
        <sz val="10"/>
        <color indexed="8"/>
        <rFont val="宋体"/>
        <charset val="134"/>
      </rPr>
      <t>晚</t>
    </r>
  </si>
  <si>
    <t>员工通勤产生的排放</t>
  </si>
  <si>
    <t>通勤车</t>
  </si>
  <si>
    <t>电动车</t>
  </si>
  <si>
    <t>自驾油车</t>
  </si>
  <si>
    <t>km</t>
  </si>
  <si>
    <t>自驾电车</t>
  </si>
  <si>
    <t>下游运输配送产生的排放</t>
  </si>
  <si>
    <t>汽运-副产品</t>
  </si>
  <si>
    <t>外销产品加工产生的排放</t>
  </si>
  <si>
    <t>锻材加工</t>
  </si>
  <si>
    <t>下游钢铁厂</t>
  </si>
  <si>
    <t>棒材加工</t>
  </si>
  <si>
    <t>钢管加工</t>
  </si>
  <si>
    <t>钢坯加工</t>
  </si>
  <si>
    <t>外销产品使用产生的排放</t>
  </si>
  <si>
    <t>外售焦炉煤气燃烧</t>
  </si>
  <si>
    <t>范围三 类别11</t>
  </si>
  <si>
    <t>外售产品报废产生的排放</t>
  </si>
  <si>
    <t>产品报废</t>
  </si>
  <si>
    <r>
      <rPr>
        <b/>
        <i/>
        <sz val="10"/>
        <rFont val="宋体"/>
        <charset val="134"/>
      </rPr>
      <t>备注</t>
    </r>
  </si>
  <si>
    <r>
      <rPr>
        <i/>
        <sz val="10"/>
        <rFont val="Arial"/>
        <charset val="134"/>
      </rPr>
      <t>R600</t>
    </r>
    <r>
      <rPr>
        <i/>
        <sz val="10"/>
        <rFont val="宋体"/>
        <charset val="134"/>
      </rPr>
      <t>、</t>
    </r>
    <r>
      <rPr>
        <i/>
        <sz val="10"/>
        <rFont val="Arial"/>
        <charset val="134"/>
      </rPr>
      <t>R600a</t>
    </r>
    <r>
      <rPr>
        <i/>
        <sz val="10"/>
        <rFont val="宋体"/>
        <charset val="134"/>
      </rPr>
      <t>、</t>
    </r>
    <r>
      <rPr>
        <i/>
        <sz val="10"/>
        <rFont val="Arial"/>
        <charset val="134"/>
      </rPr>
      <t>R290</t>
    </r>
    <r>
      <rPr>
        <i/>
        <sz val="10"/>
        <rFont val="宋体"/>
        <charset val="134"/>
      </rPr>
      <t>、环戊烷、</t>
    </r>
    <r>
      <rPr>
        <i/>
        <sz val="10"/>
        <rFont val="Arial"/>
        <charset val="134"/>
      </rPr>
      <t>R33</t>
    </r>
    <r>
      <rPr>
        <i/>
        <sz val="10"/>
        <rFont val="宋体"/>
        <charset val="134"/>
      </rPr>
      <t>、</t>
    </r>
    <r>
      <rPr>
        <i/>
        <sz val="10"/>
        <rFont val="Arial"/>
        <charset val="134"/>
      </rPr>
      <t>R35</t>
    </r>
    <r>
      <rPr>
        <i/>
        <sz val="10"/>
        <rFont val="宋体"/>
        <charset val="134"/>
      </rPr>
      <t>不在盘查范围内</t>
    </r>
  </si>
  <si>
    <r>
      <rPr>
        <i/>
        <sz val="10"/>
        <rFont val="宋体"/>
        <charset val="134"/>
      </rPr>
      <t>无需纳入计算</t>
    </r>
  </si>
  <si>
    <t>合计（位置法）</t>
  </si>
  <si>
    <r>
      <rPr>
        <i/>
        <sz val="10"/>
        <rFont val="Arial"/>
        <charset val="134"/>
      </rPr>
      <t>R142</t>
    </r>
    <r>
      <rPr>
        <i/>
        <sz val="10"/>
        <rFont val="宋体"/>
        <charset val="134"/>
      </rPr>
      <t>、</t>
    </r>
    <r>
      <rPr>
        <i/>
        <sz val="10"/>
        <rFont val="Arial"/>
        <charset val="134"/>
      </rPr>
      <t>R142b</t>
    </r>
    <r>
      <rPr>
        <i/>
        <sz val="10"/>
        <rFont val="宋体"/>
        <charset val="134"/>
      </rPr>
      <t>、</t>
    </r>
    <r>
      <rPr>
        <i/>
        <sz val="10"/>
        <rFont val="Arial"/>
        <charset val="134"/>
      </rPr>
      <t>R12</t>
    </r>
    <r>
      <rPr>
        <i/>
        <sz val="10"/>
        <rFont val="宋体"/>
        <charset val="134"/>
      </rPr>
      <t>属于淘汰制冷剂，不盘查</t>
    </r>
  </si>
  <si>
    <t>合计（市场法）</t>
  </si>
  <si>
    <t>范围一：直接温室气体排放</t>
  </si>
  <si>
    <r>
      <rPr>
        <b/>
        <sz val="12"/>
        <color indexed="9"/>
        <rFont val="宋体"/>
        <charset val="134"/>
      </rPr>
      <t>总量</t>
    </r>
  </si>
  <si>
    <r>
      <rPr>
        <b/>
        <sz val="12"/>
        <rFont val="宋体"/>
        <charset val="134"/>
      </rPr>
      <t>汇总</t>
    </r>
  </si>
  <si>
    <t>范围二：输入能源间接温室气体排放</t>
  </si>
  <si>
    <r>
      <rPr>
        <b/>
        <sz val="12"/>
        <color indexed="9"/>
        <rFont val="宋体"/>
        <charset val="134"/>
      </rPr>
      <t>类别</t>
    </r>
  </si>
  <si>
    <r>
      <rPr>
        <b/>
        <sz val="11"/>
        <rFont val="宋体"/>
        <charset val="134"/>
      </rPr>
      <t>汇总</t>
    </r>
  </si>
  <si>
    <r>
      <rPr>
        <b/>
        <sz val="11"/>
        <rFont val="宋体"/>
        <charset val="134"/>
      </rPr>
      <t>外购电力</t>
    </r>
  </si>
  <si>
    <t>基于位置</t>
  </si>
  <si>
    <t>基于市场</t>
  </si>
  <si>
    <t>范围三排放统计</t>
  </si>
  <si>
    <t>范围三 类别1：外购商品和服务的上游产生的排放</t>
  </si>
  <si>
    <t>范围三 类别2：资本货物产生的排放</t>
  </si>
  <si>
    <t>范围三 类别3：范围一、二之外燃料和能源相关的活动产生的排放</t>
  </si>
  <si>
    <t>范围三 类别4：上游运输配送产生的排放</t>
  </si>
  <si>
    <t>范围三 类别5：运营产生的废物产生的排放</t>
  </si>
  <si>
    <t>范围三 类别6：商务旅行产生的排放</t>
  </si>
  <si>
    <t>范围三 类别7：员工通勤产生的排放</t>
  </si>
  <si>
    <t>范围三 类别8：上游租赁资产产生的排放</t>
  </si>
  <si>
    <t>备注：不相关，无上游租赁资产</t>
  </si>
  <si>
    <t>范围三 类别9：下游运输配送产生的排放</t>
  </si>
  <si>
    <t>范围三 类别10：外销产品加工产生的排放</t>
  </si>
  <si>
    <t>范围三 类别11：外销产品使用产生的排放</t>
  </si>
  <si>
    <t>范围三 类别12：外售产品报废产生的排放</t>
  </si>
  <si>
    <t>范围三 类别13：下游租赁资产产生的排放</t>
  </si>
  <si>
    <t>备注：不相关，冶钢宾馆和餐厅均为大冶所有</t>
  </si>
  <si>
    <t>范围三 类别14：特许经营产生的排放</t>
  </si>
  <si>
    <t>备注：不相关，没有特许经营的下游公司</t>
  </si>
  <si>
    <t>范围三 类别15：投资产生的排放</t>
  </si>
  <si>
    <t>备注：不相关，没有投资活动</t>
  </si>
  <si>
    <t>范围三</t>
  </si>
  <si>
    <r>
      <rPr>
        <b/>
        <sz val="11"/>
        <rFont val="宋体"/>
        <charset val="134"/>
      </rPr>
      <t>总排放量</t>
    </r>
  </si>
  <si>
    <r>
      <rPr>
        <b/>
        <sz val="11"/>
        <rFont val="宋体"/>
        <charset val="134"/>
      </rPr>
      <t>排放占比</t>
    </r>
  </si>
  <si>
    <r>
      <rPr>
        <b/>
        <sz val="16"/>
        <color indexed="8"/>
        <rFont val="新細明體"/>
        <charset val="134"/>
      </rPr>
      <t>不确定性</t>
    </r>
    <r>
      <rPr>
        <b/>
        <sz val="16"/>
        <color indexed="8"/>
        <rFont val="宋体"/>
        <charset val="134"/>
      </rPr>
      <t>评</t>
    </r>
    <r>
      <rPr>
        <b/>
        <sz val="16"/>
        <color indexed="8"/>
        <rFont val="新細明體"/>
        <charset val="134"/>
      </rPr>
      <t>估表</t>
    </r>
  </si>
  <si>
    <r>
      <rPr>
        <b/>
        <sz val="12"/>
        <color indexed="9"/>
        <rFont val="宋体"/>
        <charset val="134"/>
      </rPr>
      <t>编号</t>
    </r>
  </si>
  <si>
    <r>
      <rPr>
        <b/>
        <sz val="12"/>
        <color indexed="9"/>
        <rFont val="宋体"/>
        <charset val="134"/>
      </rPr>
      <t>排放源</t>
    </r>
  </si>
  <si>
    <r>
      <rPr>
        <b/>
        <sz val="12"/>
        <color indexed="9"/>
        <rFont val="宋体"/>
        <charset val="134"/>
      </rPr>
      <t>设施</t>
    </r>
  </si>
  <si>
    <r>
      <rPr>
        <b/>
        <sz val="12"/>
        <color indexed="9"/>
        <rFont val="宋体"/>
        <charset val="134"/>
      </rPr>
      <t>活动数据类别</t>
    </r>
  </si>
  <si>
    <r>
      <rPr>
        <b/>
        <sz val="12"/>
        <color indexed="9"/>
        <rFont val="宋体"/>
        <charset val="134"/>
      </rPr>
      <t>排放因子类别</t>
    </r>
  </si>
  <si>
    <r>
      <rPr>
        <b/>
        <sz val="12"/>
        <color indexed="9"/>
        <rFont val="宋体"/>
        <charset val="134"/>
      </rPr>
      <t>校准频率</t>
    </r>
  </si>
  <si>
    <r>
      <rPr>
        <b/>
        <sz val="12"/>
        <color indexed="9"/>
        <rFont val="宋体"/>
        <charset val="134"/>
      </rPr>
      <t>活动数据级别</t>
    </r>
  </si>
  <si>
    <r>
      <rPr>
        <b/>
        <sz val="12"/>
        <color indexed="9"/>
        <rFont val="宋体"/>
        <charset val="134"/>
      </rPr>
      <t>排放因子级别</t>
    </r>
  </si>
  <si>
    <r>
      <rPr>
        <b/>
        <sz val="12"/>
        <color indexed="9"/>
        <rFont val="宋体"/>
        <charset val="134"/>
      </rPr>
      <t>校准级别</t>
    </r>
  </si>
  <si>
    <r>
      <rPr>
        <b/>
        <sz val="12"/>
        <color indexed="9"/>
        <rFont val="宋体"/>
        <charset val="134"/>
      </rPr>
      <t>平均得分</t>
    </r>
  </si>
  <si>
    <r>
      <rPr>
        <b/>
        <sz val="12"/>
        <color indexed="9"/>
        <rFont val="宋体"/>
        <charset val="134"/>
      </rPr>
      <t>排放量</t>
    </r>
    <r>
      <rPr>
        <b/>
        <sz val="12"/>
        <color indexed="9"/>
        <rFont val="Arial"/>
        <charset val="134"/>
      </rPr>
      <t>(tCO2e)</t>
    </r>
  </si>
  <si>
    <r>
      <rPr>
        <b/>
        <sz val="12"/>
        <color indexed="9"/>
        <rFont val="宋体"/>
        <charset val="134"/>
      </rPr>
      <t>排放量占比</t>
    </r>
  </si>
  <si>
    <r>
      <rPr>
        <b/>
        <sz val="12"/>
        <color indexed="9"/>
        <rFont val="宋体"/>
        <charset val="134"/>
      </rPr>
      <t>加权平均积分</t>
    </r>
  </si>
  <si>
    <t>自动连续量测</t>
  </si>
  <si>
    <t>国际排放因子</t>
  </si>
  <si>
    <t>校准且合格</t>
  </si>
  <si>
    <t>定期量测/抄表/铭牌</t>
  </si>
  <si>
    <t>校准但不合格/未校准但数据可查证</t>
  </si>
  <si>
    <t>国家排放因子</t>
  </si>
  <si>
    <t>自行推估</t>
  </si>
  <si>
    <t>加权合计</t>
  </si>
  <si>
    <t>加权等级</t>
  </si>
  <si>
    <t xml:space="preserve">             </t>
  </si>
  <si>
    <t>优+</t>
  </si>
  <si>
    <t>&gt;=5.0</t>
  </si>
  <si>
    <t>优</t>
  </si>
  <si>
    <t>&lt;5.0,&gt;=4.0</t>
  </si>
  <si>
    <t>良</t>
  </si>
  <si>
    <t>&lt;4.0,&gt;=3.0</t>
  </si>
  <si>
    <t>一般</t>
  </si>
  <si>
    <t>&lt;3.0,&gt;=2.0</t>
  </si>
  <si>
    <t>差</t>
  </si>
  <si>
    <t>&lt;2.0</t>
  </si>
  <si>
    <t>工业名称</t>
  </si>
  <si>
    <r>
      <rPr>
        <b/>
        <sz val="12"/>
        <color indexed="9"/>
        <rFont val="宋体"/>
        <charset val="134"/>
      </rPr>
      <t>中文名称</t>
    </r>
    <r>
      <rPr>
        <b/>
        <sz val="12"/>
        <color indexed="9"/>
        <rFont val="Arial"/>
        <charset val="134"/>
      </rPr>
      <t>/</t>
    </r>
    <r>
      <rPr>
        <b/>
        <sz val="12"/>
        <color indexed="9"/>
        <rFont val="宋体"/>
        <charset val="134"/>
      </rPr>
      <t>化学分子式</t>
    </r>
  </si>
  <si>
    <r>
      <rPr>
        <b/>
        <sz val="12"/>
        <color indexed="9"/>
        <rFont val="宋体"/>
        <charset val="134"/>
      </rPr>
      <t>组成比例（</t>
    </r>
    <r>
      <rPr>
        <b/>
        <sz val="12"/>
        <color indexed="9"/>
        <rFont val="Arial"/>
        <charset val="134"/>
      </rPr>
      <t>%</t>
    </r>
    <r>
      <rPr>
        <b/>
        <sz val="12"/>
        <color indexed="9"/>
        <rFont val="宋体"/>
        <charset val="134"/>
      </rPr>
      <t>）</t>
    </r>
  </si>
  <si>
    <t>GWP(HFCs)</t>
  </si>
  <si>
    <t>GWP(PFCs)</t>
  </si>
  <si>
    <t>来源</t>
  </si>
  <si>
    <t>二氧化碳</t>
  </si>
  <si>
    <r>
      <rPr>
        <sz val="10"/>
        <color indexed="8"/>
        <rFont val="Arial"/>
        <charset val="134"/>
      </rPr>
      <t>2021</t>
    </r>
    <r>
      <rPr>
        <sz val="10"/>
        <color indexed="8"/>
        <rFont val="宋体"/>
        <charset val="134"/>
      </rPr>
      <t>年</t>
    </r>
    <r>
      <rPr>
        <sz val="10"/>
        <color indexed="8"/>
        <rFont val="Arial"/>
        <charset val="134"/>
      </rPr>
      <t>IPCC</t>
    </r>
    <r>
      <rPr>
        <sz val="10"/>
        <color indexed="8"/>
        <rFont val="宋体"/>
        <charset val="134"/>
      </rPr>
      <t>第六次评估报告</t>
    </r>
    <r>
      <rPr>
        <sz val="10"/>
        <color indexed="8"/>
        <rFont val="Arial"/>
        <charset val="134"/>
      </rPr>
      <t>AR6</t>
    </r>
  </si>
  <si>
    <t>甲烷</t>
  </si>
  <si>
    <t>氧化亚氮</t>
  </si>
  <si>
    <t>HCFC-22</t>
  </si>
  <si>
    <r>
      <rPr>
        <sz val="10"/>
        <color indexed="8"/>
        <rFont val="Arial"/>
        <charset val="134"/>
      </rPr>
      <t>R-22</t>
    </r>
    <r>
      <rPr>
        <sz val="10"/>
        <color indexed="8"/>
        <rFont val="宋体"/>
        <charset val="134"/>
      </rPr>
      <t>，一氟二氯甲烷，</t>
    </r>
    <r>
      <rPr>
        <sz val="10"/>
        <color indexed="8"/>
        <rFont val="Arial"/>
        <charset val="134"/>
      </rPr>
      <t>CHCl2F</t>
    </r>
  </si>
  <si>
    <t>HFC-23</t>
  </si>
  <si>
    <r>
      <rPr>
        <sz val="10"/>
        <color indexed="8"/>
        <rFont val="Arial"/>
        <charset val="134"/>
      </rPr>
      <t>R-23</t>
    </r>
    <r>
      <rPr>
        <sz val="10"/>
        <color indexed="8"/>
        <rFont val="宋体"/>
        <charset val="134"/>
      </rPr>
      <t>，三氟甲烷，</t>
    </r>
    <r>
      <rPr>
        <sz val="10"/>
        <color indexed="8"/>
        <rFont val="Arial"/>
        <charset val="134"/>
      </rPr>
      <t>CHF3</t>
    </r>
  </si>
  <si>
    <r>
      <rPr>
        <sz val="10"/>
        <color indexed="8"/>
        <rFont val="Arial"/>
        <charset val="134"/>
      </rPr>
      <t>R-32</t>
    </r>
    <r>
      <rPr>
        <sz val="10"/>
        <color indexed="8"/>
        <rFont val="宋体"/>
        <charset val="134"/>
      </rPr>
      <t>，二氟甲烷，</t>
    </r>
    <r>
      <rPr>
        <sz val="10"/>
        <color indexed="8"/>
        <rFont val="Arial"/>
        <charset val="134"/>
      </rPr>
      <t>CH2F2</t>
    </r>
  </si>
  <si>
    <t>HFC-41</t>
  </si>
  <si>
    <r>
      <rPr>
        <sz val="10"/>
        <color indexed="8"/>
        <rFont val="宋体"/>
        <charset val="134"/>
      </rPr>
      <t>一氟甲烷，</t>
    </r>
    <r>
      <rPr>
        <sz val="10"/>
        <color indexed="8"/>
        <rFont val="Arial"/>
        <charset val="134"/>
      </rPr>
      <t>CH3F</t>
    </r>
  </si>
  <si>
    <t>HFC-125</t>
  </si>
  <si>
    <r>
      <rPr>
        <sz val="10"/>
        <color indexed="8"/>
        <rFont val="Arial"/>
        <charset val="134"/>
      </rPr>
      <t>R-125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1,1,1,2,2-</t>
    </r>
    <r>
      <rPr>
        <sz val="10"/>
        <color indexed="8"/>
        <rFont val="宋体"/>
        <charset val="134"/>
      </rPr>
      <t>五氟乙烷，</t>
    </r>
    <r>
      <rPr>
        <sz val="10"/>
        <color indexed="8"/>
        <rFont val="Arial"/>
        <charset val="134"/>
      </rPr>
      <t>C2HF5</t>
    </r>
  </si>
  <si>
    <t>HFC-134</t>
  </si>
  <si>
    <r>
      <rPr>
        <sz val="10"/>
        <color indexed="8"/>
        <rFont val="Arial"/>
        <charset val="134"/>
      </rPr>
      <t>R-134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1,1,2,2-</t>
    </r>
    <r>
      <rPr>
        <sz val="10"/>
        <color indexed="8"/>
        <rFont val="宋体"/>
        <charset val="134"/>
      </rPr>
      <t>四氟乙烷，</t>
    </r>
    <r>
      <rPr>
        <sz val="10"/>
        <color indexed="8"/>
        <rFont val="Arial"/>
        <charset val="134"/>
      </rPr>
      <t>C2H2F4</t>
    </r>
  </si>
  <si>
    <t>HFC-134a</t>
  </si>
  <si>
    <r>
      <rPr>
        <sz val="10"/>
        <color indexed="8"/>
        <rFont val="Arial"/>
        <charset val="134"/>
      </rPr>
      <t>R-134a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1,1,1,2-</t>
    </r>
    <r>
      <rPr>
        <sz val="10"/>
        <color indexed="8"/>
        <rFont val="宋体"/>
        <charset val="134"/>
      </rPr>
      <t>四氟乙烷，</t>
    </r>
    <r>
      <rPr>
        <sz val="10"/>
        <color indexed="8"/>
        <rFont val="Arial"/>
        <charset val="134"/>
      </rPr>
      <t>C2H2F4</t>
    </r>
  </si>
  <si>
    <t>HFC-143</t>
  </si>
  <si>
    <r>
      <rPr>
        <sz val="10"/>
        <color indexed="8"/>
        <rFont val="Arial"/>
        <charset val="134"/>
      </rPr>
      <t>R-143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1,1,2-</t>
    </r>
    <r>
      <rPr>
        <sz val="10"/>
        <color indexed="8"/>
        <rFont val="宋体"/>
        <charset val="134"/>
      </rPr>
      <t>三氟乙烷，</t>
    </r>
    <r>
      <rPr>
        <sz val="10"/>
        <color indexed="8"/>
        <rFont val="Arial"/>
        <charset val="134"/>
      </rPr>
      <t>CHF2CH2F</t>
    </r>
  </si>
  <si>
    <t>HFC-143a</t>
  </si>
  <si>
    <r>
      <rPr>
        <sz val="10"/>
        <color indexed="8"/>
        <rFont val="Arial"/>
        <charset val="134"/>
      </rPr>
      <t>R-143a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1,1,1-</t>
    </r>
    <r>
      <rPr>
        <sz val="10"/>
        <color indexed="8"/>
        <rFont val="宋体"/>
        <charset val="134"/>
      </rPr>
      <t>三氟乙烷，</t>
    </r>
    <r>
      <rPr>
        <sz val="10"/>
        <color indexed="8"/>
        <rFont val="Arial"/>
        <charset val="134"/>
      </rPr>
      <t>C2H3F3</t>
    </r>
  </si>
  <si>
    <t>HFC-152</t>
  </si>
  <si>
    <r>
      <rPr>
        <sz val="10"/>
        <color indexed="8"/>
        <rFont val="Arial"/>
        <charset val="134"/>
      </rPr>
      <t>R-152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1,2-</t>
    </r>
    <r>
      <rPr>
        <sz val="10"/>
        <color indexed="8"/>
        <rFont val="宋体"/>
        <charset val="134"/>
      </rPr>
      <t>二氟乙烷，</t>
    </r>
    <r>
      <rPr>
        <sz val="10"/>
        <color indexed="8"/>
        <rFont val="Arial"/>
        <charset val="134"/>
      </rPr>
      <t>CH2FCH2F</t>
    </r>
  </si>
  <si>
    <t>HFC-152a</t>
  </si>
  <si>
    <r>
      <rPr>
        <sz val="10"/>
        <color indexed="8"/>
        <rFont val="Arial"/>
        <charset val="134"/>
      </rPr>
      <t>R-152a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1,1-</t>
    </r>
    <r>
      <rPr>
        <sz val="10"/>
        <color indexed="8"/>
        <rFont val="宋体"/>
        <charset val="134"/>
      </rPr>
      <t>二氟乙烷，</t>
    </r>
    <r>
      <rPr>
        <sz val="10"/>
        <color indexed="8"/>
        <rFont val="Arial"/>
        <charset val="134"/>
      </rPr>
      <t>C2H4F2</t>
    </r>
  </si>
  <si>
    <t>HFC-161</t>
  </si>
  <si>
    <r>
      <rPr>
        <sz val="10"/>
        <color indexed="8"/>
        <rFont val="Arial"/>
        <charset val="134"/>
      </rPr>
      <t>R-161</t>
    </r>
    <r>
      <rPr>
        <sz val="10"/>
        <color indexed="8"/>
        <rFont val="宋体"/>
        <charset val="134"/>
      </rPr>
      <t>，一氟乙烷，</t>
    </r>
    <r>
      <rPr>
        <sz val="10"/>
        <color indexed="8"/>
        <rFont val="Arial"/>
        <charset val="134"/>
      </rPr>
      <t>CH3CH2F</t>
    </r>
  </si>
  <si>
    <t>HFC-227ea</t>
  </si>
  <si>
    <r>
      <rPr>
        <sz val="10"/>
        <color indexed="8"/>
        <rFont val="Arial"/>
        <charset val="134"/>
      </rPr>
      <t>R-227ea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1,1,1,2,3,3,3-七氟丙烷，CF3CHFCF3</t>
    </r>
  </si>
  <si>
    <t>HFC-236cb</t>
  </si>
  <si>
    <r>
      <rPr>
        <sz val="10"/>
        <color indexed="8"/>
        <rFont val="Arial"/>
        <charset val="134"/>
      </rPr>
      <t>R-236cb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1,1,1,2,2,3-</t>
    </r>
    <r>
      <rPr>
        <sz val="10"/>
        <color indexed="8"/>
        <rFont val="宋体"/>
        <charset val="134"/>
      </rPr>
      <t>六氟丙烷，</t>
    </r>
    <r>
      <rPr>
        <sz val="10"/>
        <color indexed="8"/>
        <rFont val="Arial"/>
        <charset val="134"/>
      </rPr>
      <t>CH2FCF2CF3</t>
    </r>
  </si>
  <si>
    <t>HFC-236ea</t>
  </si>
  <si>
    <r>
      <rPr>
        <sz val="10"/>
        <color indexed="8"/>
        <rFont val="Arial"/>
        <charset val="134"/>
      </rPr>
      <t>R-236ea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1,1,1,2,3,3-</t>
    </r>
    <r>
      <rPr>
        <sz val="10"/>
        <color indexed="8"/>
        <rFont val="宋体"/>
        <charset val="134"/>
      </rPr>
      <t>六氟丙烷，</t>
    </r>
    <r>
      <rPr>
        <sz val="10"/>
        <color indexed="8"/>
        <rFont val="Arial"/>
        <charset val="134"/>
      </rPr>
      <t>CHF2CHFCF3</t>
    </r>
  </si>
  <si>
    <t>HFC-236fa</t>
  </si>
  <si>
    <r>
      <rPr>
        <sz val="10"/>
        <color indexed="8"/>
        <rFont val="Arial"/>
        <charset val="134"/>
      </rPr>
      <t>R-236fa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1,1,1,3,3,3-</t>
    </r>
    <r>
      <rPr>
        <sz val="10"/>
        <color indexed="8"/>
        <rFont val="宋体"/>
        <charset val="134"/>
      </rPr>
      <t>六氟丙烷，</t>
    </r>
    <r>
      <rPr>
        <sz val="10"/>
        <color indexed="8"/>
        <rFont val="Arial"/>
        <charset val="134"/>
      </rPr>
      <t>C3H2F6</t>
    </r>
  </si>
  <si>
    <t>HFC-245ca</t>
  </si>
  <si>
    <r>
      <rPr>
        <sz val="10"/>
        <color indexed="8"/>
        <rFont val="Arial"/>
        <charset val="134"/>
      </rPr>
      <t>R-245ca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1,1,2,2,3-</t>
    </r>
    <r>
      <rPr>
        <sz val="10"/>
        <color indexed="8"/>
        <rFont val="宋体"/>
        <charset val="134"/>
      </rPr>
      <t>五氟丙烷，</t>
    </r>
    <r>
      <rPr>
        <sz val="10"/>
        <color indexed="8"/>
        <rFont val="Arial"/>
        <charset val="134"/>
      </rPr>
      <t>CH2FCF2CHF2</t>
    </r>
  </si>
  <si>
    <t>HFC-245fa</t>
  </si>
  <si>
    <r>
      <rPr>
        <sz val="10"/>
        <color indexed="8"/>
        <rFont val="Arial"/>
        <charset val="134"/>
      </rPr>
      <t>R-245fa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1,1,1,3,3-</t>
    </r>
    <r>
      <rPr>
        <sz val="10"/>
        <color indexed="8"/>
        <rFont val="宋体"/>
        <charset val="134"/>
      </rPr>
      <t>五氟丙烷，</t>
    </r>
    <r>
      <rPr>
        <sz val="10"/>
        <color indexed="8"/>
        <rFont val="Arial"/>
        <charset val="134"/>
      </rPr>
      <t>CHF2CH2CF3</t>
    </r>
  </si>
  <si>
    <t>HFC-365mfc</t>
  </si>
  <si>
    <r>
      <rPr>
        <sz val="10"/>
        <color indexed="8"/>
        <rFont val="Arial"/>
        <charset val="134"/>
      </rPr>
      <t>R-365mfc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1,1,1,3,3-</t>
    </r>
    <r>
      <rPr>
        <sz val="10"/>
        <color indexed="8"/>
        <rFont val="宋体"/>
        <charset val="134"/>
      </rPr>
      <t>五氟丁烷，</t>
    </r>
    <r>
      <rPr>
        <sz val="10"/>
        <color indexed="8"/>
        <rFont val="Arial"/>
        <charset val="134"/>
      </rPr>
      <t>CF3CH2CF2CH3</t>
    </r>
  </si>
  <si>
    <t>HFC-43-10mee</t>
  </si>
  <si>
    <r>
      <rPr>
        <sz val="10"/>
        <color indexed="8"/>
        <rFont val="Arial"/>
        <charset val="134"/>
      </rPr>
      <t>R-43-10mee</t>
    </r>
    <r>
      <rPr>
        <sz val="10"/>
        <color indexed="8"/>
        <rFont val="宋体"/>
        <charset val="134"/>
      </rPr>
      <t>，</t>
    </r>
    <r>
      <rPr>
        <sz val="10"/>
        <color indexed="8"/>
        <rFont val="Arial"/>
        <charset val="134"/>
      </rPr>
      <t>1,1,1,2,2,3,4,5,5,5-</t>
    </r>
    <r>
      <rPr>
        <sz val="10"/>
        <color indexed="8"/>
        <rFont val="宋体"/>
        <charset val="134"/>
      </rPr>
      <t>十氟戊烷，</t>
    </r>
    <r>
      <rPr>
        <sz val="10"/>
        <color indexed="8"/>
        <rFont val="Arial"/>
        <charset val="134"/>
      </rPr>
      <t>CF3CHFCHFCF2CF3</t>
    </r>
  </si>
  <si>
    <t>R401A</t>
  </si>
  <si>
    <r>
      <rPr>
        <sz val="10"/>
        <color indexed="8"/>
        <rFont val="Arial"/>
        <charset val="134"/>
      </rPr>
      <t>R22/152a/R124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53/13/34</t>
    </r>
    <r>
      <rPr>
        <sz val="10"/>
        <color indexed="8"/>
        <rFont val="宋体"/>
        <charset val="134"/>
      </rPr>
      <t>）</t>
    </r>
  </si>
  <si>
    <r>
      <rPr>
        <sz val="10"/>
        <color indexed="8"/>
        <rFont val="宋体"/>
        <charset val="134"/>
      </rPr>
      <t>只考虑了</t>
    </r>
    <r>
      <rPr>
        <sz val="10"/>
        <color indexed="8"/>
        <rFont val="Arial"/>
        <charset val="134"/>
      </rPr>
      <t>R152a</t>
    </r>
  </si>
  <si>
    <t>R401B</t>
  </si>
  <si>
    <r>
      <rPr>
        <sz val="10"/>
        <color indexed="8"/>
        <rFont val="Arial"/>
        <charset val="134"/>
      </rPr>
      <t>R22/152a/R124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61/11/28</t>
    </r>
    <r>
      <rPr>
        <sz val="10"/>
        <color indexed="8"/>
        <rFont val="宋体"/>
        <charset val="134"/>
      </rPr>
      <t>）</t>
    </r>
  </si>
  <si>
    <t>R404A</t>
  </si>
  <si>
    <r>
      <rPr>
        <sz val="10"/>
        <color indexed="8"/>
        <rFont val="Arial"/>
        <charset val="134"/>
      </rPr>
      <t>R125/143a/R134a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44/52/4</t>
    </r>
    <r>
      <rPr>
        <sz val="10"/>
        <color indexed="8"/>
        <rFont val="宋体"/>
        <charset val="134"/>
      </rPr>
      <t>）</t>
    </r>
  </si>
  <si>
    <t>R407A</t>
  </si>
  <si>
    <r>
      <rPr>
        <sz val="10"/>
        <color indexed="8"/>
        <rFont val="Arial"/>
        <charset val="134"/>
      </rPr>
      <t>R32/R125/R134a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20/40/40</t>
    </r>
    <r>
      <rPr>
        <sz val="10"/>
        <color indexed="8"/>
        <rFont val="宋体"/>
        <charset val="134"/>
      </rPr>
      <t>）</t>
    </r>
  </si>
  <si>
    <t>R407B</t>
  </si>
  <si>
    <r>
      <rPr>
        <sz val="10"/>
        <color indexed="8"/>
        <rFont val="Arial"/>
        <charset val="134"/>
      </rPr>
      <t>R32/R125/R134a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10/70/20</t>
    </r>
    <r>
      <rPr>
        <sz val="10"/>
        <color indexed="8"/>
        <rFont val="宋体"/>
        <charset val="134"/>
      </rPr>
      <t>）</t>
    </r>
  </si>
  <si>
    <t>R407C</t>
  </si>
  <si>
    <r>
      <rPr>
        <sz val="10"/>
        <color indexed="8"/>
        <rFont val="Arial"/>
        <charset val="134"/>
      </rPr>
      <t>R32/R125/R134a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23/25/52</t>
    </r>
    <r>
      <rPr>
        <sz val="10"/>
        <color indexed="8"/>
        <rFont val="宋体"/>
        <charset val="134"/>
      </rPr>
      <t>）</t>
    </r>
  </si>
  <si>
    <t>R408A</t>
  </si>
  <si>
    <r>
      <rPr>
        <sz val="10"/>
        <color indexed="8"/>
        <rFont val="Arial"/>
        <charset val="134"/>
      </rPr>
      <t>R125/R143a/R22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7/46/47</t>
    </r>
    <r>
      <rPr>
        <sz val="10"/>
        <color indexed="8"/>
        <rFont val="宋体"/>
        <charset val="134"/>
      </rPr>
      <t>）</t>
    </r>
  </si>
  <si>
    <r>
      <rPr>
        <sz val="10"/>
        <color indexed="8"/>
        <rFont val="宋体"/>
        <charset val="134"/>
      </rPr>
      <t>未考虑</t>
    </r>
    <r>
      <rPr>
        <sz val="10"/>
        <color indexed="8"/>
        <rFont val="Arial"/>
        <charset val="134"/>
      </rPr>
      <t>R22</t>
    </r>
  </si>
  <si>
    <t>R410A</t>
  </si>
  <si>
    <r>
      <rPr>
        <sz val="10"/>
        <color indexed="8"/>
        <rFont val="Arial"/>
        <charset val="134"/>
      </rPr>
      <t>R32/R125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50/50</t>
    </r>
    <r>
      <rPr>
        <sz val="10"/>
        <color indexed="8"/>
        <rFont val="宋体"/>
        <charset val="134"/>
      </rPr>
      <t>）</t>
    </r>
  </si>
  <si>
    <t>R413A</t>
  </si>
  <si>
    <r>
      <rPr>
        <sz val="10"/>
        <color indexed="8"/>
        <rFont val="Arial"/>
        <charset val="134"/>
      </rPr>
      <t>R218/R134a/R600a(9/88/3</t>
    </r>
    <r>
      <rPr>
        <sz val="10"/>
        <color indexed="8"/>
        <rFont val="宋体"/>
        <charset val="134"/>
      </rPr>
      <t>）</t>
    </r>
    <r>
      <rPr>
        <sz val="10"/>
        <color indexed="8"/>
        <rFont val="Arial"/>
        <charset val="134"/>
      </rPr>
      <t xml:space="preserve"> </t>
    </r>
  </si>
  <si>
    <t>R417A</t>
  </si>
  <si>
    <t>R125/R134a/R600a(46.6/50/3.4)</t>
  </si>
  <si>
    <t>R503</t>
  </si>
  <si>
    <r>
      <rPr>
        <sz val="10"/>
        <color indexed="8"/>
        <rFont val="Arial"/>
        <charset val="134"/>
      </rPr>
      <t>R23/R13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40.1/59.9</t>
    </r>
    <r>
      <rPr>
        <sz val="10"/>
        <color indexed="8"/>
        <rFont val="宋体"/>
        <charset val="134"/>
      </rPr>
      <t>）</t>
    </r>
  </si>
  <si>
    <r>
      <rPr>
        <sz val="10"/>
        <color indexed="8"/>
        <rFont val="宋体"/>
        <charset val="134"/>
      </rPr>
      <t>只考虑了</t>
    </r>
    <r>
      <rPr>
        <sz val="10"/>
        <color indexed="8"/>
        <rFont val="Arial"/>
        <charset val="134"/>
      </rPr>
      <t>R23,</t>
    </r>
    <r>
      <rPr>
        <sz val="10"/>
        <color indexed="8"/>
        <rFont val="宋体"/>
        <charset val="134"/>
      </rPr>
      <t>未考虑</t>
    </r>
    <r>
      <rPr>
        <sz val="10"/>
        <color indexed="8"/>
        <rFont val="Arial"/>
        <charset val="134"/>
      </rPr>
      <t>R13</t>
    </r>
  </si>
  <si>
    <t>R507A</t>
  </si>
  <si>
    <r>
      <rPr>
        <sz val="10"/>
        <color indexed="8"/>
        <rFont val="Arial"/>
        <charset val="134"/>
      </rPr>
      <t>R125/R143a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50.0/50.0</t>
    </r>
    <r>
      <rPr>
        <sz val="10"/>
        <color indexed="8"/>
        <rFont val="宋体"/>
        <charset val="134"/>
      </rPr>
      <t>）</t>
    </r>
  </si>
  <si>
    <t>R508A</t>
  </si>
  <si>
    <r>
      <rPr>
        <sz val="10"/>
        <color indexed="8"/>
        <rFont val="Arial"/>
        <charset val="134"/>
      </rPr>
      <t>R23/R116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39.0/61.0</t>
    </r>
    <r>
      <rPr>
        <sz val="10"/>
        <color indexed="8"/>
        <rFont val="宋体"/>
        <charset val="134"/>
      </rPr>
      <t>）</t>
    </r>
  </si>
  <si>
    <t>R508B</t>
  </si>
  <si>
    <r>
      <rPr>
        <sz val="10"/>
        <color indexed="8"/>
        <rFont val="Arial"/>
        <charset val="134"/>
      </rPr>
      <t>R23/R116</t>
    </r>
    <r>
      <rPr>
        <sz val="10"/>
        <color indexed="8"/>
        <rFont val="宋体"/>
        <charset val="134"/>
      </rPr>
      <t>（</t>
    </r>
    <r>
      <rPr>
        <sz val="10"/>
        <color indexed="8"/>
        <rFont val="Arial"/>
        <charset val="134"/>
      </rPr>
      <t>46.0/54.0</t>
    </r>
    <r>
      <rPr>
        <sz val="10"/>
        <color indexed="8"/>
        <rFont val="宋体"/>
        <charset val="134"/>
      </rPr>
      <t>）</t>
    </r>
  </si>
  <si>
    <t>PFC-116</t>
  </si>
  <si>
    <r>
      <rPr>
        <sz val="10"/>
        <color indexed="8"/>
        <rFont val="Arial"/>
        <charset val="134"/>
      </rPr>
      <t>R-116</t>
    </r>
    <r>
      <rPr>
        <sz val="10"/>
        <color indexed="8"/>
        <rFont val="宋体"/>
        <charset val="134"/>
      </rPr>
      <t>，六氟乙烷，</t>
    </r>
    <r>
      <rPr>
        <sz val="10"/>
        <color indexed="8"/>
        <rFont val="Arial"/>
        <charset val="134"/>
      </rPr>
      <t>C2F6</t>
    </r>
  </si>
  <si>
    <t>PFC-14</t>
  </si>
  <si>
    <r>
      <rPr>
        <sz val="10"/>
        <color indexed="8"/>
        <rFont val="Arial"/>
        <charset val="134"/>
      </rPr>
      <t>R-14</t>
    </r>
    <r>
      <rPr>
        <sz val="10"/>
        <color indexed="8"/>
        <rFont val="宋体"/>
        <charset val="134"/>
      </rPr>
      <t>，四氟化碳，</t>
    </r>
    <r>
      <rPr>
        <sz val="10"/>
        <color indexed="8"/>
        <rFont val="Arial"/>
        <charset val="134"/>
      </rPr>
      <t>CF4</t>
    </r>
  </si>
  <si>
    <t>PFC-218</t>
  </si>
  <si>
    <r>
      <rPr>
        <sz val="10"/>
        <color indexed="8"/>
        <rFont val="Arial"/>
        <charset val="134"/>
      </rPr>
      <t>C3F8</t>
    </r>
    <r>
      <rPr>
        <sz val="10"/>
        <color indexed="8"/>
        <rFont val="標楷體"/>
        <charset val="134"/>
      </rPr>
      <t>，全氟丙烷</t>
    </r>
  </si>
  <si>
    <t>PFC-318</t>
  </si>
  <si>
    <r>
      <rPr>
        <sz val="10"/>
        <color indexed="8"/>
        <rFont val="Arial"/>
        <charset val="134"/>
      </rPr>
      <t>c-C4F8</t>
    </r>
    <r>
      <rPr>
        <sz val="10"/>
        <color indexed="8"/>
        <rFont val="宋体"/>
        <charset val="134"/>
      </rPr>
      <t>，八氟环丁烷</t>
    </r>
  </si>
  <si>
    <t>PFC-31-10</t>
  </si>
  <si>
    <r>
      <rPr>
        <sz val="10"/>
        <color indexed="8"/>
        <rFont val="Arial"/>
        <charset val="134"/>
      </rPr>
      <t>C4F10</t>
    </r>
    <r>
      <rPr>
        <sz val="10"/>
        <color indexed="8"/>
        <rFont val="標楷體"/>
        <charset val="134"/>
      </rPr>
      <t>，全氟丁烷</t>
    </r>
  </si>
  <si>
    <t>PFC-41-12</t>
  </si>
  <si>
    <r>
      <rPr>
        <sz val="10"/>
        <color indexed="8"/>
        <rFont val="Arial"/>
        <charset val="134"/>
      </rPr>
      <t>C5F12</t>
    </r>
    <r>
      <rPr>
        <sz val="10"/>
        <color indexed="8"/>
        <rFont val="標楷體"/>
        <charset val="134"/>
      </rPr>
      <t>，全氟戊烷</t>
    </r>
  </si>
  <si>
    <t>PFC-51-14</t>
  </si>
  <si>
    <r>
      <rPr>
        <sz val="10"/>
        <color indexed="8"/>
        <rFont val="Arial"/>
        <charset val="134"/>
      </rPr>
      <t>C6F14</t>
    </r>
    <r>
      <rPr>
        <sz val="10"/>
        <color indexed="8"/>
        <rFont val="標楷體"/>
        <charset val="134"/>
      </rPr>
      <t>，全氟己烷</t>
    </r>
  </si>
  <si>
    <t>三氟化氮</t>
  </si>
  <si>
    <t>六氟化硫</t>
  </si>
  <si>
    <r>
      <rPr>
        <b/>
        <sz val="12"/>
        <color indexed="9"/>
        <rFont val="Arial"/>
        <charset val="134"/>
      </rPr>
      <t>GHG</t>
    </r>
    <r>
      <rPr>
        <b/>
        <sz val="12"/>
        <color indexed="9"/>
        <rFont val="宋体"/>
        <charset val="134"/>
      </rPr>
      <t>排放类别</t>
    </r>
  </si>
  <si>
    <t>低位发热量</t>
  </si>
  <si>
    <r>
      <rPr>
        <b/>
        <sz val="12"/>
        <color indexed="9"/>
        <rFont val="宋体"/>
        <charset val="134"/>
      </rPr>
      <t>单位</t>
    </r>
  </si>
  <si>
    <t>氧化率</t>
  </si>
  <si>
    <t>基于热值排放系数，t GHG/GJ</t>
  </si>
  <si>
    <t>排放因子，t GHG/10000m³</t>
  </si>
  <si>
    <t>IPCC-2006缺省值</t>
  </si>
  <si>
    <t>计算值</t>
  </si>
  <si>
    <r>
      <rPr>
        <b/>
        <sz val="12"/>
        <color indexed="9"/>
        <rFont val="宋体"/>
        <charset val="134"/>
      </rPr>
      <t>企业温室气体排放核算与报告指南</t>
    </r>
    <r>
      <rPr>
        <b/>
        <sz val="12"/>
        <color indexed="9"/>
        <rFont val="Arial"/>
        <charset val="134"/>
      </rPr>
      <t xml:space="preserve"> </t>
    </r>
    <r>
      <rPr>
        <b/>
        <sz val="12"/>
        <color indexed="9"/>
        <rFont val="宋体"/>
        <charset val="134"/>
      </rPr>
      <t>钢铁行业</t>
    </r>
  </si>
  <si>
    <r>
      <rPr>
        <sz val="10"/>
        <color indexed="8"/>
        <rFont val="宋体"/>
        <charset val="134"/>
      </rPr>
      <t>固定燃烧</t>
    </r>
  </si>
  <si>
    <r>
      <rPr>
        <sz val="10"/>
        <color indexed="8"/>
        <rFont val="宋体"/>
        <charset val="134"/>
      </rPr>
      <t>天然气</t>
    </r>
    <r>
      <rPr>
        <sz val="10"/>
        <color indexed="8"/>
        <rFont val="宋体"/>
        <charset val="134"/>
      </rPr>
      <t>燃烧</t>
    </r>
  </si>
  <si>
    <t>热处理炉</t>
  </si>
  <si>
    <r>
      <rPr>
        <sz val="10"/>
        <color indexed="8"/>
        <rFont val="Arial"/>
        <charset val="134"/>
      </rPr>
      <t>GJ/10</t>
    </r>
    <r>
      <rPr>
        <vertAlign val="superscript"/>
        <sz val="10"/>
        <color indexed="8"/>
        <rFont val="Arial"/>
        <charset val="134"/>
      </rPr>
      <t>4</t>
    </r>
    <r>
      <rPr>
        <sz val="10"/>
        <color indexed="8"/>
        <rFont val="Arial"/>
        <charset val="134"/>
      </rPr>
      <t>Nm3</t>
    </r>
  </si>
  <si>
    <t>GJ/t</t>
  </si>
  <si>
    <t>烟煤燃烧</t>
  </si>
  <si>
    <t>无烟煤燃烧</t>
  </si>
  <si>
    <t>焦炭/焦屑/焦丁燃烧</t>
  </si>
  <si>
    <t>移动燃烧</t>
  </si>
  <si>
    <t>柴油燃烧</t>
  </si>
  <si>
    <t>火车/货车</t>
  </si>
  <si>
    <t>汽油燃烧</t>
  </si>
  <si>
    <t>公务车</t>
  </si>
  <si>
    <t>CO2排放因子</t>
  </si>
  <si>
    <r>
      <rPr>
        <sz val="10"/>
        <color indexed="8"/>
        <rFont val="宋体"/>
        <charset val="134"/>
      </rPr>
      <t>制程排放</t>
    </r>
  </si>
  <si>
    <r>
      <rPr>
        <sz val="10"/>
        <color indexed="8"/>
        <rFont val="宋体"/>
        <charset val="134"/>
      </rPr>
      <t>石灰窑</t>
    </r>
  </si>
  <si>
    <r>
      <rPr>
        <sz val="10"/>
        <color indexed="8"/>
        <rFont val="宋体"/>
        <charset val="134"/>
      </rPr>
      <t>高炉</t>
    </r>
  </si>
  <si>
    <r>
      <rPr>
        <sz val="10"/>
        <color indexed="8"/>
        <rFont val="宋体"/>
        <charset val="134"/>
      </rPr>
      <t>电极</t>
    </r>
  </si>
  <si>
    <r>
      <rPr>
        <sz val="10"/>
        <color indexed="8"/>
        <rFont val="宋体"/>
        <charset val="134"/>
      </rPr>
      <t>炼钢</t>
    </r>
  </si>
  <si>
    <r>
      <rPr>
        <sz val="10"/>
        <color indexed="8"/>
        <rFont val="宋体"/>
        <charset val="134"/>
      </rPr>
      <t>镍铁合金</t>
    </r>
  </si>
  <si>
    <r>
      <rPr>
        <sz val="10"/>
        <color indexed="8"/>
        <rFont val="宋体"/>
        <charset val="134"/>
      </rPr>
      <t>铬铁合金</t>
    </r>
  </si>
  <si>
    <r>
      <rPr>
        <sz val="10"/>
        <color indexed="8"/>
        <rFont val="宋体"/>
        <charset val="134"/>
      </rPr>
      <t>钼铁合金</t>
    </r>
  </si>
  <si>
    <r>
      <rPr>
        <sz val="10"/>
        <color indexed="8"/>
        <rFont val="宋体"/>
        <charset val="134"/>
      </rPr>
      <t>硅铁合金</t>
    </r>
  </si>
  <si>
    <r>
      <rPr>
        <sz val="10"/>
        <color indexed="8"/>
        <rFont val="宋体"/>
        <charset val="134"/>
      </rPr>
      <t>锰铁合金</t>
    </r>
  </si>
  <si>
    <r>
      <rPr>
        <sz val="10"/>
        <color indexed="8"/>
        <rFont val="宋体"/>
        <charset val="134"/>
      </rPr>
      <t>废钢</t>
    </r>
  </si>
  <si>
    <r>
      <rPr>
        <sz val="10"/>
        <color indexed="8"/>
        <rFont val="宋体"/>
        <charset val="134"/>
      </rPr>
      <t>粗钢</t>
    </r>
  </si>
  <si>
    <t>HFCs/PFCs</t>
  </si>
  <si>
    <t>MCF</t>
  </si>
  <si>
    <t>Bo</t>
  </si>
  <si>
    <t>排放因子</t>
  </si>
  <si>
    <r>
      <rPr>
        <b/>
        <sz val="12"/>
        <color indexed="9"/>
        <rFont val="宋体"/>
        <charset val="134"/>
      </rPr>
      <t>排放因子引用源</t>
    </r>
  </si>
  <si>
    <r>
      <rPr>
        <b/>
        <sz val="12"/>
        <color indexed="9"/>
        <rFont val="Arial"/>
        <charset val="134"/>
      </rPr>
      <t>EF</t>
    </r>
    <r>
      <rPr>
        <b/>
        <sz val="12"/>
        <color indexed="9"/>
        <rFont val="宋体"/>
        <charset val="134"/>
      </rPr>
      <t>估计值</t>
    </r>
  </si>
  <si>
    <t>来自人类活动的逸散排放</t>
  </si>
  <si>
    <r>
      <rPr>
        <sz val="10"/>
        <color indexed="8"/>
        <rFont val="Arial"/>
        <charset val="134"/>
      </rPr>
      <t>SF6</t>
    </r>
    <r>
      <rPr>
        <sz val="10"/>
        <color indexed="8"/>
        <rFont val="宋体"/>
        <charset val="134"/>
      </rPr>
      <t>逸散</t>
    </r>
  </si>
  <si>
    <t>高压开关</t>
  </si>
  <si>
    <t>kgSF6/kg</t>
  </si>
  <si>
    <r>
      <rPr>
        <sz val="10"/>
        <color indexed="8"/>
        <rFont val="Arial"/>
        <charset val="134"/>
      </rPr>
      <t xml:space="preserve">GB/T8905-2008 </t>
    </r>
    <r>
      <rPr>
        <sz val="10"/>
        <color indexed="8"/>
        <rFont val="宋体"/>
        <charset val="134"/>
      </rPr>
      <t>六氟化硫电气设备中气体管理和检测导则</t>
    </r>
    <r>
      <rPr>
        <sz val="10"/>
        <color indexed="8"/>
        <rFont val="Arial"/>
        <charset val="134"/>
      </rPr>
      <t>9.3</t>
    </r>
  </si>
  <si>
    <r>
      <rPr>
        <sz val="10"/>
        <color rgb="FF000000"/>
        <rFont val="Arial"/>
        <charset val="134"/>
      </rPr>
      <t>CO2</t>
    </r>
    <r>
      <rPr>
        <sz val="10"/>
        <color rgb="FF000000"/>
        <rFont val="宋体"/>
        <charset val="134"/>
      </rPr>
      <t>逸散</t>
    </r>
  </si>
  <si>
    <r>
      <rPr>
        <sz val="10"/>
        <color indexed="8"/>
        <rFont val="宋体"/>
        <charset val="134"/>
      </rPr>
      <t>二氧化碳灭火器</t>
    </r>
  </si>
  <si>
    <t>kgCO2/kg</t>
  </si>
  <si>
    <t>质量平衡</t>
  </si>
  <si>
    <r>
      <rPr>
        <sz val="10"/>
        <color rgb="FF000000"/>
        <rFont val="宋体"/>
        <charset val="134"/>
      </rPr>
      <t>制冷剂逸散（</t>
    </r>
    <r>
      <rPr>
        <sz val="10"/>
        <color rgb="FF000000"/>
        <rFont val="Arial"/>
        <charset val="134"/>
      </rPr>
      <t>R32</t>
    </r>
    <r>
      <rPr>
        <sz val="10"/>
        <color rgb="FF000000"/>
        <rFont val="宋体"/>
        <charset val="134"/>
      </rPr>
      <t>）</t>
    </r>
  </si>
  <si>
    <t>kgGHG/kg</t>
  </si>
  <si>
    <t>kgCH4/kgBOD</t>
  </si>
  <si>
    <r>
      <rPr>
        <sz val="10"/>
        <rFont val="Arial"/>
        <charset val="134"/>
      </rPr>
      <t>2006</t>
    </r>
    <r>
      <rPr>
        <sz val="10"/>
        <rFont val="宋体"/>
        <charset val="134"/>
      </rPr>
      <t>年</t>
    </r>
    <r>
      <rPr>
        <sz val="10"/>
        <rFont val="Arial"/>
        <charset val="134"/>
      </rPr>
      <t>IPCC</t>
    </r>
    <r>
      <rPr>
        <sz val="10"/>
        <rFont val="宋体"/>
        <charset val="134"/>
      </rPr>
      <t>国家温室气体清单指南</t>
    </r>
    <r>
      <rPr>
        <sz val="10"/>
        <rFont val="Arial"/>
        <charset val="134"/>
      </rPr>
      <t>V5_6_Ch6 Table6.2/6.3;</t>
    </r>
    <r>
      <rPr>
        <sz val="10"/>
        <rFont val="宋体"/>
        <charset val="134"/>
      </rPr>
      <t>公式</t>
    </r>
    <r>
      <rPr>
        <sz val="10"/>
        <rFont val="Arial"/>
        <charset val="134"/>
      </rPr>
      <t>6.1/6.2</t>
    </r>
  </si>
  <si>
    <r>
      <rPr>
        <sz val="10"/>
        <color indexed="8"/>
        <rFont val="宋体"/>
        <charset val="134"/>
      </rPr>
      <t>厌氧池</t>
    </r>
  </si>
  <si>
    <t>kgCH4/kgCOD</t>
  </si>
  <si>
    <r>
      <rPr>
        <sz val="10"/>
        <color indexed="8"/>
        <rFont val="宋体"/>
        <charset val="134"/>
      </rPr>
      <t>厌氧池</t>
    </r>
    <r>
      <rPr>
        <sz val="10"/>
        <color indexed="8"/>
        <rFont val="宋体"/>
        <charset val="134"/>
      </rPr>
      <t>、厕所、下水道等</t>
    </r>
  </si>
  <si>
    <r>
      <rPr>
        <sz val="10"/>
        <color indexed="8"/>
        <rFont val="Arial"/>
        <charset val="134"/>
      </rPr>
      <t>gBOD/</t>
    </r>
    <r>
      <rPr>
        <sz val="10"/>
        <color indexed="8"/>
        <rFont val="宋体"/>
        <charset val="134"/>
      </rPr>
      <t>人</t>
    </r>
    <r>
      <rPr>
        <sz val="10"/>
        <color indexed="8"/>
        <rFont val="Arial"/>
        <charset val="134"/>
      </rPr>
      <t>·</t>
    </r>
    <r>
      <rPr>
        <sz val="10"/>
        <color indexed="8"/>
        <rFont val="宋体"/>
        <charset val="134"/>
      </rPr>
      <t>天</t>
    </r>
  </si>
  <si>
    <r>
      <rPr>
        <sz val="10"/>
        <rFont val="Arial"/>
        <charset val="134"/>
      </rPr>
      <t>2006</t>
    </r>
    <r>
      <rPr>
        <sz val="10"/>
        <rFont val="宋体"/>
        <charset val="134"/>
      </rPr>
      <t>年</t>
    </r>
    <r>
      <rPr>
        <sz val="10"/>
        <rFont val="Arial"/>
        <charset val="134"/>
      </rPr>
      <t>IPCC</t>
    </r>
    <r>
      <rPr>
        <sz val="10"/>
        <rFont val="宋体"/>
        <charset val="134"/>
      </rPr>
      <t>国家温室气体清单指南</t>
    </r>
    <r>
      <rPr>
        <sz val="10"/>
        <rFont val="Arial"/>
        <charset val="134"/>
      </rPr>
      <t>V5_6_Ch6 Table 6.4;</t>
    </r>
    <r>
      <rPr>
        <sz val="10"/>
        <rFont val="宋体"/>
        <charset val="134"/>
      </rPr>
      <t>公式</t>
    </r>
    <r>
      <rPr>
        <sz val="10"/>
        <rFont val="Arial"/>
        <charset val="134"/>
      </rPr>
      <t>6.3</t>
    </r>
  </si>
  <si>
    <r>
      <rPr>
        <sz val="10"/>
        <rFont val="宋体"/>
        <charset val="134"/>
      </rPr>
      <t>外购能源间接排放</t>
    </r>
  </si>
  <si>
    <r>
      <rPr>
        <sz val="10"/>
        <rFont val="宋体"/>
        <charset val="134"/>
      </rPr>
      <t>电力</t>
    </r>
  </si>
  <si>
    <r>
      <rPr>
        <sz val="10"/>
        <color indexed="8"/>
        <rFont val="宋体"/>
        <charset val="134"/>
      </rPr>
      <t>生态环境部、国家能源局发布</t>
    </r>
    <r>
      <rPr>
        <sz val="10"/>
        <color indexed="8"/>
        <rFont val="Arial"/>
        <charset val="134"/>
      </rPr>
      <t>2022</t>
    </r>
    <r>
      <rPr>
        <sz val="10"/>
        <color indexed="8"/>
        <rFont val="宋体"/>
        <charset val="134"/>
      </rPr>
      <t>年电力二氧化碳排放因子的公告（</t>
    </r>
    <r>
      <rPr>
        <sz val="10"/>
        <color indexed="8"/>
        <rFont val="Arial"/>
        <charset val="134"/>
      </rPr>
      <t>2022</t>
    </r>
    <r>
      <rPr>
        <sz val="10"/>
        <color indexed="8"/>
        <rFont val="宋体"/>
        <charset val="134"/>
      </rPr>
      <t>年全国电力排放因子）</t>
    </r>
  </si>
  <si>
    <r>
      <rPr>
        <sz val="10"/>
        <color indexed="8"/>
        <rFont val="宋体"/>
        <charset val="134"/>
      </rPr>
      <t>生态环境部、国家能源局发布</t>
    </r>
    <r>
      <rPr>
        <sz val="10"/>
        <color indexed="8"/>
        <rFont val="Arial"/>
        <charset val="134"/>
      </rPr>
      <t>2022</t>
    </r>
    <r>
      <rPr>
        <sz val="10"/>
        <color indexed="8"/>
        <rFont val="宋体"/>
        <charset val="134"/>
      </rPr>
      <t>年电力二氧化碳排放因子的公告（</t>
    </r>
    <r>
      <rPr>
        <sz val="10"/>
        <color indexed="8"/>
        <rFont val="Arial"/>
        <charset val="134"/>
      </rPr>
      <t>2022</t>
    </r>
    <r>
      <rPr>
        <sz val="10"/>
        <color indexed="8"/>
        <rFont val="宋体"/>
        <charset val="134"/>
      </rPr>
      <t>年全国电力平均二氧化碳排放因子（不包括市场化交易的非化石能源电量））</t>
    </r>
  </si>
  <si>
    <t>Activity name</t>
  </si>
  <si>
    <t>Geography</t>
  </si>
  <si>
    <r>
      <rPr>
        <b/>
        <sz val="12"/>
        <color indexed="9"/>
        <rFont val="宋体"/>
        <charset val="134"/>
      </rPr>
      <t>引用源</t>
    </r>
  </si>
  <si>
    <r>
      <rPr>
        <b/>
        <sz val="12"/>
        <color indexed="9"/>
        <rFont val="宋体"/>
        <charset val="134"/>
      </rPr>
      <t>缺省排放因子</t>
    </r>
  </si>
  <si>
    <t>marker for Iron ore,crude ore,63% Fe</t>
  </si>
  <si>
    <t>Global (GLO)</t>
  </si>
  <si>
    <t>ecoinvent 3.10-cut off</t>
  </si>
  <si>
    <t>market for quicklime, in pieces, loose</t>
  </si>
  <si>
    <t>Rest-of-World (RoW)</t>
  </si>
  <si>
    <t>market for limestone, crushed, for mill</t>
  </si>
  <si>
    <t>marker for dolomite</t>
  </si>
  <si>
    <t>market for iron pellet</t>
  </si>
  <si>
    <t>market for waste reinforcement steel</t>
  </si>
  <si>
    <t>market for electrode, negative, LiC6</t>
  </si>
  <si>
    <t>market for ferromanganese,high-coal,74.5% Mn</t>
  </si>
  <si>
    <t>market for ferronickel</t>
  </si>
  <si>
    <t>market for ferrochromium,high-carbom.55% Cr</t>
  </si>
  <si>
    <t>market for fluorspar, 97% purity</t>
  </si>
  <si>
    <t>ferrosilicon production</t>
  </si>
  <si>
    <t>China (CN)</t>
  </si>
  <si>
    <t xml:space="preserve">Ferro-Molybdenum </t>
  </si>
  <si>
    <t xml:space="preserve"> CO2 data collection user guide, version 11, WSA</t>
  </si>
  <si>
    <t>market for aluminium,cast alloy</t>
  </si>
  <si>
    <t>global warming potential (GWP100)</t>
  </si>
  <si>
    <t>market for aluminium,primary,ingot</t>
  </si>
  <si>
    <t>market for recarburizer</t>
  </si>
  <si>
    <t>ecoinvent 3.11-cut off</t>
  </si>
  <si>
    <t>market for iron scrap, unsorted</t>
  </si>
  <si>
    <t>market for ammonia, anhydrous, liquid</t>
  </si>
  <si>
    <t>market for silicon carbide</t>
  </si>
  <si>
    <t>market for magnesium</t>
  </si>
  <si>
    <t>All Other Converted Paper Product Manufacturing</t>
  </si>
  <si>
    <t>SupplyChainGHGEmissionFactors_v1.3.0_NAICS_CO2e_USD2022</t>
  </si>
  <si>
    <t>Office Supplies (except Paper) Manufacturing</t>
  </si>
  <si>
    <t>market for tap water</t>
  </si>
  <si>
    <t>Warm Air Heating and Air-Conditioning Equipment and Supplies Merchant Wholesalers</t>
  </si>
  <si>
    <t>Electronic Computer Manufacturing</t>
  </si>
  <si>
    <t>Welding and Soldering Equipment Manufacturing</t>
  </si>
  <si>
    <t>Other Industrial Machinery Manufacturing</t>
  </si>
  <si>
    <t>Instrument Manufacturing for Measuring and Testing Electricity and Electrical Signals</t>
  </si>
  <si>
    <t>Computer Systems Design Services</t>
  </si>
  <si>
    <t>Mechanical Power Transmission Equipment Manufacturing</t>
  </si>
  <si>
    <t>Measuring, Dispensing, and Other Pumping Equipment Manufacturing</t>
  </si>
  <si>
    <t>Instruments and Related Products Manufacturing for Measuring, Displaying, and Controlling Industrial Process Variables</t>
  </si>
  <si>
    <t>All Other Miscellaneous Electrical Equipment and Component Manufacturing</t>
  </si>
  <si>
    <t>All Other Miscellaneous Manufacturing</t>
  </si>
  <si>
    <t>范围一、二之外燃料和能源相关的活动产生的排放</t>
  </si>
  <si>
    <t>market for liquefied petroleum gas</t>
  </si>
  <si>
    <t>market for hard coal</t>
  </si>
  <si>
    <t>market for diesel</t>
  </si>
  <si>
    <t>market for petrol, unleaded</t>
  </si>
  <si>
    <t xml:space="preserve">market for coke </t>
  </si>
  <si>
    <t>market for natural gas, high pressure</t>
  </si>
  <si>
    <t>tCO2/10000Nm³</t>
  </si>
  <si>
    <r>
      <rPr>
        <sz val="10"/>
        <color indexed="8"/>
        <rFont val="Arial"/>
        <charset val="134"/>
      </rPr>
      <t>2023</t>
    </r>
    <r>
      <rPr>
        <sz val="10"/>
        <color indexed="8"/>
        <rFont val="宋体"/>
        <charset val="134"/>
      </rPr>
      <t>年全国电力平均碳足迹因子、</t>
    </r>
    <r>
      <rPr>
        <sz val="10"/>
        <color indexed="8"/>
        <rFont val="Arial"/>
        <charset val="134"/>
      </rPr>
      <t>2022</t>
    </r>
    <r>
      <rPr>
        <sz val="10"/>
        <color indexed="8"/>
        <rFont val="宋体"/>
        <charset val="134"/>
      </rPr>
      <t>年全国电力平均排放因子</t>
    </r>
  </si>
  <si>
    <t>上下游运输配送产生的排放</t>
  </si>
  <si>
    <t>market for transport, freight, inland waterways, barge</t>
  </si>
  <si>
    <t>tCO2-Eq/tkm</t>
  </si>
  <si>
    <t>market group for transport, freight, lorry, unspecified</t>
  </si>
  <si>
    <t>market for transport, freight train</t>
  </si>
  <si>
    <t>生活垃圾处理站</t>
  </si>
  <si>
    <t>market for average incineration residue</t>
  </si>
  <si>
    <t>treatment of waste mineral oil, hazardous waste incineration</t>
  </si>
  <si>
    <t>treatment of hazardous waste, hazardous waste incineration</t>
  </si>
  <si>
    <t>国内航空客运（中型飞机）</t>
  </si>
  <si>
    <t>kgCO2/passenger*km</t>
  </si>
  <si>
    <t>CPCD, China Products Carbon Footprint Factors Database</t>
  </si>
  <si>
    <t>transport, passenger train, high-speed</t>
  </si>
  <si>
    <t>酒店住宿</t>
  </si>
  <si>
    <t>中国大陆</t>
  </si>
  <si>
    <t>电动公交车运输</t>
  </si>
  <si>
    <t>电瓶车</t>
  </si>
  <si>
    <t>transport,passenger,electic bicycle</t>
  </si>
  <si>
    <t>transport,passenger car</t>
  </si>
  <si>
    <t>kgCO2/km</t>
  </si>
  <si>
    <t>引用源</t>
  </si>
  <si>
    <r>
      <rPr>
        <sz val="10"/>
        <color indexed="8"/>
        <rFont val="宋体"/>
        <charset val="134"/>
      </rPr>
      <t>厂商反馈《细化收资清单</t>
    </r>
    <r>
      <rPr>
        <sz val="10"/>
        <color indexed="8"/>
        <rFont val="Arial"/>
        <charset val="134"/>
      </rPr>
      <t xml:space="preserve"> </t>
    </r>
    <r>
      <rPr>
        <sz val="10"/>
        <color indexed="8"/>
        <rFont val="宋体"/>
        <charset val="134"/>
      </rPr>
      <t>锻材》</t>
    </r>
  </si>
  <si>
    <r>
      <rPr>
        <sz val="10"/>
        <color indexed="8"/>
        <rFont val="宋体"/>
        <charset val="134"/>
      </rPr>
      <t>厂商反馈《细化收资清单</t>
    </r>
    <r>
      <rPr>
        <sz val="10"/>
        <color indexed="8"/>
        <rFont val="Arial"/>
        <charset val="134"/>
      </rPr>
      <t xml:space="preserve"> </t>
    </r>
    <r>
      <rPr>
        <sz val="10"/>
        <color indexed="8"/>
        <rFont val="宋体"/>
        <charset val="134"/>
      </rPr>
      <t>棒材》</t>
    </r>
  </si>
  <si>
    <r>
      <rPr>
        <sz val="10"/>
        <color indexed="8"/>
        <rFont val="宋体"/>
        <charset val="134"/>
      </rPr>
      <t>厂商反馈《细化收资清单</t>
    </r>
    <r>
      <rPr>
        <sz val="10"/>
        <color indexed="8"/>
        <rFont val="Arial"/>
        <charset val="134"/>
      </rPr>
      <t xml:space="preserve"> </t>
    </r>
    <r>
      <rPr>
        <sz val="10"/>
        <color indexed="8"/>
        <rFont val="宋体"/>
        <charset val="134"/>
      </rPr>
      <t>管材》</t>
    </r>
  </si>
  <si>
    <t>hot rolling, steel</t>
  </si>
  <si>
    <r>
      <rPr>
        <sz val="10"/>
        <color indexed="8"/>
        <rFont val="Arial"/>
        <charset val="134"/>
      </rPr>
      <t>1.</t>
    </r>
    <r>
      <rPr>
        <sz val="10"/>
        <color indexed="8"/>
        <rFont val="宋体"/>
        <charset val="134"/>
      </rPr>
      <t>不用</t>
    </r>
    <r>
      <rPr>
        <sz val="10"/>
        <color indexed="8"/>
        <rFont val="Arial"/>
        <charset val="134"/>
      </rPr>
      <t>CPCD</t>
    </r>
    <r>
      <rPr>
        <sz val="10"/>
        <color indexed="8"/>
        <rFont val="宋体"/>
        <charset val="134"/>
      </rPr>
      <t>因子的理由：因</t>
    </r>
    <r>
      <rPr>
        <sz val="10"/>
        <color indexed="8"/>
        <rFont val="Arial"/>
        <charset val="134"/>
      </rPr>
      <t>CPCD</t>
    </r>
    <r>
      <rPr>
        <sz val="10"/>
        <color indexed="8"/>
        <rFont val="宋体"/>
        <charset val="134"/>
      </rPr>
      <t>排放因子过大，估计包含了“钢坯制造”和“钢坯加工”两部分排放在内，正常的钢坯加工工序排放强度仅在</t>
    </r>
    <r>
      <rPr>
        <sz val="10"/>
        <color indexed="8"/>
        <rFont val="Arial"/>
        <charset val="134"/>
      </rPr>
      <t>0.2-0.3tCO2e/t</t>
    </r>
    <r>
      <rPr>
        <sz val="10"/>
        <color indexed="8"/>
        <rFont val="宋体"/>
        <charset val="134"/>
      </rPr>
      <t xml:space="preserve">钢材产品之间。
</t>
    </r>
    <r>
      <rPr>
        <sz val="10"/>
        <color indexed="8"/>
        <rFont val="Arial"/>
        <charset val="134"/>
      </rPr>
      <t>2.</t>
    </r>
    <r>
      <rPr>
        <sz val="10"/>
        <color indexed="8"/>
        <rFont val="宋体"/>
        <charset val="134"/>
      </rPr>
      <t>选用ecoinvent因子的原因：钢坯加工成钢材的过程大多会经过热轧工序处理，选用热轧钢排放因子更具代表性。</t>
    </r>
  </si>
  <si>
    <t>treatment of scrap steel, inert material landfill</t>
  </si>
  <si>
    <t>2024年已实施的节能减排措施</t>
  </si>
  <si>
    <t>序号</t>
  </si>
  <si>
    <t>节能实施方案名称</t>
  </si>
  <si>
    <t>方案具体描述</t>
  </si>
  <si>
    <t>责任部门</t>
  </si>
  <si>
    <t>项目实施进度概况</t>
  </si>
  <si>
    <t>节能量预估</t>
  </si>
  <si>
    <t>节电</t>
  </si>
  <si>
    <t>通过选择经济购电套餐、错峰用电、降低计费容量等方式，2024年外购电价同比去年下降0.0784元/kWh（含年度交易电价下降0.0330元/kWh），减少外购电费13263万元，全年减少外购电费15560万元。</t>
  </si>
  <si>
    <t>能源环保部</t>
  </si>
  <si>
    <t>已完成</t>
  </si>
  <si>
    <t>预计全年减少外购电3800万kWh</t>
  </si>
  <si>
    <t>减少天然气外购</t>
  </si>
  <si>
    <t>推进焦气替代天然气项目，减少天然气外购，降低燃气成本。</t>
  </si>
  <si>
    <t>预计全年减少采购费用2000万元</t>
  </si>
  <si>
    <t>提升回收转炉煤气量</t>
  </si>
  <si>
    <t>通过改善回收条件、风机提频、管道清灰等措施提升转炉煤气回收量。</t>
  </si>
  <si>
    <t>预计全年创效1020万元</t>
  </si>
  <si>
    <t>管理类节能</t>
  </si>
  <si>
    <t>氩气提产降耗、提升转炉煤气回收等。</t>
  </si>
  <si>
    <t>吨钢氩气消耗量较去年下降1.3m³/t，转炉煤气回收较去年月均提高16.52m³/t</t>
  </si>
  <si>
    <t>2025年计划实施的节能减排措施</t>
  </si>
  <si>
    <t>提升绿电消耗量</t>
  </si>
  <si>
    <t>增加自建光伏发电面积，加大外购绿电消耗量</t>
  </si>
  <si>
    <t>实施中</t>
  </si>
  <si>
    <t>实现建筑物可利用面积光伏利用率≥90%，力争外购绿电消耗占比达10%</t>
  </si>
  <si>
    <t>提升焦炉煤气外送量</t>
  </si>
  <si>
    <t xml:space="preserve">按预定计划完成外供逸洋制管能源介质项目
</t>
  </si>
  <si>
    <t>计划全年外供煤气1800万m³，减少碳排放1.37万吨</t>
  </si>
  <si>
    <t>各排放源明细</t>
  </si>
  <si>
    <r>
      <rPr>
        <b/>
        <sz val="6"/>
        <rFont val="宋体"/>
        <charset val="134"/>
      </rPr>
      <t>编号</t>
    </r>
  </si>
  <si>
    <r>
      <rPr>
        <b/>
        <sz val="6"/>
        <rFont val="Arial"/>
        <charset val="134"/>
      </rPr>
      <t>GHG</t>
    </r>
    <r>
      <rPr>
        <b/>
        <sz val="6"/>
        <rFont val="宋体"/>
        <charset val="134"/>
      </rPr>
      <t>排放类别</t>
    </r>
  </si>
  <si>
    <r>
      <rPr>
        <b/>
        <sz val="6"/>
        <rFont val="宋体"/>
        <charset val="134"/>
      </rPr>
      <t>排放源</t>
    </r>
  </si>
  <si>
    <r>
      <rPr>
        <b/>
        <sz val="6"/>
        <rFont val="宋体"/>
        <charset val="134"/>
      </rPr>
      <t>报告边界</t>
    </r>
  </si>
  <si>
    <r>
      <rPr>
        <b/>
        <sz val="6"/>
        <rFont val="宋体"/>
        <charset val="134"/>
      </rPr>
      <t>活动数据</t>
    </r>
  </si>
  <si>
    <r>
      <rPr>
        <b/>
        <sz val="6"/>
        <rFont val="宋体"/>
        <charset val="134"/>
      </rPr>
      <t>排放因子</t>
    </r>
    <r>
      <rPr>
        <b/>
        <sz val="6"/>
        <rFont val="Arial"/>
        <charset val="134"/>
      </rPr>
      <t>&amp;</t>
    </r>
    <r>
      <rPr>
        <b/>
        <sz val="6"/>
        <rFont val="宋体"/>
        <charset val="134"/>
      </rPr>
      <t>系数</t>
    </r>
  </si>
  <si>
    <r>
      <rPr>
        <b/>
        <sz val="6"/>
        <rFont val="宋体"/>
        <charset val="134"/>
      </rPr>
      <t>排放量</t>
    </r>
  </si>
  <si>
    <r>
      <rPr>
        <b/>
        <sz val="6"/>
        <rFont val="宋体"/>
        <charset val="134"/>
      </rPr>
      <t>总量</t>
    </r>
  </si>
  <si>
    <r>
      <rPr>
        <b/>
        <sz val="6"/>
        <rFont val="宋体"/>
        <charset val="134"/>
      </rPr>
      <t>数值</t>
    </r>
  </si>
  <si>
    <r>
      <rPr>
        <b/>
        <sz val="6"/>
        <rFont val="宋体"/>
        <charset val="134"/>
      </rPr>
      <t>计量单位</t>
    </r>
  </si>
  <si>
    <r>
      <rPr>
        <b/>
        <sz val="6"/>
        <rFont val="宋体"/>
        <charset val="134"/>
      </rPr>
      <t>型号</t>
    </r>
  </si>
  <si>
    <t>tCO2/10000Nm4</t>
  </si>
  <si>
    <t>tCO2/10000Nm5</t>
  </si>
  <si>
    <t>tCO2/10000Nm6</t>
  </si>
  <si>
    <t>tCO2/10000Nm7</t>
  </si>
  <si>
    <t>tCO2/10000Nm8</t>
  </si>
  <si>
    <t>tCO2/10000Nm9</t>
  </si>
  <si>
    <t>tCO2/10000Nm10</t>
  </si>
  <si>
    <t>tCO2/10000Nm11</t>
  </si>
  <si>
    <t>tCO2/10000Nm12</t>
  </si>
  <si>
    <t>tCO2/10000Nm13</t>
  </si>
  <si>
    <t>tCO2/10000Nm14</t>
  </si>
  <si>
    <t>tCO2/10000Nm15</t>
  </si>
  <si>
    <t>tCO2/10000Nm16</t>
  </si>
  <si>
    <t>tCO2/10000Nm17</t>
  </si>
  <si>
    <t>tCO2/10000Nm18</t>
  </si>
  <si>
    <t>tCO2/10000Nm19</t>
  </si>
  <si>
    <t>tCO2/10000Nm20</t>
  </si>
  <si>
    <t>tCO2/10000Nm21</t>
  </si>
  <si>
    <t>tCO2/10000Nm22</t>
  </si>
  <si>
    <t>tCO2/10000Nm23</t>
  </si>
  <si>
    <t>tCO2/10000Nm24</t>
  </si>
  <si>
    <t>tCO2/10000Nm25</t>
  </si>
  <si>
    <t>tCO2/10000Nm26</t>
  </si>
  <si>
    <t>tCO2/10000Nm27</t>
  </si>
  <si>
    <t>tCO2/10000Nm28</t>
  </si>
  <si>
    <t>tCO2/10000Nm29</t>
  </si>
  <si>
    <t>tCO2/10000Nm30</t>
  </si>
  <si>
    <t>tCO2/10000Nm32</t>
  </si>
  <si>
    <t>tCO2/10000Nm33</t>
  </si>
  <si>
    <t>tCO2/10000Nm34</t>
  </si>
  <si>
    <t>tCO2/10000Nm35</t>
  </si>
  <si>
    <t>tCO2/10000Nm36</t>
  </si>
  <si>
    <t>tCO2/10000Nm37</t>
  </si>
  <si>
    <t>tCO2/10000Nm38</t>
  </si>
  <si>
    <t>tCO2/10000Nm39</t>
  </si>
  <si>
    <t>tCO2/10000Nm40</t>
  </si>
  <si>
    <t>tCO2/10000Nm41</t>
  </si>
  <si>
    <t>tCO2/10000Nm42</t>
  </si>
  <si>
    <t>tCO2/10000Nm43</t>
  </si>
  <si>
    <t>tCO2/10000Nm44</t>
  </si>
  <si>
    <t>tCO2/10000Nm45</t>
  </si>
  <si>
    <t>tCO2/10000Nm46</t>
  </si>
  <si>
    <t>tCO2/10000Nm47</t>
  </si>
  <si>
    <t>tCO2/10000Nm48</t>
  </si>
  <si>
    <t>tCO2/10000Nm49</t>
  </si>
  <si>
    <t>tCO2/10000Nm50</t>
  </si>
  <si>
    <t>tCO2/10000Nm51</t>
  </si>
  <si>
    <t>tCO2/10000Nm52</t>
  </si>
  <si>
    <t>tCO2/10000Nm53</t>
  </si>
  <si>
    <t>tCO2/10000Nm54</t>
  </si>
  <si>
    <t>tCO2/10000Nm55</t>
  </si>
  <si>
    <t>tCO2/10000Nm56</t>
  </si>
  <si>
    <t>tCO2/10000Nm57</t>
  </si>
  <si>
    <t>tCO2/10000Nm58</t>
  </si>
  <si>
    <t>tCO2/10000Nm59</t>
  </si>
  <si>
    <t>tCO2/10000Nm60</t>
  </si>
  <si>
    <t>tCO2/10000Nm61</t>
  </si>
  <si>
    <t>tCO2/10000Nm62</t>
  </si>
  <si>
    <t>tCO2/10000Nm63</t>
  </si>
  <si>
    <t>tCO2/10000Nm64</t>
  </si>
  <si>
    <t>tCO2/10000Nm65</t>
  </si>
  <si>
    <t>tCO2/10000Nm66</t>
  </si>
  <si>
    <t>tCO2/10000Nm67</t>
  </si>
  <si>
    <t>tCO2/10000Nm68</t>
  </si>
  <si>
    <t>tCO2/10000Nm69</t>
  </si>
  <si>
    <t>tCO2/10000Nm70</t>
  </si>
  <si>
    <t>tCO2/10000Nm71</t>
  </si>
  <si>
    <t>tCO2/10000Nm72</t>
  </si>
  <si>
    <t>tCO2/10000Nm73</t>
  </si>
  <si>
    <t>tCO2/10000Nm74</t>
  </si>
  <si>
    <t>tCO2/10000Nm75</t>
  </si>
  <si>
    <t>tCO2/10000Nm76</t>
  </si>
  <si>
    <t>tCO2/10000Nm77</t>
  </si>
  <si>
    <t>tCO2/10000Nm78</t>
  </si>
  <si>
    <t>tCO2/10000Nm79</t>
  </si>
  <si>
    <t>tCO2/10000Nm80</t>
  </si>
  <si>
    <t>tCO2/10000Nm81</t>
  </si>
  <si>
    <t>tCO2/10000Nm82</t>
  </si>
  <si>
    <t>tCO2/10000Nm83</t>
  </si>
  <si>
    <t>tCO2/10000Nm84</t>
  </si>
  <si>
    <t>tCO2/10000Nm85</t>
  </si>
  <si>
    <t>tCO2/10000Nm86</t>
  </si>
  <si>
    <t>tCO2/10000Nm87</t>
  </si>
  <si>
    <t>tCO2/10000Nm88</t>
  </si>
  <si>
    <t>tCO2/10000Nm89</t>
  </si>
  <si>
    <t>tCO2/10000Nm90</t>
  </si>
  <si>
    <t>tCO2/10000Nm91</t>
  </si>
  <si>
    <t>tCO2/10000Nm92</t>
  </si>
  <si>
    <t>tCO2/10000Nm93</t>
  </si>
  <si>
    <t>tCO2/10000Nm94</t>
  </si>
  <si>
    <t>tCO2/10000Nm95</t>
  </si>
  <si>
    <t>tCO2/10000Nm96</t>
  </si>
  <si>
    <t>tCO2/10000Nm97</t>
  </si>
  <si>
    <t>tCO2/10000Nm98</t>
  </si>
  <si>
    <t>tCO2/10000Nm99</t>
  </si>
  <si>
    <t>tCO2/10000Nm100</t>
  </si>
  <si>
    <t>tCO2/10000Nm31</t>
  </si>
  <si>
    <t>直接温室气体排放</t>
  </si>
  <si>
    <t>占比</t>
  </si>
  <si>
    <t>温室气体</t>
  </si>
  <si>
    <t>汇总</t>
  </si>
  <si>
    <t>输入能源间接温室气体排放（基于位置）</t>
  </si>
  <si>
    <r>
      <rPr>
        <b/>
        <sz val="6.5"/>
        <color rgb="FFFFFFFF"/>
        <rFont val="宋体"/>
        <charset val="134"/>
      </rPr>
      <t>范围三类别</t>
    </r>
    <r>
      <rPr>
        <b/>
        <sz val="6.5"/>
        <color indexed="9"/>
        <rFont val="Arial"/>
        <charset val="134"/>
      </rPr>
      <t>1</t>
    </r>
  </si>
  <si>
    <t>外购商品和服务的上游产生的排放</t>
  </si>
  <si>
    <t>范围三类别2</t>
  </si>
  <si>
    <t>资本货物产生的排放</t>
  </si>
  <si>
    <t>范围三类别3</t>
  </si>
  <si>
    <t>范围三类别4</t>
  </si>
  <si>
    <t>范围三类别5</t>
  </si>
  <si>
    <t>运营产生的废物产生的排放</t>
  </si>
  <si>
    <t>范围三类别6</t>
  </si>
  <si>
    <t>范围三类别7</t>
  </si>
  <si>
    <t>范围三类别8</t>
  </si>
  <si>
    <t>上游租赁资产产生的排放</t>
  </si>
  <si>
    <t>范围三类别9</t>
  </si>
  <si>
    <t>范围三类别10</t>
  </si>
  <si>
    <t>范围三类别11</t>
  </si>
  <si>
    <t>范围三类别12</t>
  </si>
  <si>
    <t>范围三类别13</t>
  </si>
  <si>
    <t>下游租赁资产产生的排放</t>
  </si>
  <si>
    <t>范围三类别14</t>
  </si>
  <si>
    <t>特许经营产生的排放</t>
  </si>
  <si>
    <t>范围三类别15</t>
  </si>
  <si>
    <t>投资产生的排放</t>
  </si>
  <si>
    <t>合计</t>
  </si>
  <si>
    <r>
      <rPr>
        <b/>
        <sz val="6.5"/>
        <rFont val="宋体"/>
        <charset val="134"/>
      </rPr>
      <t>范围二</t>
    </r>
    <r>
      <rPr>
        <b/>
        <sz val="6.5"/>
        <rFont val="Arial"/>
        <charset val="134"/>
      </rPr>
      <t xml:space="preserve">
</t>
    </r>
    <r>
      <rPr>
        <b/>
        <sz val="6.5"/>
        <rFont val="宋体"/>
        <charset val="134"/>
      </rPr>
      <t>（基于位置）</t>
    </r>
  </si>
  <si>
    <t>总计</t>
  </si>
  <si>
    <t>输入能源间接温室气体排放（基于市场）</t>
  </si>
  <si>
    <r>
      <rPr>
        <b/>
        <sz val="6.5"/>
        <rFont val="宋体"/>
        <charset val="134"/>
      </rPr>
      <t>范围二</t>
    </r>
    <r>
      <rPr>
        <b/>
        <sz val="6.5"/>
        <rFont val="Arial"/>
        <charset val="134"/>
      </rPr>
      <t xml:space="preserve">
</t>
    </r>
    <r>
      <rPr>
        <b/>
        <sz val="6.5"/>
        <rFont val="宋体"/>
        <charset val="134"/>
      </rPr>
      <t>（基于市场）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</si>
</sst>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#,##0.00_ "/>
    <numFmt numFmtId="178" formatCode="#,##0.00;[Red]#,##0.00"/>
    <numFmt numFmtId="179" formatCode="0.00_ "/>
    <numFmt numFmtId="180" formatCode="#,##0_ "/>
    <numFmt numFmtId="181" formatCode="0.0000000"/>
    <numFmt numFmtId="182" formatCode="0.0000000E+00"/>
    <numFmt numFmtId="183" formatCode="0.000"/>
    <numFmt numFmtId="184" formatCode="0.000000_ "/>
    <numFmt numFmtId="185" formatCode="0.0%"/>
    <numFmt numFmtId="186" formatCode="0.0000"/>
    <numFmt numFmtId="187" formatCode="0.00000"/>
    <numFmt numFmtId="188" formatCode="#,##0.0_ "/>
    <numFmt numFmtId="189" formatCode="0.000_);[Red]\(0.000\)"/>
    <numFmt numFmtId="190" formatCode="0_);[Red]\(0\)"/>
    <numFmt numFmtId="191" formatCode="0_ "/>
    <numFmt numFmtId="192" formatCode="0.000_ "/>
    <numFmt numFmtId="193" formatCode="0.0000_ "/>
    <numFmt numFmtId="194" formatCode="0.000E+00"/>
    <numFmt numFmtId="195" formatCode="0.00_);[Red]\(0.00\)"/>
  </numFmts>
  <fonts count="107">
    <font>
      <sz val="12"/>
      <color indexed="8"/>
      <name val="新細明體"/>
      <charset val="134"/>
    </font>
    <font>
      <b/>
      <sz val="6.5"/>
      <color indexed="9"/>
      <name val="宋体"/>
      <charset val="134"/>
    </font>
    <font>
      <b/>
      <sz val="6.5"/>
      <color rgb="FFFFFFFF"/>
      <name val="宋体"/>
      <charset val="134"/>
    </font>
    <font>
      <b/>
      <sz val="6.5"/>
      <color indexed="9"/>
      <name val="Arial"/>
      <charset val="134"/>
    </font>
    <font>
      <b/>
      <sz val="6.5"/>
      <name val="宋体"/>
      <charset val="134"/>
    </font>
    <font>
      <b/>
      <sz val="6.5"/>
      <name val="Arial"/>
      <charset val="134"/>
    </font>
    <font>
      <b/>
      <sz val="12"/>
      <name val="Arial"/>
      <charset val="134"/>
    </font>
    <font>
      <sz val="11"/>
      <color theme="1"/>
      <name val="Arial"/>
      <charset val="134"/>
    </font>
    <font>
      <b/>
      <sz val="12"/>
      <name val="宋体"/>
      <charset val="134"/>
    </font>
    <font>
      <b/>
      <sz val="12"/>
      <color rgb="FFFF0000"/>
      <name val="Arial"/>
      <charset val="134"/>
    </font>
    <font>
      <sz val="11"/>
      <color rgb="FFFF0000"/>
      <name val="Arial"/>
      <charset val="134"/>
    </font>
    <font>
      <sz val="11"/>
      <name val="Arial"/>
      <charset val="134"/>
    </font>
    <font>
      <sz val="12"/>
      <name val="Arial"/>
      <charset val="134"/>
    </font>
    <font>
      <b/>
      <sz val="20"/>
      <name val="宋体"/>
      <charset val="134"/>
    </font>
    <font>
      <b/>
      <sz val="20"/>
      <name val="Arial"/>
      <charset val="134"/>
    </font>
    <font>
      <b/>
      <sz val="6"/>
      <name val="Arial"/>
      <charset val="134"/>
    </font>
    <font>
      <b/>
      <sz val="6"/>
      <name val="宋体"/>
      <charset val="134"/>
    </font>
    <font>
      <sz val="6"/>
      <name val="Arial"/>
      <charset val="134"/>
    </font>
    <font>
      <sz val="12"/>
      <color indexed="8"/>
      <name val="宋体"/>
      <charset val="134"/>
      <scheme val="major"/>
    </font>
    <font>
      <b/>
      <sz val="14"/>
      <color theme="1"/>
      <name val="方正书宋简体"/>
      <charset val="134"/>
    </font>
    <font>
      <b/>
      <sz val="11"/>
      <name val="方正书宋简体"/>
      <charset val="134"/>
    </font>
    <font>
      <b/>
      <sz val="11"/>
      <color rgb="FF000000"/>
      <name val="方正书宋简体"/>
      <charset val="134"/>
    </font>
    <font>
      <sz val="11"/>
      <name val="方正书宋简体"/>
      <charset val="134"/>
    </font>
    <font>
      <sz val="12"/>
      <name val="方正书宋简体"/>
      <charset val="134"/>
    </font>
    <font>
      <b/>
      <sz val="14"/>
      <name val="方正书宋简体"/>
      <charset val="134"/>
    </font>
    <font>
      <sz val="10"/>
      <name val="方正书宋简体"/>
      <charset val="134"/>
    </font>
    <font>
      <b/>
      <sz val="12"/>
      <color indexed="9"/>
      <name val="Arial"/>
      <charset val="134"/>
    </font>
    <font>
      <sz val="10"/>
      <color indexed="9"/>
      <name val="Arial"/>
      <charset val="134"/>
    </font>
    <font>
      <sz val="10"/>
      <name val="Arial"/>
      <charset val="134"/>
    </font>
    <font>
      <sz val="10"/>
      <color indexed="8"/>
      <name val="Arial"/>
      <charset val="134"/>
    </font>
    <font>
      <b/>
      <sz val="12"/>
      <color indexed="9"/>
      <name val="宋体"/>
      <charset val="134"/>
    </font>
    <font>
      <b/>
      <sz val="12"/>
      <color rgb="FFFFFFFF"/>
      <name val="宋体"/>
      <charset val="134"/>
    </font>
    <font>
      <sz val="10"/>
      <color rgb="FF000000"/>
      <name val="Arial"/>
      <charset val="134"/>
    </font>
    <font>
      <sz val="10"/>
      <color rgb="FF000000"/>
      <name val="宋体"/>
      <charset val="134"/>
    </font>
    <font>
      <sz val="10"/>
      <color theme="1"/>
      <name val="宋体"/>
      <charset val="134"/>
    </font>
    <font>
      <sz val="10"/>
      <color indexed="8"/>
      <name val="宋体"/>
      <charset val="134"/>
    </font>
    <font>
      <sz val="10"/>
      <name val="宋体"/>
      <charset val="134"/>
    </font>
    <font>
      <b/>
      <sz val="12"/>
      <color rgb="FFFFFFFF"/>
      <name val="Arial"/>
      <charset val="134"/>
    </font>
    <font>
      <sz val="10"/>
      <color theme="1"/>
      <name val="Arial"/>
      <charset val="134"/>
    </font>
    <font>
      <sz val="12"/>
      <color indexed="8"/>
      <name val="Arial"/>
      <charset val="134"/>
    </font>
    <font>
      <b/>
      <sz val="16"/>
      <color indexed="8"/>
      <name val="新細明體"/>
      <charset val="134"/>
    </font>
    <font>
      <sz val="11"/>
      <color indexed="8"/>
      <name val="Arial"/>
      <charset val="134"/>
    </font>
    <font>
      <b/>
      <sz val="11"/>
      <color indexed="8"/>
      <name val="宋体"/>
      <charset val="134"/>
    </font>
    <font>
      <sz val="12"/>
      <color indexed="8"/>
      <name val="宋体"/>
      <charset val="134"/>
    </font>
    <font>
      <sz val="10"/>
      <color rgb="FFFF0000"/>
      <name val="宋体"/>
      <charset val="134"/>
    </font>
    <font>
      <sz val="10"/>
      <color rgb="FFFF0000"/>
      <name val="Arial"/>
      <charset val="134"/>
    </font>
    <font>
      <b/>
      <i/>
      <sz val="10"/>
      <name val="Arial"/>
      <charset val="134"/>
    </font>
    <font>
      <i/>
      <sz val="10"/>
      <name val="Arial"/>
      <charset val="134"/>
    </font>
    <font>
      <b/>
      <sz val="10"/>
      <name val="Arial"/>
      <charset val="134"/>
    </font>
    <font>
      <b/>
      <sz val="11"/>
      <name val="Arial"/>
      <charset val="134"/>
    </font>
    <font>
      <b/>
      <sz val="11"/>
      <name val="宋体"/>
      <charset val="134"/>
    </font>
    <font>
      <sz val="12"/>
      <name val="宋体"/>
      <charset val="134"/>
    </font>
    <font>
      <b/>
      <sz val="10"/>
      <color theme="1"/>
      <name val="Arial"/>
      <charset val="134"/>
    </font>
    <font>
      <b/>
      <sz val="20"/>
      <color indexed="8"/>
      <name val="Arial"/>
      <charset val="134"/>
    </font>
    <font>
      <b/>
      <sz val="12"/>
      <color rgb="FFFF6600"/>
      <name val="Arial"/>
      <charset val="134"/>
    </font>
    <font>
      <sz val="12"/>
      <color theme="1"/>
      <name val="Arial"/>
      <charset val="134"/>
    </font>
    <font>
      <b/>
      <sz val="12"/>
      <color theme="1"/>
      <name val="Arial"/>
      <charset val="134"/>
    </font>
    <font>
      <b/>
      <sz val="12"/>
      <color theme="1"/>
      <name val="宋体"/>
      <charset val="134"/>
    </font>
    <font>
      <b/>
      <sz val="10"/>
      <color indexed="9"/>
      <name val="宋体"/>
      <charset val="134"/>
    </font>
    <font>
      <b/>
      <sz val="10"/>
      <color theme="0"/>
      <name val="宋体"/>
      <charset val="134"/>
    </font>
    <font>
      <b/>
      <sz val="10"/>
      <color indexed="9"/>
      <name val="Arial"/>
      <charset val="134"/>
    </font>
    <font>
      <b/>
      <sz val="10"/>
      <color theme="0"/>
      <name val="Arial"/>
      <charset val="134"/>
    </font>
    <font>
      <b/>
      <sz val="10"/>
      <color indexed="8"/>
      <name val="宋体"/>
      <charset val="134"/>
    </font>
    <font>
      <b/>
      <sz val="10"/>
      <color theme="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新細明體"/>
      <charset val="134"/>
    </font>
    <font>
      <sz val="12"/>
      <color theme="1"/>
      <name val="宋体"/>
      <charset val="134"/>
      <scheme val="minor"/>
    </font>
    <font>
      <sz val="9"/>
      <name val="Geneva"/>
      <charset val="134"/>
    </font>
    <font>
      <b/>
      <sz val="12"/>
      <color indexed="53"/>
      <name val="宋体"/>
      <charset val="134"/>
    </font>
    <font>
      <b/>
      <vertAlign val="subscript"/>
      <sz val="10"/>
      <color theme="0"/>
      <name val="Arial"/>
      <charset val="134"/>
    </font>
    <font>
      <b/>
      <sz val="12"/>
      <color indexed="53"/>
      <name val="Arial"/>
      <charset val="134"/>
    </font>
    <font>
      <b/>
      <sz val="12"/>
      <color indexed="8"/>
      <name val="宋体"/>
      <charset val="134"/>
    </font>
    <font>
      <b/>
      <vertAlign val="subscript"/>
      <sz val="10"/>
      <color indexed="9"/>
      <name val="Arial"/>
      <charset val="134"/>
    </font>
    <font>
      <b/>
      <sz val="12"/>
      <color indexed="8"/>
      <name val="Arial"/>
      <charset val="134"/>
    </font>
    <font>
      <b/>
      <vertAlign val="subscript"/>
      <sz val="12"/>
      <color indexed="8"/>
      <name val="Arial"/>
      <charset val="134"/>
    </font>
    <font>
      <sz val="10"/>
      <color indexed="8"/>
      <name val="標楷體"/>
      <charset val="134"/>
    </font>
    <font>
      <b/>
      <sz val="20"/>
      <color indexed="8"/>
      <name val="宋体"/>
      <charset val="134"/>
    </font>
    <font>
      <i/>
      <sz val="10"/>
      <name val="宋体"/>
      <charset val="134"/>
    </font>
    <font>
      <b/>
      <sz val="10"/>
      <color indexed="8"/>
      <name val="Arial"/>
      <charset val="134"/>
    </font>
    <font>
      <b/>
      <i/>
      <sz val="10"/>
      <name val="宋体"/>
      <charset val="134"/>
    </font>
    <font>
      <vertAlign val="superscript"/>
      <sz val="10"/>
      <color indexed="8"/>
      <name val="Arial"/>
      <charset val="134"/>
    </font>
    <font>
      <b/>
      <sz val="16"/>
      <color indexed="8"/>
      <name val="宋体"/>
      <charset val="134"/>
    </font>
    <font>
      <b/>
      <sz val="8"/>
      <color indexed="8"/>
      <name val="Tahoma"/>
      <charset val="134"/>
    </font>
    <font>
      <sz val="8"/>
      <color indexed="8"/>
      <name val="Tahoma"/>
      <charset val="134"/>
    </font>
    <font>
      <sz val="9"/>
      <name val="宋体"/>
      <charset val="134"/>
    </font>
    <font>
      <b/>
      <sz val="9"/>
      <name val="宋体"/>
      <charset val="134"/>
    </font>
    <font>
      <sz val="12"/>
      <name val="宋体"/>
      <charset val="134"/>
    </font>
    <font>
      <b/>
      <sz val="12"/>
      <name val="宋体"/>
      <charset val="134"/>
    </font>
  </fonts>
  <fills count="55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8153630176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768059327982"/>
        <bgColor indexed="64"/>
      </patternFill>
    </fill>
    <fill>
      <patternFill patternType="solid">
        <fgColor theme="8" tint="0.799768059327982"/>
        <bgColor indexed="64"/>
      </patternFill>
    </fill>
    <fill>
      <patternFill patternType="darkUp">
        <bgColor indexed="9"/>
      </patternFill>
    </fill>
    <fill>
      <patternFill patternType="darkUp">
        <bgColor theme="0"/>
      </patternFill>
    </fill>
    <fill>
      <patternFill patternType="darkUp"/>
    </fill>
    <fill>
      <patternFill patternType="solid">
        <fgColor rgb="FFFF6600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9" tint="0.399761955626087"/>
        <bgColor indexed="64"/>
      </patternFill>
    </fill>
    <fill>
      <patternFill patternType="solid">
        <fgColor theme="9" tint="0.39973143711661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3"/>
        <bgColor indexed="64"/>
      </patternFill>
    </fill>
  </fills>
  <borders count="7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indexed="23"/>
      </left>
      <right style="thin">
        <color auto="1"/>
      </right>
      <top style="thick">
        <color indexed="2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ck">
        <color indexed="2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ck">
        <color indexed="23"/>
      </top>
      <bottom/>
      <diagonal/>
    </border>
    <border>
      <left style="thin">
        <color indexed="23"/>
      </left>
      <right/>
      <top style="thick">
        <color indexed="23"/>
      </top>
      <bottom/>
      <diagonal/>
    </border>
    <border>
      <left style="thin">
        <color indexed="23"/>
      </left>
      <right style="thick">
        <color auto="1"/>
      </right>
      <top style="thick">
        <color indexed="23"/>
      </top>
      <bottom style="thin">
        <color auto="1"/>
      </bottom>
      <diagonal/>
    </border>
    <border>
      <left style="thick">
        <color indexed="23"/>
      </left>
      <right style="thin">
        <color auto="1"/>
      </right>
      <top style="thin">
        <color indexed="2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n">
        <color indexed="23"/>
      </top>
      <bottom style="thin">
        <color auto="1"/>
      </bottom>
      <diagonal/>
    </border>
    <border>
      <left style="thin">
        <color indexed="23"/>
      </left>
      <right/>
      <top style="thin">
        <color indexed="23"/>
      </top>
      <bottom style="thin">
        <color auto="1"/>
      </bottom>
      <diagonal/>
    </border>
    <border>
      <left style="thick">
        <color indexed="53"/>
      </left>
      <right style="thin">
        <color auto="1"/>
      </right>
      <top style="thick">
        <color indexed="53"/>
      </top>
      <bottom style="thin">
        <color auto="1"/>
      </bottom>
      <diagonal/>
    </border>
    <border>
      <left style="thin">
        <color indexed="23"/>
      </left>
      <right style="thin">
        <color auto="1"/>
      </right>
      <top style="thick">
        <color indexed="53"/>
      </top>
      <bottom style="thin">
        <color auto="1"/>
      </bottom>
      <diagonal/>
    </border>
    <border>
      <left style="thin">
        <color indexed="23"/>
      </left>
      <right style="thick">
        <color auto="1"/>
      </right>
      <top style="thick">
        <color indexed="53"/>
      </top>
      <bottom style="thin">
        <color auto="1"/>
      </bottom>
      <diagonal/>
    </border>
    <border>
      <left style="thin">
        <color indexed="23"/>
      </left>
      <right style="thick">
        <color auto="1"/>
      </right>
      <top style="thin">
        <color indexed="23"/>
      </top>
      <bottom style="thin">
        <color auto="1"/>
      </bottom>
      <diagonal/>
    </border>
    <border>
      <left style="thick">
        <color indexed="53"/>
      </left>
      <right style="thin">
        <color auto="1"/>
      </right>
      <top style="thin">
        <color indexed="23"/>
      </top>
      <bottom style="thin">
        <color auto="1"/>
      </bottom>
      <diagonal/>
    </border>
    <border>
      <left/>
      <right/>
      <top style="thin">
        <color indexed="23"/>
      </top>
      <bottom style="thin">
        <color auto="1"/>
      </bottom>
      <diagonal/>
    </border>
    <border>
      <left style="thick">
        <color indexed="23"/>
      </left>
      <right style="thin">
        <color auto="1"/>
      </right>
      <top style="thin">
        <color indexed="23"/>
      </top>
      <bottom style="thick">
        <color auto="1"/>
      </bottom>
      <diagonal/>
    </border>
    <border>
      <left style="thin">
        <color indexed="23"/>
      </left>
      <right style="thin">
        <color auto="1"/>
      </right>
      <top style="thin">
        <color indexed="23"/>
      </top>
      <bottom style="thick">
        <color auto="1"/>
      </bottom>
      <diagonal/>
    </border>
    <border>
      <left style="thin">
        <color indexed="23"/>
      </left>
      <right/>
      <top style="thin">
        <color indexed="23"/>
      </top>
      <bottom style="thick">
        <color auto="1"/>
      </bottom>
      <diagonal/>
    </border>
    <border>
      <left style="thick">
        <color indexed="53"/>
      </left>
      <right style="thin">
        <color auto="1"/>
      </right>
      <top style="thin">
        <color indexed="23"/>
      </top>
      <bottom style="thick">
        <color auto="1"/>
      </bottom>
      <diagonal/>
    </border>
    <border>
      <left style="thin">
        <color indexed="23"/>
      </left>
      <right style="thick">
        <color auto="1"/>
      </right>
      <top style="thin">
        <color indexed="23"/>
      </top>
      <bottom style="thick">
        <color auto="1"/>
      </bottom>
      <diagonal/>
    </border>
    <border>
      <left/>
      <right/>
      <top style="thin">
        <color indexed="23"/>
      </top>
      <bottom style="thick">
        <color auto="1"/>
      </bottom>
      <diagonal/>
    </border>
    <border>
      <left/>
      <right/>
      <top/>
      <bottom style="thick">
        <color indexed="23"/>
      </bottom>
      <diagonal/>
    </border>
    <border>
      <left style="thin">
        <color indexed="23"/>
      </left>
      <right style="thin">
        <color auto="1"/>
      </right>
      <top style="thin">
        <color indexed="23"/>
      </top>
      <bottom/>
      <diagonal/>
    </border>
    <border>
      <left/>
      <right style="thin">
        <color auto="1"/>
      </right>
      <top style="thin">
        <color indexed="23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ck">
        <color rgb="FFFF6600"/>
      </bottom>
      <diagonal/>
    </border>
    <border>
      <left/>
      <right/>
      <top/>
      <bottom style="thick">
        <color rgb="FFFF6600"/>
      </bottom>
      <diagonal/>
    </border>
    <border>
      <left/>
      <right style="thin">
        <color theme="0"/>
      </right>
      <top/>
      <bottom style="thick">
        <color rgb="FFFF6600"/>
      </bottom>
      <diagonal/>
    </border>
    <border>
      <left style="thin">
        <color theme="0"/>
      </left>
      <right/>
      <top style="thin">
        <color theme="0"/>
      </top>
      <bottom style="thick">
        <color rgb="FFFF6600"/>
      </bottom>
      <diagonal/>
    </border>
    <border>
      <left/>
      <right style="thin">
        <color theme="0"/>
      </right>
      <top style="thin">
        <color theme="0"/>
      </top>
      <bottom style="thick">
        <color rgb="FFFF6600"/>
      </bottom>
      <diagonal/>
    </border>
    <border>
      <left style="thin">
        <color theme="0"/>
      </left>
      <right style="thin">
        <color theme="0"/>
      </right>
      <top style="thick">
        <color rgb="FFFF660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rgb="FFFFCC99"/>
      </right>
      <top/>
      <bottom style="thin">
        <color theme="1"/>
      </bottom>
      <diagonal/>
    </border>
    <border>
      <left style="thin">
        <color rgb="FFFFCC99"/>
      </left>
      <right style="thin">
        <color rgb="FFFFCC99"/>
      </right>
      <top/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rgb="FFFFCC99"/>
      </right>
      <top style="thin">
        <color theme="1"/>
      </top>
      <bottom style="thin">
        <color theme="1"/>
      </bottom>
      <diagonal/>
    </border>
    <border>
      <left style="thin">
        <color rgb="FFFFCC99"/>
      </left>
      <right style="thin">
        <color rgb="FFFFCC99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auto="1"/>
      </bottom>
      <diagonal/>
    </border>
    <border>
      <left style="thin">
        <color rgb="FFFFCC99"/>
      </left>
      <right style="thin">
        <color rgb="FFFFCC99"/>
      </right>
      <top style="thin">
        <color theme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ck">
        <color rgb="FFFF66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70">
    <xf numFmtId="0" fontId="0" fillId="0" borderId="0"/>
    <xf numFmtId="43" fontId="64" fillId="0" borderId="0" applyFont="0" applyFill="0" applyBorder="0" applyAlignment="0" applyProtection="0">
      <alignment vertical="center"/>
    </xf>
    <xf numFmtId="44" fontId="64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64" fillId="0" borderId="0" applyFont="0" applyFill="0" applyBorder="0" applyAlignment="0" applyProtection="0">
      <alignment vertical="center"/>
    </xf>
    <xf numFmtId="42" fontId="64" fillId="0" borderId="0" applyFont="0" applyFill="0" applyBorder="0" applyAlignment="0" applyProtection="0">
      <alignment vertical="center"/>
    </xf>
    <xf numFmtId="0" fontId="65" fillId="0" borderId="0" applyNumberForma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0" fontId="64" fillId="25" borderId="67" applyNumberFormat="0" applyFont="0" applyAlignment="0" applyProtection="0">
      <alignment vertical="center"/>
    </xf>
    <xf numFmtId="0" fontId="67" fillId="0" borderId="0" applyNumberFormat="0" applyFill="0" applyBorder="0" applyAlignment="0" applyProtection="0">
      <alignment vertical="center"/>
    </xf>
    <xf numFmtId="0" fontId="68" fillId="0" borderId="0" applyNumberFormat="0" applyFill="0" applyBorder="0" applyAlignment="0" applyProtection="0">
      <alignment vertical="center"/>
    </xf>
    <xf numFmtId="0" fontId="69" fillId="0" borderId="0" applyNumberFormat="0" applyFill="0" applyBorder="0" applyAlignment="0" applyProtection="0">
      <alignment vertical="center"/>
    </xf>
    <xf numFmtId="0" fontId="70" fillId="0" borderId="68" applyNumberFormat="0" applyFill="0" applyAlignment="0" applyProtection="0">
      <alignment vertical="center"/>
    </xf>
    <xf numFmtId="0" fontId="71" fillId="0" borderId="68" applyNumberFormat="0" applyFill="0" applyAlignment="0" applyProtection="0">
      <alignment vertical="center"/>
    </xf>
    <xf numFmtId="0" fontId="72" fillId="0" borderId="69" applyNumberFormat="0" applyFill="0" applyAlignment="0" applyProtection="0">
      <alignment vertical="center"/>
    </xf>
    <xf numFmtId="0" fontId="72" fillId="0" borderId="0" applyNumberFormat="0" applyFill="0" applyBorder="0" applyAlignment="0" applyProtection="0">
      <alignment vertical="center"/>
    </xf>
    <xf numFmtId="0" fontId="73" fillId="21" borderId="70" applyNumberFormat="0" applyAlignment="0" applyProtection="0">
      <alignment vertical="center"/>
    </xf>
    <xf numFmtId="0" fontId="74" fillId="26" borderId="71" applyNumberFormat="0" applyAlignment="0" applyProtection="0">
      <alignment vertical="center"/>
    </xf>
    <xf numFmtId="0" fontId="75" fillId="26" borderId="70" applyNumberFormat="0" applyAlignment="0" applyProtection="0">
      <alignment vertical="center"/>
    </xf>
    <xf numFmtId="0" fontId="76" fillId="27" borderId="72" applyNumberFormat="0" applyAlignment="0" applyProtection="0">
      <alignment vertical="center"/>
    </xf>
    <xf numFmtId="0" fontId="77" fillId="0" borderId="73" applyNumberFormat="0" applyFill="0" applyAlignment="0" applyProtection="0">
      <alignment vertical="center"/>
    </xf>
    <xf numFmtId="0" fontId="78" fillId="0" borderId="74" applyNumberFormat="0" applyFill="0" applyAlignment="0" applyProtection="0">
      <alignment vertical="center"/>
    </xf>
    <xf numFmtId="0" fontId="79" fillId="28" borderId="0" applyNumberFormat="0" applyBorder="0" applyAlignment="0" applyProtection="0">
      <alignment vertical="center"/>
    </xf>
    <xf numFmtId="0" fontId="80" fillId="29" borderId="0" applyNumberFormat="0" applyBorder="0" applyAlignment="0" applyProtection="0">
      <alignment vertical="center"/>
    </xf>
    <xf numFmtId="0" fontId="81" fillId="30" borderId="0" applyNumberFormat="0" applyBorder="0" applyAlignment="0" applyProtection="0">
      <alignment vertical="center"/>
    </xf>
    <xf numFmtId="0" fontId="82" fillId="31" borderId="0" applyNumberFormat="0" applyBorder="0" applyAlignment="0" applyProtection="0">
      <alignment vertical="center"/>
    </xf>
    <xf numFmtId="0" fontId="83" fillId="32" borderId="0" applyNumberFormat="0" applyBorder="0" applyAlignment="0" applyProtection="0">
      <alignment vertical="center"/>
    </xf>
    <xf numFmtId="0" fontId="83" fillId="33" borderId="0" applyNumberFormat="0" applyBorder="0" applyAlignment="0" applyProtection="0">
      <alignment vertical="center"/>
    </xf>
    <xf numFmtId="0" fontId="82" fillId="34" borderId="0" applyNumberFormat="0" applyBorder="0" applyAlignment="0" applyProtection="0">
      <alignment vertical="center"/>
    </xf>
    <xf numFmtId="0" fontId="82" fillId="35" borderId="0" applyNumberFormat="0" applyBorder="0" applyAlignment="0" applyProtection="0">
      <alignment vertical="center"/>
    </xf>
    <xf numFmtId="0" fontId="83" fillId="36" borderId="0" applyNumberFormat="0" applyBorder="0" applyAlignment="0" applyProtection="0">
      <alignment vertical="center"/>
    </xf>
    <xf numFmtId="0" fontId="83" fillId="37" borderId="0" applyNumberFormat="0" applyBorder="0" applyAlignment="0" applyProtection="0">
      <alignment vertical="center"/>
    </xf>
    <xf numFmtId="0" fontId="82" fillId="38" borderId="0" applyNumberFormat="0" applyBorder="0" applyAlignment="0" applyProtection="0">
      <alignment vertical="center"/>
    </xf>
    <xf numFmtId="0" fontId="82" fillId="39" borderId="0" applyNumberFormat="0" applyBorder="0" applyAlignment="0" applyProtection="0">
      <alignment vertical="center"/>
    </xf>
    <xf numFmtId="0" fontId="83" fillId="40" borderId="0" applyNumberFormat="0" applyBorder="0" applyAlignment="0" applyProtection="0">
      <alignment vertical="center"/>
    </xf>
    <xf numFmtId="0" fontId="83" fillId="41" borderId="0" applyNumberFormat="0" applyBorder="0" applyAlignment="0" applyProtection="0">
      <alignment vertical="center"/>
    </xf>
    <xf numFmtId="0" fontId="82" fillId="42" borderId="0" applyNumberFormat="0" applyBorder="0" applyAlignment="0" applyProtection="0">
      <alignment vertical="center"/>
    </xf>
    <xf numFmtId="0" fontId="82" fillId="43" borderId="0" applyNumberFormat="0" applyBorder="0" applyAlignment="0" applyProtection="0">
      <alignment vertical="center"/>
    </xf>
    <xf numFmtId="0" fontId="83" fillId="44" borderId="0" applyNumberFormat="0" applyBorder="0" applyAlignment="0" applyProtection="0">
      <alignment vertical="center"/>
    </xf>
    <xf numFmtId="0" fontId="83" fillId="45" borderId="0" applyNumberFormat="0" applyBorder="0" applyAlignment="0" applyProtection="0">
      <alignment vertical="center"/>
    </xf>
    <xf numFmtId="0" fontId="82" fillId="46" borderId="0" applyNumberFormat="0" applyBorder="0" applyAlignment="0" applyProtection="0">
      <alignment vertical="center"/>
    </xf>
    <xf numFmtId="0" fontId="82" fillId="47" borderId="0" applyNumberFormat="0" applyBorder="0" applyAlignment="0" applyProtection="0">
      <alignment vertical="center"/>
    </xf>
    <xf numFmtId="0" fontId="83" fillId="48" borderId="0" applyNumberFormat="0" applyBorder="0" applyAlignment="0" applyProtection="0">
      <alignment vertical="center"/>
    </xf>
    <xf numFmtId="0" fontId="83" fillId="49" borderId="0" applyNumberFormat="0" applyBorder="0" applyAlignment="0" applyProtection="0">
      <alignment vertical="center"/>
    </xf>
    <xf numFmtId="0" fontId="82" fillId="50" borderId="0" applyNumberFormat="0" applyBorder="0" applyAlignment="0" applyProtection="0">
      <alignment vertical="center"/>
    </xf>
    <xf numFmtId="0" fontId="82" fillId="8" borderId="0" applyNumberFormat="0" applyBorder="0" applyAlignment="0" applyProtection="0">
      <alignment vertical="center"/>
    </xf>
    <xf numFmtId="0" fontId="83" fillId="51" borderId="0" applyNumberFormat="0" applyBorder="0" applyAlignment="0" applyProtection="0">
      <alignment vertical="center"/>
    </xf>
    <xf numFmtId="0" fontId="83" fillId="52" borderId="0" applyNumberFormat="0" applyBorder="0" applyAlignment="0" applyProtection="0">
      <alignment vertical="center"/>
    </xf>
    <xf numFmtId="0" fontId="82" fillId="53" borderId="0" applyNumberFormat="0" applyBorder="0" applyAlignment="0" applyProtection="0">
      <alignment vertical="center"/>
    </xf>
    <xf numFmtId="0" fontId="84" fillId="0" borderId="0"/>
    <xf numFmtId="0" fontId="29" fillId="54" borderId="75">
      <protection locked="0"/>
    </xf>
    <xf numFmtId="9" fontId="84" fillId="0" borderId="0">
      <alignment vertical="center"/>
    </xf>
    <xf numFmtId="0" fontId="51" fillId="0" borderId="0"/>
    <xf numFmtId="0" fontId="64" fillId="0" borderId="0"/>
    <xf numFmtId="0" fontId="64" fillId="0" borderId="0">
      <alignment vertical="center"/>
    </xf>
    <xf numFmtId="0" fontId="51" fillId="0" borderId="0"/>
    <xf numFmtId="0" fontId="84" fillId="0" borderId="0"/>
    <xf numFmtId="0" fontId="84" fillId="0" borderId="0">
      <alignment vertical="center"/>
    </xf>
    <xf numFmtId="0" fontId="85" fillId="0" borderId="0">
      <alignment vertical="center"/>
    </xf>
    <xf numFmtId="0" fontId="0" fillId="0" borderId="0"/>
    <xf numFmtId="176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176" fontId="84" fillId="0" borderId="0">
      <alignment vertical="center"/>
    </xf>
    <xf numFmtId="0" fontId="84" fillId="0" borderId="0"/>
    <xf numFmtId="0" fontId="84" fillId="0" borderId="0"/>
    <xf numFmtId="0" fontId="85" fillId="0" borderId="0">
      <alignment vertical="center"/>
    </xf>
    <xf numFmtId="0" fontId="86" fillId="0" borderId="0"/>
    <xf numFmtId="0" fontId="84" fillId="0" borderId="0"/>
  </cellStyleXfs>
  <cellXfs count="611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0" fontId="0" fillId="0" borderId="0" xfId="3" applyNumberFormat="1" applyFont="1" applyAlignment="1">
      <alignment vertical="center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2" borderId="2" xfId="0" applyFont="1" applyFill="1" applyBorder="1" applyAlignment="1" applyProtection="1">
      <alignment horizontal="center" vertical="center"/>
      <protection locked="0"/>
    </xf>
    <xf numFmtId="10" fontId="2" fillId="2" borderId="2" xfId="3" applyNumberFormat="1" applyFont="1" applyFill="1" applyBorder="1" applyAlignment="1" applyProtection="1">
      <alignment horizontal="center" vertical="center"/>
      <protection locked="0"/>
    </xf>
    <xf numFmtId="0" fontId="3" fillId="2" borderId="3" xfId="0" applyFont="1" applyFill="1" applyBorder="1" applyAlignment="1" applyProtection="1">
      <alignment horizontal="center" vertical="center"/>
      <protection locked="0"/>
    </xf>
    <xf numFmtId="0" fontId="2" fillId="2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 applyProtection="1">
      <alignment horizontal="center" vertical="center"/>
      <protection locked="0"/>
    </xf>
    <xf numFmtId="0" fontId="3" fillId="2" borderId="4" xfId="0" applyFont="1" applyFill="1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>
      <alignment horizontal="center" vertical="center"/>
    </xf>
    <xf numFmtId="177" fontId="5" fillId="3" borderId="2" xfId="0" applyNumberFormat="1" applyFont="1" applyFill="1" applyBorder="1" applyAlignment="1">
      <alignment horizontal="center" vertical="center"/>
    </xf>
    <xf numFmtId="10" fontId="5" fillId="3" borderId="2" xfId="3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77" fontId="5" fillId="3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0" fontId="3" fillId="2" borderId="3" xfId="0" applyFont="1" applyFill="1" applyBorder="1" applyAlignment="1" applyProtection="1">
      <alignment horizontal="center" vertical="center" wrapText="1"/>
      <protection locked="0"/>
    </xf>
    <xf numFmtId="0" fontId="3" fillId="2" borderId="4" xfId="0" applyFont="1" applyFill="1" applyBorder="1" applyAlignment="1" applyProtection="1">
      <alignment horizontal="center" vertical="center" wrapText="1"/>
      <protection locked="0"/>
    </xf>
    <xf numFmtId="0" fontId="4" fillId="3" borderId="2" xfId="0" applyFont="1" applyFill="1" applyBorder="1" applyAlignment="1" applyProtection="1">
      <alignment horizontal="center" vertical="center"/>
      <protection locked="0"/>
    </xf>
    <xf numFmtId="177" fontId="5" fillId="3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3" xfId="0" applyFont="1" applyFill="1" applyBorder="1" applyAlignment="1" applyProtection="1">
      <alignment horizontal="center" vertical="center" wrapText="1"/>
      <protection locked="0"/>
    </xf>
    <xf numFmtId="0" fontId="4" fillId="3" borderId="2" xfId="0" applyFont="1" applyFill="1" applyBorder="1" applyAlignment="1" applyProtection="1">
      <alignment horizontal="center" vertical="center" wrapText="1"/>
      <protection locked="0"/>
    </xf>
    <xf numFmtId="0" fontId="2" fillId="2" borderId="4" xfId="0" applyFont="1" applyFill="1" applyBorder="1" applyAlignment="1" applyProtection="1">
      <alignment horizontal="center" vertical="center" wrapText="1"/>
      <protection locked="0"/>
    </xf>
    <xf numFmtId="10" fontId="5" fillId="4" borderId="2" xfId="3" applyNumberFormat="1" applyFont="1" applyFill="1" applyBorder="1" applyAlignment="1">
      <alignment horizontal="center" vertical="center"/>
    </xf>
    <xf numFmtId="0" fontId="6" fillId="5" borderId="0" xfId="0" applyFont="1" applyFill="1" applyAlignment="1" applyProtection="1">
      <alignment horizontal="center" vertical="center"/>
      <protection locked="0"/>
    </xf>
    <xf numFmtId="0" fontId="7" fillId="5" borderId="0" xfId="0" applyFont="1" applyFill="1" applyAlignment="1" applyProtection="1">
      <alignment vertical="center"/>
      <protection locked="0"/>
    </xf>
    <xf numFmtId="0" fontId="8" fillId="5" borderId="0" xfId="0" applyFont="1" applyFill="1" applyAlignment="1" applyProtection="1">
      <alignment horizontal="center" vertical="center"/>
      <protection locked="0"/>
    </xf>
    <xf numFmtId="0" fontId="9" fillId="5" borderId="0" xfId="0" applyFont="1" applyFill="1" applyAlignment="1" applyProtection="1">
      <alignment horizontal="center" vertical="center"/>
      <protection locked="0"/>
    </xf>
    <xf numFmtId="0" fontId="10" fillId="5" borderId="0" xfId="0" applyFont="1" applyFill="1" applyAlignment="1" applyProtection="1">
      <alignment vertical="center"/>
      <protection locked="0"/>
    </xf>
    <xf numFmtId="0" fontId="11" fillId="6" borderId="0" xfId="0" applyFont="1" applyFill="1" applyAlignment="1" applyProtection="1">
      <alignment vertical="center"/>
      <protection locked="0"/>
    </xf>
    <xf numFmtId="0" fontId="12" fillId="5" borderId="0" xfId="0" applyFont="1" applyFill="1" applyAlignment="1" applyProtection="1">
      <alignment vertical="center"/>
      <protection locked="0"/>
    </xf>
    <xf numFmtId="0" fontId="12" fillId="5" borderId="0" xfId="0" applyFont="1" applyFill="1" applyAlignment="1" applyProtection="1">
      <alignment vertical="center" wrapText="1"/>
      <protection locked="0"/>
    </xf>
    <xf numFmtId="0" fontId="13" fillId="5" borderId="5" xfId="0" applyFont="1" applyFill="1" applyBorder="1" applyAlignment="1" applyProtection="1">
      <alignment horizontal="center" vertical="center"/>
      <protection locked="0"/>
    </xf>
    <xf numFmtId="0" fontId="14" fillId="5" borderId="5" xfId="0" applyFont="1" applyFill="1" applyBorder="1" applyAlignment="1" applyProtection="1">
      <alignment horizontal="center" vertical="center"/>
      <protection locked="0"/>
    </xf>
    <xf numFmtId="0" fontId="15" fillId="2" borderId="2" xfId="0" applyFont="1" applyFill="1" applyBorder="1" applyAlignment="1" applyProtection="1">
      <alignment horizontal="center" vertical="center"/>
      <protection locked="0"/>
    </xf>
    <xf numFmtId="0" fontId="15" fillId="2" borderId="2" xfId="0" applyFont="1" applyFill="1" applyBorder="1" applyAlignment="1" applyProtection="1">
      <alignment horizontal="center" vertical="center" wrapText="1"/>
      <protection locked="0"/>
    </xf>
    <xf numFmtId="0" fontId="15" fillId="6" borderId="2" xfId="0" applyFont="1" applyFill="1" applyBorder="1" applyAlignment="1">
      <alignment horizontal="center" vertical="center"/>
    </xf>
    <xf numFmtId="0" fontId="15" fillId="6" borderId="2" xfId="0" applyFont="1" applyFill="1" applyBorder="1" applyAlignment="1" applyProtection="1">
      <alignment vertical="center" wrapText="1"/>
      <protection locked="0"/>
    </xf>
    <xf numFmtId="0" fontId="15" fillId="0" borderId="2" xfId="0" applyFont="1" applyBorder="1" applyAlignment="1" applyProtection="1">
      <alignment vertical="center" wrapText="1"/>
      <protection locked="0"/>
    </xf>
    <xf numFmtId="0" fontId="16" fillId="6" borderId="2" xfId="0" applyFont="1" applyFill="1" applyBorder="1" applyAlignment="1" applyProtection="1">
      <alignment horizontal="center" vertical="center" wrapText="1"/>
      <protection locked="0"/>
    </xf>
    <xf numFmtId="178" fontId="15" fillId="6" borderId="2" xfId="0" applyNumberFormat="1" applyFont="1" applyFill="1" applyBorder="1" applyAlignment="1" applyProtection="1">
      <alignment vertical="center"/>
      <protection locked="0"/>
    </xf>
    <xf numFmtId="0" fontId="15" fillId="6" borderId="2" xfId="0" applyFont="1" applyFill="1" applyBorder="1" applyAlignment="1" applyProtection="1">
      <alignment vertical="center"/>
      <protection locked="0"/>
    </xf>
    <xf numFmtId="179" fontId="15" fillId="7" borderId="2" xfId="0" applyNumberFormat="1" applyFont="1" applyFill="1" applyBorder="1" applyAlignment="1" applyProtection="1">
      <alignment vertical="center"/>
      <protection locked="0"/>
    </xf>
    <xf numFmtId="0" fontId="15" fillId="3" borderId="2" xfId="0" applyFont="1" applyFill="1" applyBorder="1" applyAlignment="1">
      <alignment horizontal="center" vertical="center"/>
    </xf>
    <xf numFmtId="11" fontId="15" fillId="7" borderId="2" xfId="0" applyNumberFormat="1" applyFont="1" applyFill="1" applyBorder="1" applyAlignment="1" applyProtection="1">
      <alignment vertical="center"/>
      <protection locked="0"/>
    </xf>
    <xf numFmtId="9" fontId="15" fillId="7" borderId="2" xfId="0" applyNumberFormat="1" applyFont="1" applyFill="1" applyBorder="1" applyAlignment="1" applyProtection="1">
      <alignment horizontal="center" vertical="center"/>
      <protection locked="0"/>
    </xf>
    <xf numFmtId="0" fontId="15" fillId="5" borderId="2" xfId="0" applyFont="1" applyFill="1" applyBorder="1" applyAlignment="1" applyProtection="1">
      <alignment horizontal="center" vertical="center"/>
      <protection locked="0"/>
    </xf>
    <xf numFmtId="180" fontId="15" fillId="3" borderId="2" xfId="0" applyNumberFormat="1" applyFont="1" applyFill="1" applyBorder="1" applyAlignment="1">
      <alignment horizontal="center" vertical="center"/>
    </xf>
    <xf numFmtId="0" fontId="15" fillId="3" borderId="2" xfId="0" applyFont="1" applyFill="1" applyBorder="1" applyAlignment="1">
      <alignment vertical="center"/>
    </xf>
    <xf numFmtId="178" fontId="15" fillId="3" borderId="2" xfId="0" applyNumberFormat="1" applyFont="1" applyFill="1" applyBorder="1" applyAlignment="1">
      <alignment horizontal="center" vertical="center"/>
    </xf>
    <xf numFmtId="0" fontId="17" fillId="5" borderId="0" xfId="0" applyFont="1" applyFill="1" applyAlignment="1" applyProtection="1">
      <alignment vertical="center"/>
      <protection locked="0"/>
    </xf>
    <xf numFmtId="0" fontId="17" fillId="5" borderId="0" xfId="0" applyFont="1" applyFill="1" applyAlignment="1" applyProtection="1">
      <alignment vertical="center" wrapText="1"/>
      <protection locked="0"/>
    </xf>
    <xf numFmtId="178" fontId="17" fillId="8" borderId="6" xfId="0" applyNumberFormat="1" applyFont="1" applyFill="1" applyBorder="1" applyAlignment="1">
      <alignment horizontal="center" vertical="center"/>
    </xf>
    <xf numFmtId="178" fontId="17" fillId="8" borderId="7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vertical="center"/>
    </xf>
    <xf numFmtId="0" fontId="19" fillId="9" borderId="2" xfId="0" applyFont="1" applyFill="1" applyBorder="1" applyAlignment="1">
      <alignment horizontal="center" vertical="center"/>
    </xf>
    <xf numFmtId="0" fontId="19" fillId="9" borderId="2" xfId="0" applyFont="1" applyFill="1" applyBorder="1" applyAlignment="1">
      <alignment horizontal="left" vertical="center"/>
    </xf>
    <xf numFmtId="0" fontId="20" fillId="5" borderId="2" xfId="0" applyFont="1" applyFill="1" applyBorder="1" applyAlignment="1">
      <alignment horizontal="center" vertical="center"/>
    </xf>
    <xf numFmtId="0" fontId="21" fillId="0" borderId="2" xfId="0" applyFont="1" applyBorder="1" applyAlignment="1">
      <alignment horizontal="center" vertical="center" wrapText="1"/>
    </xf>
    <xf numFmtId="0" fontId="21" fillId="0" borderId="2" xfId="0" applyFont="1" applyBorder="1" applyAlignment="1">
      <alignment horizontal="left" vertical="center" wrapText="1"/>
    </xf>
    <xf numFmtId="0" fontId="22" fillId="10" borderId="2" xfId="0" applyFont="1" applyFill="1" applyBorder="1" applyAlignment="1">
      <alignment horizontal="center" vertical="center"/>
    </xf>
    <xf numFmtId="0" fontId="22" fillId="10" borderId="2" xfId="0" applyFont="1" applyFill="1" applyBorder="1" applyAlignment="1">
      <alignment horizontal="center" vertical="center" wrapText="1"/>
    </xf>
    <xf numFmtId="0" fontId="22" fillId="10" borderId="2" xfId="0" applyFont="1" applyFill="1" applyBorder="1" applyAlignment="1">
      <alignment horizontal="left" vertical="center" wrapText="1"/>
    </xf>
    <xf numFmtId="0" fontId="22" fillId="10" borderId="2" xfId="0" applyFont="1" applyFill="1" applyBorder="1" applyAlignment="1">
      <alignment horizontal="left" vertical="center"/>
    </xf>
    <xf numFmtId="0" fontId="23" fillId="0" borderId="0" xfId="0" applyFont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24" fillId="9" borderId="2" xfId="0" applyFont="1" applyFill="1" applyBorder="1" applyAlignment="1">
      <alignment horizontal="center" vertical="center"/>
    </xf>
    <xf numFmtId="0" fontId="24" fillId="9" borderId="2" xfId="0" applyFont="1" applyFill="1" applyBorder="1" applyAlignment="1">
      <alignment horizontal="left" vertical="center"/>
    </xf>
    <xf numFmtId="0" fontId="20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left" vertical="center" wrapText="1"/>
    </xf>
    <xf numFmtId="0" fontId="25" fillId="10" borderId="2" xfId="0" applyFont="1" applyFill="1" applyBorder="1" applyAlignment="1">
      <alignment horizontal="center" vertical="center" wrapText="1"/>
    </xf>
    <xf numFmtId="0" fontId="25" fillId="10" borderId="2" xfId="0" applyFont="1" applyFill="1" applyBorder="1" applyAlignment="1">
      <alignment horizontal="left" vertical="center" wrapText="1"/>
    </xf>
    <xf numFmtId="0" fontId="26" fillId="5" borderId="0" xfId="0" applyFont="1" applyFill="1" applyAlignment="1">
      <alignment horizontal="center" vertical="center"/>
    </xf>
    <xf numFmtId="0" fontId="27" fillId="5" borderId="0" xfId="0" applyFont="1" applyFill="1" applyAlignment="1">
      <alignment horizontal="center" vertical="center"/>
    </xf>
    <xf numFmtId="0" fontId="28" fillId="6" borderId="0" xfId="0" applyFont="1" applyFill="1" applyAlignment="1">
      <alignment vertical="center"/>
    </xf>
    <xf numFmtId="0" fontId="29" fillId="6" borderId="0" xfId="59" applyFont="1" applyFill="1" applyAlignment="1">
      <alignment vertical="center"/>
    </xf>
    <xf numFmtId="0" fontId="29" fillId="6" borderId="0" xfId="0" applyFont="1" applyFill="1" applyAlignment="1">
      <alignment vertical="center"/>
    </xf>
    <xf numFmtId="0" fontId="29" fillId="5" borderId="0" xfId="0" applyFont="1" applyFill="1" applyAlignment="1">
      <alignment horizontal="center" vertical="center"/>
    </xf>
    <xf numFmtId="0" fontId="29" fillId="5" borderId="2" xfId="0" applyFont="1" applyFill="1" applyBorder="1" applyAlignment="1">
      <alignment vertical="center"/>
    </xf>
    <xf numFmtId="0" fontId="29" fillId="5" borderId="2" xfId="0" applyFont="1" applyFill="1" applyBorder="1" applyAlignment="1">
      <alignment horizontal="center" vertical="center"/>
    </xf>
    <xf numFmtId="0" fontId="26" fillId="2" borderId="2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1" fillId="2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32" fillId="6" borderId="2" xfId="0" applyFont="1" applyFill="1" applyBorder="1" applyAlignment="1">
      <alignment vertical="center" wrapText="1"/>
    </xf>
    <xf numFmtId="0" fontId="33" fillId="6" borderId="2" xfId="0" applyFont="1" applyFill="1" applyBorder="1" applyAlignment="1">
      <alignment horizontal="left" vertical="center"/>
    </xf>
    <xf numFmtId="0" fontId="29" fillId="6" borderId="2" xfId="0" applyFont="1" applyFill="1" applyBorder="1" applyAlignment="1">
      <alignment horizontal="center" vertical="center" wrapText="1"/>
    </xf>
    <xf numFmtId="9" fontId="29" fillId="11" borderId="2" xfId="3" applyFont="1" applyFill="1" applyBorder="1" applyAlignment="1">
      <alignment horizontal="center" vertical="center"/>
    </xf>
    <xf numFmtId="181" fontId="29" fillId="11" borderId="2" xfId="0" applyNumberFormat="1" applyFont="1" applyFill="1" applyBorder="1" applyAlignment="1">
      <alignment horizontal="center" vertical="center"/>
    </xf>
    <xf numFmtId="182" fontId="29" fillId="6" borderId="2" xfId="0" applyNumberFormat="1" applyFont="1" applyFill="1" applyBorder="1" applyAlignment="1">
      <alignment horizontal="center" vertical="center"/>
    </xf>
    <xf numFmtId="0" fontId="34" fillId="0" borderId="2" xfId="0" applyFont="1" applyBorder="1" applyAlignment="1" applyProtection="1">
      <alignment vertical="center"/>
      <protection locked="0"/>
    </xf>
    <xf numFmtId="0" fontId="34" fillId="6" borderId="2" xfId="0" applyFont="1" applyFill="1" applyBorder="1" applyAlignment="1" applyProtection="1">
      <alignment vertical="center" wrapText="1"/>
      <protection locked="0"/>
    </xf>
    <xf numFmtId="0" fontId="29" fillId="11" borderId="2" xfId="0" applyFont="1" applyFill="1" applyBorder="1" applyAlignment="1">
      <alignment horizontal="center" vertical="center"/>
    </xf>
    <xf numFmtId="0" fontId="35" fillId="12" borderId="2" xfId="0" applyFont="1" applyFill="1" applyBorder="1" applyAlignment="1">
      <alignment horizontal="left" vertical="center"/>
    </xf>
    <xf numFmtId="0" fontId="33" fillId="12" borderId="2" xfId="0" applyFont="1" applyFill="1" applyBorder="1" applyAlignment="1">
      <alignment horizontal="left" vertical="center"/>
    </xf>
    <xf numFmtId="0" fontId="29" fillId="12" borderId="2" xfId="0" applyFont="1" applyFill="1" applyBorder="1" applyAlignment="1">
      <alignment horizontal="center" vertical="center"/>
    </xf>
    <xf numFmtId="0" fontId="29" fillId="12" borderId="2" xfId="0" applyFont="1" applyFill="1" applyBorder="1" applyAlignment="1">
      <alignment horizontal="center" vertical="center" wrapText="1"/>
    </xf>
    <xf numFmtId="0" fontId="33" fillId="6" borderId="2" xfId="0" applyFont="1" applyFill="1" applyBorder="1" applyAlignment="1">
      <alignment vertical="center" wrapText="1"/>
    </xf>
    <xf numFmtId="9" fontId="29" fillId="11" borderId="2" xfId="0" applyNumberFormat="1" applyFont="1" applyFill="1" applyBorder="1" applyAlignment="1">
      <alignment horizontal="center" vertical="center"/>
    </xf>
    <xf numFmtId="0" fontId="29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left" vertical="center"/>
    </xf>
    <xf numFmtId="0" fontId="33" fillId="6" borderId="0" xfId="0" applyFont="1" applyFill="1" applyAlignment="1">
      <alignment horizontal="left" vertical="center"/>
    </xf>
    <xf numFmtId="0" fontId="29" fillId="6" borderId="0" xfId="0" applyFont="1" applyFill="1" applyAlignment="1">
      <alignment horizontal="center" vertical="center" wrapText="1"/>
    </xf>
    <xf numFmtId="9" fontId="29" fillId="6" borderId="0" xfId="3" applyFont="1" applyFill="1" applyBorder="1" applyAlignment="1">
      <alignment horizontal="center" vertical="center"/>
    </xf>
    <xf numFmtId="181" fontId="29" fillId="6" borderId="0" xfId="0" applyNumberFormat="1" applyFont="1" applyFill="1" applyAlignment="1">
      <alignment horizontal="center" vertical="center"/>
    </xf>
    <xf numFmtId="182" fontId="29" fillId="6" borderId="0" xfId="0" applyNumberFormat="1" applyFont="1" applyFill="1" applyAlignment="1">
      <alignment horizontal="center" vertical="center"/>
    </xf>
    <xf numFmtId="183" fontId="29" fillId="12" borderId="2" xfId="0" applyNumberFormat="1" applyFont="1" applyFill="1" applyBorder="1" applyAlignment="1">
      <alignment horizontal="center" vertical="center"/>
    </xf>
    <xf numFmtId="184" fontId="29" fillId="12" borderId="2" xfId="0" applyNumberFormat="1" applyFont="1" applyFill="1" applyBorder="1" applyAlignment="1">
      <alignment horizontal="center" vertical="center"/>
    </xf>
    <xf numFmtId="0" fontId="33" fillId="11" borderId="2" xfId="0" applyFont="1" applyFill="1" applyBorder="1" applyAlignment="1">
      <alignment horizontal="left" vertical="center"/>
    </xf>
    <xf numFmtId="183" fontId="29" fillId="11" borderId="2" xfId="0" applyNumberFormat="1" applyFont="1" applyFill="1" applyBorder="1" applyAlignment="1">
      <alignment horizontal="center" vertical="center"/>
    </xf>
    <xf numFmtId="184" fontId="29" fillId="11" borderId="2" xfId="0" applyNumberFormat="1" applyFont="1" applyFill="1" applyBorder="1" applyAlignment="1">
      <alignment horizontal="center" vertical="center"/>
    </xf>
    <xf numFmtId="0" fontId="32" fillId="5" borderId="2" xfId="0" applyFont="1" applyFill="1" applyBorder="1" applyAlignment="1">
      <alignment vertical="center" wrapText="1"/>
    </xf>
    <xf numFmtId="0" fontId="33" fillId="0" borderId="2" xfId="0" applyFont="1" applyBorder="1" applyAlignment="1">
      <alignment horizontal="left" vertical="center"/>
    </xf>
    <xf numFmtId="0" fontId="29" fillId="0" borderId="2" xfId="0" applyFont="1" applyBorder="1" applyAlignment="1">
      <alignment horizontal="left" vertical="center"/>
    </xf>
    <xf numFmtId="183" fontId="29" fillId="6" borderId="2" xfId="0" applyNumberFormat="1" applyFont="1" applyFill="1" applyBorder="1" applyAlignment="1">
      <alignment horizontal="center" vertical="center"/>
    </xf>
    <xf numFmtId="184" fontId="29" fillId="6" borderId="2" xfId="0" applyNumberFormat="1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 vertical="center"/>
    </xf>
    <xf numFmtId="0" fontId="32" fillId="13" borderId="2" xfId="0" applyFont="1" applyFill="1" applyBorder="1" applyAlignment="1">
      <alignment vertical="center" wrapText="1"/>
    </xf>
    <xf numFmtId="0" fontId="29" fillId="13" borderId="2" xfId="0" applyFont="1" applyFill="1" applyBorder="1" applyAlignment="1">
      <alignment horizontal="left" vertical="center"/>
    </xf>
    <xf numFmtId="0" fontId="33" fillId="13" borderId="2" xfId="0" applyFont="1" applyFill="1" applyBorder="1" applyAlignment="1">
      <alignment horizontal="left" vertical="center"/>
    </xf>
    <xf numFmtId="0" fontId="29" fillId="13" borderId="2" xfId="0" applyFont="1" applyFill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33" fillId="0" borderId="0" xfId="0" applyFont="1" applyAlignment="1">
      <alignment horizontal="left" vertical="center"/>
    </xf>
    <xf numFmtId="179" fontId="28" fillId="0" borderId="0" xfId="69" applyNumberFormat="1" applyFont="1" applyAlignment="1">
      <alignment horizontal="center" vertical="center"/>
    </xf>
    <xf numFmtId="184" fontId="29" fillId="0" borderId="0" xfId="0" applyNumberFormat="1" applyFont="1" applyAlignment="1">
      <alignment horizontal="center" vertical="center"/>
    </xf>
    <xf numFmtId="0" fontId="28" fillId="5" borderId="0" xfId="0" applyFont="1" applyFill="1" applyAlignment="1">
      <alignment horizontal="left" vertical="center"/>
    </xf>
    <xf numFmtId="0" fontId="26" fillId="2" borderId="2" xfId="0" applyFont="1" applyFill="1" applyBorder="1" applyAlignment="1">
      <alignment vertical="center"/>
    </xf>
    <xf numFmtId="0" fontId="30" fillId="2" borderId="1" xfId="0" applyFont="1" applyFill="1" applyBorder="1" applyAlignment="1">
      <alignment horizontal="center" vertical="center"/>
    </xf>
    <xf numFmtId="0" fontId="26" fillId="2" borderId="1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26" fillId="2" borderId="4" xfId="0" applyFont="1" applyFill="1" applyBorder="1" applyAlignment="1">
      <alignment horizontal="center" vertical="center"/>
    </xf>
    <xf numFmtId="0" fontId="36" fillId="0" borderId="2" xfId="0" applyFont="1" applyBorder="1" applyAlignment="1">
      <alignment horizontal="left" vertical="center"/>
    </xf>
    <xf numFmtId="0" fontId="35" fillId="6" borderId="2" xfId="0" applyFont="1" applyFill="1" applyBorder="1" applyAlignment="1">
      <alignment horizontal="left" vertical="center"/>
    </xf>
    <xf numFmtId="185" fontId="29" fillId="5" borderId="2" xfId="0" applyNumberFormat="1" applyFont="1" applyFill="1" applyBorder="1" applyAlignment="1">
      <alignment horizontal="center" vertical="center"/>
    </xf>
    <xf numFmtId="0" fontId="28" fillId="5" borderId="2" xfId="0" applyFont="1" applyFill="1" applyBorder="1" applyAlignment="1" applyProtection="1">
      <alignment horizontal="center" vertical="center"/>
      <protection locked="0"/>
    </xf>
    <xf numFmtId="0" fontId="28" fillId="14" borderId="8" xfId="0" applyFont="1" applyFill="1" applyBorder="1" applyAlignment="1">
      <alignment horizontal="center" vertical="center"/>
    </xf>
    <xf numFmtId="0" fontId="28" fillId="14" borderId="9" xfId="0" applyFont="1" applyFill="1" applyBorder="1" applyAlignment="1">
      <alignment horizontal="center" vertical="center"/>
    </xf>
    <xf numFmtId="0" fontId="28" fillId="14" borderId="2" xfId="0" applyFont="1" applyFill="1" applyBorder="1" applyAlignment="1">
      <alignment horizontal="center" vertical="center"/>
    </xf>
    <xf numFmtId="0" fontId="29" fillId="0" borderId="2" xfId="0" applyFont="1" applyBorder="1" applyAlignment="1">
      <alignment vertical="center"/>
    </xf>
    <xf numFmtId="0" fontId="32" fillId="6" borderId="2" xfId="0" applyFont="1" applyFill="1" applyBorder="1" applyAlignment="1">
      <alignment horizontal="left" vertical="center"/>
    </xf>
    <xf numFmtId="9" fontId="29" fillId="5" borderId="2" xfId="0" applyNumberFormat="1" applyFont="1" applyFill="1" applyBorder="1" applyAlignment="1">
      <alignment horizontal="center" vertical="center"/>
    </xf>
    <xf numFmtId="184" fontId="29" fillId="0" borderId="2" xfId="0" applyNumberFormat="1" applyFont="1" applyBorder="1" applyAlignment="1">
      <alignment horizontal="center" vertical="center"/>
    </xf>
    <xf numFmtId="0" fontId="28" fillId="15" borderId="8" xfId="0" applyFont="1" applyFill="1" applyBorder="1" applyAlignment="1">
      <alignment horizontal="center" vertical="center"/>
    </xf>
    <xf numFmtId="0" fontId="28" fillId="15" borderId="9" xfId="0" applyFont="1" applyFill="1" applyBorder="1" applyAlignment="1">
      <alignment horizontal="center" vertical="center"/>
    </xf>
    <xf numFmtId="0" fontId="28" fillId="15" borderId="2" xfId="0" applyFont="1" applyFill="1" applyBorder="1" applyAlignment="1">
      <alignment horizontal="center" vertical="center"/>
    </xf>
    <xf numFmtId="0" fontId="33" fillId="0" borderId="2" xfId="0" applyFont="1" applyBorder="1" applyAlignment="1">
      <alignment vertical="center"/>
    </xf>
    <xf numFmtId="0" fontId="28" fillId="0" borderId="2" xfId="0" applyFont="1" applyBorder="1" applyAlignment="1" applyProtection="1">
      <alignment horizontal="left" vertical="center"/>
      <protection locked="0"/>
    </xf>
    <xf numFmtId="0" fontId="28" fillId="0" borderId="0" xfId="0" applyFont="1" applyAlignment="1">
      <alignment vertical="center"/>
    </xf>
    <xf numFmtId="0" fontId="28" fillId="0" borderId="2" xfId="0" applyFont="1" applyBorder="1" applyAlignment="1">
      <alignment horizontal="left" vertical="center"/>
    </xf>
    <xf numFmtId="0" fontId="28" fillId="6" borderId="2" xfId="0" applyFont="1" applyFill="1" applyBorder="1" applyAlignment="1">
      <alignment horizontal="left" vertical="center"/>
    </xf>
    <xf numFmtId="0" fontId="28" fillId="14" borderId="2" xfId="0" applyFont="1" applyFill="1" applyBorder="1" applyAlignment="1">
      <alignment vertical="center"/>
    </xf>
    <xf numFmtId="179" fontId="28" fillId="16" borderId="2" xfId="69" applyNumberFormat="1" applyFont="1" applyFill="1" applyBorder="1" applyAlignment="1">
      <alignment horizontal="center" vertical="center"/>
    </xf>
    <xf numFmtId="0" fontId="28" fillId="6" borderId="2" xfId="0" applyFont="1" applyFill="1" applyBorder="1" applyAlignment="1" applyProtection="1">
      <alignment horizontal="center" vertical="center"/>
      <protection locked="0"/>
    </xf>
    <xf numFmtId="179" fontId="28" fillId="15" borderId="8" xfId="69" applyNumberFormat="1" applyFont="1" applyFill="1" applyBorder="1" applyAlignment="1">
      <alignment horizontal="center" vertical="center"/>
    </xf>
    <xf numFmtId="179" fontId="28" fillId="15" borderId="9" xfId="69" applyNumberFormat="1" applyFont="1" applyFill="1" applyBorder="1" applyAlignment="1">
      <alignment horizontal="center" vertical="center"/>
    </xf>
    <xf numFmtId="0" fontId="29" fillId="5" borderId="0" xfId="0" applyFont="1" applyFill="1" applyAlignment="1">
      <alignment vertical="center" wrapText="1"/>
    </xf>
    <xf numFmtId="0" fontId="26" fillId="2" borderId="2" xfId="0" applyFont="1" applyFill="1" applyBorder="1" applyAlignment="1">
      <alignment horizontal="center" vertical="center" wrapText="1"/>
    </xf>
    <xf numFmtId="0" fontId="37" fillId="2" borderId="2" xfId="0" applyFont="1" applyFill="1" applyBorder="1" applyAlignment="1">
      <alignment horizontal="center" vertical="center" wrapText="1"/>
    </xf>
    <xf numFmtId="0" fontId="28" fillId="0" borderId="2" xfId="0" applyFont="1" applyBorder="1" applyAlignment="1">
      <alignment horizontal="center" vertical="center" wrapText="1"/>
    </xf>
    <xf numFmtId="0" fontId="28" fillId="5" borderId="2" xfId="0" applyFont="1" applyFill="1" applyBorder="1" applyAlignment="1">
      <alignment horizontal="left" vertical="center" wrapText="1"/>
    </xf>
    <xf numFmtId="186" fontId="28" fillId="0" borderId="2" xfId="0" applyNumberFormat="1" applyFont="1" applyBorder="1" applyAlignment="1">
      <alignment horizontal="left" vertical="center"/>
    </xf>
    <xf numFmtId="0" fontId="28" fillId="0" borderId="2" xfId="0" applyFont="1" applyBorder="1" applyAlignment="1">
      <alignment vertical="center"/>
    </xf>
    <xf numFmtId="186" fontId="28" fillId="11" borderId="2" xfId="0" applyNumberFormat="1" applyFont="1" applyFill="1" applyBorder="1" applyAlignment="1">
      <alignment horizontal="center" vertical="center"/>
    </xf>
    <xf numFmtId="0" fontId="28" fillId="0" borderId="2" xfId="0" applyFont="1" applyBorder="1" applyAlignment="1">
      <alignment horizontal="center" vertical="center"/>
    </xf>
    <xf numFmtId="0" fontId="29" fillId="11" borderId="8" xfId="0" applyFont="1" applyFill="1" applyBorder="1" applyAlignment="1">
      <alignment horizontal="left" vertical="center"/>
    </xf>
    <xf numFmtId="0" fontId="32" fillId="11" borderId="10" xfId="0" applyFont="1" applyFill="1" applyBorder="1" applyAlignment="1">
      <alignment horizontal="left" vertical="center"/>
    </xf>
    <xf numFmtId="0" fontId="32" fillId="11" borderId="9" xfId="0" applyFont="1" applyFill="1" applyBorder="1" applyAlignment="1">
      <alignment horizontal="left" vertical="center"/>
    </xf>
    <xf numFmtId="186" fontId="28" fillId="0" borderId="2" xfId="0" applyNumberFormat="1" applyFont="1" applyBorder="1" applyAlignment="1">
      <alignment horizontal="center" vertical="center"/>
    </xf>
    <xf numFmtId="0" fontId="29" fillId="5" borderId="8" xfId="0" applyFont="1" applyFill="1" applyBorder="1" applyAlignment="1">
      <alignment horizontal="left" vertical="center"/>
    </xf>
    <xf numFmtId="0" fontId="32" fillId="5" borderId="10" xfId="0" applyFont="1" applyFill="1" applyBorder="1" applyAlignment="1">
      <alignment horizontal="left" vertical="center"/>
    </xf>
    <xf numFmtId="0" fontId="32" fillId="5" borderId="9" xfId="0" applyFont="1" applyFill="1" applyBorder="1" applyAlignment="1">
      <alignment horizontal="left" vertical="center"/>
    </xf>
    <xf numFmtId="0" fontId="28" fillId="0" borderId="0" xfId="0" applyFont="1" applyAlignment="1">
      <alignment horizontal="center" vertical="center" wrapText="1"/>
    </xf>
    <xf numFmtId="0" fontId="28" fillId="5" borderId="0" xfId="0" applyFont="1" applyFill="1" applyAlignment="1">
      <alignment horizontal="left" vertical="center" wrapText="1"/>
    </xf>
    <xf numFmtId="0" fontId="32" fillId="6" borderId="0" xfId="0" applyFont="1" applyFill="1" applyAlignment="1">
      <alignment horizontal="left" vertical="center"/>
    </xf>
    <xf numFmtId="0" fontId="29" fillId="5" borderId="0" xfId="0" applyFont="1" applyFill="1" applyAlignment="1">
      <alignment horizontal="left" vertical="center"/>
    </xf>
    <xf numFmtId="0" fontId="26" fillId="17" borderId="1" xfId="0" applyFont="1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26" fillId="17" borderId="8" xfId="0" applyFont="1" applyFill="1" applyBorder="1" applyAlignment="1">
      <alignment horizontal="center" vertical="center"/>
    </xf>
    <xf numFmtId="0" fontId="26" fillId="17" borderId="9" xfId="0" applyFont="1" applyFill="1" applyBorder="1" applyAlignment="1">
      <alignment horizontal="center" vertical="center"/>
    </xf>
    <xf numFmtId="0" fontId="26" fillId="17" borderId="8" xfId="0" applyFont="1" applyFill="1" applyBorder="1" applyAlignment="1">
      <alignment vertical="center"/>
    </xf>
    <xf numFmtId="0" fontId="26" fillId="17" borderId="4" xfId="0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0" fontId="26" fillId="17" borderId="2" xfId="0" applyFont="1" applyFill="1" applyBorder="1" applyAlignment="1">
      <alignment horizontal="center" vertical="center"/>
    </xf>
    <xf numFmtId="0" fontId="34" fillId="6" borderId="4" xfId="0" applyFont="1" applyFill="1" applyBorder="1" applyAlignment="1" applyProtection="1">
      <alignment vertical="center" wrapText="1"/>
      <protection locked="0"/>
    </xf>
    <xf numFmtId="187" fontId="29" fillId="6" borderId="2" xfId="0" applyNumberFormat="1" applyFont="1" applyFill="1" applyBorder="1" applyAlignment="1">
      <alignment horizontal="center" vertical="center"/>
    </xf>
    <xf numFmtId="0" fontId="38" fillId="6" borderId="2" xfId="0" applyFont="1" applyFill="1" applyBorder="1" applyAlignment="1" applyProtection="1">
      <alignment horizontal="center" vertical="center"/>
      <protection locked="0"/>
    </xf>
    <xf numFmtId="0" fontId="34" fillId="11" borderId="4" xfId="0" applyFont="1" applyFill="1" applyBorder="1" applyAlignment="1" applyProtection="1">
      <alignment vertical="center" wrapText="1"/>
      <protection locked="0"/>
    </xf>
    <xf numFmtId="0" fontId="29" fillId="15" borderId="2" xfId="0" applyFont="1" applyFill="1" applyBorder="1" applyAlignment="1">
      <alignment horizontal="center" vertical="center"/>
    </xf>
    <xf numFmtId="187" fontId="29" fillId="11" borderId="2" xfId="0" applyNumberFormat="1" applyFont="1" applyFill="1" applyBorder="1" applyAlignment="1">
      <alignment horizontal="center" vertical="center"/>
    </xf>
    <xf numFmtId="0" fontId="34" fillId="6" borderId="2" xfId="0" applyFont="1" applyFill="1" applyBorder="1" applyAlignment="1" applyProtection="1">
      <alignment vertical="center"/>
      <protection locked="0"/>
    </xf>
    <xf numFmtId="0" fontId="34" fillId="6" borderId="0" xfId="0" applyFont="1" applyFill="1" applyAlignment="1" applyProtection="1">
      <alignment vertical="center" wrapText="1"/>
      <protection locked="0"/>
    </xf>
    <xf numFmtId="0" fontId="34" fillId="6" borderId="0" xfId="0" applyFont="1" applyFill="1" applyAlignment="1" applyProtection="1">
      <alignment vertical="center"/>
      <protection locked="0"/>
    </xf>
    <xf numFmtId="0" fontId="38" fillId="6" borderId="0" xfId="0" applyFont="1" applyFill="1" applyAlignment="1" applyProtection="1">
      <alignment horizontal="center" vertical="center"/>
      <protection locked="0"/>
    </xf>
    <xf numFmtId="187" fontId="29" fillId="6" borderId="0" xfId="0" applyNumberFormat="1" applyFont="1" applyFill="1" applyAlignment="1">
      <alignment horizontal="center" vertical="center"/>
    </xf>
    <xf numFmtId="0" fontId="34" fillId="11" borderId="2" xfId="0" applyFont="1" applyFill="1" applyBorder="1" applyAlignment="1" applyProtection="1">
      <alignment vertical="center"/>
      <protection locked="0"/>
    </xf>
    <xf numFmtId="0" fontId="38" fillId="11" borderId="2" xfId="0" applyFont="1" applyFill="1" applyBorder="1" applyAlignment="1" applyProtection="1">
      <alignment horizontal="center" vertical="center"/>
      <protection locked="0"/>
    </xf>
    <xf numFmtId="0" fontId="38" fillId="4" borderId="2" xfId="0" applyFont="1" applyFill="1" applyBorder="1" applyAlignment="1" applyProtection="1">
      <alignment horizontal="center" vertical="center"/>
      <protection locked="0"/>
    </xf>
    <xf numFmtId="0" fontId="34" fillId="0" borderId="4" xfId="0" applyFont="1" applyBorder="1" applyAlignment="1" applyProtection="1">
      <alignment vertical="center"/>
      <protection locked="0"/>
    </xf>
    <xf numFmtId="0" fontId="29" fillId="6" borderId="2" xfId="59" applyFont="1" applyFill="1" applyBorder="1" applyAlignment="1">
      <alignment horizontal="center" vertical="center"/>
    </xf>
    <xf numFmtId="0" fontId="34" fillId="6" borderId="4" xfId="59" applyFont="1" applyFill="1" applyBorder="1" applyAlignment="1" applyProtection="1">
      <alignment vertical="center" wrapText="1"/>
      <protection locked="0"/>
    </xf>
    <xf numFmtId="0" fontId="34" fillId="0" borderId="4" xfId="59" applyFont="1" applyBorder="1" applyAlignment="1" applyProtection="1">
      <alignment vertical="center"/>
      <protection locked="0"/>
    </xf>
    <xf numFmtId="187" fontId="29" fillId="6" borderId="2" xfId="59" applyNumberFormat="1" applyFont="1" applyFill="1" applyBorder="1" applyAlignment="1">
      <alignment horizontal="center" vertical="center"/>
    </xf>
    <xf numFmtId="184" fontId="29" fillId="6" borderId="2" xfId="59" applyNumberFormat="1" applyFont="1" applyFill="1" applyBorder="1" applyAlignment="1">
      <alignment horizontal="center" vertical="center"/>
    </xf>
    <xf numFmtId="183" fontId="29" fillId="6" borderId="2" xfId="59" applyNumberFormat="1" applyFont="1" applyFill="1" applyBorder="1" applyAlignment="1">
      <alignment horizontal="center" vertical="center"/>
    </xf>
    <xf numFmtId="11" fontId="29" fillId="5" borderId="0" xfId="0" applyNumberFormat="1" applyFont="1" applyFill="1" applyAlignment="1">
      <alignment horizontal="left" vertical="center"/>
    </xf>
    <xf numFmtId="0" fontId="30" fillId="17" borderId="2" xfId="0" applyFont="1" applyFill="1" applyBorder="1" applyAlignment="1">
      <alignment horizontal="center" vertical="center"/>
    </xf>
    <xf numFmtId="0" fontId="29" fillId="11" borderId="8" xfId="0" applyFont="1" applyFill="1" applyBorder="1" applyAlignment="1">
      <alignment horizontal="center" vertical="center"/>
    </xf>
    <xf numFmtId="0" fontId="29" fillId="11" borderId="9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vertical="center"/>
    </xf>
    <xf numFmtId="0" fontId="29" fillId="15" borderId="8" xfId="0" applyFont="1" applyFill="1" applyBorder="1" applyAlignment="1">
      <alignment horizontal="center" vertical="center"/>
    </xf>
    <xf numFmtId="0" fontId="29" fillId="15" borderId="9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vertical="center" wrapText="1"/>
    </xf>
    <xf numFmtId="0" fontId="34" fillId="0" borderId="0" xfId="0" applyFont="1" applyAlignment="1" applyProtection="1">
      <alignment vertical="center"/>
      <protection locked="0"/>
    </xf>
    <xf numFmtId="183" fontId="29" fillId="11" borderId="0" xfId="0" applyNumberFormat="1" applyFont="1" applyFill="1" applyAlignment="1">
      <alignment horizontal="center" vertical="center"/>
    </xf>
    <xf numFmtId="184" fontId="29" fillId="6" borderId="0" xfId="0" applyNumberFormat="1" applyFont="1" applyFill="1" applyAlignment="1">
      <alignment horizontal="center" vertical="center"/>
    </xf>
    <xf numFmtId="0" fontId="29" fillId="15" borderId="0" xfId="0" applyFont="1" applyFill="1" applyAlignment="1">
      <alignment horizontal="center" vertical="center"/>
    </xf>
    <xf numFmtId="0" fontId="29" fillId="6" borderId="0" xfId="0" applyFont="1" applyFill="1" applyAlignment="1">
      <alignment vertical="center" wrapText="1"/>
    </xf>
    <xf numFmtId="9" fontId="29" fillId="6" borderId="2" xfId="3" applyFont="1" applyFill="1" applyBorder="1" applyAlignment="1">
      <alignment horizontal="center" vertical="center"/>
    </xf>
    <xf numFmtId="181" fontId="29" fillId="6" borderId="2" xfId="0" applyNumberFormat="1" applyFont="1" applyFill="1" applyBorder="1" applyAlignment="1">
      <alignment horizontal="center" vertical="center"/>
    </xf>
    <xf numFmtId="0" fontId="26" fillId="17" borderId="3" xfId="0" applyFont="1" applyFill="1" applyBorder="1" applyAlignment="1">
      <alignment horizontal="center" vertical="center"/>
    </xf>
    <xf numFmtId="0" fontId="30" fillId="17" borderId="3" xfId="0" applyFont="1" applyFill="1" applyBorder="1" applyAlignment="1">
      <alignment horizontal="center" vertical="center"/>
    </xf>
    <xf numFmtId="0" fontId="26" fillId="17" borderId="11" xfId="0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horizontal="right" vertical="center"/>
    </xf>
    <xf numFmtId="0" fontId="30" fillId="2" borderId="13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26" fillId="2" borderId="15" xfId="0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/>
    </xf>
    <xf numFmtId="0" fontId="30" fillId="2" borderId="17" xfId="0" applyFont="1" applyFill="1" applyBorder="1" applyAlignment="1">
      <alignment horizontal="center" vertical="center"/>
    </xf>
    <xf numFmtId="0" fontId="29" fillId="5" borderId="18" xfId="0" applyFont="1" applyFill="1" applyBorder="1" applyAlignment="1">
      <alignment vertical="center"/>
    </xf>
    <xf numFmtId="0" fontId="35" fillId="5" borderId="19" xfId="0" applyFont="1" applyFill="1" applyBorder="1" applyAlignment="1">
      <alignment vertical="center"/>
    </xf>
    <xf numFmtId="0" fontId="29" fillId="5" borderId="20" xfId="0" applyFont="1" applyFill="1" applyBorder="1" applyAlignment="1">
      <alignment vertical="center"/>
    </xf>
    <xf numFmtId="180" fontId="29" fillId="5" borderId="21" xfId="0" applyNumberFormat="1" applyFont="1" applyFill="1" applyBorder="1" applyAlignment="1">
      <alignment horizontal="right" vertical="center" wrapText="1"/>
    </xf>
    <xf numFmtId="0" fontId="29" fillId="0" borderId="22" xfId="0" applyFont="1" applyBorder="1" applyAlignment="1">
      <alignment horizontal="right" vertical="center"/>
    </xf>
    <xf numFmtId="0" fontId="29" fillId="0" borderId="23" xfId="0" applyFont="1" applyBorder="1" applyAlignment="1">
      <alignment horizontal="right" vertical="center"/>
    </xf>
    <xf numFmtId="0" fontId="29" fillId="0" borderId="5" xfId="0" applyFont="1" applyBorder="1" applyAlignment="1">
      <alignment horizontal="right" vertical="center"/>
    </xf>
    <xf numFmtId="0" fontId="29" fillId="5" borderId="24" xfId="0" applyFont="1" applyFill="1" applyBorder="1" applyAlignment="1">
      <alignment horizontal="center" vertical="center"/>
    </xf>
    <xf numFmtId="188" fontId="29" fillId="5" borderId="25" xfId="0" applyNumberFormat="1" applyFont="1" applyFill="1" applyBorder="1" applyAlignment="1">
      <alignment horizontal="right" vertical="center" wrapText="1"/>
    </xf>
    <xf numFmtId="0" fontId="29" fillId="0" borderId="19" xfId="0" applyFont="1" applyBorder="1" applyAlignment="1">
      <alignment horizontal="right" vertical="center"/>
    </xf>
    <xf numFmtId="0" fontId="29" fillId="0" borderId="24" xfId="0" applyFont="1" applyBorder="1" applyAlignment="1">
      <alignment horizontal="right" vertical="center"/>
    </xf>
    <xf numFmtId="180" fontId="29" fillId="5" borderId="25" xfId="0" applyNumberFormat="1" applyFont="1" applyFill="1" applyBorder="1" applyAlignment="1">
      <alignment horizontal="right" vertical="center" wrapText="1"/>
    </xf>
    <xf numFmtId="0" fontId="29" fillId="3" borderId="18" xfId="0" applyFont="1" applyFill="1" applyBorder="1" applyAlignment="1">
      <alignment vertical="center"/>
    </xf>
    <xf numFmtId="0" fontId="29" fillId="3" borderId="19" xfId="0" applyFont="1" applyFill="1" applyBorder="1" applyAlignment="1">
      <alignment vertical="center"/>
    </xf>
    <xf numFmtId="0" fontId="29" fillId="3" borderId="20" xfId="0" applyFont="1" applyFill="1" applyBorder="1" applyAlignment="1">
      <alignment vertical="center"/>
    </xf>
    <xf numFmtId="0" fontId="29" fillId="3" borderId="25" xfId="0" applyFont="1" applyFill="1" applyBorder="1" applyAlignment="1">
      <alignment horizontal="right" vertical="center"/>
    </xf>
    <xf numFmtId="180" fontId="29" fillId="3" borderId="19" xfId="0" applyNumberFormat="1" applyFont="1" applyFill="1" applyBorder="1" applyAlignment="1">
      <alignment horizontal="right" vertical="center" wrapText="1"/>
    </xf>
    <xf numFmtId="180" fontId="29" fillId="3" borderId="24" xfId="0" applyNumberFormat="1" applyFont="1" applyFill="1" applyBorder="1" applyAlignment="1">
      <alignment horizontal="right" vertical="center" wrapText="1"/>
    </xf>
    <xf numFmtId="0" fontId="29" fillId="3" borderId="5" xfId="0" applyFont="1" applyFill="1" applyBorder="1" applyAlignment="1">
      <alignment horizontal="right" vertical="center"/>
    </xf>
    <xf numFmtId="0" fontId="29" fillId="3" borderId="24" xfId="0" applyFont="1" applyFill="1" applyBorder="1" applyAlignment="1">
      <alignment horizontal="center" vertical="center"/>
    </xf>
    <xf numFmtId="0" fontId="35" fillId="3" borderId="19" xfId="0" applyFont="1" applyFill="1" applyBorder="1" applyAlignment="1">
      <alignment vertical="center"/>
    </xf>
    <xf numFmtId="188" fontId="29" fillId="3" borderId="19" xfId="0" applyNumberFormat="1" applyFont="1" applyFill="1" applyBorder="1" applyAlignment="1">
      <alignment horizontal="right" vertical="center" wrapText="1"/>
    </xf>
    <xf numFmtId="177" fontId="29" fillId="3" borderId="19" xfId="0" applyNumberFormat="1" applyFont="1" applyFill="1" applyBorder="1" applyAlignment="1">
      <alignment horizontal="right" vertical="center" wrapText="1"/>
    </xf>
    <xf numFmtId="180" fontId="28" fillId="3" borderId="19" xfId="0" applyNumberFormat="1" applyFont="1" applyFill="1" applyBorder="1" applyAlignment="1">
      <alignment horizontal="right" vertical="center" wrapText="1"/>
    </xf>
    <xf numFmtId="0" fontId="29" fillId="5" borderId="19" xfId="0" applyFont="1" applyFill="1" applyBorder="1" applyAlignment="1">
      <alignment vertical="center"/>
    </xf>
    <xf numFmtId="0" fontId="29" fillId="0" borderId="25" xfId="0" applyFont="1" applyBorder="1" applyAlignment="1">
      <alignment horizontal="right" vertical="center"/>
    </xf>
    <xf numFmtId="40" fontId="29" fillId="5" borderId="19" xfId="0" applyNumberFormat="1" applyFont="1" applyFill="1" applyBorder="1" applyAlignment="1">
      <alignment horizontal="right" vertical="center" wrapText="1"/>
    </xf>
    <xf numFmtId="0" fontId="35" fillId="5" borderId="24" xfId="0" applyFont="1" applyFill="1" applyBorder="1" applyAlignment="1">
      <alignment horizontal="center" vertical="center"/>
    </xf>
    <xf numFmtId="38" fontId="29" fillId="5" borderId="19" xfId="0" applyNumberFormat="1" applyFont="1" applyFill="1" applyBorder="1" applyAlignment="1">
      <alignment horizontal="right" vertical="center"/>
    </xf>
    <xf numFmtId="40" fontId="29" fillId="5" borderId="19" xfId="0" applyNumberFormat="1" applyFont="1" applyFill="1" applyBorder="1" applyAlignment="1">
      <alignment horizontal="right" vertical="center"/>
    </xf>
    <xf numFmtId="40" fontId="29" fillId="0" borderId="19" xfId="0" applyNumberFormat="1" applyFont="1" applyBorder="1" applyAlignment="1">
      <alignment horizontal="right" vertical="center"/>
    </xf>
    <xf numFmtId="38" fontId="29" fillId="0" borderId="19" xfId="0" applyNumberFormat="1" applyFont="1" applyBorder="1" applyAlignment="1">
      <alignment horizontal="right" vertical="center"/>
    </xf>
    <xf numFmtId="0" fontId="29" fillId="5" borderId="25" xfId="0" applyFont="1" applyFill="1" applyBorder="1" applyAlignment="1">
      <alignment horizontal="right" vertical="center"/>
    </xf>
    <xf numFmtId="0" fontId="29" fillId="5" borderId="24" xfId="0" applyFont="1" applyFill="1" applyBorder="1" applyAlignment="1">
      <alignment horizontal="right" vertical="center"/>
    </xf>
    <xf numFmtId="0" fontId="29" fillId="3" borderId="19" xfId="0" applyFont="1" applyFill="1" applyBorder="1" applyAlignment="1">
      <alignment horizontal="right" vertical="center"/>
    </xf>
    <xf numFmtId="0" fontId="29" fillId="3" borderId="26" xfId="0" applyFont="1" applyFill="1" applyBorder="1" applyAlignment="1">
      <alignment horizontal="right" vertical="center"/>
    </xf>
    <xf numFmtId="0" fontId="29" fillId="18" borderId="18" xfId="0" applyFont="1" applyFill="1" applyBorder="1" applyAlignment="1">
      <alignment vertical="center"/>
    </xf>
    <xf numFmtId="0" fontId="35" fillId="18" borderId="19" xfId="0" applyFont="1" applyFill="1" applyBorder="1" applyAlignment="1">
      <alignment vertical="center"/>
    </xf>
    <xf numFmtId="0" fontId="29" fillId="18" borderId="20" xfId="0" applyFont="1" applyFill="1" applyBorder="1" applyAlignment="1">
      <alignment vertical="center"/>
    </xf>
    <xf numFmtId="180" fontId="29" fillId="18" borderId="25" xfId="0" applyNumberFormat="1" applyFont="1" applyFill="1" applyBorder="1" applyAlignment="1">
      <alignment horizontal="right" vertical="center" wrapText="1"/>
    </xf>
    <xf numFmtId="0" fontId="29" fillId="18" borderId="19" xfId="0" applyFont="1" applyFill="1" applyBorder="1" applyAlignment="1">
      <alignment horizontal="right" vertical="center"/>
    </xf>
    <xf numFmtId="0" fontId="29" fillId="18" borderId="24" xfId="0" applyFont="1" applyFill="1" applyBorder="1" applyAlignment="1">
      <alignment horizontal="right" vertical="center"/>
    </xf>
    <xf numFmtId="0" fontId="29" fillId="18" borderId="26" xfId="0" applyFont="1" applyFill="1" applyBorder="1" applyAlignment="1">
      <alignment horizontal="right" vertical="center"/>
    </xf>
    <xf numFmtId="0" fontId="29" fillId="18" borderId="24" xfId="0" applyFont="1" applyFill="1" applyBorder="1" applyAlignment="1">
      <alignment horizontal="center" vertical="center"/>
    </xf>
    <xf numFmtId="0" fontId="29" fillId="18" borderId="27" xfId="0" applyFont="1" applyFill="1" applyBorder="1" applyAlignment="1">
      <alignment vertical="center"/>
    </xf>
    <xf numFmtId="0" fontId="35" fillId="18" borderId="28" xfId="0" applyFont="1" applyFill="1" applyBorder="1" applyAlignment="1">
      <alignment vertical="center"/>
    </xf>
    <xf numFmtId="0" fontId="29" fillId="18" borderId="29" xfId="0" applyFont="1" applyFill="1" applyBorder="1" applyAlignment="1">
      <alignment vertical="center"/>
    </xf>
    <xf numFmtId="180" fontId="29" fillId="18" borderId="30" xfId="0" applyNumberFormat="1" applyFont="1" applyFill="1" applyBorder="1" applyAlignment="1">
      <alignment horizontal="right" vertical="center" wrapText="1"/>
    </xf>
    <xf numFmtId="0" fontId="29" fillId="18" borderId="28" xfId="0" applyFont="1" applyFill="1" applyBorder="1" applyAlignment="1">
      <alignment horizontal="right" vertical="center"/>
    </xf>
    <xf numFmtId="0" fontId="29" fillId="18" borderId="31" xfId="0" applyFont="1" applyFill="1" applyBorder="1" applyAlignment="1">
      <alignment horizontal="right" vertical="center"/>
    </xf>
    <xf numFmtId="0" fontId="29" fillId="18" borderId="32" xfId="0" applyFont="1" applyFill="1" applyBorder="1" applyAlignment="1">
      <alignment horizontal="right" vertical="center"/>
    </xf>
    <xf numFmtId="0" fontId="29" fillId="18" borderId="31" xfId="0" applyFont="1" applyFill="1" applyBorder="1" applyAlignment="1">
      <alignment horizontal="center" vertical="center"/>
    </xf>
    <xf numFmtId="0" fontId="39" fillId="0" borderId="0" xfId="0" applyFont="1" applyAlignment="1">
      <alignment vertical="center"/>
    </xf>
    <xf numFmtId="0" fontId="40" fillId="0" borderId="33" xfId="0" applyFont="1" applyBorder="1" applyAlignment="1">
      <alignment horizontal="center" vertical="center"/>
    </xf>
    <xf numFmtId="0" fontId="26" fillId="2" borderId="14" xfId="0" applyFont="1" applyFill="1" applyBorder="1" applyAlignment="1" applyProtection="1">
      <alignment horizontal="center" vertical="center"/>
      <protection locked="0"/>
    </xf>
    <xf numFmtId="0" fontId="26" fillId="2" borderId="14" xfId="0" applyFont="1" applyFill="1" applyBorder="1" applyAlignment="1" applyProtection="1">
      <alignment horizontal="center" vertical="center" wrapText="1"/>
      <protection locked="0"/>
    </xf>
    <xf numFmtId="189" fontId="26" fillId="2" borderId="14" xfId="0" applyNumberFormat="1" applyFont="1" applyFill="1" applyBorder="1" applyAlignment="1" applyProtection="1">
      <alignment horizontal="center" vertical="center" wrapText="1"/>
      <protection locked="0"/>
    </xf>
    <xf numFmtId="0" fontId="26" fillId="2" borderId="17" xfId="0" applyFont="1" applyFill="1" applyBorder="1" applyAlignment="1" applyProtection="1">
      <alignment horizontal="center" vertical="center" wrapText="1"/>
      <protection locked="0"/>
    </xf>
    <xf numFmtId="0" fontId="41" fillId="3" borderId="18" xfId="0" applyFont="1" applyFill="1" applyBorder="1" applyAlignment="1">
      <alignment horizontal="center" vertical="center"/>
    </xf>
    <xf numFmtId="0" fontId="29" fillId="3" borderId="19" xfId="0" applyFont="1" applyFill="1" applyBorder="1" applyAlignment="1">
      <alignment horizontal="left" vertical="center" wrapText="1"/>
    </xf>
    <xf numFmtId="0" fontId="35" fillId="6" borderId="19" xfId="0" applyFont="1" applyFill="1" applyBorder="1" applyAlignment="1" applyProtection="1">
      <alignment vertical="center"/>
      <protection locked="0"/>
    </xf>
    <xf numFmtId="0" fontId="41" fillId="3" borderId="19" xfId="0" applyFont="1" applyFill="1" applyBorder="1" applyAlignment="1">
      <alignment horizontal="center" vertical="center" wrapText="1"/>
    </xf>
    <xf numFmtId="0" fontId="41" fillId="3" borderId="19" xfId="0" applyFont="1" applyFill="1" applyBorder="1" applyAlignment="1">
      <alignment horizontal="center" vertical="center"/>
    </xf>
    <xf numFmtId="190" fontId="41" fillId="3" borderId="19" xfId="0" applyNumberFormat="1" applyFont="1" applyFill="1" applyBorder="1" applyAlignment="1">
      <alignment horizontal="center" vertical="center"/>
    </xf>
    <xf numFmtId="179" fontId="41" fillId="3" borderId="19" xfId="0" applyNumberFormat="1" applyFont="1" applyFill="1" applyBorder="1" applyAlignment="1">
      <alignment horizontal="right" vertical="center"/>
    </xf>
    <xf numFmtId="10" fontId="41" fillId="3" borderId="19" xfId="0" applyNumberFormat="1" applyFont="1" applyFill="1" applyBorder="1" applyAlignment="1">
      <alignment horizontal="center" vertical="center"/>
    </xf>
    <xf numFmtId="179" fontId="41" fillId="3" borderId="24" xfId="0" applyNumberFormat="1" applyFont="1" applyFill="1" applyBorder="1" applyAlignment="1">
      <alignment horizontal="center" vertical="center"/>
    </xf>
    <xf numFmtId="0" fontId="35" fillId="4" borderId="19" xfId="0" applyFont="1" applyFill="1" applyBorder="1" applyAlignment="1" applyProtection="1">
      <alignment vertical="center"/>
      <protection locked="0"/>
    </xf>
    <xf numFmtId="0" fontId="39" fillId="0" borderId="0" xfId="0" applyFont="1" applyAlignment="1" applyProtection="1">
      <alignment vertical="center"/>
      <protection locked="0"/>
    </xf>
    <xf numFmtId="191" fontId="39" fillId="4" borderId="0" xfId="0" applyNumberFormat="1" applyFont="1" applyFill="1" applyAlignment="1">
      <alignment horizontal="right" vertical="center"/>
    </xf>
    <xf numFmtId="0" fontId="42" fillId="3" borderId="13" xfId="0" applyFont="1" applyFill="1" applyBorder="1" applyAlignment="1">
      <alignment horizontal="center" vertical="center" wrapText="1"/>
    </xf>
    <xf numFmtId="179" fontId="41" fillId="3" borderId="17" xfId="0" applyNumberFormat="1" applyFont="1" applyFill="1" applyBorder="1" applyAlignment="1">
      <alignment horizontal="center" vertical="center"/>
    </xf>
    <xf numFmtId="0" fontId="42" fillId="3" borderId="27" xfId="0" applyFont="1" applyFill="1" applyBorder="1" applyAlignment="1">
      <alignment horizontal="center" vertical="center" wrapText="1"/>
    </xf>
    <xf numFmtId="0" fontId="41" fillId="3" borderId="31" xfId="0" applyFont="1" applyFill="1" applyBorder="1" applyAlignment="1">
      <alignment horizontal="center" vertical="center"/>
    </xf>
    <xf numFmtId="189" fontId="39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0" fontId="43" fillId="3" borderId="13" xfId="0" applyFont="1" applyFill="1" applyBorder="1" applyAlignment="1">
      <alignment vertical="center"/>
    </xf>
    <xf numFmtId="0" fontId="39" fillId="3" borderId="17" xfId="0" applyFont="1" applyFill="1" applyBorder="1" applyAlignment="1">
      <alignment vertical="center"/>
    </xf>
    <xf numFmtId="0" fontId="43" fillId="3" borderId="18" xfId="0" applyFont="1" applyFill="1" applyBorder="1" applyAlignment="1">
      <alignment vertical="center"/>
    </xf>
    <xf numFmtId="0" fontId="39" fillId="3" borderId="24" xfId="0" applyFont="1" applyFill="1" applyBorder="1" applyAlignment="1">
      <alignment vertical="center"/>
    </xf>
    <xf numFmtId="0" fontId="43" fillId="3" borderId="27" xfId="0" applyFont="1" applyFill="1" applyBorder="1" applyAlignment="1">
      <alignment vertical="center"/>
    </xf>
    <xf numFmtId="0" fontId="39" fillId="3" borderId="31" xfId="0" applyFont="1" applyFill="1" applyBorder="1" applyAlignment="1">
      <alignment vertical="center"/>
    </xf>
    <xf numFmtId="0" fontId="12" fillId="6" borderId="0" xfId="0" applyFont="1" applyFill="1" applyAlignment="1" applyProtection="1">
      <alignment vertical="center"/>
      <protection locked="0"/>
    </xf>
    <xf numFmtId="0" fontId="14" fillId="5" borderId="0" xfId="0" applyFont="1" applyFill="1" applyAlignment="1" applyProtection="1">
      <alignment horizontal="center" vertical="center"/>
      <protection locked="0"/>
    </xf>
    <xf numFmtId="0" fontId="6" fillId="2" borderId="2" xfId="0" applyFont="1" applyFill="1" applyBorder="1" applyAlignment="1" applyProtection="1">
      <alignment horizontal="center" vertical="center"/>
      <protection locked="0"/>
    </xf>
    <xf numFmtId="0" fontId="28" fillId="6" borderId="2" xfId="0" applyFont="1" applyFill="1" applyBorder="1" applyAlignment="1">
      <alignment horizontal="center" vertical="center"/>
    </xf>
    <xf numFmtId="0" fontId="28" fillId="6" borderId="2" xfId="0" applyFont="1" applyFill="1" applyBorder="1" applyAlignment="1" applyProtection="1">
      <alignment vertical="center" wrapText="1"/>
      <protection locked="0"/>
    </xf>
    <xf numFmtId="0" fontId="28" fillId="0" borderId="2" xfId="0" applyFont="1" applyBorder="1" applyAlignment="1" applyProtection="1">
      <alignment vertical="center"/>
      <protection locked="0"/>
    </xf>
    <xf numFmtId="0" fontId="36" fillId="0" borderId="2" xfId="0" applyFont="1" applyBorder="1" applyAlignment="1" applyProtection="1">
      <alignment horizontal="left" vertical="center"/>
      <protection locked="0"/>
    </xf>
    <xf numFmtId="0" fontId="36" fillId="6" borderId="2" xfId="0" applyFont="1" applyFill="1" applyBorder="1" applyAlignment="1" applyProtection="1">
      <alignment horizontal="center" vertical="center"/>
      <protection locked="0"/>
    </xf>
    <xf numFmtId="178" fontId="28" fillId="0" borderId="2" xfId="0" applyNumberFormat="1" applyFont="1" applyBorder="1" applyAlignment="1" applyProtection="1">
      <alignment vertical="center"/>
      <protection locked="0"/>
    </xf>
    <xf numFmtId="0" fontId="28" fillId="6" borderId="2" xfId="0" applyFont="1" applyFill="1" applyBorder="1" applyAlignment="1" applyProtection="1">
      <alignment vertical="center"/>
      <protection locked="0"/>
    </xf>
    <xf numFmtId="179" fontId="28" fillId="7" borderId="2" xfId="0" applyNumberFormat="1" applyFont="1" applyFill="1" applyBorder="1" applyAlignment="1" applyProtection="1">
      <alignment vertical="center"/>
      <protection locked="0"/>
    </xf>
    <xf numFmtId="0" fontId="28" fillId="3" borderId="2" xfId="0" applyFont="1" applyFill="1" applyBorder="1" applyAlignment="1">
      <alignment horizontal="center" vertical="center"/>
    </xf>
    <xf numFmtId="11" fontId="28" fillId="7" borderId="2" xfId="0" applyNumberFormat="1" applyFont="1" applyFill="1" applyBorder="1" applyAlignment="1" applyProtection="1">
      <alignment vertical="center"/>
      <protection locked="0"/>
    </xf>
    <xf numFmtId="9" fontId="28" fillId="7" borderId="2" xfId="0" applyNumberFormat="1" applyFont="1" applyFill="1" applyBorder="1" applyAlignment="1" applyProtection="1">
      <alignment horizontal="center" vertical="center"/>
      <protection locked="0"/>
    </xf>
    <xf numFmtId="180" fontId="28" fillId="3" borderId="2" xfId="0" applyNumberFormat="1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vertical="center"/>
    </xf>
    <xf numFmtId="178" fontId="28" fillId="3" borderId="2" xfId="0" applyNumberFormat="1" applyFont="1" applyFill="1" applyBorder="1" applyAlignment="1">
      <alignment horizontal="center" vertical="center"/>
    </xf>
    <xf numFmtId="178" fontId="38" fillId="0" borderId="2" xfId="0" applyNumberFormat="1" applyFont="1" applyBorder="1" applyAlignment="1" applyProtection="1">
      <alignment vertical="center"/>
      <protection locked="0"/>
    </xf>
    <xf numFmtId="0" fontId="38" fillId="6" borderId="2" xfId="0" applyFont="1" applyFill="1" applyBorder="1" applyAlignment="1" applyProtection="1">
      <alignment vertical="center"/>
      <protection locked="0"/>
    </xf>
    <xf numFmtId="0" fontId="38" fillId="3" borderId="2" xfId="0" applyFont="1" applyFill="1" applyBorder="1" applyAlignment="1">
      <alignment horizontal="center" vertical="center"/>
    </xf>
    <xf numFmtId="0" fontId="38" fillId="0" borderId="2" xfId="0" applyFont="1" applyBorder="1" applyAlignment="1" applyProtection="1">
      <alignment vertical="center"/>
      <protection locked="0"/>
    </xf>
    <xf numFmtId="9" fontId="38" fillId="7" borderId="2" xfId="0" applyNumberFormat="1" applyFont="1" applyFill="1" applyBorder="1" applyAlignment="1" applyProtection="1">
      <alignment horizontal="center" vertical="center"/>
      <protection locked="0"/>
    </xf>
    <xf numFmtId="0" fontId="38" fillId="5" borderId="2" xfId="0" applyFont="1" applyFill="1" applyBorder="1" applyAlignment="1" applyProtection="1">
      <alignment horizontal="center" vertical="center"/>
      <protection locked="0"/>
    </xf>
    <xf numFmtId="180" fontId="38" fillId="3" borderId="2" xfId="0" applyNumberFormat="1" applyFont="1" applyFill="1" applyBorder="1" applyAlignment="1">
      <alignment horizontal="right" vertical="center"/>
    </xf>
    <xf numFmtId="0" fontId="38" fillId="5" borderId="2" xfId="0" applyFont="1" applyFill="1" applyBorder="1" applyAlignment="1" applyProtection="1">
      <alignment horizontal="left" vertical="center"/>
      <protection locked="0"/>
    </xf>
    <xf numFmtId="11" fontId="38" fillId="7" borderId="2" xfId="0" applyNumberFormat="1" applyFont="1" applyFill="1" applyBorder="1" applyAlignment="1" applyProtection="1">
      <alignment vertical="center"/>
      <protection locked="0"/>
    </xf>
    <xf numFmtId="0" fontId="38" fillId="3" borderId="2" xfId="0" applyFont="1" applyFill="1" applyBorder="1" applyAlignment="1">
      <alignment vertical="center"/>
    </xf>
    <xf numFmtId="178" fontId="38" fillId="11" borderId="2" xfId="0" applyNumberFormat="1" applyFont="1" applyFill="1" applyBorder="1" applyAlignment="1" applyProtection="1">
      <alignment vertical="center"/>
      <protection locked="0"/>
    </xf>
    <xf numFmtId="0" fontId="36" fillId="6" borderId="19" xfId="0" applyFont="1" applyFill="1" applyBorder="1" applyAlignment="1" applyProtection="1">
      <alignment vertical="center" wrapText="1"/>
      <protection locked="0"/>
    </xf>
    <xf numFmtId="0" fontId="36" fillId="0" borderId="2" xfId="0" applyFont="1" applyBorder="1" applyAlignment="1" applyProtection="1">
      <alignment vertical="center"/>
      <protection locked="0"/>
    </xf>
    <xf numFmtId="0" fontId="36" fillId="0" borderId="34" xfId="0" applyFont="1" applyBorder="1" applyAlignment="1" applyProtection="1">
      <alignment horizontal="left" vertical="center"/>
      <protection locked="0"/>
    </xf>
    <xf numFmtId="178" fontId="28" fillId="11" borderId="12" xfId="0" applyNumberFormat="1" applyFont="1" applyFill="1" applyBorder="1" applyAlignment="1" applyProtection="1">
      <alignment vertical="center"/>
      <protection locked="0"/>
    </xf>
    <xf numFmtId="0" fontId="28" fillId="6" borderId="35" xfId="0" applyFont="1" applyFill="1" applyBorder="1" applyAlignment="1" applyProtection="1">
      <alignment vertical="center"/>
      <protection locked="0"/>
    </xf>
    <xf numFmtId="0" fontId="28" fillId="6" borderId="19" xfId="0" applyFont="1" applyFill="1" applyBorder="1" applyAlignment="1" applyProtection="1">
      <alignment vertical="center"/>
      <protection locked="0"/>
    </xf>
    <xf numFmtId="0" fontId="28" fillId="3" borderId="19" xfId="0" applyFont="1" applyFill="1" applyBorder="1" applyAlignment="1">
      <alignment horizontal="center" vertical="center"/>
    </xf>
    <xf numFmtId="9" fontId="28" fillId="7" borderId="12" xfId="0" applyNumberFormat="1" applyFont="1" applyFill="1" applyBorder="1" applyAlignment="1" applyProtection="1">
      <alignment horizontal="center" vertical="center"/>
      <protection locked="0"/>
    </xf>
    <xf numFmtId="0" fontId="28" fillId="5" borderId="19" xfId="0" applyFont="1" applyFill="1" applyBorder="1" applyAlignment="1" applyProtection="1">
      <alignment horizontal="center" vertical="center"/>
      <protection locked="0"/>
    </xf>
    <xf numFmtId="180" fontId="28" fillId="3" borderId="19" xfId="0" applyNumberFormat="1" applyFont="1" applyFill="1" applyBorder="1" applyAlignment="1">
      <alignment horizontal="center" vertical="center"/>
    </xf>
    <xf numFmtId="11" fontId="28" fillId="7" borderId="19" xfId="0" applyNumberFormat="1" applyFont="1" applyFill="1" applyBorder="1" applyAlignment="1" applyProtection="1">
      <alignment vertical="center"/>
      <protection locked="0"/>
    </xf>
    <xf numFmtId="0" fontId="28" fillId="3" borderId="19" xfId="0" applyFont="1" applyFill="1" applyBorder="1" applyAlignment="1">
      <alignment vertical="center"/>
    </xf>
    <xf numFmtId="0" fontId="44" fillId="6" borderId="2" xfId="0" applyFont="1" applyFill="1" applyBorder="1" applyAlignment="1" applyProtection="1">
      <alignment vertical="center" wrapText="1"/>
      <protection locked="0"/>
    </xf>
    <xf numFmtId="0" fontId="44" fillId="0" borderId="2" xfId="0" applyFont="1" applyBorder="1" applyAlignment="1" applyProtection="1">
      <alignment vertical="center"/>
      <protection locked="0"/>
    </xf>
    <xf numFmtId="0" fontId="44" fillId="6" borderId="2" xfId="0" applyFont="1" applyFill="1" applyBorder="1" applyAlignment="1" applyProtection="1">
      <alignment horizontal="center" vertical="center"/>
      <protection locked="0"/>
    </xf>
    <xf numFmtId="178" fontId="45" fillId="0" borderId="2" xfId="0" applyNumberFormat="1" applyFont="1" applyBorder="1" applyAlignment="1" applyProtection="1">
      <alignment vertical="center"/>
      <protection locked="0"/>
    </xf>
    <xf numFmtId="0" fontId="45" fillId="6" borderId="2" xfId="0" applyFont="1" applyFill="1" applyBorder="1" applyAlignment="1" applyProtection="1">
      <alignment vertical="center"/>
      <protection locked="0"/>
    </xf>
    <xf numFmtId="0" fontId="45" fillId="3" borderId="2" xfId="0" applyFont="1" applyFill="1" applyBorder="1" applyAlignment="1">
      <alignment horizontal="center" vertical="center"/>
    </xf>
    <xf numFmtId="0" fontId="45" fillId="0" borderId="2" xfId="0" applyFont="1" applyBorder="1" applyAlignment="1" applyProtection="1">
      <alignment vertical="center"/>
      <protection locked="0"/>
    </xf>
    <xf numFmtId="9" fontId="45" fillId="7" borderId="2" xfId="0" applyNumberFormat="1" applyFont="1" applyFill="1" applyBorder="1" applyAlignment="1" applyProtection="1">
      <alignment horizontal="center" vertical="center"/>
      <protection locked="0"/>
    </xf>
    <xf numFmtId="0" fontId="45" fillId="5" borderId="2" xfId="0" applyFont="1" applyFill="1" applyBorder="1" applyAlignment="1" applyProtection="1">
      <alignment horizontal="center" vertical="center"/>
      <protection locked="0"/>
    </xf>
    <xf numFmtId="180" fontId="45" fillId="3" borderId="2" xfId="0" applyNumberFormat="1" applyFont="1" applyFill="1" applyBorder="1" applyAlignment="1">
      <alignment horizontal="right" vertical="center"/>
    </xf>
    <xf numFmtId="0" fontId="45" fillId="5" borderId="2" xfId="0" applyFont="1" applyFill="1" applyBorder="1" applyAlignment="1" applyProtection="1">
      <alignment horizontal="left" vertical="center"/>
      <protection locked="0"/>
    </xf>
    <xf numFmtId="11" fontId="45" fillId="7" borderId="2" xfId="0" applyNumberFormat="1" applyFont="1" applyFill="1" applyBorder="1" applyAlignment="1" applyProtection="1">
      <alignment vertical="center"/>
      <protection locked="0"/>
    </xf>
    <xf numFmtId="0" fontId="45" fillId="3" borderId="2" xfId="0" applyFont="1" applyFill="1" applyBorder="1" applyAlignment="1">
      <alignment vertical="center"/>
    </xf>
    <xf numFmtId="178" fontId="45" fillId="3" borderId="2" xfId="0" applyNumberFormat="1" applyFont="1" applyFill="1" applyBorder="1" applyAlignment="1">
      <alignment horizontal="center" vertical="center"/>
    </xf>
    <xf numFmtId="185" fontId="28" fillId="11" borderId="2" xfId="0" applyNumberFormat="1" applyFont="1" applyFill="1" applyBorder="1" applyAlignment="1" applyProtection="1">
      <alignment horizontal="center" vertical="center"/>
      <protection locked="0"/>
    </xf>
    <xf numFmtId="180" fontId="28" fillId="3" borderId="2" xfId="0" applyNumberFormat="1" applyFont="1" applyFill="1" applyBorder="1" applyAlignment="1">
      <alignment horizontal="right" vertical="center"/>
    </xf>
    <xf numFmtId="0" fontId="28" fillId="6" borderId="2" xfId="0" applyFont="1" applyFill="1" applyBorder="1" applyAlignment="1" applyProtection="1">
      <alignment horizontal="left" vertical="center"/>
      <protection locked="0"/>
    </xf>
    <xf numFmtId="9" fontId="28" fillId="7" borderId="2" xfId="3" applyFont="1" applyFill="1" applyBorder="1" applyAlignment="1" applyProtection="1">
      <alignment vertical="center"/>
      <protection locked="0"/>
    </xf>
    <xf numFmtId="11" fontId="28" fillId="11" borderId="2" xfId="0" applyNumberFormat="1" applyFont="1" applyFill="1" applyBorder="1" applyAlignment="1" applyProtection="1">
      <alignment vertical="center"/>
      <protection locked="0"/>
    </xf>
    <xf numFmtId="0" fontId="36" fillId="6" borderId="34" xfId="0" applyFont="1" applyFill="1" applyBorder="1" applyAlignment="1" applyProtection="1">
      <alignment vertical="center" wrapText="1"/>
      <protection locked="0"/>
    </xf>
    <xf numFmtId="178" fontId="28" fillId="0" borderId="12" xfId="0" applyNumberFormat="1" applyFont="1" applyBorder="1" applyAlignment="1" applyProtection="1">
      <alignment vertical="center"/>
      <protection locked="0"/>
    </xf>
    <xf numFmtId="9" fontId="28" fillId="7" borderId="12" xfId="3" applyFont="1" applyFill="1" applyBorder="1" applyAlignment="1" applyProtection="1">
      <alignment vertical="center"/>
      <protection locked="0"/>
    </xf>
    <xf numFmtId="11" fontId="28" fillId="11" borderId="19" xfId="0" applyNumberFormat="1" applyFont="1" applyFill="1" applyBorder="1" applyAlignment="1" applyProtection="1">
      <alignment vertical="center"/>
      <protection locked="0"/>
    </xf>
    <xf numFmtId="0" fontId="28" fillId="0" borderId="35" xfId="0" applyFont="1" applyBorder="1" applyAlignment="1" applyProtection="1">
      <alignment vertical="center"/>
      <protection locked="0"/>
    </xf>
    <xf numFmtId="0" fontId="45" fillId="5" borderId="19" xfId="0" applyFont="1" applyFill="1" applyBorder="1" applyAlignment="1" applyProtection="1">
      <alignment horizontal="center" vertical="center"/>
      <protection locked="0"/>
    </xf>
    <xf numFmtId="0" fontId="45" fillId="3" borderId="19" xfId="0" applyFont="1" applyFill="1" applyBorder="1" applyAlignment="1">
      <alignment horizontal="center" vertical="center"/>
    </xf>
    <xf numFmtId="185" fontId="28" fillId="7" borderId="2" xfId="0" applyNumberFormat="1" applyFont="1" applyFill="1" applyBorder="1" applyAlignment="1" applyProtection="1">
      <alignment horizontal="center" vertical="center"/>
      <protection locked="0"/>
    </xf>
    <xf numFmtId="0" fontId="36" fillId="6" borderId="2" xfId="0" applyFont="1" applyFill="1" applyBorder="1" applyAlignment="1" applyProtection="1">
      <alignment vertical="center" wrapText="1"/>
      <protection locked="0"/>
    </xf>
    <xf numFmtId="192" fontId="28" fillId="7" borderId="2" xfId="0" applyNumberFormat="1" applyFont="1" applyFill="1" applyBorder="1" applyAlignment="1" applyProtection="1">
      <alignment vertical="center"/>
      <protection locked="0"/>
    </xf>
    <xf numFmtId="193" fontId="28" fillId="7" borderId="2" xfId="0" applyNumberFormat="1" applyFont="1" applyFill="1" applyBorder="1" applyAlignment="1" applyProtection="1">
      <alignment vertical="center"/>
      <protection locked="0"/>
    </xf>
    <xf numFmtId="0" fontId="44" fillId="0" borderId="2" xfId="0" applyFont="1" applyBorder="1" applyAlignment="1" applyProtection="1">
      <alignment horizontal="left" vertical="center"/>
      <protection locked="0"/>
    </xf>
    <xf numFmtId="193" fontId="45" fillId="7" borderId="2" xfId="0" applyNumberFormat="1" applyFont="1" applyFill="1" applyBorder="1" applyAlignment="1" applyProtection="1">
      <alignment vertical="center"/>
      <protection locked="0"/>
    </xf>
    <xf numFmtId="0" fontId="44" fillId="11" borderId="2" xfId="0" applyFont="1" applyFill="1" applyBorder="1" applyAlignment="1" applyProtection="1">
      <alignment vertical="center"/>
      <protection locked="0"/>
    </xf>
    <xf numFmtId="178" fontId="45" fillId="6" borderId="2" xfId="0" applyNumberFormat="1" applyFont="1" applyFill="1" applyBorder="1" applyAlignment="1" applyProtection="1">
      <alignment vertical="center"/>
      <protection locked="0"/>
    </xf>
    <xf numFmtId="192" fontId="45" fillId="7" borderId="2" xfId="0" applyNumberFormat="1" applyFont="1" applyFill="1" applyBorder="1" applyAlignment="1" applyProtection="1">
      <alignment vertical="center"/>
      <protection locked="0"/>
    </xf>
    <xf numFmtId="178" fontId="45" fillId="4" borderId="2" xfId="0" applyNumberFormat="1" applyFont="1" applyFill="1" applyBorder="1" applyAlignment="1" applyProtection="1">
      <alignment vertical="center"/>
      <protection locked="0"/>
    </xf>
    <xf numFmtId="0" fontId="28" fillId="6" borderId="2" xfId="0" applyFont="1" applyFill="1" applyBorder="1" applyAlignment="1" applyProtection="1">
      <alignment horizontal="left" vertical="center" wrapText="1"/>
      <protection locked="0"/>
    </xf>
    <xf numFmtId="178" fontId="28" fillId="11" borderId="2" xfId="0" applyNumberFormat="1" applyFont="1" applyFill="1" applyBorder="1" applyAlignment="1" applyProtection="1">
      <alignment vertical="center"/>
      <protection locked="0"/>
    </xf>
    <xf numFmtId="192" fontId="38" fillId="7" borderId="2" xfId="0" applyNumberFormat="1" applyFont="1" applyFill="1" applyBorder="1" applyAlignment="1" applyProtection="1">
      <alignment vertical="center"/>
      <protection locked="0"/>
    </xf>
    <xf numFmtId="0" fontId="34" fillId="0" borderId="4" xfId="0" applyFont="1" applyBorder="1" applyAlignment="1" applyProtection="1">
      <alignment vertical="center" wrapText="1"/>
      <protection locked="0"/>
    </xf>
    <xf numFmtId="0" fontId="36" fillId="0" borderId="4" xfId="0" applyFont="1" applyBorder="1" applyAlignment="1" applyProtection="1">
      <alignment horizontal="left" vertical="center"/>
      <protection locked="0"/>
    </xf>
    <xf numFmtId="0" fontId="34" fillId="6" borderId="4" xfId="0" applyFont="1" applyFill="1" applyBorder="1" applyAlignment="1" applyProtection="1">
      <alignment vertical="center"/>
      <protection locked="0"/>
    </xf>
    <xf numFmtId="178" fontId="28" fillId="3" borderId="1" xfId="0" applyNumberFormat="1" applyFont="1" applyFill="1" applyBorder="1" applyAlignment="1">
      <alignment horizontal="center" vertical="center"/>
    </xf>
    <xf numFmtId="0" fontId="46" fillId="19" borderId="2" xfId="0" applyFont="1" applyFill="1" applyBorder="1" applyAlignment="1">
      <alignment horizontal="center" vertical="center"/>
    </xf>
    <xf numFmtId="0" fontId="47" fillId="19" borderId="2" xfId="0" applyFont="1" applyFill="1" applyBorder="1" applyAlignment="1" applyProtection="1">
      <alignment horizontal="left" vertical="center" wrapText="1"/>
      <protection locked="0"/>
    </xf>
    <xf numFmtId="0" fontId="47" fillId="6" borderId="4" xfId="0" applyFont="1" applyFill="1" applyBorder="1" applyAlignment="1" applyProtection="1">
      <alignment horizontal="left" vertical="center"/>
      <protection locked="0"/>
    </xf>
    <xf numFmtId="178" fontId="45" fillId="6" borderId="0" xfId="0" applyNumberFormat="1" applyFont="1" applyFill="1" applyAlignment="1" applyProtection="1">
      <alignment vertical="center"/>
      <protection locked="0"/>
    </xf>
    <xf numFmtId="0" fontId="28" fillId="6" borderId="0" xfId="0" applyFont="1" applyFill="1" applyAlignment="1" applyProtection="1">
      <alignment vertical="center"/>
      <protection locked="0"/>
    </xf>
    <xf numFmtId="194" fontId="28" fillId="6" borderId="0" xfId="0" applyNumberFormat="1" applyFont="1" applyFill="1" applyAlignment="1" applyProtection="1">
      <alignment vertical="center"/>
      <protection locked="0"/>
    </xf>
    <xf numFmtId="0" fontId="28" fillId="6" borderId="0" xfId="0" applyFont="1" applyFill="1" applyAlignment="1">
      <alignment horizontal="center" vertical="center"/>
    </xf>
    <xf numFmtId="11" fontId="28" fillId="6" borderId="0" xfId="0" applyNumberFormat="1" applyFont="1" applyFill="1" applyAlignment="1" applyProtection="1">
      <alignment vertical="center"/>
      <protection locked="0"/>
    </xf>
    <xf numFmtId="178" fontId="48" fillId="11" borderId="6" xfId="0" applyNumberFormat="1" applyFont="1" applyFill="1" applyBorder="1" applyAlignment="1">
      <alignment horizontal="center" vertical="center"/>
    </xf>
    <xf numFmtId="178" fontId="48" fillId="11" borderId="36" xfId="0" applyNumberFormat="1" applyFont="1" applyFill="1" applyBorder="1" applyAlignment="1">
      <alignment horizontal="center" vertical="center"/>
    </xf>
    <xf numFmtId="178" fontId="48" fillId="11" borderId="7" xfId="0" applyNumberFormat="1" applyFont="1" applyFill="1" applyBorder="1" applyAlignment="1">
      <alignment horizontal="center" vertical="center"/>
    </xf>
    <xf numFmtId="0" fontId="47" fillId="6" borderId="2" xfId="0" applyFont="1" applyFill="1" applyBorder="1" applyAlignment="1" applyProtection="1">
      <alignment horizontal="left" vertical="center"/>
      <protection locked="0"/>
    </xf>
    <xf numFmtId="0" fontId="28" fillId="6" borderId="0" xfId="0" applyFont="1" applyFill="1" applyAlignment="1" applyProtection="1">
      <alignment vertical="center" wrapText="1"/>
      <protection locked="0"/>
    </xf>
    <xf numFmtId="0" fontId="28" fillId="6" borderId="0" xfId="0" applyFont="1" applyFill="1" applyAlignment="1" applyProtection="1">
      <alignment horizontal="left" vertical="center"/>
      <protection locked="0"/>
    </xf>
    <xf numFmtId="0" fontId="28" fillId="6" borderId="0" xfId="0" applyFont="1" applyFill="1" applyAlignment="1" applyProtection="1">
      <alignment horizontal="center" vertical="center"/>
      <protection locked="0"/>
    </xf>
    <xf numFmtId="178" fontId="8" fillId="0" borderId="0" xfId="0" applyNumberFormat="1" applyFont="1" applyAlignment="1">
      <alignment horizontal="left" vertical="center"/>
    </xf>
    <xf numFmtId="178" fontId="28" fillId="0" borderId="0" xfId="0" applyNumberFormat="1" applyFont="1" applyAlignment="1">
      <alignment horizontal="center" vertical="center"/>
    </xf>
    <xf numFmtId="0" fontId="30" fillId="2" borderId="8" xfId="0" applyFont="1" applyFill="1" applyBorder="1" applyAlignment="1" applyProtection="1">
      <alignment horizontal="left" vertical="center"/>
      <protection locked="0"/>
    </xf>
    <xf numFmtId="0" fontId="30" fillId="2" borderId="10" xfId="0" applyFont="1" applyFill="1" applyBorder="1" applyAlignment="1" applyProtection="1">
      <alignment horizontal="left" vertical="center"/>
      <protection locked="0"/>
    </xf>
    <xf numFmtId="0" fontId="30" fillId="2" borderId="9" xfId="0" applyFont="1" applyFill="1" applyBorder="1" applyAlignment="1" applyProtection="1">
      <alignment horizontal="left" vertical="center"/>
      <protection locked="0"/>
    </xf>
    <xf numFmtId="0" fontId="12" fillId="0" borderId="0" xfId="0" applyFont="1" applyAlignment="1" applyProtection="1">
      <alignment vertical="center"/>
      <protection locked="0"/>
    </xf>
    <xf numFmtId="178" fontId="12" fillId="0" borderId="0" xfId="0" applyNumberFormat="1" applyFont="1" applyAlignment="1" applyProtection="1">
      <alignment vertical="center"/>
      <protection locked="0"/>
    </xf>
    <xf numFmtId="0" fontId="26" fillId="2" borderId="2" xfId="0" applyFont="1" applyFill="1" applyBorder="1" applyAlignment="1" applyProtection="1">
      <alignment vertical="center"/>
      <protection locked="0"/>
    </xf>
    <xf numFmtId="0" fontId="26" fillId="2" borderId="2" xfId="0" applyFont="1" applyFill="1" applyBorder="1" applyAlignment="1" applyProtection="1">
      <alignment horizontal="center" vertical="center"/>
      <protection locked="0"/>
    </xf>
    <xf numFmtId="178" fontId="12" fillId="5" borderId="0" xfId="0" applyNumberFormat="1" applyFont="1" applyFill="1" applyAlignment="1" applyProtection="1">
      <alignment vertical="center"/>
      <protection locked="0"/>
    </xf>
    <xf numFmtId="0" fontId="6" fillId="3" borderId="2" xfId="0" applyFont="1" applyFill="1" applyBorder="1" applyAlignment="1">
      <alignment vertical="center"/>
    </xf>
    <xf numFmtId="177" fontId="49" fillId="6" borderId="2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 applyProtection="1">
      <alignment horizontal="left" vertical="center"/>
      <protection locked="0"/>
    </xf>
    <xf numFmtId="0" fontId="26" fillId="2" borderId="2" xfId="0" applyFont="1" applyFill="1" applyBorder="1" applyAlignment="1" applyProtection="1">
      <alignment horizontal="left" vertical="center"/>
      <protection locked="0"/>
    </xf>
    <xf numFmtId="0" fontId="37" fillId="2" borderId="2" xfId="0" applyFont="1" applyFill="1" applyBorder="1" applyAlignment="1" applyProtection="1">
      <alignment horizontal="center" vertical="center"/>
      <protection locked="0"/>
    </xf>
    <xf numFmtId="0" fontId="49" fillId="3" borderId="2" xfId="0" applyFont="1" applyFill="1" applyBorder="1" applyAlignment="1">
      <alignment vertical="center"/>
    </xf>
    <xf numFmtId="177" fontId="49" fillId="3" borderId="2" xfId="0" applyNumberFormat="1" applyFont="1" applyFill="1" applyBorder="1" applyAlignment="1">
      <alignment horizontal="center" vertical="center"/>
    </xf>
    <xf numFmtId="3" fontId="12" fillId="5" borderId="0" xfId="0" applyNumberFormat="1" applyFont="1" applyFill="1" applyAlignment="1" applyProtection="1">
      <alignment vertical="center"/>
      <protection locked="0"/>
    </xf>
    <xf numFmtId="183" fontId="12" fillId="5" borderId="0" xfId="0" applyNumberFormat="1" applyFont="1" applyFill="1" applyAlignment="1" applyProtection="1">
      <alignment vertical="center"/>
      <protection locked="0"/>
    </xf>
    <xf numFmtId="4" fontId="12" fillId="5" borderId="0" xfId="0" applyNumberFormat="1" applyFont="1" applyFill="1" applyAlignment="1" applyProtection="1">
      <alignment vertical="center"/>
      <protection locked="0"/>
    </xf>
    <xf numFmtId="0" fontId="30" fillId="20" borderId="2" xfId="0" applyFont="1" applyFill="1" applyBorder="1" applyAlignment="1" applyProtection="1">
      <alignment horizontal="left" vertical="center"/>
      <protection locked="0"/>
    </xf>
    <xf numFmtId="0" fontId="26" fillId="20" borderId="2" xfId="0" applyFont="1" applyFill="1" applyBorder="1" applyAlignment="1" applyProtection="1">
      <alignment horizontal="left" vertical="center"/>
      <protection locked="0"/>
    </xf>
    <xf numFmtId="177" fontId="49" fillId="6" borderId="0" xfId="0" applyNumberFormat="1" applyFont="1" applyFill="1" applyAlignment="1" applyProtection="1">
      <alignment horizontal="center" vertical="center"/>
      <protection locked="0"/>
    </xf>
    <xf numFmtId="177" fontId="49" fillId="6" borderId="0" xfId="0" applyNumberFormat="1" applyFont="1" applyFill="1" applyAlignment="1">
      <alignment horizontal="center" vertical="center"/>
    </xf>
    <xf numFmtId="0" fontId="26" fillId="20" borderId="2" xfId="0" applyFont="1" applyFill="1" applyBorder="1" applyAlignment="1" applyProtection="1">
      <alignment vertical="center"/>
      <protection locked="0"/>
    </xf>
    <xf numFmtId="0" fontId="26" fillId="20" borderId="2" xfId="0" applyFont="1" applyFill="1" applyBorder="1" applyAlignment="1" applyProtection="1">
      <alignment horizontal="center" vertical="center"/>
      <protection locked="0"/>
    </xf>
    <xf numFmtId="0" fontId="49" fillId="3" borderId="2" xfId="0" applyFont="1" applyFill="1" applyBorder="1" applyAlignment="1" applyProtection="1">
      <alignment vertical="center"/>
      <protection locked="0"/>
    </xf>
    <xf numFmtId="177" fontId="49" fillId="3" borderId="2" xfId="0" applyNumberFormat="1" applyFont="1" applyFill="1" applyBorder="1" applyAlignment="1" applyProtection="1">
      <alignment horizontal="center" vertical="center"/>
      <protection locked="0"/>
    </xf>
    <xf numFmtId="0" fontId="49" fillId="6" borderId="0" xfId="0" applyFont="1" applyFill="1" applyAlignment="1" applyProtection="1">
      <alignment vertical="center"/>
      <protection locked="0"/>
    </xf>
    <xf numFmtId="177" fontId="49" fillId="6" borderId="0" xfId="0" applyNumberFormat="1" applyFont="1" applyFill="1" applyAlignment="1" applyProtection="1">
      <alignment horizontal="left" vertical="center"/>
      <protection locked="0"/>
    </xf>
    <xf numFmtId="0" fontId="49" fillId="6" borderId="0" xfId="0" applyFont="1" applyFill="1" applyAlignment="1">
      <alignment vertical="center"/>
    </xf>
    <xf numFmtId="177" fontId="50" fillId="6" borderId="0" xfId="0" applyNumberFormat="1" applyFont="1" applyFill="1" applyAlignment="1" applyProtection="1">
      <alignment horizontal="left" vertical="center"/>
      <protection locked="0"/>
    </xf>
    <xf numFmtId="0" fontId="30" fillId="20" borderId="8" xfId="0" applyFont="1" applyFill="1" applyBorder="1" applyAlignment="1" applyProtection="1">
      <alignment horizontal="left" vertical="center"/>
      <protection locked="0"/>
    </xf>
    <xf numFmtId="0" fontId="30" fillId="20" borderId="10" xfId="0" applyFont="1" applyFill="1" applyBorder="1" applyAlignment="1" applyProtection="1">
      <alignment horizontal="left" vertical="center"/>
      <protection locked="0"/>
    </xf>
    <xf numFmtId="0" fontId="30" fillId="20" borderId="9" xfId="0" applyFont="1" applyFill="1" applyBorder="1" applyAlignment="1" applyProtection="1">
      <alignment horizontal="left" vertical="center"/>
      <protection locked="0"/>
    </xf>
    <xf numFmtId="0" fontId="30" fillId="20" borderId="2" xfId="0" applyFont="1" applyFill="1" applyBorder="1" applyAlignment="1" applyProtection="1">
      <alignment horizontal="center" vertical="center"/>
      <protection locked="0"/>
    </xf>
    <xf numFmtId="0" fontId="51" fillId="5" borderId="0" xfId="0" applyFont="1" applyFill="1" applyAlignment="1" applyProtection="1">
      <alignment vertical="center"/>
      <protection locked="0"/>
    </xf>
    <xf numFmtId="10" fontId="49" fillId="3" borderId="2" xfId="0" applyNumberFormat="1" applyFont="1" applyFill="1" applyBorder="1" applyAlignment="1" applyProtection="1">
      <alignment horizontal="center" vertical="center"/>
      <protection locked="0"/>
    </xf>
    <xf numFmtId="9" fontId="49" fillId="6" borderId="2" xfId="3" applyFont="1" applyFill="1" applyBorder="1" applyAlignment="1">
      <alignment horizontal="center" vertical="center"/>
    </xf>
    <xf numFmtId="0" fontId="38" fillId="0" borderId="37" xfId="56" applyFont="1" applyBorder="1" applyAlignment="1">
      <alignment vertical="center"/>
    </xf>
    <xf numFmtId="0" fontId="52" fillId="0" borderId="37" xfId="56" applyFont="1" applyBorder="1" applyAlignment="1">
      <alignment vertical="center"/>
    </xf>
    <xf numFmtId="0" fontId="38" fillId="0" borderId="37" xfId="0" applyFont="1" applyBorder="1" applyAlignment="1">
      <alignment vertical="center"/>
    </xf>
    <xf numFmtId="0" fontId="38" fillId="6" borderId="37" xfId="0" applyFont="1" applyFill="1" applyBorder="1" applyAlignment="1">
      <alignment vertical="center"/>
    </xf>
    <xf numFmtId="0" fontId="38" fillId="0" borderId="38" xfId="56" applyFont="1" applyBorder="1"/>
    <xf numFmtId="0" fontId="38" fillId="6" borderId="0" xfId="56" applyFont="1" applyFill="1"/>
    <xf numFmtId="0" fontId="38" fillId="6" borderId="37" xfId="56" applyFont="1" applyFill="1" applyBorder="1"/>
    <xf numFmtId="0" fontId="38" fillId="0" borderId="37" xfId="56" applyFont="1" applyBorder="1"/>
    <xf numFmtId="0" fontId="38" fillId="0" borderId="37" xfId="56" applyFont="1" applyBorder="1" applyAlignment="1">
      <alignment wrapText="1"/>
    </xf>
    <xf numFmtId="195" fontId="38" fillId="0" borderId="37" xfId="56" applyNumberFormat="1" applyFont="1" applyBorder="1"/>
    <xf numFmtId="0" fontId="53" fillId="0" borderId="39" xfId="56" applyFont="1" applyBorder="1" applyAlignment="1">
      <alignment horizontal="center" vertical="center"/>
    </xf>
    <xf numFmtId="0" fontId="53" fillId="0" borderId="40" xfId="56" applyFont="1" applyBorder="1" applyAlignment="1">
      <alignment horizontal="center" vertical="center"/>
    </xf>
    <xf numFmtId="0" fontId="53" fillId="0" borderId="41" xfId="56" applyFont="1" applyBorder="1" applyAlignment="1">
      <alignment horizontal="center" vertical="center"/>
    </xf>
    <xf numFmtId="0" fontId="34" fillId="0" borderId="42" xfId="49" applyFont="1" applyBorder="1" applyAlignment="1">
      <alignment horizontal="left" vertical="center"/>
    </xf>
    <xf numFmtId="0" fontId="38" fillId="0" borderId="43" xfId="49" applyFont="1" applyBorder="1" applyAlignment="1">
      <alignment horizontal="left" vertical="center"/>
    </xf>
    <xf numFmtId="0" fontId="53" fillId="0" borderId="44" xfId="56" applyFont="1" applyBorder="1" applyAlignment="1">
      <alignment horizontal="center" vertical="center"/>
    </xf>
    <xf numFmtId="0" fontId="53" fillId="0" borderId="0" xfId="56" applyFont="1" applyAlignment="1">
      <alignment horizontal="center" vertical="center"/>
    </xf>
    <xf numFmtId="0" fontId="53" fillId="0" borderId="45" xfId="56" applyFont="1" applyBorder="1" applyAlignment="1">
      <alignment horizontal="center" vertical="center"/>
    </xf>
    <xf numFmtId="0" fontId="38" fillId="0" borderId="42" xfId="49" applyFont="1" applyBorder="1" applyAlignment="1">
      <alignment horizontal="left" vertical="center"/>
    </xf>
    <xf numFmtId="0" fontId="53" fillId="0" borderId="46" xfId="56" applyFont="1" applyBorder="1" applyAlignment="1">
      <alignment horizontal="center" vertical="center"/>
    </xf>
    <xf numFmtId="0" fontId="53" fillId="0" borderId="47" xfId="56" applyFont="1" applyBorder="1" applyAlignment="1">
      <alignment horizontal="center" vertical="center"/>
    </xf>
    <xf numFmtId="0" fontId="53" fillId="0" borderId="48" xfId="56" applyFont="1" applyBorder="1" applyAlignment="1">
      <alignment horizontal="center" vertical="center"/>
    </xf>
    <xf numFmtId="195" fontId="34" fillId="0" borderId="49" xfId="56" applyNumberFormat="1" applyFont="1" applyBorder="1" applyAlignment="1">
      <alignment horizontal="left"/>
    </xf>
    <xf numFmtId="195" fontId="38" fillId="0" borderId="50" xfId="56" applyNumberFormat="1" applyFont="1" applyBorder="1" applyAlignment="1">
      <alignment horizontal="left"/>
    </xf>
    <xf numFmtId="0" fontId="38" fillId="6" borderId="37" xfId="56" applyFont="1" applyFill="1" applyBorder="1" applyAlignment="1">
      <alignment vertical="center"/>
    </xf>
    <xf numFmtId="0" fontId="54" fillId="0" borderId="51" xfId="56" applyFont="1" applyBorder="1" applyAlignment="1">
      <alignment vertical="center"/>
    </xf>
    <xf numFmtId="0" fontId="55" fillId="0" borderId="51" xfId="56" applyFont="1" applyBorder="1" applyAlignment="1">
      <alignment vertical="center"/>
    </xf>
    <xf numFmtId="0" fontId="55" fillId="0" borderId="51" xfId="56" applyFont="1" applyBorder="1" applyAlignment="1">
      <alignment vertical="center" wrapText="1"/>
    </xf>
    <xf numFmtId="195" fontId="55" fillId="0" borderId="51" xfId="56" applyNumberFormat="1" applyFont="1" applyBorder="1" applyAlignment="1" applyProtection="1">
      <alignment vertical="center"/>
      <protection locked="0"/>
    </xf>
    <xf numFmtId="195" fontId="55" fillId="0" borderId="51" xfId="56" applyNumberFormat="1" applyFont="1" applyBorder="1" applyAlignment="1">
      <alignment vertical="center"/>
    </xf>
    <xf numFmtId="0" fontId="54" fillId="0" borderId="37" xfId="56" applyFont="1" applyBorder="1" applyAlignment="1">
      <alignment vertical="center"/>
    </xf>
    <xf numFmtId="0" fontId="55" fillId="6" borderId="37" xfId="56" applyFont="1" applyFill="1" applyBorder="1" applyAlignment="1">
      <alignment vertical="center"/>
    </xf>
    <xf numFmtId="0" fontId="55" fillId="0" borderId="37" xfId="56" applyFont="1" applyBorder="1" applyAlignment="1">
      <alignment vertical="center" wrapText="1"/>
    </xf>
    <xf numFmtId="195" fontId="38" fillId="0" borderId="37" xfId="56" applyNumberFormat="1" applyFont="1" applyBorder="1" applyAlignment="1">
      <alignment vertical="center"/>
    </xf>
    <xf numFmtId="195" fontId="56" fillId="0" borderId="37" xfId="56" applyNumberFormat="1" applyFont="1" applyBorder="1" applyAlignment="1">
      <alignment vertical="center"/>
    </xf>
    <xf numFmtId="195" fontId="55" fillId="0" borderId="37" xfId="56" applyNumberFormat="1" applyFont="1" applyBorder="1" applyAlignment="1">
      <alignment vertical="center"/>
    </xf>
    <xf numFmtId="0" fontId="55" fillId="0" borderId="37" xfId="56" applyFont="1" applyBorder="1" applyAlignment="1">
      <alignment vertical="center"/>
    </xf>
    <xf numFmtId="0" fontId="52" fillId="6" borderId="37" xfId="56" applyFont="1" applyFill="1" applyBorder="1" applyAlignment="1">
      <alignment vertical="center"/>
    </xf>
    <xf numFmtId="0" fontId="54" fillId="4" borderId="38" xfId="56" applyFont="1" applyFill="1" applyBorder="1" applyAlignment="1">
      <alignment horizontal="left" vertical="center"/>
    </xf>
    <xf numFmtId="0" fontId="8" fillId="4" borderId="39" xfId="56" applyFont="1" applyFill="1" applyBorder="1" applyAlignment="1">
      <alignment vertical="center"/>
    </xf>
    <xf numFmtId="0" fontId="6" fillId="6" borderId="41" xfId="56" applyFont="1" applyFill="1" applyBorder="1" applyAlignment="1">
      <alignment vertical="center" wrapText="1"/>
    </xf>
    <xf numFmtId="195" fontId="54" fillId="4" borderId="38" xfId="56" applyNumberFormat="1" applyFont="1" applyFill="1" applyBorder="1" applyAlignment="1">
      <alignment horizontal="left" vertical="center"/>
    </xf>
    <xf numFmtId="0" fontId="8" fillId="4" borderId="39" xfId="56" applyFont="1" applyFill="1" applyBorder="1" applyAlignment="1">
      <alignment horizontal="left" vertical="center"/>
    </xf>
    <xf numFmtId="0" fontId="6" fillId="4" borderId="41" xfId="56" applyFont="1" applyFill="1" applyBorder="1" applyAlignment="1">
      <alignment horizontal="left" vertical="center"/>
    </xf>
    <xf numFmtId="195" fontId="54" fillId="0" borderId="38" xfId="56" applyNumberFormat="1" applyFont="1" applyBorder="1" applyAlignment="1">
      <alignment horizontal="center" vertical="center"/>
    </xf>
    <xf numFmtId="195" fontId="56" fillId="0" borderId="38" xfId="56" applyNumberFormat="1" applyFont="1" applyBorder="1" applyAlignment="1">
      <alignment vertical="center"/>
    </xf>
    <xf numFmtId="0" fontId="52" fillId="0" borderId="38" xfId="56" applyFont="1" applyBorder="1" applyAlignment="1">
      <alignment vertical="center"/>
    </xf>
    <xf numFmtId="195" fontId="54" fillId="4" borderId="38" xfId="56" applyNumberFormat="1" applyFont="1" applyFill="1" applyBorder="1" applyAlignment="1">
      <alignment vertical="center"/>
    </xf>
    <xf numFmtId="0" fontId="52" fillId="6" borderId="52" xfId="56" applyFont="1" applyFill="1" applyBorder="1" applyAlignment="1">
      <alignment vertical="center"/>
    </xf>
    <xf numFmtId="0" fontId="56" fillId="6" borderId="0" xfId="56" applyFont="1" applyFill="1" applyAlignment="1">
      <alignment vertical="center"/>
    </xf>
    <xf numFmtId="0" fontId="56" fillId="0" borderId="0" xfId="56" applyFont="1" applyAlignment="1">
      <alignment vertical="center" wrapText="1"/>
    </xf>
    <xf numFmtId="0" fontId="57" fillId="6" borderId="0" xfId="56" applyFont="1" applyFill="1" applyAlignment="1">
      <alignment vertical="center"/>
    </xf>
    <xf numFmtId="43" fontId="56" fillId="6" borderId="0" xfId="56" applyNumberFormat="1" applyFont="1" applyFill="1" applyAlignment="1">
      <alignment vertical="center"/>
    </xf>
    <xf numFmtId="195" fontId="56" fillId="6" borderId="0" xfId="56" applyNumberFormat="1" applyFont="1" applyFill="1" applyAlignment="1">
      <alignment vertical="center"/>
    </xf>
    <xf numFmtId="0" fontId="38" fillId="6" borderId="0" xfId="56" applyFont="1" applyFill="1" applyAlignment="1">
      <alignment vertical="center"/>
    </xf>
    <xf numFmtId="0" fontId="52" fillId="0" borderId="53" xfId="56" applyFont="1" applyBorder="1" applyAlignment="1">
      <alignment vertical="center"/>
    </xf>
    <xf numFmtId="0" fontId="54" fillId="6" borderId="44" xfId="56" applyFont="1" applyFill="1" applyBorder="1" applyAlignment="1">
      <alignment horizontal="left" vertical="center"/>
    </xf>
    <xf numFmtId="0" fontId="8" fillId="6" borderId="44" xfId="56" applyFont="1" applyFill="1" applyBorder="1" applyAlignment="1">
      <alignment vertical="center"/>
    </xf>
    <xf numFmtId="0" fontId="6" fillId="6" borderId="45" xfId="56" applyFont="1" applyFill="1" applyBorder="1" applyAlignment="1">
      <alignment vertical="center" wrapText="1"/>
    </xf>
    <xf numFmtId="43" fontId="56" fillId="6" borderId="0" xfId="56" applyNumberFormat="1" applyFont="1" applyFill="1" applyAlignment="1">
      <alignment horizontal="left" vertical="center"/>
    </xf>
    <xf numFmtId="43" fontId="56" fillId="6" borderId="45" xfId="56" applyNumberFormat="1" applyFont="1" applyFill="1" applyBorder="1" applyAlignment="1">
      <alignment horizontal="left" vertical="center"/>
    </xf>
    <xf numFmtId="195" fontId="54" fillId="6" borderId="54" xfId="56" applyNumberFormat="1" applyFont="1" applyFill="1" applyBorder="1" applyAlignment="1">
      <alignment horizontal="center" vertical="center"/>
    </xf>
    <xf numFmtId="195" fontId="56" fillId="6" borderId="54" xfId="56" applyNumberFormat="1" applyFont="1" applyFill="1" applyBorder="1" applyAlignment="1">
      <alignment vertical="center"/>
    </xf>
    <xf numFmtId="0" fontId="52" fillId="6" borderId="54" xfId="56" applyFont="1" applyFill="1" applyBorder="1" applyAlignment="1">
      <alignment vertical="center"/>
    </xf>
    <xf numFmtId="195" fontId="54" fillId="6" borderId="54" xfId="56" applyNumberFormat="1" applyFont="1" applyFill="1" applyBorder="1" applyAlignment="1">
      <alignment vertical="center"/>
    </xf>
    <xf numFmtId="0" fontId="8" fillId="6" borderId="44" xfId="56" applyFont="1" applyFill="1" applyBorder="1" applyAlignment="1">
      <alignment horizontal="left" vertical="center"/>
    </xf>
    <xf numFmtId="0" fontId="6" fillId="6" borderId="45" xfId="56" applyFont="1" applyFill="1" applyBorder="1" applyAlignment="1">
      <alignment horizontal="left" vertical="center"/>
    </xf>
    <xf numFmtId="0" fontId="38" fillId="0" borderId="37" xfId="56" applyFont="1" applyBorder="1" applyAlignment="1">
      <alignment vertical="center" wrapText="1"/>
    </xf>
    <xf numFmtId="43" fontId="38" fillId="6" borderId="37" xfId="56" applyNumberFormat="1" applyFont="1" applyFill="1" applyBorder="1" applyAlignment="1">
      <alignment vertical="center"/>
    </xf>
    <xf numFmtId="0" fontId="54" fillId="0" borderId="54" xfId="56" applyFont="1" applyBorder="1" applyAlignment="1">
      <alignment vertical="center"/>
    </xf>
    <xf numFmtId="0" fontId="56" fillId="0" borderId="44" xfId="56" applyFont="1" applyBorder="1" applyAlignment="1">
      <alignment vertical="center"/>
    </xf>
    <xf numFmtId="0" fontId="56" fillId="0" borderId="54" xfId="56" applyFont="1" applyBorder="1" applyAlignment="1">
      <alignment vertical="center" wrapText="1"/>
    </xf>
    <xf numFmtId="43" fontId="56" fillId="6" borderId="54" xfId="56" applyNumberFormat="1" applyFont="1" applyFill="1" applyBorder="1" applyAlignment="1">
      <alignment vertical="center"/>
    </xf>
    <xf numFmtId="0" fontId="38" fillId="6" borderId="52" xfId="56" applyFont="1" applyFill="1" applyBorder="1" applyAlignment="1">
      <alignment vertical="center"/>
    </xf>
    <xf numFmtId="0" fontId="58" fillId="17" borderId="2" xfId="56" applyFont="1" applyFill="1" applyBorder="1" applyAlignment="1">
      <alignment horizontal="center" vertical="center"/>
    </xf>
    <xf numFmtId="0" fontId="59" fillId="17" borderId="2" xfId="56" applyFont="1" applyFill="1" applyBorder="1" applyAlignment="1">
      <alignment horizontal="center" vertical="center"/>
    </xf>
    <xf numFmtId="0" fontId="59" fillId="17" borderId="2" xfId="56" applyFont="1" applyFill="1" applyBorder="1" applyAlignment="1">
      <alignment horizontal="center" vertical="center" wrapText="1"/>
    </xf>
    <xf numFmtId="195" fontId="59" fillId="17" borderId="2" xfId="56" applyNumberFormat="1" applyFont="1" applyFill="1" applyBorder="1" applyAlignment="1">
      <alignment horizontal="center" vertical="center"/>
    </xf>
    <xf numFmtId="195" fontId="60" fillId="17" borderId="2" xfId="56" applyNumberFormat="1" applyFont="1" applyFill="1" applyBorder="1" applyAlignment="1">
      <alignment horizontal="center" vertical="center"/>
    </xf>
    <xf numFmtId="195" fontId="61" fillId="17" borderId="2" xfId="56" applyNumberFormat="1" applyFont="1" applyFill="1" applyBorder="1" applyAlignment="1">
      <alignment horizontal="center" vertical="center"/>
    </xf>
    <xf numFmtId="0" fontId="38" fillId="0" borderId="53" xfId="56" applyFont="1" applyBorder="1" applyAlignment="1">
      <alignment vertical="center"/>
    </xf>
    <xf numFmtId="0" fontId="62" fillId="21" borderId="55" xfId="56" applyFont="1" applyFill="1" applyBorder="1" applyAlignment="1">
      <alignment horizontal="left" vertical="center"/>
    </xf>
    <xf numFmtId="0" fontId="52" fillId="21" borderId="56" xfId="56" applyFont="1" applyFill="1" applyBorder="1" applyAlignment="1">
      <alignment vertical="center"/>
    </xf>
    <xf numFmtId="0" fontId="52" fillId="21" borderId="56" xfId="56" applyFont="1" applyFill="1" applyBorder="1" applyAlignment="1">
      <alignment vertical="center" wrapText="1"/>
    </xf>
    <xf numFmtId="195" fontId="52" fillId="21" borderId="56" xfId="56" applyNumberFormat="1" applyFont="1" applyFill="1" applyBorder="1" applyAlignment="1">
      <alignment horizontal="center" vertical="center"/>
    </xf>
    <xf numFmtId="0" fontId="38" fillId="10" borderId="57" xfId="56" applyFont="1" applyFill="1" applyBorder="1" applyAlignment="1">
      <alignment horizontal="left" vertical="center"/>
    </xf>
    <xf numFmtId="0" fontId="35" fillId="10" borderId="57" xfId="56" applyFont="1" applyFill="1" applyBorder="1" applyAlignment="1">
      <alignment vertical="center"/>
    </xf>
    <xf numFmtId="0" fontId="38" fillId="10" borderId="57" xfId="56" applyFont="1" applyFill="1" applyBorder="1" applyAlignment="1">
      <alignment vertical="center" wrapText="1"/>
    </xf>
    <xf numFmtId="0" fontId="38" fillId="10" borderId="57" xfId="56" applyFont="1" applyFill="1" applyBorder="1" applyAlignment="1">
      <alignment vertical="center"/>
    </xf>
    <xf numFmtId="195" fontId="38" fillId="10" borderId="37" xfId="56" applyNumberFormat="1" applyFont="1" applyFill="1" applyBorder="1" applyAlignment="1">
      <alignment horizontal="center" vertical="center"/>
    </xf>
    <xf numFmtId="195" fontId="38" fillId="10" borderId="57" xfId="56" applyNumberFormat="1" applyFont="1" applyFill="1" applyBorder="1" applyAlignment="1">
      <alignment horizontal="center" vertical="center"/>
    </xf>
    <xf numFmtId="0" fontId="38" fillId="4" borderId="37" xfId="56" applyFont="1" applyFill="1" applyBorder="1" applyAlignment="1">
      <alignment horizontal="left" vertical="center"/>
    </xf>
    <xf numFmtId="0" fontId="34" fillId="4" borderId="37" xfId="56" applyFont="1" applyFill="1" applyBorder="1" applyAlignment="1">
      <alignment vertical="center" wrapText="1"/>
    </xf>
    <xf numFmtId="195" fontId="38" fillId="22" borderId="37" xfId="56" applyNumberFormat="1" applyFont="1" applyFill="1" applyBorder="1" applyAlignment="1">
      <alignment horizontal="center" vertical="center"/>
    </xf>
    <xf numFmtId="0" fontId="38" fillId="10" borderId="37" xfId="56" applyFont="1" applyFill="1" applyBorder="1" applyAlignment="1">
      <alignment horizontal="left" vertical="center"/>
    </xf>
    <xf numFmtId="0" fontId="34" fillId="10" borderId="37" xfId="56" applyFont="1" applyFill="1" applyBorder="1" applyAlignment="1">
      <alignment vertical="center"/>
    </xf>
    <xf numFmtId="0" fontId="38" fillId="10" borderId="37" xfId="56" applyFont="1" applyFill="1" applyBorder="1" applyAlignment="1">
      <alignment vertical="center" wrapText="1"/>
    </xf>
    <xf numFmtId="0" fontId="38" fillId="10" borderId="37" xfId="56" applyFont="1" applyFill="1" applyBorder="1" applyAlignment="1">
      <alignment vertical="center"/>
    </xf>
    <xf numFmtId="0" fontId="38" fillId="4" borderId="37" xfId="56" applyFont="1" applyFill="1" applyBorder="1" applyAlignment="1">
      <alignment vertical="center" wrapText="1"/>
    </xf>
    <xf numFmtId="0" fontId="63" fillId="23" borderId="58" xfId="56" applyFont="1" applyFill="1" applyBorder="1" applyAlignment="1">
      <alignment horizontal="left" vertical="center"/>
    </xf>
    <xf numFmtId="0" fontId="52" fillId="23" borderId="59" xfId="56" applyFont="1" applyFill="1" applyBorder="1" applyAlignment="1">
      <alignment horizontal="left" vertical="center"/>
    </xf>
    <xf numFmtId="0" fontId="52" fillId="23" borderId="60" xfId="56" applyFont="1" applyFill="1" applyBorder="1" applyAlignment="1">
      <alignment horizontal="left" vertical="center"/>
    </xf>
    <xf numFmtId="0" fontId="38" fillId="23" borderId="61" xfId="56" applyFont="1" applyFill="1" applyBorder="1" applyAlignment="1">
      <alignment vertical="center"/>
    </xf>
    <xf numFmtId="195" fontId="52" fillId="23" borderId="61" xfId="56" applyNumberFormat="1" applyFont="1" applyFill="1" applyBorder="1" applyAlignment="1">
      <alignment horizontal="center" vertical="center"/>
    </xf>
    <xf numFmtId="0" fontId="38" fillId="4" borderId="54" xfId="56" applyFont="1" applyFill="1" applyBorder="1" applyAlignment="1">
      <alignment horizontal="left" vertical="center"/>
    </xf>
    <xf numFmtId="0" fontId="38" fillId="6" borderId="38" xfId="56" applyFont="1" applyFill="1" applyBorder="1" applyAlignment="1">
      <alignment vertical="center"/>
    </xf>
    <xf numFmtId="195" fontId="38" fillId="22" borderId="38" xfId="56" applyNumberFormat="1" applyFont="1" applyFill="1" applyBorder="1" applyAlignment="1">
      <alignment horizontal="center" vertical="center"/>
    </xf>
    <xf numFmtId="0" fontId="38" fillId="6" borderId="54" xfId="56" applyFont="1" applyFill="1" applyBorder="1" applyAlignment="1">
      <alignment vertical="center"/>
    </xf>
    <xf numFmtId="0" fontId="38" fillId="6" borderId="54" xfId="56" applyFont="1" applyFill="1" applyBorder="1" applyAlignment="1">
      <alignment horizontal="left" vertical="center"/>
    </xf>
    <xf numFmtId="0" fontId="38" fillId="6" borderId="57" xfId="56" applyFont="1" applyFill="1" applyBorder="1" applyAlignment="1">
      <alignment vertical="center" wrapText="1"/>
    </xf>
    <xf numFmtId="195" fontId="38" fillId="6" borderId="57" xfId="56" applyNumberFormat="1" applyFont="1" applyFill="1" applyBorder="1" applyAlignment="1">
      <alignment horizontal="center" vertical="center"/>
    </xf>
    <xf numFmtId="195" fontId="38" fillId="6" borderId="54" xfId="56" applyNumberFormat="1" applyFont="1" applyFill="1" applyBorder="1" applyAlignment="1">
      <alignment horizontal="center" vertical="center"/>
    </xf>
    <xf numFmtId="0" fontId="62" fillId="24" borderId="62" xfId="56" applyFont="1" applyFill="1" applyBorder="1" applyAlignment="1">
      <alignment vertical="center"/>
    </xf>
    <xf numFmtId="0" fontId="63" fillId="24" borderId="62" xfId="56" applyFont="1" applyFill="1" applyBorder="1" applyAlignment="1">
      <alignment vertical="center"/>
    </xf>
    <xf numFmtId="0" fontId="38" fillId="24" borderId="62" xfId="56" applyFont="1" applyFill="1" applyBorder="1" applyAlignment="1">
      <alignment vertical="center" wrapText="1"/>
    </xf>
    <xf numFmtId="0" fontId="38" fillId="24" borderId="62" xfId="56" applyFont="1" applyFill="1" applyBorder="1" applyAlignment="1">
      <alignment vertical="center"/>
    </xf>
    <xf numFmtId="195" fontId="52" fillId="23" borderId="63" xfId="56" applyNumberFormat="1" applyFont="1" applyFill="1" applyBorder="1" applyAlignment="1">
      <alignment horizontal="center" vertical="center"/>
    </xf>
    <xf numFmtId="0" fontId="38" fillId="4" borderId="57" xfId="0" applyFont="1" applyFill="1" applyBorder="1" applyAlignment="1">
      <alignment horizontal="left" vertical="center"/>
    </xf>
    <xf numFmtId="0" fontId="34" fillId="4" borderId="57" xfId="0" applyFont="1" applyFill="1" applyBorder="1" applyAlignment="1">
      <alignment vertical="center"/>
    </xf>
    <xf numFmtId="0" fontId="34" fillId="4" borderId="57" xfId="0" applyFont="1" applyFill="1" applyBorder="1" applyAlignment="1">
      <alignment vertical="center" wrapText="1"/>
    </xf>
    <xf numFmtId="0" fontId="38" fillId="6" borderId="57" xfId="0" applyFont="1" applyFill="1" applyBorder="1" applyAlignment="1">
      <alignment vertical="center"/>
    </xf>
    <xf numFmtId="0" fontId="38" fillId="6" borderId="57" xfId="0" applyFont="1" applyFill="1" applyBorder="1" applyAlignment="1">
      <alignment horizontal="left" vertical="center"/>
    </xf>
    <xf numFmtId="0" fontId="38" fillId="6" borderId="57" xfId="0" applyFont="1" applyFill="1" applyBorder="1" applyAlignment="1">
      <alignment vertical="center" wrapText="1"/>
    </xf>
    <xf numFmtId="195" fontId="38" fillId="6" borderId="57" xfId="0" applyNumberFormat="1" applyFont="1" applyFill="1" applyBorder="1" applyAlignment="1">
      <alignment horizontal="center" vertical="center"/>
    </xf>
    <xf numFmtId="0" fontId="63" fillId="24" borderId="62" xfId="56" applyFont="1" applyFill="1" applyBorder="1" applyAlignment="1">
      <alignment vertical="center" wrapText="1"/>
    </xf>
    <xf numFmtId="0" fontId="38" fillId="6" borderId="37" xfId="0" applyFont="1" applyFill="1" applyBorder="1" applyAlignment="1">
      <alignment horizontal="left" vertical="center"/>
    </xf>
    <xf numFmtId="0" fontId="38" fillId="6" borderId="37" xfId="0" applyFont="1" applyFill="1" applyBorder="1" applyAlignment="1">
      <alignment vertical="center" wrapText="1"/>
    </xf>
    <xf numFmtId="195" fontId="38" fillId="6" borderId="37" xfId="56" applyNumberFormat="1" applyFont="1" applyFill="1" applyBorder="1" applyAlignment="1">
      <alignment vertical="center"/>
    </xf>
    <xf numFmtId="0" fontId="62" fillId="24" borderId="64" xfId="56" applyFont="1" applyFill="1" applyBorder="1" applyAlignment="1">
      <alignment vertical="center"/>
    </xf>
    <xf numFmtId="0" fontId="63" fillId="24" borderId="64" xfId="56" applyFont="1" applyFill="1" applyBorder="1" applyAlignment="1">
      <alignment vertical="center"/>
    </xf>
    <xf numFmtId="0" fontId="38" fillId="24" borderId="64" xfId="56" applyFont="1" applyFill="1" applyBorder="1" applyAlignment="1">
      <alignment vertical="center" wrapText="1"/>
    </xf>
    <xf numFmtId="0" fontId="38" fillId="24" borderId="64" xfId="56" applyFont="1" applyFill="1" applyBorder="1" applyAlignment="1">
      <alignment vertical="center"/>
    </xf>
    <xf numFmtId="195" fontId="52" fillId="24" borderId="64" xfId="56" applyNumberFormat="1" applyFont="1" applyFill="1" applyBorder="1" applyAlignment="1">
      <alignment horizontal="center" vertical="center"/>
    </xf>
    <xf numFmtId="0" fontId="38" fillId="0" borderId="37" xfId="0" applyFont="1" applyBorder="1" applyAlignment="1">
      <alignment horizontal="left" vertical="center"/>
    </xf>
    <xf numFmtId="0" fontId="38" fillId="0" borderId="37" xfId="0" applyFont="1" applyBorder="1" applyAlignment="1">
      <alignment vertical="center" wrapText="1"/>
    </xf>
    <xf numFmtId="195" fontId="38" fillId="0" borderId="53" xfId="56" applyNumberFormat="1" applyFont="1" applyBorder="1" applyAlignment="1">
      <alignment vertical="center"/>
    </xf>
    <xf numFmtId="0" fontId="38" fillId="4" borderId="57" xfId="0" applyFont="1" applyFill="1" applyBorder="1" applyAlignment="1">
      <alignment vertical="center"/>
    </xf>
    <xf numFmtId="0" fontId="62" fillId="24" borderId="65" xfId="56" applyFont="1" applyFill="1" applyBorder="1" applyAlignment="1">
      <alignment vertical="center"/>
    </xf>
    <xf numFmtId="0" fontId="63" fillId="24" borderId="65" xfId="56" applyFont="1" applyFill="1" applyBorder="1" applyAlignment="1">
      <alignment vertical="center"/>
    </xf>
    <xf numFmtId="0" fontId="38" fillId="24" borderId="65" xfId="56" applyFont="1" applyFill="1" applyBorder="1" applyAlignment="1">
      <alignment vertical="center" wrapText="1"/>
    </xf>
    <xf numFmtId="0" fontId="38" fillId="4" borderId="57" xfId="0" applyFont="1" applyFill="1" applyBorder="1" applyAlignment="1">
      <alignment vertical="center" wrapText="1"/>
    </xf>
    <xf numFmtId="0" fontId="38" fillId="6" borderId="53" xfId="0" applyFont="1" applyFill="1" applyBorder="1" applyAlignment="1">
      <alignment vertical="center"/>
    </xf>
    <xf numFmtId="0" fontId="38" fillId="6" borderId="41" xfId="0" applyFont="1" applyFill="1" applyBorder="1" applyAlignment="1">
      <alignment vertical="center"/>
    </xf>
    <xf numFmtId="0" fontId="38" fillId="6" borderId="43" xfId="56" applyFont="1" applyFill="1" applyBorder="1" applyAlignment="1">
      <alignment vertical="center"/>
    </xf>
    <xf numFmtId="0" fontId="38" fillId="0" borderId="38" xfId="0" applyFont="1" applyBorder="1" applyAlignment="1">
      <alignment horizontal="left" vertical="center"/>
    </xf>
    <xf numFmtId="0" fontId="38" fillId="0" borderId="38" xfId="0" applyFont="1" applyBorder="1" applyAlignment="1">
      <alignment vertical="center" wrapText="1"/>
    </xf>
    <xf numFmtId="0" fontId="38" fillId="0" borderId="38" xfId="0" applyFont="1" applyBorder="1" applyAlignment="1">
      <alignment vertical="center"/>
    </xf>
    <xf numFmtId="195" fontId="38" fillId="0" borderId="41" xfId="56" applyNumberFormat="1" applyFont="1" applyBorder="1" applyAlignment="1">
      <alignment vertical="center"/>
    </xf>
    <xf numFmtId="0" fontId="38" fillId="6" borderId="45" xfId="56" applyFont="1" applyFill="1" applyBorder="1" applyAlignment="1">
      <alignment vertical="center"/>
    </xf>
    <xf numFmtId="0" fontId="38" fillId="6" borderId="54" xfId="56" applyFont="1" applyFill="1" applyBorder="1" applyAlignment="1">
      <alignment vertical="center" wrapText="1"/>
    </xf>
    <xf numFmtId="0" fontId="38" fillId="6" borderId="57" xfId="56" applyFont="1" applyFill="1" applyBorder="1" applyAlignment="1">
      <alignment vertical="center"/>
    </xf>
    <xf numFmtId="0" fontId="38" fillId="6" borderId="38" xfId="56" applyFont="1" applyFill="1" applyBorder="1"/>
    <xf numFmtId="0" fontId="38" fillId="0" borderId="66" xfId="56" applyFont="1" applyBorder="1"/>
    <xf numFmtId="0" fontId="38" fillId="0" borderId="66" xfId="56" applyFont="1" applyBorder="1" applyAlignment="1">
      <alignment wrapText="1"/>
    </xf>
    <xf numFmtId="195" fontId="38" fillId="0" borderId="66" xfId="56" applyNumberFormat="1" applyFont="1" applyBorder="1"/>
    <xf numFmtId="0" fontId="38" fillId="0" borderId="54" xfId="56" applyFont="1" applyBorder="1"/>
    <xf numFmtId="0" fontId="38" fillId="0" borderId="54" xfId="56" applyFont="1" applyBorder="1" applyAlignment="1">
      <alignment wrapText="1"/>
    </xf>
    <xf numFmtId="195" fontId="38" fillId="0" borderId="54" xfId="56" applyNumberFormat="1" applyFont="1" applyBorder="1"/>
    <xf numFmtId="0" fontId="64" fillId="0" borderId="0" xfId="0" applyFont="1" applyFill="1" applyAlignment="1">
      <alignment vertical="center"/>
    </xf>
    <xf numFmtId="31" fontId="64" fillId="0" borderId="0" xfId="0" applyNumberFormat="1" applyFont="1" applyFill="1" applyAlignment="1">
      <alignment vertical="center"/>
    </xf>
    <xf numFmtId="0" fontId="64" fillId="0" borderId="0" xfId="0" applyFont="1" applyFill="1" applyAlignment="1">
      <alignment vertical="center" wrapText="1"/>
    </xf>
  </cellXfs>
  <cellStyles count="7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 2" xfId="49"/>
    <cellStyle name="SAPBEXaggData 2 4 3 2 2 5" xfId="50"/>
    <cellStyle name="百分比 2" xfId="51"/>
    <cellStyle name="常规 2" xfId="52"/>
    <cellStyle name="常规 2 2" xfId="53"/>
    <cellStyle name="常规 2 3" xfId="54"/>
    <cellStyle name="常规 3" xfId="55"/>
    <cellStyle name="常规 4" xfId="56"/>
    <cellStyle name="常规 5" xfId="57"/>
    <cellStyle name="常规 6" xfId="58"/>
    <cellStyle name="常规 8" xfId="59"/>
    <cellStyle name="千分位 2 2" xfId="60"/>
    <cellStyle name="千位分隔 2" xfId="61"/>
    <cellStyle name="千位分隔 2 2" xfId="62"/>
    <cellStyle name="千位分隔 3" xfId="63"/>
    <cellStyle name="千位分隔 4" xfId="64"/>
    <cellStyle name="一般 2" xfId="65"/>
    <cellStyle name="一般 2 2" xfId="66"/>
    <cellStyle name="一般 3" xfId="67"/>
    <cellStyle name="一般_Greenhouse Gas Inventory2009" xfId="68"/>
    <cellStyle name="一般_排放清冊-台中廠-1127_DDB103900溫室氣體盤查清冊管理表" xfId="69"/>
  </cellStyles>
  <tableStyles count="0" defaultTableStyle="TableStyleMedium2" defaultPivotStyle="PivotStyleLight16"/>
  <colors>
    <mruColors>
      <color rgb="00FF6600"/>
      <color rgb="00FABF8F"/>
      <color rgb="00FFFF00"/>
      <color rgb="00FF0000"/>
      <color rgb="00C00000"/>
      <color rgb="00A6A6A6"/>
      <color rgb="00FFCC99"/>
      <color rgb="00C0C0C0"/>
      <color rgb="00FFFFFF"/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9525</xdr:colOff>
      <xdr:row>0</xdr:row>
      <xdr:rowOff>0</xdr:rowOff>
    </xdr:from>
    <xdr:to>
      <xdr:col>0</xdr:col>
      <xdr:colOff>9525</xdr:colOff>
      <xdr:row>0</xdr:row>
      <xdr:rowOff>0</xdr:rowOff>
    </xdr:to>
    <xdr:sp>
      <xdr:nvSpPr>
        <xdr:cNvPr id="24403" name="Line 507"/>
        <xdr:cNvSpPr/>
      </xdr:nvSpPr>
      <xdr:spPr>
        <a:xfrm>
          <a:off x="952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4</xdr:col>
      <xdr:colOff>0</xdr:colOff>
      <xdr:row>0</xdr:row>
      <xdr:rowOff>0</xdr:rowOff>
    </xdr:from>
    <xdr:to>
      <xdr:col>4</xdr:col>
      <xdr:colOff>0</xdr:colOff>
      <xdr:row>0</xdr:row>
      <xdr:rowOff>0</xdr:rowOff>
    </xdr:to>
    <xdr:sp>
      <xdr:nvSpPr>
        <xdr:cNvPr id="24404" name="Line 508"/>
        <xdr:cNvSpPr/>
      </xdr:nvSpPr>
      <xdr:spPr>
        <a:xfrm>
          <a:off x="668655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4</xdr:col>
      <xdr:colOff>0</xdr:colOff>
      <xdr:row>0</xdr:row>
      <xdr:rowOff>0</xdr:rowOff>
    </xdr:from>
    <xdr:to>
      <xdr:col>4</xdr:col>
      <xdr:colOff>0</xdr:colOff>
      <xdr:row>0</xdr:row>
      <xdr:rowOff>0</xdr:rowOff>
    </xdr:to>
    <xdr:sp>
      <xdr:nvSpPr>
        <xdr:cNvPr id="24405" name="Line 509"/>
        <xdr:cNvSpPr/>
      </xdr:nvSpPr>
      <xdr:spPr>
        <a:xfrm>
          <a:off x="668655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 editAs="oneCell">
    <xdr:from>
      <xdr:col>32</xdr:col>
      <xdr:colOff>942975</xdr:colOff>
      <xdr:row>111</xdr:row>
      <xdr:rowOff>28575</xdr:rowOff>
    </xdr:from>
    <xdr:to>
      <xdr:col>42</xdr:col>
      <xdr:colOff>0</xdr:colOff>
      <xdr:row>129</xdr:row>
      <xdr:rowOff>57149</xdr:rowOff>
    </xdr:to>
    <xdr:pic>
      <xdr:nvPicPr>
        <xdr:cNvPr id="24406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31118175" y="22165310"/>
          <a:ext cx="8410575" cy="414274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30</xdr:col>
      <xdr:colOff>334010</xdr:colOff>
      <xdr:row>122</xdr:row>
      <xdr:rowOff>152400</xdr:rowOff>
    </xdr:from>
    <xdr:to>
      <xdr:col>35</xdr:col>
      <xdr:colOff>649361</xdr:colOff>
      <xdr:row>127</xdr:row>
      <xdr:rowOff>19050</xdr:rowOff>
    </xdr:to>
    <xdr:pic>
      <xdr:nvPicPr>
        <xdr:cNvPr id="24407" name="图片 3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8004135" y="24803735"/>
          <a:ext cx="5934710" cy="10096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101</xdr:row>
      <xdr:rowOff>40339</xdr:rowOff>
    </xdr:from>
    <xdr:to>
      <xdr:col>5</xdr:col>
      <xdr:colOff>657225</xdr:colOff>
      <xdr:row>110</xdr:row>
      <xdr:rowOff>95307</xdr:rowOff>
    </xdr:to>
    <xdr:sp>
      <xdr:nvSpPr>
        <xdr:cNvPr id="2" name="Text Box 1"/>
        <xdr:cNvSpPr txBox="1">
          <a:spLocks noChangeArrowheads="1"/>
        </xdr:cNvSpPr>
      </xdr:nvSpPr>
      <xdr:spPr>
        <a:xfrm>
          <a:off x="0" y="23020020"/>
          <a:ext cx="7143750" cy="178879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36576" tIns="18288" rIns="0" bIns="0" anchor="t" upright="1"/>
        <a:lstStyle/>
        <a:p>
          <a:pPr algn="l" rtl="0">
            <a:lnSpc>
              <a:spcPts val="1500"/>
            </a:lnSpc>
            <a:defRPr sz="1000"/>
          </a:pPr>
          <a:r>
            <a:rPr lang="zh-CN" altLang="en-US" sz="1200" b="1" i="0" u="none" strike="noStrike" baseline="0">
              <a:solidFill>
                <a:srgbClr val="FF6600"/>
              </a:solidFill>
              <a:latin typeface="宋体" panose="02010600030101010101" pitchFamily="7" charset="-122"/>
              <a:ea typeface="宋体" panose="02010600030101010101" pitchFamily="7" charset="-122"/>
            </a:rPr>
            <a:t>备注：</a:t>
          </a:r>
          <a:endParaRPr lang="zh-CN" altLang="en-US" sz="12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=(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活动数据得分</a:t>
          </a:r>
          <a:r>
            <a:rPr lang="en-GB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排放系数得分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校准频率得分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)/3</a:t>
          </a:r>
          <a:endParaRPr lang="en-US" altLang="zh-CN" sz="12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排放量占比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排放源排放量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/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总排放量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平均积分*排放占比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加权合计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el-GR" altLang="zh-CN" sz="1200" b="0" i="0" u="none" strike="noStrike" baseline="0">
              <a:solidFill>
                <a:srgbClr val="000000"/>
              </a:solidFill>
              <a:ea typeface="宋体" panose="02010600030101010101" pitchFamily="7" charset="-122"/>
            </a:rPr>
            <a:t>Σ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数据品质分为五级。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级别评分对照表：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101</xdr:row>
      <xdr:rowOff>40339</xdr:rowOff>
    </xdr:from>
    <xdr:to>
      <xdr:col>5</xdr:col>
      <xdr:colOff>657225</xdr:colOff>
      <xdr:row>110</xdr:row>
      <xdr:rowOff>95307</xdr:rowOff>
    </xdr:to>
    <xdr:sp>
      <xdr:nvSpPr>
        <xdr:cNvPr id="2" name="Text Box 1"/>
        <xdr:cNvSpPr txBox="1">
          <a:spLocks noChangeArrowheads="1"/>
        </xdr:cNvSpPr>
      </xdr:nvSpPr>
      <xdr:spPr>
        <a:xfrm>
          <a:off x="0" y="23020020"/>
          <a:ext cx="8048625" cy="178879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36576" tIns="18288" rIns="0" bIns="0" anchor="t" upright="1"/>
        <a:lstStyle/>
        <a:p>
          <a:pPr algn="l" rtl="0">
            <a:lnSpc>
              <a:spcPts val="1500"/>
            </a:lnSpc>
            <a:defRPr sz="1000"/>
          </a:pPr>
          <a:r>
            <a:rPr lang="zh-CN" altLang="en-US" sz="1200" b="1" i="0" u="none" strike="noStrike" baseline="0">
              <a:solidFill>
                <a:srgbClr val="FF6600"/>
              </a:solidFill>
              <a:latin typeface="宋体" panose="02010600030101010101" pitchFamily="7" charset="-122"/>
              <a:ea typeface="宋体" panose="02010600030101010101" pitchFamily="7" charset="-122"/>
            </a:rPr>
            <a:t>备注：</a:t>
          </a:r>
          <a:endParaRPr lang="zh-CN" altLang="en-US" sz="12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=(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活动数据得分</a:t>
          </a:r>
          <a:r>
            <a:rPr lang="en-GB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排放系数得分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+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  <a:cs typeface="+mn-cs"/>
            </a:rPr>
            <a:t>校准频率得分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)/3</a:t>
          </a:r>
          <a:endParaRPr lang="en-US" altLang="zh-CN" sz="12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排放量占比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排放源排放量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/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总排放量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平均积分*排放占比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加权合计</a:t>
          </a:r>
          <a:r>
            <a:rPr lang="en-US" altLang="zh-CN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=</a:t>
          </a:r>
          <a:r>
            <a:rPr lang="el-GR" altLang="zh-CN" sz="1200" b="0" i="0" u="none" strike="noStrike" baseline="0">
              <a:solidFill>
                <a:srgbClr val="000000"/>
              </a:solidFill>
              <a:ea typeface="宋体" panose="02010600030101010101" pitchFamily="7" charset="-122"/>
            </a:rPr>
            <a:t>Σ</a:t>
          </a: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加权平均积分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5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数据品质分为五级。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  <a:p>
          <a:pPr algn="l" rtl="0">
            <a:lnSpc>
              <a:spcPts val="1400"/>
            </a:lnSpc>
            <a:defRPr sz="1000"/>
          </a:pPr>
          <a:r>
            <a:rPr lang="zh-CN" altLang="en-US" sz="1200" b="0" i="0" u="none" strike="noStrike" baseline="0">
              <a:solidFill>
                <a:srgbClr val="000000"/>
              </a:solidFill>
              <a:latin typeface="宋体" panose="02010600030101010101" pitchFamily="7" charset="-122"/>
              <a:ea typeface="宋体" panose="02010600030101010101" pitchFamily="7" charset="-122"/>
            </a:rPr>
            <a:t>级别评分对照表：</a:t>
          </a:r>
          <a:endParaRPr lang="zh-CN" altLang="en-US" sz="1200" b="0" i="0" u="none" strike="noStrike" baseline="0">
            <a:solidFill>
              <a:srgbClr val="000000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</xdr:col>
      <xdr:colOff>0</xdr:colOff>
      <xdr:row>0</xdr:row>
      <xdr:rowOff>0</xdr:rowOff>
    </xdr:from>
    <xdr:to>
      <xdr:col>2</xdr:col>
      <xdr:colOff>704215</xdr:colOff>
      <xdr:row>0</xdr:row>
      <xdr:rowOff>0</xdr:rowOff>
    </xdr:to>
    <xdr:sp>
      <xdr:nvSpPr>
        <xdr:cNvPr id="23194" name="Text Box 6"/>
        <xdr:cNvSpPr txBox="1"/>
      </xdr:nvSpPr>
      <xdr:spPr>
        <a:xfrm>
          <a:off x="57150" y="0"/>
          <a:ext cx="1161415" cy="0"/>
        </a:xfrm>
        <a:prstGeom prst="rect">
          <a:avLst/>
        </a:prstGeom>
        <a:solidFill>
          <a:srgbClr val="FFFFFF">
            <a:alpha val="100000"/>
          </a:srgbClr>
        </a:solidFill>
        <a:ln w="9525">
          <a:noFill/>
        </a:ln>
      </xdr:spPr>
    </xdr:sp>
    <xdr:clientData/>
  </xdr:twoCellAnchor>
  <xdr:twoCellAnchor>
    <xdr:from>
      <xdr:col>1</xdr:col>
      <xdr:colOff>9525</xdr:colOff>
      <xdr:row>0</xdr:row>
      <xdr:rowOff>0</xdr:rowOff>
    </xdr:from>
    <xdr:to>
      <xdr:col>1</xdr:col>
      <xdr:colOff>9525</xdr:colOff>
      <xdr:row>0</xdr:row>
      <xdr:rowOff>0</xdr:rowOff>
    </xdr:to>
    <xdr:sp>
      <xdr:nvSpPr>
        <xdr:cNvPr id="23195" name="Line 2"/>
        <xdr:cNvSpPr/>
      </xdr:nvSpPr>
      <xdr:spPr>
        <a:xfrm>
          <a:off x="6667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5</xdr:col>
      <xdr:colOff>0</xdr:colOff>
      <xdr:row>0</xdr:row>
      <xdr:rowOff>0</xdr:rowOff>
    </xdr:from>
    <xdr:to>
      <xdr:col>5</xdr:col>
      <xdr:colOff>0</xdr:colOff>
      <xdr:row>0</xdr:row>
      <xdr:rowOff>0</xdr:rowOff>
    </xdr:to>
    <xdr:sp>
      <xdr:nvSpPr>
        <xdr:cNvPr id="23196" name="Line 3"/>
        <xdr:cNvSpPr/>
      </xdr:nvSpPr>
      <xdr:spPr>
        <a:xfrm>
          <a:off x="455295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5</xdr:col>
      <xdr:colOff>0</xdr:colOff>
      <xdr:row>0</xdr:row>
      <xdr:rowOff>0</xdr:rowOff>
    </xdr:from>
    <xdr:to>
      <xdr:col>5</xdr:col>
      <xdr:colOff>0</xdr:colOff>
      <xdr:row>0</xdr:row>
      <xdr:rowOff>0</xdr:rowOff>
    </xdr:to>
    <xdr:sp>
      <xdr:nvSpPr>
        <xdr:cNvPr id="23197" name="Line 4"/>
        <xdr:cNvSpPr/>
      </xdr:nvSpPr>
      <xdr:spPr>
        <a:xfrm>
          <a:off x="455295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9525</xdr:colOff>
      <xdr:row>0</xdr:row>
      <xdr:rowOff>0</xdr:rowOff>
    </xdr:from>
    <xdr:to>
      <xdr:col>0</xdr:col>
      <xdr:colOff>9525</xdr:colOff>
      <xdr:row>0</xdr:row>
      <xdr:rowOff>0</xdr:rowOff>
    </xdr:to>
    <xdr:sp>
      <xdr:nvSpPr>
        <xdr:cNvPr id="15799" name="Line 507"/>
        <xdr:cNvSpPr/>
      </xdr:nvSpPr>
      <xdr:spPr>
        <a:xfrm>
          <a:off x="952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>
      <xdr:nvSpPr>
        <xdr:cNvPr id="15800" name="Line 508"/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>
      <xdr:nvSpPr>
        <xdr:cNvPr id="15801" name="Line 509"/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9525</xdr:colOff>
      <xdr:row>0</xdr:row>
      <xdr:rowOff>0</xdr:rowOff>
    </xdr:from>
    <xdr:to>
      <xdr:col>0</xdr:col>
      <xdr:colOff>9525</xdr:colOff>
      <xdr:row>0</xdr:row>
      <xdr:rowOff>0</xdr:rowOff>
    </xdr:to>
    <xdr:sp>
      <xdr:nvSpPr>
        <xdr:cNvPr id="2" name="Line 507"/>
        <xdr:cNvSpPr/>
      </xdr:nvSpPr>
      <xdr:spPr>
        <a:xfrm>
          <a:off x="9525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>
      <xdr:nvSpPr>
        <xdr:cNvPr id="3" name="Line 508"/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  <xdr:twoCellAnchor>
    <xdr:from>
      <xdr:col>3</xdr:col>
      <xdr:colOff>0</xdr:colOff>
      <xdr:row>0</xdr:row>
      <xdr:rowOff>0</xdr:rowOff>
    </xdr:from>
    <xdr:to>
      <xdr:col>3</xdr:col>
      <xdr:colOff>0</xdr:colOff>
      <xdr:row>0</xdr:row>
      <xdr:rowOff>0</xdr:rowOff>
    </xdr:to>
    <xdr:sp>
      <xdr:nvSpPr>
        <xdr:cNvPr id="4" name="Line 509"/>
        <xdr:cNvSpPr/>
      </xdr:nvSpPr>
      <xdr:spPr>
        <a:xfrm>
          <a:off x="2324100" y="0"/>
          <a:ext cx="0" cy="0"/>
        </a:xfrm>
        <a:prstGeom prst="line">
          <a:avLst/>
        </a:prstGeom>
        <a:ln w="9525" cap="flat" cmpd="sng">
          <a:solidFill>
            <a:srgbClr val="000000"/>
          </a:solidFill>
          <a:prstDash val="solid"/>
          <a:round/>
          <a:headEnd type="none" w="med" len="med"/>
          <a:tailEnd type="none" w="med" len="med"/>
        </a:ln>
      </xdr:spPr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.x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7"/>
  <sheetViews>
    <sheetView zoomScalePageLayoutView="130" topLeftCell="A70" workbookViewId="0">
      <selection activeCell="O53" sqref="O53"/>
    </sheetView>
  </sheetViews>
  <sheetFormatPr defaultColWidth="11" defaultRowHeight="12.75"/>
  <cols>
    <col min="1" max="1" width="3.375" style="456" customWidth="1"/>
    <col min="2" max="2" width="9.875" style="457" customWidth="1"/>
    <col min="3" max="3" width="22.625" style="457" customWidth="1"/>
    <col min="4" max="4" width="9.875" style="458" hidden="1" customWidth="1"/>
    <col min="5" max="5" width="31.5" style="457" hidden="1" customWidth="1"/>
    <col min="6" max="6" width="14.5" style="459" customWidth="1"/>
    <col min="7" max="7" width="10.25" style="459" customWidth="1"/>
    <col min="8" max="8" width="6.875" style="459" customWidth="1"/>
    <col min="9" max="9" width="8.625" style="459" customWidth="1"/>
    <col min="10" max="12" width="6.875" style="459" customWidth="1"/>
    <col min="13" max="13" width="7.5" style="459" customWidth="1"/>
    <col min="14" max="16384" width="11" style="457"/>
  </cols>
  <sheetData>
    <row r="1" ht="15" customHeight="1" spans="1:14">
      <c r="B1" s="460" t="s">
        <v>0</v>
      </c>
      <c r="C1" s="461"/>
      <c r="D1" s="461"/>
      <c r="E1" s="461"/>
      <c r="F1" s="461"/>
      <c r="G1" s="461"/>
      <c r="H1" s="461"/>
      <c r="I1" s="461"/>
      <c r="J1" s="461"/>
      <c r="K1" s="462"/>
      <c r="L1" s="463" t="s">
        <v>1</v>
      </c>
      <c r="M1" s="464"/>
    </row>
    <row r="2" ht="15" customHeight="1" spans="1:14">
      <c r="B2" s="465"/>
      <c r="C2" s="466"/>
      <c r="D2" s="466"/>
      <c r="E2" s="466"/>
      <c r="F2" s="466"/>
      <c r="G2" s="466"/>
      <c r="H2" s="466"/>
      <c r="I2" s="466"/>
      <c r="J2" s="466"/>
      <c r="K2" s="467"/>
      <c r="L2" s="468" t="s">
        <v>2</v>
      </c>
      <c r="M2" s="464"/>
    </row>
    <row r="3" ht="15" customHeight="1" spans="1:14">
      <c r="B3" s="469"/>
      <c r="C3" s="470"/>
      <c r="D3" s="470"/>
      <c r="E3" s="470"/>
      <c r="F3" s="470"/>
      <c r="G3" s="470"/>
      <c r="H3" s="470"/>
      <c r="I3" s="470"/>
      <c r="J3" s="470"/>
      <c r="K3" s="471"/>
      <c r="L3" s="472" t="s">
        <v>3</v>
      </c>
      <c r="M3" s="473"/>
    </row>
    <row r="4" s="450" customFormat="1" ht="25.15" customHeight="1" spans="1:14">
      <c r="A4" s="474"/>
      <c r="B4" s="475" t="s">
        <v>4</v>
      </c>
      <c r="C4" s="476" t="s">
        <v>5</v>
      </c>
      <c r="D4" s="477"/>
      <c r="E4" s="478"/>
      <c r="F4" s="479"/>
      <c r="G4" s="479"/>
      <c r="H4" s="479"/>
      <c r="I4" s="479"/>
      <c r="J4" s="479"/>
      <c r="K4" s="479"/>
      <c r="L4" s="479"/>
      <c r="M4" s="479"/>
    </row>
    <row r="5" s="450" customFormat="1" ht="25.15" customHeight="1" spans="1:14">
      <c r="A5" s="474"/>
      <c r="B5" s="480" t="s">
        <v>6</v>
      </c>
      <c r="C5" s="481" t="s">
        <v>7</v>
      </c>
      <c r="D5" s="482"/>
      <c r="E5" s="483"/>
      <c r="F5" s="484"/>
      <c r="G5" s="485"/>
      <c r="H5" s="485"/>
      <c r="I5" s="485"/>
      <c r="J5" s="485"/>
      <c r="K5" s="485"/>
      <c r="L5" s="485"/>
    </row>
    <row r="6" s="450" customFormat="1" ht="25.15" customHeight="1" spans="1:14">
      <c r="A6" s="474"/>
      <c r="B6" s="480" t="s">
        <v>8</v>
      </c>
      <c r="C6" s="486" t="s">
        <v>9</v>
      </c>
      <c r="D6" s="482"/>
      <c r="E6" s="485"/>
      <c r="F6" s="485"/>
      <c r="G6" s="485"/>
      <c r="H6" s="485"/>
      <c r="I6" s="485"/>
      <c r="J6" s="485"/>
      <c r="K6" s="485"/>
      <c r="L6" s="485"/>
    </row>
    <row r="7" s="451" customFormat="1" ht="25.15" customHeight="1" spans="1:14">
      <c r="A7" s="487"/>
      <c r="B7" s="488" t="s">
        <v>10</v>
      </c>
      <c r="C7" s="489"/>
      <c r="D7" s="490"/>
      <c r="E7" s="491" t="s">
        <v>11</v>
      </c>
      <c r="F7" s="492"/>
      <c r="G7" s="493"/>
      <c r="H7" s="494"/>
      <c r="I7" s="495"/>
      <c r="J7" s="496"/>
      <c r="K7" s="497" t="s">
        <v>12</v>
      </c>
      <c r="L7" s="492"/>
      <c r="M7" s="493"/>
    </row>
    <row r="8" s="451" customFormat="1" ht="25.15" customHeight="1" spans="1:14">
      <c r="A8" s="498"/>
      <c r="B8" s="499" t="s">
        <v>13</v>
      </c>
      <c r="C8" s="499" t="s">
        <v>14</v>
      </c>
      <c r="D8" s="500"/>
      <c r="E8" s="501" t="s">
        <v>15</v>
      </c>
      <c r="F8" s="502">
        <f>F14</f>
        <v>7122248.8339861</v>
      </c>
      <c r="G8" s="502"/>
      <c r="H8" s="503"/>
      <c r="I8" s="503"/>
      <c r="J8" s="504"/>
      <c r="K8" s="503" t="s">
        <v>16</v>
      </c>
      <c r="L8" s="503"/>
      <c r="M8" s="503"/>
      <c r="N8" s="505"/>
    </row>
    <row r="9" s="451" customFormat="1" ht="25.15" customHeight="1" spans="1:14">
      <c r="A9" s="487"/>
      <c r="B9" s="506"/>
      <c r="C9" s="507"/>
      <c r="D9" s="508"/>
      <c r="E9" s="501" t="s">
        <v>17</v>
      </c>
      <c r="F9" s="509">
        <f>F47</f>
        <v>1069378.747982</v>
      </c>
      <c r="G9" s="510"/>
      <c r="H9" s="511"/>
      <c r="I9" s="512"/>
      <c r="J9" s="513"/>
      <c r="K9" s="514"/>
      <c r="L9" s="515"/>
      <c r="M9" s="516"/>
    </row>
    <row r="10" s="450" customFormat="1" ht="25.15" customHeight="1" spans="1:14">
      <c r="A10" s="474"/>
      <c r="D10" s="517"/>
      <c r="E10" s="501" t="s">
        <v>18</v>
      </c>
      <c r="F10" s="509">
        <f>F48</f>
        <v>1161900.332352</v>
      </c>
      <c r="G10" s="518"/>
      <c r="H10" s="474"/>
      <c r="I10" s="474"/>
      <c r="J10" s="474"/>
      <c r="K10" s="474"/>
      <c r="L10" s="474"/>
      <c r="M10" s="474"/>
    </row>
    <row r="11" s="450" customFormat="1" ht="25.15" customHeight="1" spans="1:14">
      <c r="A11" s="474"/>
      <c r="B11" s="519" t="s">
        <v>19</v>
      </c>
      <c r="C11" s="520"/>
      <c r="D11" s="521"/>
      <c r="E11" s="501" t="s">
        <v>20</v>
      </c>
      <c r="F11" s="509">
        <f>SUM(F50,F76,F89,F101,F106,F113,F118,F124,F130,F136)</f>
        <v>7328574.60995543</v>
      </c>
      <c r="G11" s="522"/>
      <c r="H11" s="512"/>
      <c r="I11" s="512"/>
      <c r="J11" s="512"/>
      <c r="K11" s="512"/>
      <c r="L11" s="512"/>
      <c r="M11" s="512"/>
    </row>
    <row r="12" s="450" customFormat="1" ht="25.15" customHeight="1" spans="1:14">
      <c r="A12" s="523"/>
      <c r="B12" s="524" t="s">
        <v>21</v>
      </c>
      <c r="C12" s="525" t="s">
        <v>22</v>
      </c>
      <c r="D12" s="526" t="s">
        <v>23</v>
      </c>
      <c r="E12" s="524" t="s">
        <v>24</v>
      </c>
      <c r="F12" s="527" t="s">
        <v>25</v>
      </c>
      <c r="G12" s="528" t="s">
        <v>26</v>
      </c>
      <c r="H12" s="529" t="s">
        <v>27</v>
      </c>
      <c r="I12" s="529" t="s">
        <v>28</v>
      </c>
      <c r="J12" s="529" t="s">
        <v>29</v>
      </c>
      <c r="K12" s="529" t="s">
        <v>30</v>
      </c>
      <c r="L12" s="529" t="s">
        <v>31</v>
      </c>
      <c r="M12" s="529" t="s">
        <v>32</v>
      </c>
      <c r="N12" s="530"/>
    </row>
    <row r="13" s="450" customFormat="1" ht="25.15" customHeight="1" spans="1:14">
      <c r="A13" s="523"/>
      <c r="B13" s="524"/>
      <c r="C13" s="525"/>
      <c r="D13" s="526"/>
      <c r="E13" s="524"/>
      <c r="F13" s="527"/>
      <c r="G13" s="529" t="s">
        <v>33</v>
      </c>
      <c r="H13" s="529"/>
      <c r="I13" s="529"/>
      <c r="J13" s="529"/>
      <c r="K13" s="529"/>
      <c r="L13" s="529"/>
      <c r="M13" s="529"/>
      <c r="N13" s="530"/>
    </row>
    <row r="14" s="451" customFormat="1" ht="25.15" hidden="1" customHeight="1" spans="1:14">
      <c r="A14" s="487"/>
      <c r="B14" s="531" t="s">
        <v>34</v>
      </c>
      <c r="C14" s="532"/>
      <c r="D14" s="533"/>
      <c r="E14" s="532"/>
      <c r="F14" s="534">
        <f t="shared" ref="F14:M14" si="0">F15+F24+F27+F33</f>
        <v>7122248.8339861</v>
      </c>
      <c r="G14" s="534">
        <f t="shared" si="0"/>
        <v>7086080.34512885</v>
      </c>
      <c r="H14" s="534">
        <f t="shared" si="0"/>
        <v>2569.68353485897</v>
      </c>
      <c r="I14" s="534">
        <f t="shared" si="0"/>
        <v>30422.615322387</v>
      </c>
      <c r="J14" s="534">
        <f t="shared" si="0"/>
        <v>717.03</v>
      </c>
      <c r="K14" s="534">
        <f t="shared" si="0"/>
        <v>0</v>
      </c>
      <c r="L14" s="534">
        <f t="shared" si="0"/>
        <v>2459.16</v>
      </c>
      <c r="M14" s="534">
        <f t="shared" si="0"/>
        <v>0</v>
      </c>
    </row>
    <row r="15" s="450" customFormat="1" ht="25.15" hidden="1" customHeight="1" spans="1:14">
      <c r="A15" s="474"/>
      <c r="B15" s="535">
        <v>1.1</v>
      </c>
      <c r="C15" s="536" t="s">
        <v>35</v>
      </c>
      <c r="D15" s="537"/>
      <c r="E15" s="538"/>
      <c r="F15" s="539">
        <f>SUM(G15:M15)</f>
        <v>7227644.23779006</v>
      </c>
      <c r="G15" s="540">
        <f>SUM(G16:G23)</f>
        <v>7195204.64033109</v>
      </c>
      <c r="H15" s="540">
        <f t="shared" ref="H15:M15" si="1">SUM(H16:H23)</f>
        <v>2083.9815849094</v>
      </c>
      <c r="I15" s="540">
        <f t="shared" si="1"/>
        <v>30355.6158740626</v>
      </c>
      <c r="J15" s="540">
        <f t="shared" si="1"/>
        <v>0</v>
      </c>
      <c r="K15" s="540">
        <f t="shared" si="1"/>
        <v>0</v>
      </c>
      <c r="L15" s="540">
        <f t="shared" si="1"/>
        <v>0</v>
      </c>
      <c r="M15" s="540">
        <f t="shared" si="1"/>
        <v>0</v>
      </c>
    </row>
    <row r="16" s="450" customFormat="1" ht="25.15" hidden="1" customHeight="1" spans="1:14">
      <c r="A16" s="474"/>
      <c r="B16" s="541" t="s">
        <v>36</v>
      </c>
      <c r="C16" s="542" t="str">
        <f>表1温室气体盘查表!C5</f>
        <v>天然气燃烧</v>
      </c>
      <c r="D16" s="542" t="str">
        <f>表1温室气体盘查表!D5</f>
        <v>热处理炉（加热炉）</v>
      </c>
      <c r="F16" s="543">
        <f>SUM(G16:M16)</f>
        <v>38881.7260826929</v>
      </c>
      <c r="G16" s="543">
        <f>表1温室气体盘查表!AE5</f>
        <v>38843.5057348041</v>
      </c>
      <c r="H16" s="543">
        <f>表1温室气体盘查表!AF5</f>
        <v>19.3178932263999</v>
      </c>
      <c r="I16" s="543">
        <f>表1温室气体盘查表!AG5</f>
        <v>18.9024546623913</v>
      </c>
      <c r="J16" s="543">
        <f>表1温室气体盘查表!AH5</f>
        <v>0</v>
      </c>
      <c r="K16" s="543">
        <f>表1温室气体盘查表!AI5</f>
        <v>0</v>
      </c>
      <c r="L16" s="543">
        <f>表1温室气体盘查表!AJ5</f>
        <v>0</v>
      </c>
      <c r="M16" s="543">
        <f>表1温室气体盘查表!AK5</f>
        <v>0</v>
      </c>
    </row>
    <row r="17" s="450" customFormat="1" ht="25.15" hidden="1" customHeight="1" spans="1:13">
      <c r="A17" s="474"/>
      <c r="B17" s="541" t="s">
        <v>37</v>
      </c>
      <c r="C17" s="542" t="str">
        <f>表1温室气体盘查表!C6</f>
        <v>液化石油气燃烧</v>
      </c>
      <c r="D17" s="542" t="str">
        <f>表1温室气体盘查表!D6</f>
        <v>冶钢宾馆</v>
      </c>
      <c r="F17" s="543">
        <f t="shared" ref="F17:F45" si="2">SUM(G17:M17)</f>
        <v>29.1623679258778</v>
      </c>
      <c r="G17" s="543">
        <f>表1温室气体盘查表!AE6</f>
        <v>29.13687892878</v>
      </c>
      <c r="H17" s="543">
        <f>表1温室气体盘查表!AF6</f>
        <v>0.01288302570702</v>
      </c>
      <c r="I17" s="543">
        <f>表1温室气体盘查表!AG6</f>
        <v>0.01260597139074</v>
      </c>
      <c r="J17" s="543">
        <f>表1温室气体盘查表!AH6</f>
        <v>0</v>
      </c>
      <c r="K17" s="543">
        <f>表1温室气体盘查表!AI6</f>
        <v>0</v>
      </c>
      <c r="L17" s="543">
        <f>表1温室气体盘查表!AJ6</f>
        <v>0</v>
      </c>
      <c r="M17" s="543">
        <f>表1温室气体盘查表!AK6</f>
        <v>0</v>
      </c>
    </row>
    <row r="18" s="450" customFormat="1" ht="25.15" hidden="1" customHeight="1" spans="1:13">
      <c r="A18" s="474"/>
      <c r="B18" s="541" t="s">
        <v>38</v>
      </c>
      <c r="C18" s="542" t="str">
        <f>表1温室气体盘查表!C7</f>
        <v>烟煤燃烧</v>
      </c>
      <c r="D18" s="542" t="str">
        <f>表1温室气体盘查表!D7</f>
        <v>高炉</v>
      </c>
      <c r="F18" s="543">
        <f t="shared" si="2"/>
        <v>925941.318843156</v>
      </c>
      <c r="G18" s="543">
        <f>表1温室气体盘查表!AE7</f>
        <v>921839.461463258</v>
      </c>
      <c r="H18" s="543">
        <f>表1温室气体盘查表!AF7</f>
        <v>261.641108594353</v>
      </c>
      <c r="I18" s="543">
        <f>表1温室气体盘查表!AG7</f>
        <v>3840.21627130421</v>
      </c>
      <c r="J18" s="543">
        <f>表1温室气体盘查表!AH7</f>
        <v>0</v>
      </c>
      <c r="K18" s="543">
        <f>表1温室气体盘查表!AI7</f>
        <v>0</v>
      </c>
      <c r="L18" s="543">
        <f>表1温室气体盘查表!AJ7</f>
        <v>0</v>
      </c>
      <c r="M18" s="543">
        <f>表1温室气体盘查表!AK7</f>
        <v>0</v>
      </c>
    </row>
    <row r="19" s="450" customFormat="1" ht="25.15" hidden="1" customHeight="1" spans="1:13">
      <c r="A19" s="474"/>
      <c r="B19" s="541" t="s">
        <v>39</v>
      </c>
      <c r="C19" s="542" t="str">
        <f>表1温室气体盘查表!C8</f>
        <v>无烟煤燃烧</v>
      </c>
      <c r="D19" s="542" t="str">
        <f>表1温室气体盘查表!D8</f>
        <v>高炉、烧结</v>
      </c>
      <c r="F19" s="543">
        <f t="shared" si="2"/>
        <v>637282.392059932</v>
      </c>
      <c r="G19" s="543">
        <f>表1温室气体盘查表!AE8</f>
        <v>634459.274190847</v>
      </c>
      <c r="H19" s="543">
        <f>表1温室气体盘查表!AF8</f>
        <v>180.075419633007</v>
      </c>
      <c r="I19" s="543">
        <f>表1温室气体盘查表!AG8</f>
        <v>2643.0424494522</v>
      </c>
      <c r="J19" s="543">
        <f>表1温室气体盘查表!AH8</f>
        <v>0</v>
      </c>
      <c r="K19" s="543">
        <f>表1温室气体盘查表!AI8</f>
        <v>0</v>
      </c>
      <c r="L19" s="543">
        <f>表1温室气体盘查表!AJ8</f>
        <v>0</v>
      </c>
      <c r="M19" s="543">
        <f>表1温室气体盘查表!AK8</f>
        <v>0</v>
      </c>
    </row>
    <row r="20" s="450" customFormat="1" ht="25.15" hidden="1" customHeight="1" spans="1:13">
      <c r="A20" s="474"/>
      <c r="B20" s="541" t="s">
        <v>40</v>
      </c>
      <c r="C20" s="542" t="str">
        <f>表1温室气体盘查表!C9</f>
        <v>洗精煤燃烧</v>
      </c>
      <c r="D20" s="542" t="str">
        <f>表1温室气体盘查表!D9</f>
        <v>焦炉</v>
      </c>
      <c r="F20" s="543">
        <f t="shared" si="2"/>
        <v>4824841.57343012</v>
      </c>
      <c r="G20" s="543">
        <f>表1温室气体盘查表!AE9</f>
        <v>4802635.7291602</v>
      </c>
      <c r="H20" s="543">
        <f>表1温室气体盘查表!AF9</f>
        <v>1416.42216536543</v>
      </c>
      <c r="I20" s="543">
        <f>表1温室气体盘查表!AG9</f>
        <v>20789.4221045571</v>
      </c>
      <c r="J20" s="543">
        <f>表1温室气体盘查表!AH9</f>
        <v>0</v>
      </c>
      <c r="K20" s="543">
        <f>表1温室气体盘查表!AI9</f>
        <v>0</v>
      </c>
      <c r="L20" s="543">
        <f>表1温室气体盘查表!AJ9</f>
        <v>0</v>
      </c>
      <c r="M20" s="543">
        <f>表1温室气体盘查表!AK9</f>
        <v>0</v>
      </c>
    </row>
    <row r="21" s="450" customFormat="1" ht="25.15" hidden="1" customHeight="1" spans="1:13">
      <c r="A21" s="474"/>
      <c r="B21" s="541" t="s">
        <v>41</v>
      </c>
      <c r="C21" s="542" t="str">
        <f>表1温室气体盘查表!C10</f>
        <v>焦炭燃烧</v>
      </c>
      <c r="D21" s="542" t="str">
        <f>表1温室气体盘查表!D10</f>
        <v>高炉</v>
      </c>
      <c r="F21" s="543">
        <f t="shared" si="2"/>
        <v>439843.844348532</v>
      </c>
      <c r="G21" s="543">
        <f>表1温室气体盘查表!AE10</f>
        <v>438053.14858041</v>
      </c>
      <c r="H21" s="543">
        <f>表1温室气体盘查表!AF10</f>
        <v>114.221335003677</v>
      </c>
      <c r="I21" s="543">
        <f>表1温室气体盘查表!AG10</f>
        <v>1676.47443311848</v>
      </c>
      <c r="J21" s="543">
        <f>表1温室气体盘查表!AH10</f>
        <v>0</v>
      </c>
      <c r="K21" s="543">
        <f>表1温室气体盘查表!AI10</f>
        <v>0</v>
      </c>
      <c r="L21" s="543">
        <f>表1温室气体盘查表!AJ10</f>
        <v>0</v>
      </c>
      <c r="M21" s="543">
        <f>表1温室气体盘查表!AK10</f>
        <v>0</v>
      </c>
    </row>
    <row r="22" s="450" customFormat="1" ht="25.15" hidden="1" customHeight="1" spans="1:13">
      <c r="A22" s="474"/>
      <c r="B22" s="541" t="s">
        <v>42</v>
      </c>
      <c r="C22" s="542" t="str">
        <f>表1温室气体盘查表!C11</f>
        <v>焦屑燃烧</v>
      </c>
      <c r="D22" s="542" t="str">
        <f>表1温室气体盘查表!D11</f>
        <v>烧结、高炉</v>
      </c>
      <c r="F22" s="543">
        <f t="shared" si="2"/>
        <v>364657.356140779</v>
      </c>
      <c r="G22" s="543">
        <f>表1温室气体盘查表!AE11</f>
        <v>363172.760203275</v>
      </c>
      <c r="H22" s="543">
        <f>表1温室气体盘查表!AF11</f>
        <v>94.6964486885175</v>
      </c>
      <c r="I22" s="543">
        <f>表1温室气体盘查表!AG11</f>
        <v>1389.89948881534</v>
      </c>
      <c r="J22" s="543">
        <f>表1温室气体盘查表!AH11</f>
        <v>0</v>
      </c>
      <c r="K22" s="543">
        <f>表1温室气体盘查表!AI11</f>
        <v>0</v>
      </c>
      <c r="L22" s="543">
        <f>表1温室气体盘查表!AJ11</f>
        <v>0</v>
      </c>
      <c r="M22" s="543">
        <f>表1温室气体盘查表!AK11</f>
        <v>0</v>
      </c>
    </row>
    <row r="23" s="450" customFormat="1" ht="25.15" hidden="1" customHeight="1" spans="1:13">
      <c r="A23" s="474"/>
      <c r="B23" s="541" t="s">
        <v>43</v>
      </c>
      <c r="C23" s="542" t="str">
        <f>表1温室气体盘查表!C12</f>
        <v>焦炉煤气燃烧</v>
      </c>
      <c r="D23" s="542" t="str">
        <f>表1温室气体盘查表!D12</f>
        <v>外售</v>
      </c>
      <c r="F23" s="543">
        <f t="shared" si="2"/>
        <v>-3833.13548307747</v>
      </c>
      <c r="G23" s="543">
        <f>表1温室气体盘查表!AE12</f>
        <v>-3828.37588063128</v>
      </c>
      <c r="H23" s="543">
        <f>表1温室气体盘查表!AF12</f>
        <v>-2.40566862769398</v>
      </c>
      <c r="I23" s="543">
        <f>表1温室气体盘查表!AG12</f>
        <v>-2.35393381849626</v>
      </c>
      <c r="J23" s="543">
        <f>表1温室气体盘查表!AH12</f>
        <v>0</v>
      </c>
      <c r="K23" s="543">
        <f>表1温室气体盘查表!AI12</f>
        <v>0</v>
      </c>
      <c r="L23" s="543">
        <f>表1温室气体盘查表!AJ12</f>
        <v>0</v>
      </c>
      <c r="M23" s="543">
        <f>表1温室气体盘查表!AK12</f>
        <v>0</v>
      </c>
    </row>
    <row r="24" s="450" customFormat="1" ht="25.15" hidden="1" customHeight="1" spans="1:13">
      <c r="A24" s="474"/>
      <c r="B24" s="544">
        <v>1.2</v>
      </c>
      <c r="C24" s="545" t="s">
        <v>44</v>
      </c>
      <c r="D24" s="546"/>
      <c r="E24" s="547"/>
      <c r="F24" s="539">
        <f t="shared" si="2"/>
        <v>4566.54272241503</v>
      </c>
      <c r="G24" s="540">
        <f>SUM(G25:G26)</f>
        <v>4491.71391914112</v>
      </c>
      <c r="H24" s="540">
        <f t="shared" ref="H24:M24" si="3">SUM(H25:H26)</f>
        <v>7.82935494957151</v>
      </c>
      <c r="I24" s="540">
        <f t="shared" si="3"/>
        <v>66.9994483243394</v>
      </c>
      <c r="J24" s="540">
        <f t="shared" si="3"/>
        <v>0</v>
      </c>
      <c r="K24" s="540">
        <f t="shared" si="3"/>
        <v>0</v>
      </c>
      <c r="L24" s="540">
        <f t="shared" si="3"/>
        <v>0</v>
      </c>
      <c r="M24" s="540">
        <f t="shared" si="3"/>
        <v>0</v>
      </c>
    </row>
    <row r="25" s="450" customFormat="1" ht="25.15" hidden="1" customHeight="1" spans="1:13">
      <c r="A25" s="474"/>
      <c r="B25" s="541" t="s">
        <v>45</v>
      </c>
      <c r="C25" s="548" t="str">
        <f>表1温室气体盘查表!C13</f>
        <v>0#柴油燃烧</v>
      </c>
      <c r="D25" s="542" t="str">
        <f>表1温室气体盘查表!D13</f>
        <v>场内运输</v>
      </c>
      <c r="F25" s="543">
        <f t="shared" si="2"/>
        <v>4417.07259862728</v>
      </c>
      <c r="G25" s="543">
        <f>表1温室气体盘查表!AE13</f>
        <v>4348.21067276232</v>
      </c>
      <c r="H25" s="543">
        <f>表1温室气体盘查表!AF13</f>
        <v>6.38500409316151</v>
      </c>
      <c r="I25" s="543">
        <f>表1温室气体盘查表!AG13</f>
        <v>62.4769217717954</v>
      </c>
      <c r="J25" s="543">
        <f>表1温室气体盘查表!AH13</f>
        <v>0</v>
      </c>
      <c r="K25" s="543">
        <f>表1温室气体盘查表!AI13</f>
        <v>0</v>
      </c>
      <c r="L25" s="543">
        <f>表1温室气体盘查表!AJ13</f>
        <v>0</v>
      </c>
      <c r="M25" s="543">
        <f>表1温室气体盘查表!AK13</f>
        <v>0</v>
      </c>
    </row>
    <row r="26" s="450" customFormat="1" ht="25.15" hidden="1" customHeight="1" spans="1:13">
      <c r="A26" s="474"/>
      <c r="B26" s="541" t="s">
        <v>46</v>
      </c>
      <c r="C26" s="548" t="str">
        <f>表1温室气体盘查表!C14</f>
        <v>92#汽油燃烧</v>
      </c>
      <c r="D26" s="542" t="str">
        <f>表1温室气体盘查表!D14</f>
        <v>公务车</v>
      </c>
      <c r="F26" s="543">
        <f t="shared" si="2"/>
        <v>149.470123787754</v>
      </c>
      <c r="G26" s="543">
        <f>表1温室气体盘查表!AE14</f>
        <v>143.5032463788</v>
      </c>
      <c r="H26" s="543">
        <f>表1温室气体盘查表!AF14</f>
        <v>1.44435085641</v>
      </c>
      <c r="I26" s="543">
        <f>表1温室气体盘查表!AG14</f>
        <v>4.522526552544</v>
      </c>
      <c r="J26" s="543">
        <f>表1温室气体盘查表!AH14</f>
        <v>0</v>
      </c>
      <c r="K26" s="543">
        <f>表1温室气体盘查表!AI14</f>
        <v>0</v>
      </c>
      <c r="L26" s="543">
        <f>表1温室气体盘查表!AJ14</f>
        <v>0</v>
      </c>
      <c r="M26" s="543">
        <f>表1温室气体盘查表!AK14</f>
        <v>0</v>
      </c>
    </row>
    <row r="27" s="450" customFormat="1" ht="25.15" hidden="1" customHeight="1" spans="1:13">
      <c r="A27" s="474"/>
      <c r="B27" s="544">
        <v>1.3</v>
      </c>
      <c r="C27" s="545" t="s">
        <v>47</v>
      </c>
      <c r="D27" s="546"/>
      <c r="E27" s="547"/>
      <c r="F27" s="539">
        <f t="shared" si="2"/>
        <v>3654.722595</v>
      </c>
      <c r="G27" s="539">
        <f t="shared" ref="G27:M27" si="4">SUM(G28:G32)</f>
        <v>0.66</v>
      </c>
      <c r="H27" s="539">
        <f t="shared" si="4"/>
        <v>477.872595</v>
      </c>
      <c r="I27" s="539">
        <f t="shared" si="4"/>
        <v>0</v>
      </c>
      <c r="J27" s="539">
        <f t="shared" si="4"/>
        <v>717.03</v>
      </c>
      <c r="K27" s="539">
        <f t="shared" si="4"/>
        <v>0</v>
      </c>
      <c r="L27" s="539">
        <f t="shared" si="4"/>
        <v>2459.16</v>
      </c>
      <c r="M27" s="539">
        <f t="shared" si="4"/>
        <v>0</v>
      </c>
    </row>
    <row r="28" s="450" customFormat="1" ht="25.15" hidden="1" customHeight="1" spans="1:13">
      <c r="A28" s="474"/>
      <c r="B28" s="541" t="s">
        <v>48</v>
      </c>
      <c r="C28" s="542" t="str">
        <f>表1温室气体盘查表!C15</f>
        <v>制冷剂逸散（R32）</v>
      </c>
      <c r="D28" s="542" t="str">
        <f>表1温室气体盘查表!D15</f>
        <v>分体式空调</v>
      </c>
      <c r="F28" s="543">
        <f t="shared" si="2"/>
        <v>717.03</v>
      </c>
      <c r="G28" s="543">
        <f>表1温室气体盘查表!AE15</f>
        <v>0</v>
      </c>
      <c r="H28" s="543">
        <f>表1温室气体盘查表!AF15</f>
        <v>0</v>
      </c>
      <c r="I28" s="543">
        <f>表1温室气体盘查表!AG15</f>
        <v>0</v>
      </c>
      <c r="J28" s="543">
        <f>表1温室气体盘查表!AH15</f>
        <v>717.03</v>
      </c>
      <c r="K28" s="543">
        <f>表1温室气体盘查表!AI15</f>
        <v>0</v>
      </c>
      <c r="L28" s="543">
        <f>表1温室气体盘查表!AJ15</f>
        <v>0</v>
      </c>
      <c r="M28" s="543">
        <f>表1温室气体盘查表!AK15</f>
        <v>0</v>
      </c>
    </row>
    <row r="29" s="450" customFormat="1" ht="25.15" hidden="1" customHeight="1" spans="1:13">
      <c r="A29" s="474"/>
      <c r="B29" s="541" t="s">
        <v>49</v>
      </c>
      <c r="C29" s="542" t="str">
        <f>表1温室气体盘查表!C16</f>
        <v>CO2逸散</v>
      </c>
      <c r="D29" s="542" t="str">
        <f>表1温室气体盘查表!D16</f>
        <v>二氧化碳灭火器</v>
      </c>
      <c r="F29" s="543">
        <f t="shared" si="2"/>
        <v>0.66</v>
      </c>
      <c r="G29" s="543">
        <f>表1温室气体盘查表!AE16</f>
        <v>0.66</v>
      </c>
      <c r="H29" s="543">
        <f>表1温室气体盘查表!AF16</f>
        <v>0</v>
      </c>
      <c r="I29" s="543">
        <f>表1温室气体盘查表!AG16</f>
        <v>0</v>
      </c>
      <c r="J29" s="543">
        <f>表1温室气体盘查表!AH16</f>
        <v>0</v>
      </c>
      <c r="K29" s="543">
        <f>表1温室气体盘查表!AI16</f>
        <v>0</v>
      </c>
      <c r="L29" s="543">
        <f>表1温室气体盘查表!AJ16</f>
        <v>0</v>
      </c>
      <c r="M29" s="543">
        <f>表1温室气体盘查表!AK16</f>
        <v>0</v>
      </c>
    </row>
    <row r="30" s="450" customFormat="1" ht="25.15" hidden="1" customHeight="1" spans="1:13">
      <c r="A30" s="474"/>
      <c r="B30" s="541" t="s">
        <v>50</v>
      </c>
      <c r="C30" s="542" t="str">
        <f>表1温室气体盘查表!C17</f>
        <v>CH4逸散</v>
      </c>
      <c r="D30" s="542" t="str">
        <f>表1温室气体盘查表!D17</f>
        <v>化粪池</v>
      </c>
      <c r="F30" s="543">
        <f t="shared" si="2"/>
        <v>112.29192</v>
      </c>
      <c r="G30" s="543">
        <f>表1温室气体盘查表!AE17</f>
        <v>0</v>
      </c>
      <c r="H30" s="543">
        <f>表1温室气体盘查表!AF17</f>
        <v>112.29192</v>
      </c>
      <c r="I30" s="543">
        <f>表1温室气体盘查表!AG17</f>
        <v>0</v>
      </c>
      <c r="J30" s="543">
        <f>表1温室气体盘查表!AH17</f>
        <v>0</v>
      </c>
      <c r="K30" s="543">
        <f>表1温室气体盘查表!AI17</f>
        <v>0</v>
      </c>
      <c r="L30" s="543">
        <f>表1温室气体盘查表!AJ17</f>
        <v>0</v>
      </c>
      <c r="M30" s="543">
        <f>表1温室气体盘查表!AK17</f>
        <v>0</v>
      </c>
    </row>
    <row r="31" s="450" customFormat="1" ht="25.15" hidden="1" customHeight="1" spans="1:13">
      <c r="A31" s="474"/>
      <c r="B31" s="541" t="s">
        <v>51</v>
      </c>
      <c r="C31" s="542" t="str">
        <f>表1温室气体盘查表!C18</f>
        <v>CH4逸散</v>
      </c>
      <c r="D31" s="542" t="str">
        <f>表1温室气体盘查表!D18</f>
        <v>耗氧池</v>
      </c>
      <c r="F31" s="543">
        <f t="shared" si="2"/>
        <v>365.580675</v>
      </c>
      <c r="G31" s="543">
        <f>表1温室气体盘查表!AE18</f>
        <v>0</v>
      </c>
      <c r="H31" s="543">
        <f>表1温室气体盘查表!AF18</f>
        <v>365.580675</v>
      </c>
      <c r="I31" s="543">
        <f>表1温室气体盘查表!AG18</f>
        <v>0</v>
      </c>
      <c r="J31" s="543">
        <f>表1温室气体盘查表!AH18</f>
        <v>0</v>
      </c>
      <c r="K31" s="543">
        <f>表1温室气体盘查表!AI18</f>
        <v>0</v>
      </c>
      <c r="L31" s="543">
        <f>表1温室气体盘查表!AJ18</f>
        <v>0</v>
      </c>
      <c r="M31" s="543">
        <f>表1温室气体盘查表!AK18</f>
        <v>0</v>
      </c>
    </row>
    <row r="32" s="450" customFormat="1" ht="25.15" hidden="1" customHeight="1" spans="1:13">
      <c r="A32" s="474"/>
      <c r="B32" s="541" t="s">
        <v>52</v>
      </c>
      <c r="C32" s="542" t="str">
        <f>表1温室气体盘查表!C19</f>
        <v>SF6逸散</v>
      </c>
      <c r="D32" s="542" t="str">
        <f>表1温室气体盘查表!D19</f>
        <v>高压开关</v>
      </c>
      <c r="F32" s="543">
        <f t="shared" si="2"/>
        <v>2459.16</v>
      </c>
      <c r="G32" s="543">
        <f>表1温室气体盘查表!AE19</f>
        <v>0</v>
      </c>
      <c r="H32" s="543">
        <f>表1温室气体盘查表!AF19</f>
        <v>0</v>
      </c>
      <c r="I32" s="543">
        <f>表1温室气体盘查表!AG19</f>
        <v>0</v>
      </c>
      <c r="J32" s="543">
        <f>表1温室气体盘查表!AH19</f>
        <v>0</v>
      </c>
      <c r="K32" s="543">
        <f>表1温室气体盘查表!AI19</f>
        <v>0</v>
      </c>
      <c r="L32" s="543">
        <f>表1温室气体盘查表!AJ19</f>
        <v>2459.16</v>
      </c>
      <c r="M32" s="543">
        <f>表1温室气体盘查表!AK19</f>
        <v>0</v>
      </c>
    </row>
    <row r="33" s="450" customFormat="1" ht="25.15" hidden="1" customHeight="1" spans="1:14">
      <c r="A33" s="474"/>
      <c r="B33" s="544">
        <v>1.4</v>
      </c>
      <c r="C33" s="545" t="s">
        <v>53</v>
      </c>
      <c r="D33" s="546"/>
      <c r="E33" s="547"/>
      <c r="F33" s="539">
        <f t="shared" si="2"/>
        <v>-113616.669121381</v>
      </c>
      <c r="G33" s="539">
        <f t="shared" ref="G33:M33" si="5">SUM(G34:G45)</f>
        <v>-113616.669121381</v>
      </c>
      <c r="H33" s="539">
        <f t="shared" si="5"/>
        <v>0</v>
      </c>
      <c r="I33" s="539">
        <f t="shared" si="5"/>
        <v>0</v>
      </c>
      <c r="J33" s="539">
        <f t="shared" si="5"/>
        <v>0</v>
      </c>
      <c r="K33" s="539">
        <f t="shared" si="5"/>
        <v>0</v>
      </c>
      <c r="L33" s="539">
        <f t="shared" si="5"/>
        <v>0</v>
      </c>
      <c r="M33" s="539">
        <f t="shared" si="5"/>
        <v>0</v>
      </c>
    </row>
    <row r="34" s="450" customFormat="1" ht="25.15" hidden="1" customHeight="1" spans="1:14">
      <c r="A34" s="474"/>
      <c r="B34" s="541" t="s">
        <v>54</v>
      </c>
      <c r="C34" s="542" t="str">
        <f>表1温室气体盘查表!C20</f>
        <v>石灰石</v>
      </c>
      <c r="D34" s="542" t="str">
        <f>表1温室气体盘查表!D20</f>
        <v>石灰窑</v>
      </c>
      <c r="F34" s="543">
        <f t="shared" si="2"/>
        <v>8520.9388</v>
      </c>
      <c r="G34" s="543">
        <f>表1温室气体盘查表!AE20</f>
        <v>8520.9388</v>
      </c>
      <c r="H34" s="543">
        <f>表1温室气体盘查表!AF20</f>
        <v>0</v>
      </c>
      <c r="I34" s="543">
        <f>表1温室气体盘查表!AG20</f>
        <v>0</v>
      </c>
      <c r="J34" s="543">
        <f>表1温室气体盘查表!AH20</f>
        <v>0</v>
      </c>
      <c r="K34" s="543">
        <f>表1温室气体盘查表!AI20</f>
        <v>0</v>
      </c>
      <c r="L34" s="543">
        <f>表1温室气体盘查表!AJ20</f>
        <v>0</v>
      </c>
      <c r="M34" s="543">
        <f>表1温室气体盘查表!AK20</f>
        <v>0</v>
      </c>
    </row>
    <row r="35" s="450" customFormat="1" ht="25.15" hidden="1" customHeight="1" spans="1:14">
      <c r="A35" s="474"/>
      <c r="B35" s="541" t="s">
        <v>55</v>
      </c>
      <c r="C35" s="542" t="str">
        <f>表1温室气体盘查表!C21</f>
        <v>白云石</v>
      </c>
      <c r="D35" s="542" t="str">
        <f>表1温室气体盘查表!D21</f>
        <v>高炉</v>
      </c>
      <c r="F35" s="543">
        <f t="shared" si="2"/>
        <v>169593.74964</v>
      </c>
      <c r="G35" s="543">
        <f>表1温室气体盘查表!AE21</f>
        <v>169593.74964</v>
      </c>
      <c r="H35" s="543">
        <f>表1温室气体盘查表!AF21</f>
        <v>0</v>
      </c>
      <c r="I35" s="543">
        <f>表1温室气体盘查表!AG21</f>
        <v>0</v>
      </c>
      <c r="J35" s="543">
        <f>表1温室气体盘查表!AH21</f>
        <v>0</v>
      </c>
      <c r="K35" s="543">
        <f>表1温室气体盘查表!AI21</f>
        <v>0</v>
      </c>
      <c r="L35" s="543">
        <f>表1温室气体盘查表!AJ21</f>
        <v>0</v>
      </c>
      <c r="M35" s="543">
        <f>表1温室气体盘查表!AK21</f>
        <v>0</v>
      </c>
    </row>
    <row r="36" s="450" customFormat="1" ht="25.15" hidden="1" customHeight="1" spans="1:14">
      <c r="A36" s="474"/>
      <c r="B36" s="541" t="s">
        <v>56</v>
      </c>
      <c r="C36" s="542" t="str">
        <f>表1温室气体盘查表!C22</f>
        <v>电极</v>
      </c>
      <c r="D36" s="542" t="str">
        <f>表1温室气体盘查表!D22</f>
        <v>炼钢</v>
      </c>
      <c r="F36" s="543">
        <f t="shared" si="2"/>
        <v>17447.12541</v>
      </c>
      <c r="G36" s="543">
        <f>表1温室气体盘查表!AE22</f>
        <v>17447.12541</v>
      </c>
      <c r="H36" s="543">
        <f>表1温室气体盘查表!AF22</f>
        <v>0</v>
      </c>
      <c r="I36" s="543">
        <f>表1温室气体盘查表!AG22</f>
        <v>0</v>
      </c>
      <c r="J36" s="543">
        <f>表1温室气体盘查表!AH22</f>
        <v>0</v>
      </c>
      <c r="K36" s="543">
        <f>表1温室气体盘查表!AI22</f>
        <v>0</v>
      </c>
      <c r="L36" s="543">
        <f>表1温室气体盘查表!AJ22</f>
        <v>0</v>
      </c>
      <c r="M36" s="543">
        <f>表1温室气体盘查表!AK22</f>
        <v>0</v>
      </c>
    </row>
    <row r="37" s="450" customFormat="1" ht="25.15" hidden="1" customHeight="1" spans="1:14">
      <c r="A37" s="474"/>
      <c r="B37" s="541" t="s">
        <v>57</v>
      </c>
      <c r="C37" s="542" t="str">
        <f>表1温室气体盘查表!C23</f>
        <v>废钢</v>
      </c>
      <c r="D37" s="542" t="str">
        <f>表1温室气体盘查表!D23</f>
        <v>炼钢</v>
      </c>
      <c r="F37" s="543">
        <f t="shared" si="2"/>
        <v>39875.7377946186</v>
      </c>
      <c r="G37" s="543">
        <f>表1温室气体盘查表!AE23</f>
        <v>39875.7377946186</v>
      </c>
      <c r="H37" s="543">
        <f>表1温室气体盘查表!AF23</f>
        <v>0</v>
      </c>
      <c r="I37" s="543">
        <f>表1温室气体盘查表!AG23</f>
        <v>0</v>
      </c>
      <c r="J37" s="543">
        <f>表1温室气体盘查表!AH23</f>
        <v>0</v>
      </c>
      <c r="K37" s="543">
        <f>表1温室气体盘查表!AI23</f>
        <v>0</v>
      </c>
      <c r="L37" s="543">
        <f>表1温室气体盘查表!AJ23</f>
        <v>0</v>
      </c>
      <c r="M37" s="543">
        <f>表1温室气体盘查表!AK23</f>
        <v>0</v>
      </c>
    </row>
    <row r="38" s="450" customFormat="1" ht="25.15" hidden="1" customHeight="1" spans="1:14">
      <c r="A38" s="474"/>
      <c r="B38" s="541" t="s">
        <v>58</v>
      </c>
      <c r="C38" s="542" t="str">
        <f>表1温室气体盘查表!C24</f>
        <v>锰铁</v>
      </c>
      <c r="D38" s="542" t="str">
        <f>表1温室气体盘查表!D24</f>
        <v>炼钢</v>
      </c>
      <c r="F38" s="543">
        <f t="shared" si="2"/>
        <v>13114.101</v>
      </c>
      <c r="G38" s="543">
        <f>表1温室气体盘查表!AE24</f>
        <v>13114.101</v>
      </c>
      <c r="H38" s="543">
        <f>表1温室气体盘查表!AF24</f>
        <v>0</v>
      </c>
      <c r="I38" s="543">
        <f>表1温室气体盘查表!AG24</f>
        <v>0</v>
      </c>
      <c r="J38" s="543">
        <f>表1温室气体盘查表!AH24</f>
        <v>0</v>
      </c>
      <c r="K38" s="543">
        <f>表1温室气体盘查表!AI24</f>
        <v>0</v>
      </c>
      <c r="L38" s="543">
        <f>表1温室气体盘查表!AJ24</f>
        <v>0</v>
      </c>
      <c r="M38" s="543">
        <f>表1温室气体盘查表!AK24</f>
        <v>0</v>
      </c>
    </row>
    <row r="39" s="450" customFormat="1" ht="25.15" hidden="1" customHeight="1" spans="1:14">
      <c r="A39" s="474"/>
      <c r="B39" s="541" t="s">
        <v>59</v>
      </c>
      <c r="C39" s="542" t="str">
        <f>表1温室气体盘查表!C25</f>
        <v>镍铁</v>
      </c>
      <c r="D39" s="542" t="str">
        <f>表1温室气体盘查表!D25</f>
        <v>炼钢</v>
      </c>
      <c r="F39" s="543">
        <f t="shared" si="2"/>
        <v>349.46907</v>
      </c>
      <c r="G39" s="543">
        <f>表1温室气体盘查表!AE25</f>
        <v>349.46907</v>
      </c>
      <c r="H39" s="543">
        <f>表1温室气体盘查表!AF25</f>
        <v>0</v>
      </c>
      <c r="I39" s="543">
        <f>表1温室气体盘查表!AG25</f>
        <v>0</v>
      </c>
      <c r="J39" s="543">
        <f>表1温室气体盘查表!AH25</f>
        <v>0</v>
      </c>
      <c r="K39" s="543">
        <f>表1温室气体盘查表!AI25</f>
        <v>0</v>
      </c>
      <c r="L39" s="543">
        <f>表1温室气体盘查表!AJ25</f>
        <v>0</v>
      </c>
      <c r="M39" s="543">
        <f>表1温室气体盘查表!AK25</f>
        <v>0</v>
      </c>
    </row>
    <row r="40" s="450" customFormat="1" ht="25.15" hidden="1" customHeight="1" spans="1:14">
      <c r="A40" s="474"/>
      <c r="B40" s="541" t="s">
        <v>60</v>
      </c>
      <c r="C40" s="542" t="str">
        <f>表1温室气体盘查表!C26</f>
        <v>铬铁</v>
      </c>
      <c r="D40" s="542" t="str">
        <f>表1温室气体盘查表!D26</f>
        <v>炼钢</v>
      </c>
      <c r="F40" s="543">
        <f t="shared" si="2"/>
        <v>22918.907292</v>
      </c>
      <c r="G40" s="543">
        <f>表1温室气体盘查表!AE26</f>
        <v>22918.907292</v>
      </c>
      <c r="H40" s="543">
        <f>表1温室气体盘查表!AF26</f>
        <v>0</v>
      </c>
      <c r="I40" s="543">
        <f>表1温室气体盘查表!AG26</f>
        <v>0</v>
      </c>
      <c r="J40" s="543">
        <f>表1温室气体盘查表!AH26</f>
        <v>0</v>
      </c>
      <c r="K40" s="543">
        <f>表1温室气体盘查表!AI26</f>
        <v>0</v>
      </c>
      <c r="L40" s="543">
        <f>表1温室气体盘查表!AJ26</f>
        <v>0</v>
      </c>
      <c r="M40" s="543">
        <f>表1温室气体盘查表!AK26</f>
        <v>0</v>
      </c>
    </row>
    <row r="41" s="450" customFormat="1" ht="25.15" hidden="1" customHeight="1" spans="1:14">
      <c r="A41" s="474"/>
      <c r="B41" s="541" t="s">
        <v>61</v>
      </c>
      <c r="C41" s="542" t="str">
        <f>表1温室气体盘查表!C27</f>
        <v>硅铁</v>
      </c>
      <c r="D41" s="542" t="str">
        <f>表1温室气体盘查表!D27</f>
        <v>炼钢</v>
      </c>
      <c r="F41" s="543">
        <f t="shared" si="2"/>
        <v>74.70736</v>
      </c>
      <c r="G41" s="543">
        <f>表1温室气体盘查表!AE27</f>
        <v>74.70736</v>
      </c>
      <c r="H41" s="543">
        <f>表1温室气体盘查表!AF27</f>
        <v>0</v>
      </c>
      <c r="I41" s="543">
        <f>表1温室气体盘查表!AG27</f>
        <v>0</v>
      </c>
      <c r="J41" s="543">
        <f>表1温室气体盘查表!AH27</f>
        <v>0</v>
      </c>
      <c r="K41" s="543">
        <f>表1温室气体盘查表!AI27</f>
        <v>0</v>
      </c>
      <c r="L41" s="543">
        <f>表1温室气体盘查表!AJ27</f>
        <v>0</v>
      </c>
      <c r="M41" s="543">
        <f>表1温室气体盘查表!AK27</f>
        <v>0</v>
      </c>
    </row>
    <row r="42" s="450" customFormat="1" ht="25.15" hidden="1" customHeight="1" spans="1:14">
      <c r="A42" s="474"/>
      <c r="B42" s="541" t="s">
        <v>62</v>
      </c>
      <c r="C42" s="542" t="str">
        <f>表1温室气体盘查表!C28</f>
        <v>钼铁</v>
      </c>
      <c r="D42" s="542" t="str">
        <f>表1温室气体盘查表!D28</f>
        <v>炼钢</v>
      </c>
      <c r="F42" s="543">
        <f t="shared" si="2"/>
        <v>143.012952</v>
      </c>
      <c r="G42" s="543">
        <f>表1温室气体盘查表!AE28</f>
        <v>143.012952</v>
      </c>
      <c r="H42" s="543">
        <f>表1温室气体盘查表!AF28</f>
        <v>0</v>
      </c>
      <c r="I42" s="543">
        <f>表1温室气体盘查表!AG28</f>
        <v>0</v>
      </c>
      <c r="J42" s="543">
        <f>表1温室气体盘查表!AH28</f>
        <v>0</v>
      </c>
      <c r="K42" s="543">
        <f>表1温室气体盘查表!AI28</f>
        <v>0</v>
      </c>
      <c r="L42" s="543">
        <f>表1温室气体盘查表!AJ28</f>
        <v>0</v>
      </c>
      <c r="M42" s="543">
        <f>表1温室气体盘查表!AK28</f>
        <v>0</v>
      </c>
    </row>
    <row r="43" s="450" customFormat="1" ht="25.15" hidden="1" customHeight="1" spans="1:14">
      <c r="A43" s="474"/>
      <c r="B43" s="541" t="s">
        <v>63</v>
      </c>
      <c r="C43" s="542" t="str">
        <f>表1温室气体盘查表!C29</f>
        <v>钢坯</v>
      </c>
      <c r="D43" s="542" t="str">
        <f>表1温室气体盘查表!D29</f>
        <v>固碳产品</v>
      </c>
      <c r="F43" s="543">
        <f t="shared" si="2"/>
        <v>-160314.41178</v>
      </c>
      <c r="G43" s="543">
        <f>表1温室气体盘查表!AE29</f>
        <v>-160314.41178</v>
      </c>
      <c r="H43" s="543">
        <f>表1温室气体盘查表!AF29</f>
        <v>0</v>
      </c>
      <c r="I43" s="543">
        <f>表1温室气体盘查表!AG29</f>
        <v>0</v>
      </c>
      <c r="J43" s="543">
        <f>表1温室气体盘查表!AH29</f>
        <v>0</v>
      </c>
      <c r="K43" s="543">
        <f>表1温室气体盘查表!AI29</f>
        <v>0</v>
      </c>
      <c r="L43" s="543">
        <f>表1温室气体盘查表!AJ29</f>
        <v>0</v>
      </c>
      <c r="M43" s="543">
        <f>表1温室气体盘查表!AK29</f>
        <v>0</v>
      </c>
    </row>
    <row r="44" s="450" customFormat="1" ht="25.15" hidden="1" customHeight="1" spans="1:14">
      <c r="A44" s="474"/>
      <c r="B44" s="541" t="s">
        <v>64</v>
      </c>
      <c r="C44" s="542" t="str">
        <f>表1温室气体盘查表!C30</f>
        <v>粗苯</v>
      </c>
      <c r="D44" s="542" t="str">
        <f>表1温室气体盘查表!D30</f>
        <v>外售</v>
      </c>
      <c r="F44" s="543">
        <f t="shared" si="2"/>
        <v>-65952.99076</v>
      </c>
      <c r="G44" s="543">
        <f>表1温室气体盘查表!AE30</f>
        <v>-65952.99076</v>
      </c>
      <c r="H44" s="543">
        <f>表1温室气体盘查表!AF30</f>
        <v>0</v>
      </c>
      <c r="I44" s="543">
        <f>表1温室气体盘查表!AG30</f>
        <v>0</v>
      </c>
      <c r="J44" s="543">
        <f>表1温室气体盘查表!AH30</f>
        <v>0</v>
      </c>
      <c r="K44" s="543">
        <f>表1温室气体盘查表!AI30</f>
        <v>0</v>
      </c>
      <c r="L44" s="543">
        <f>表1温室气体盘查表!AJ30</f>
        <v>0</v>
      </c>
      <c r="M44" s="543">
        <f>表1温室气体盘查表!AK30</f>
        <v>0</v>
      </c>
    </row>
    <row r="45" s="450" customFormat="1" ht="25.15" hidden="1" customHeight="1" spans="1:14">
      <c r="A45" s="474"/>
      <c r="B45" s="541" t="s">
        <v>65</v>
      </c>
      <c r="C45" s="542" t="str">
        <f>表1温室气体盘查表!C31</f>
        <v>煤焦油</v>
      </c>
      <c r="D45" s="542" t="str">
        <f>表1温室气体盘查表!D31</f>
        <v>危废处置</v>
      </c>
      <c r="F45" s="543">
        <f t="shared" si="2"/>
        <v>-159387.0159</v>
      </c>
      <c r="G45" s="543">
        <f>表1温室气体盘查表!AE31</f>
        <v>-159387.0159</v>
      </c>
      <c r="H45" s="543">
        <f>表1温室气体盘查表!AF31</f>
        <v>0</v>
      </c>
      <c r="I45" s="543">
        <f>表1温室气体盘查表!AG31</f>
        <v>0</v>
      </c>
      <c r="J45" s="543">
        <f>表1温室气体盘查表!AH31</f>
        <v>0</v>
      </c>
      <c r="K45" s="543">
        <f>表1温室气体盘查表!AI31</f>
        <v>0</v>
      </c>
      <c r="L45" s="543">
        <f>表1温室气体盘查表!AJ31</f>
        <v>0</v>
      </c>
      <c r="M45" s="543">
        <f>表1温室气体盘查表!AK31</f>
        <v>0</v>
      </c>
    </row>
    <row r="46" s="450" customFormat="1" ht="25.15" hidden="1" customHeight="1" spans="1:14">
      <c r="A46" s="474"/>
      <c r="B46" s="549" t="s">
        <v>66</v>
      </c>
      <c r="C46" s="550"/>
      <c r="D46" s="551"/>
      <c r="E46" s="552"/>
      <c r="F46" s="553"/>
      <c r="G46" s="553"/>
      <c r="H46" s="553"/>
      <c r="I46" s="553"/>
      <c r="J46" s="553"/>
      <c r="K46" s="553"/>
      <c r="L46" s="553"/>
      <c r="M46" s="553"/>
    </row>
    <row r="47" s="450" customFormat="1" ht="25.15" hidden="1" customHeight="1" spans="1:14">
      <c r="A47" s="474"/>
      <c r="B47" s="554">
        <v>2.1</v>
      </c>
      <c r="C47" s="542" t="str">
        <f>表1温室气体盘查表!C32</f>
        <v>外购电力（基于位置）</v>
      </c>
      <c r="D47" s="542" t="str">
        <f>表1温室气体盘查表!D32</f>
        <v>用电设备</v>
      </c>
      <c r="E47" s="555"/>
      <c r="F47" s="543">
        <f>SUM(G47:M47)</f>
        <v>1069378.747982</v>
      </c>
      <c r="G47" s="556">
        <f>表1温室气体盘查表!AE32</f>
        <v>1069378.747982</v>
      </c>
      <c r="H47" s="556">
        <f>表1温室气体盘查表!AF32</f>
        <v>0</v>
      </c>
      <c r="I47" s="556">
        <f>表1温室气体盘查表!AG32</f>
        <v>0</v>
      </c>
      <c r="J47" s="556">
        <f>表1温室气体盘查表!AH32</f>
        <v>0</v>
      </c>
      <c r="K47" s="556">
        <f>表1温室气体盘查表!AI32</f>
        <v>0</v>
      </c>
      <c r="L47" s="556">
        <f>表1温室气体盘查表!AJ32</f>
        <v>0</v>
      </c>
      <c r="M47" s="556">
        <f>表1温室气体盘查表!AK32</f>
        <v>0</v>
      </c>
    </row>
    <row r="48" s="450" customFormat="1" ht="25.15" hidden="1" customHeight="1" spans="1:14">
      <c r="A48" s="523"/>
      <c r="B48" s="554">
        <v>2.2</v>
      </c>
      <c r="C48" s="542" t="str">
        <f>表1温室气体盘查表!C33</f>
        <v>外购电力（基于市场）</v>
      </c>
      <c r="D48" s="542" t="str">
        <f>表1温室气体盘查表!D33</f>
        <v>用电设备</v>
      </c>
      <c r="E48" s="557"/>
      <c r="F48" s="543">
        <f>SUM(G48:M48)</f>
        <v>1161900.332352</v>
      </c>
      <c r="G48" s="556">
        <f>表1温室气体盘查表!AE33</f>
        <v>1161900.332352</v>
      </c>
      <c r="H48" s="556">
        <f>表1温室气体盘查表!AF33</f>
        <v>0</v>
      </c>
      <c r="I48" s="556">
        <f>表1温室气体盘查表!AG33</f>
        <v>0</v>
      </c>
      <c r="J48" s="556">
        <f>表1温室气体盘查表!AH33</f>
        <v>0</v>
      </c>
      <c r="K48" s="556">
        <f>表1温室气体盘查表!AI33</f>
        <v>0</v>
      </c>
      <c r="L48" s="556">
        <f>表1温室气体盘查表!AJ33</f>
        <v>0</v>
      </c>
      <c r="M48" s="556">
        <f>表1温室气体盘查表!AK33</f>
        <v>0</v>
      </c>
      <c r="N48" s="530"/>
    </row>
    <row r="49" s="450" customFormat="1" ht="25.15" hidden="1" customHeight="1" spans="1:14">
      <c r="A49" s="523"/>
      <c r="B49" s="558"/>
      <c r="C49" s="559"/>
      <c r="D49" s="559"/>
      <c r="E49" s="557"/>
      <c r="F49" s="560"/>
      <c r="G49" s="561"/>
      <c r="H49" s="561"/>
      <c r="I49" s="561"/>
      <c r="J49" s="561"/>
      <c r="K49" s="561"/>
      <c r="L49" s="561"/>
      <c r="M49" s="561"/>
      <c r="N49" s="530"/>
    </row>
    <row r="50" s="450" customFormat="1" ht="25.15" customHeight="1" spans="1:14">
      <c r="A50" s="523"/>
      <c r="B50" s="562" t="s">
        <v>67</v>
      </c>
      <c r="C50" s="563" t="s">
        <v>68</v>
      </c>
      <c r="D50" s="564"/>
      <c r="E50" s="565"/>
      <c r="F50" s="566">
        <f>SUM(G50:M50)</f>
        <v>2710165.61935046</v>
      </c>
      <c r="G50" s="566">
        <f>SUM(G51:G74)</f>
        <v>2710165.61935046</v>
      </c>
      <c r="H50" s="566">
        <f t="shared" ref="H50:M50" si="6">SUM(H51:H69)</f>
        <v>0</v>
      </c>
      <c r="I50" s="566">
        <f t="shared" si="6"/>
        <v>0</v>
      </c>
      <c r="J50" s="566">
        <f t="shared" si="6"/>
        <v>0</v>
      </c>
      <c r="K50" s="566">
        <f t="shared" si="6"/>
        <v>0</v>
      </c>
      <c r="L50" s="566">
        <f t="shared" si="6"/>
        <v>0</v>
      </c>
      <c r="M50" s="566">
        <f t="shared" si="6"/>
        <v>0</v>
      </c>
      <c r="N50" s="530"/>
    </row>
    <row r="51" s="452" customFormat="1" ht="25.15" customHeight="1" spans="1:14">
      <c r="A51" s="453"/>
      <c r="B51" s="567" t="s">
        <v>69</v>
      </c>
      <c r="C51" s="568" t="str">
        <f>表1温室气体盘查表!C34</f>
        <v>铁矿石生产</v>
      </c>
      <c r="D51" s="569" t="str">
        <f>表1温室气体盘查表!D34</f>
        <v>烧结</v>
      </c>
      <c r="E51" s="570"/>
      <c r="F51" s="543">
        <f>表1温室气体盘查表!AL34</f>
        <v>448588.57632498</v>
      </c>
      <c r="G51" s="556">
        <f>表1温室气体盘查表!AE34</f>
        <v>448588.57632498</v>
      </c>
      <c r="H51" s="556">
        <f>表1温室气体盘查表!AF34</f>
        <v>0</v>
      </c>
      <c r="I51" s="556">
        <f>表1温室气体盘查表!AG34</f>
        <v>0</v>
      </c>
      <c r="J51" s="556">
        <f>表1温室气体盘查表!AH34</f>
        <v>0</v>
      </c>
      <c r="K51" s="556">
        <f>表1温室气体盘查表!AI34</f>
        <v>0</v>
      </c>
      <c r="L51" s="556">
        <f>表1温室气体盘查表!AJ34</f>
        <v>0</v>
      </c>
      <c r="M51" s="556">
        <f>表1温室气体盘查表!AK34</f>
        <v>0</v>
      </c>
      <c r="N51" s="453"/>
    </row>
    <row r="52" s="452" customFormat="1" ht="25.15" customHeight="1" spans="1:14">
      <c r="A52" s="453"/>
      <c r="B52" s="567" t="s">
        <v>70</v>
      </c>
      <c r="C52" s="568" t="str">
        <f>表1温室气体盘查表!C35</f>
        <v>生石灰生产</v>
      </c>
      <c r="D52" s="569" t="str">
        <f>表1温室气体盘查表!D35</f>
        <v>烧结、转炉、电炉</v>
      </c>
      <c r="E52" s="453"/>
      <c r="F52" s="543">
        <f>表1温室气体盘查表!AL35</f>
        <v>727500.380476304</v>
      </c>
      <c r="G52" s="556">
        <f>表1温室气体盘查表!AE35</f>
        <v>727500.380476304</v>
      </c>
      <c r="H52" s="556">
        <f>表1温室气体盘查表!AF35</f>
        <v>0</v>
      </c>
      <c r="I52" s="556">
        <f>表1温室气体盘查表!AG35</f>
        <v>0</v>
      </c>
      <c r="J52" s="556">
        <f>表1温室气体盘查表!AH35</f>
        <v>0</v>
      </c>
      <c r="K52" s="556">
        <f>表1温室气体盘查表!AI35</f>
        <v>0</v>
      </c>
      <c r="L52" s="556">
        <f>表1温室气体盘查表!AJ35</f>
        <v>0</v>
      </c>
      <c r="M52" s="556">
        <f>表1温室气体盘查表!AK35</f>
        <v>0</v>
      </c>
      <c r="N52" s="453"/>
    </row>
    <row r="53" s="452" customFormat="1" ht="25.15" customHeight="1" spans="1:14">
      <c r="A53" s="453"/>
      <c r="B53" s="567" t="s">
        <v>71</v>
      </c>
      <c r="C53" s="568" t="str">
        <f>表1温室气体盘查表!C36</f>
        <v>石灰石生产</v>
      </c>
      <c r="D53" s="569" t="str">
        <f>表1温室气体盘查表!D36</f>
        <v>转炉</v>
      </c>
      <c r="E53" s="453"/>
      <c r="F53" s="543">
        <f>表1温室气体盘查表!AL36</f>
        <v>58.676346523</v>
      </c>
      <c r="G53" s="556">
        <f>表1温室气体盘查表!AE36</f>
        <v>58.676346523</v>
      </c>
      <c r="H53" s="556">
        <f>表1温室气体盘查表!AF36</f>
        <v>0</v>
      </c>
      <c r="I53" s="556">
        <f>表1温室气体盘查表!AG36</f>
        <v>0</v>
      </c>
      <c r="J53" s="556">
        <f>表1温室气体盘查表!AH36</f>
        <v>0</v>
      </c>
      <c r="K53" s="556">
        <f>表1温室气体盘查表!AI36</f>
        <v>0</v>
      </c>
      <c r="L53" s="556">
        <f>表1温室气体盘查表!AJ36</f>
        <v>0</v>
      </c>
      <c r="M53" s="556">
        <f>表1温室气体盘查表!AK36</f>
        <v>0</v>
      </c>
      <c r="N53" s="453"/>
    </row>
    <row r="54" s="452" customFormat="1" ht="25.15" customHeight="1" spans="1:14">
      <c r="A54" s="453"/>
      <c r="B54" s="567" t="s">
        <v>72</v>
      </c>
      <c r="C54" s="568" t="str">
        <f>表1温室气体盘查表!C37</f>
        <v>白云石生产</v>
      </c>
      <c r="D54" s="569" t="str">
        <f>表1温室气体盘查表!D37</f>
        <v>烧结、转炉、电炉</v>
      </c>
      <c r="E54" s="453"/>
      <c r="F54" s="543">
        <f>表1温室气体盘查表!AL37</f>
        <v>46435.1961987</v>
      </c>
      <c r="G54" s="556">
        <f>表1温室气体盘查表!AE37</f>
        <v>46435.1961987</v>
      </c>
      <c r="H54" s="556">
        <f>表1温室气体盘查表!AF37</f>
        <v>0</v>
      </c>
      <c r="I54" s="556">
        <f>表1温室气体盘查表!AG37</f>
        <v>0</v>
      </c>
      <c r="J54" s="556">
        <f>表1温室气体盘查表!AH37</f>
        <v>0</v>
      </c>
      <c r="K54" s="556">
        <f>表1温室气体盘查表!AI37</f>
        <v>0</v>
      </c>
      <c r="L54" s="556">
        <f>表1温室气体盘查表!AJ37</f>
        <v>0</v>
      </c>
      <c r="M54" s="556">
        <f>表1温室气体盘查表!AK37</f>
        <v>0</v>
      </c>
      <c r="N54" s="453"/>
    </row>
    <row r="55" s="452" customFormat="1" ht="25.15" customHeight="1" spans="1:14">
      <c r="A55" s="453"/>
      <c r="B55" s="567" t="s">
        <v>73</v>
      </c>
      <c r="C55" s="568" t="str">
        <f>表1温室气体盘查表!C38</f>
        <v>轻烧白云石生产</v>
      </c>
      <c r="D55" s="569" t="str">
        <f>表1温室气体盘查表!D39</f>
        <v>高炉、转炉</v>
      </c>
      <c r="E55" s="570"/>
      <c r="F55" s="543">
        <f>表1温室气体盘查表!AL38</f>
        <v>363.2088572</v>
      </c>
      <c r="G55" s="556">
        <f>表1温室气体盘查表!AE38</f>
        <v>363.2088572</v>
      </c>
      <c r="H55" s="556">
        <f>表1温室气体盘查表!AF38</f>
        <v>0</v>
      </c>
      <c r="I55" s="556">
        <f>表1温室气体盘查表!AG38</f>
        <v>0</v>
      </c>
      <c r="J55" s="556">
        <f>表1温室气体盘查表!AH38</f>
        <v>0</v>
      </c>
      <c r="K55" s="556">
        <f>表1温室气体盘查表!AI38</f>
        <v>0</v>
      </c>
      <c r="L55" s="556">
        <f>表1温室气体盘查表!AJ38</f>
        <v>0</v>
      </c>
      <c r="M55" s="556">
        <f>表1温室气体盘查表!AK38</f>
        <v>0</v>
      </c>
      <c r="N55" s="453"/>
    </row>
    <row r="56" s="452" customFormat="1" ht="25.15" customHeight="1" spans="1:14">
      <c r="A56" s="453"/>
      <c r="B56" s="567" t="s">
        <v>74</v>
      </c>
      <c r="C56" s="568" t="str">
        <f>表1温室气体盘查表!C39</f>
        <v>球团生产</v>
      </c>
      <c r="D56" s="569" t="str">
        <f>表1温室气体盘查表!D40</f>
        <v>转炉、电炉</v>
      </c>
      <c r="E56" s="570"/>
      <c r="F56" s="543">
        <f>表1温室气体盘查表!AL39</f>
        <v>71601.0509094</v>
      </c>
      <c r="G56" s="556">
        <f>表1温室气体盘查表!AE39</f>
        <v>71601.0509094</v>
      </c>
      <c r="H56" s="556">
        <f>表1温室气体盘查表!AF39</f>
        <v>0</v>
      </c>
      <c r="I56" s="556">
        <f>表1温室气体盘查表!AG39</f>
        <v>0</v>
      </c>
      <c r="J56" s="556">
        <f>表1温室气体盘查表!AH39</f>
        <v>0</v>
      </c>
      <c r="K56" s="556">
        <f>表1温室气体盘查表!AI39</f>
        <v>0</v>
      </c>
      <c r="L56" s="556">
        <f>表1温室气体盘查表!AJ39</f>
        <v>0</v>
      </c>
      <c r="M56" s="556">
        <f>表1温室气体盘查表!AK39</f>
        <v>0</v>
      </c>
      <c r="N56" s="453"/>
    </row>
    <row r="57" s="452" customFormat="1" ht="25.15" customHeight="1" spans="1:14">
      <c r="A57" s="453"/>
      <c r="B57" s="567" t="s">
        <v>75</v>
      </c>
      <c r="C57" s="568" t="str">
        <f>表1温室气体盘查表!C40</f>
        <v>废钢生产</v>
      </c>
      <c r="D57" s="569" t="str">
        <f>表1温室气体盘查表!D41</f>
        <v>转炉、电炉</v>
      </c>
      <c r="E57" s="570"/>
      <c r="F57" s="543">
        <f>表1温室气体盘查表!AL40</f>
        <v>79944.3879423517</v>
      </c>
      <c r="G57" s="556">
        <f>表1温室气体盘查表!AE40</f>
        <v>79944.3879423517</v>
      </c>
      <c r="H57" s="556">
        <f>表1温室气体盘查表!AF40</f>
        <v>0</v>
      </c>
      <c r="I57" s="556">
        <f>表1温室气体盘查表!AG40</f>
        <v>0</v>
      </c>
      <c r="J57" s="556">
        <f>表1温室气体盘查表!AH40</f>
        <v>0</v>
      </c>
      <c r="K57" s="556">
        <f>表1温室气体盘查表!AI40</f>
        <v>0</v>
      </c>
      <c r="L57" s="556">
        <f>表1温室气体盘查表!AJ40</f>
        <v>0</v>
      </c>
      <c r="M57" s="556">
        <f>表1温室气体盘查表!AK40</f>
        <v>0</v>
      </c>
      <c r="N57" s="453"/>
    </row>
    <row r="58" s="452" customFormat="1" ht="25.15" customHeight="1" spans="1:14">
      <c r="A58" s="453"/>
      <c r="B58" s="567" t="s">
        <v>76</v>
      </c>
      <c r="C58" s="568" t="str">
        <f>表1温室气体盘查表!C41</f>
        <v>电极生产</v>
      </c>
      <c r="D58" s="569" t="str">
        <f>表1温室气体盘查表!D42</f>
        <v>转炉、电炉</v>
      </c>
      <c r="E58" s="570"/>
      <c r="F58" s="543">
        <f>表1温室气体盘查表!AL41</f>
        <v>37742.8121526018</v>
      </c>
      <c r="G58" s="556">
        <f>表1温室气体盘查表!AE41</f>
        <v>37742.8121526018</v>
      </c>
      <c r="H58" s="556">
        <f>表1温室气体盘查表!AF41</f>
        <v>0</v>
      </c>
      <c r="I58" s="556">
        <f>表1温室气体盘查表!AG41</f>
        <v>0</v>
      </c>
      <c r="J58" s="556">
        <f>表1温室气体盘查表!AH41</f>
        <v>0</v>
      </c>
      <c r="K58" s="556">
        <f>表1温室气体盘查表!AI41</f>
        <v>0</v>
      </c>
      <c r="L58" s="556">
        <f>表1温室气体盘查表!AJ41</f>
        <v>0</v>
      </c>
      <c r="M58" s="556">
        <f>表1温室气体盘查表!AK41</f>
        <v>0</v>
      </c>
      <c r="N58" s="453"/>
    </row>
    <row r="59" s="452" customFormat="1" ht="25.15" customHeight="1" spans="1:14">
      <c r="A59" s="453"/>
      <c r="B59" s="567" t="s">
        <v>77</v>
      </c>
      <c r="C59" s="568" t="str">
        <f>表1温室气体盘查表!C42</f>
        <v>锰铁生产</v>
      </c>
      <c r="D59" s="569" t="str">
        <f>表1温室气体盘查表!D43</f>
        <v>转炉、电炉</v>
      </c>
      <c r="E59" s="570"/>
      <c r="F59" s="543">
        <f>表1温室气体盘查表!AL42</f>
        <v>141868.581696</v>
      </c>
      <c r="G59" s="556">
        <f>表1温室气体盘查表!AE42</f>
        <v>141868.581696</v>
      </c>
      <c r="H59" s="556">
        <f>表1温室气体盘查表!AF42</f>
        <v>0</v>
      </c>
      <c r="I59" s="556">
        <f>表1温室气体盘查表!AG42</f>
        <v>0</v>
      </c>
      <c r="J59" s="556">
        <f>表1温室气体盘查表!AH42</f>
        <v>0</v>
      </c>
      <c r="K59" s="556">
        <f>表1温室气体盘查表!AI42</f>
        <v>0</v>
      </c>
      <c r="L59" s="556">
        <f>表1温室气体盘查表!AJ42</f>
        <v>0</v>
      </c>
      <c r="M59" s="556">
        <f>表1温室气体盘查表!AK42</f>
        <v>0</v>
      </c>
      <c r="N59" s="453"/>
    </row>
    <row r="60" s="452" customFormat="1" ht="25.15" customHeight="1" spans="1:14">
      <c r="A60" s="453"/>
      <c r="B60" s="567" t="s">
        <v>78</v>
      </c>
      <c r="C60" s="568" t="str">
        <f>表1温室气体盘查表!C43</f>
        <v>镍铁生产</v>
      </c>
      <c r="D60" s="569" t="str">
        <f>表1温室气体盘查表!D44</f>
        <v>转炉、电炉</v>
      </c>
      <c r="E60" s="570"/>
      <c r="F60" s="543">
        <f>表1温室气体盘查表!AL43</f>
        <v>84819.123027</v>
      </c>
      <c r="G60" s="556">
        <f>表1温室气体盘查表!AE43</f>
        <v>84819.123027</v>
      </c>
      <c r="H60" s="556">
        <f>表1温室气体盘查表!AF43</f>
        <v>0</v>
      </c>
      <c r="I60" s="556">
        <f>表1温室气体盘查表!AG43</f>
        <v>0</v>
      </c>
      <c r="J60" s="556">
        <f>表1温室气体盘查表!AH43</f>
        <v>0</v>
      </c>
      <c r="K60" s="556">
        <f>表1温室气体盘查表!AI43</f>
        <v>0</v>
      </c>
      <c r="L60" s="556">
        <f>表1温室气体盘查表!AJ43</f>
        <v>0</v>
      </c>
      <c r="M60" s="556">
        <f>表1温室气体盘查表!AK43</f>
        <v>0</v>
      </c>
      <c r="N60" s="453"/>
    </row>
    <row r="61" s="452" customFormat="1" ht="25.15" customHeight="1" spans="1:14">
      <c r="A61" s="453"/>
      <c r="B61" s="567" t="s">
        <v>79</v>
      </c>
      <c r="C61" s="568" t="str">
        <f>表1温室气体盘查表!C44</f>
        <v>铬铁生产</v>
      </c>
      <c r="D61" s="569" t="str">
        <f>表1温室气体盘查表!D45</f>
        <v>转炉、电炉</v>
      </c>
      <c r="E61" s="570"/>
      <c r="F61" s="543">
        <f>表1温室气体盘查表!AL44</f>
        <v>345101.444753</v>
      </c>
      <c r="G61" s="556">
        <f>表1温室气体盘查表!AE44</f>
        <v>345101.444753</v>
      </c>
      <c r="H61" s="556">
        <f>表1温室气体盘查表!AF44</f>
        <v>0</v>
      </c>
      <c r="I61" s="556">
        <f>表1温室气体盘查表!AG44</f>
        <v>0</v>
      </c>
      <c r="J61" s="556">
        <f>表1温室气体盘查表!AH44</f>
        <v>0</v>
      </c>
      <c r="K61" s="556">
        <f>表1温室气体盘查表!AI44</f>
        <v>0</v>
      </c>
      <c r="L61" s="556">
        <f>表1温室气体盘查表!AJ44</f>
        <v>0</v>
      </c>
      <c r="M61" s="556">
        <f>表1温室气体盘查表!AK44</f>
        <v>0</v>
      </c>
      <c r="N61" s="453"/>
    </row>
    <row r="62" s="452" customFormat="1" ht="25.15" customHeight="1" spans="1:14">
      <c r="A62" s="453"/>
      <c r="B62" s="567" t="s">
        <v>80</v>
      </c>
      <c r="C62" s="568" t="str">
        <f>表1温室气体盘查表!C45</f>
        <v>萤石生产</v>
      </c>
      <c r="D62" s="569" t="str">
        <f>表1温室气体盘查表!D46</f>
        <v>转炉、电炉</v>
      </c>
      <c r="E62" s="570"/>
      <c r="F62" s="543">
        <f>表1温室气体盘查表!AL45</f>
        <v>685.0621872</v>
      </c>
      <c r="G62" s="556">
        <f>表1温室气体盘查表!AE45</f>
        <v>685.0621872</v>
      </c>
      <c r="H62" s="556">
        <f>表1温室气体盘查表!AF45</f>
        <v>0</v>
      </c>
      <c r="I62" s="556">
        <f>表1温室气体盘查表!AG45</f>
        <v>0</v>
      </c>
      <c r="J62" s="556">
        <f>表1温室气体盘查表!AH45</f>
        <v>0</v>
      </c>
      <c r="K62" s="556">
        <f>表1温室气体盘查表!AI45</f>
        <v>0</v>
      </c>
      <c r="L62" s="556">
        <f>表1温室气体盘查表!AJ45</f>
        <v>0</v>
      </c>
      <c r="M62" s="556">
        <f>表1温室气体盘查表!AK45</f>
        <v>0</v>
      </c>
      <c r="N62" s="453"/>
    </row>
    <row r="63" s="452" customFormat="1" ht="25.15" customHeight="1" spans="1:14">
      <c r="A63" s="453"/>
      <c r="B63" s="567" t="s">
        <v>81</v>
      </c>
      <c r="C63" s="568" t="str">
        <f>表1温室气体盘查表!C46</f>
        <v>硅铁生产</v>
      </c>
      <c r="D63" s="569" t="str">
        <f>表1温室气体盘查表!D47</f>
        <v>转炉、电炉</v>
      </c>
      <c r="E63" s="570"/>
      <c r="F63" s="543">
        <f>表1温室气体盘查表!AL46</f>
        <v>103575.7833</v>
      </c>
      <c r="G63" s="556">
        <f>表1温室气体盘查表!AE46</f>
        <v>103575.7833</v>
      </c>
      <c r="H63" s="556">
        <f>表1温室气体盘查表!AF46</f>
        <v>0</v>
      </c>
      <c r="I63" s="556">
        <f>表1温室气体盘查表!AG46</f>
        <v>0</v>
      </c>
      <c r="J63" s="556">
        <f>表1温室气体盘查表!AH46</f>
        <v>0</v>
      </c>
      <c r="K63" s="556">
        <f>表1温室气体盘查表!AI46</f>
        <v>0</v>
      </c>
      <c r="L63" s="556">
        <f>表1温室气体盘查表!AJ46</f>
        <v>0</v>
      </c>
      <c r="M63" s="556">
        <f>表1温室气体盘查表!AK46</f>
        <v>0</v>
      </c>
      <c r="N63" s="453"/>
    </row>
    <row r="64" s="452" customFormat="1" ht="25.15" customHeight="1" spans="1:14">
      <c r="A64" s="453"/>
      <c r="B64" s="567" t="s">
        <v>82</v>
      </c>
      <c r="C64" s="568" t="str">
        <f>表1温室气体盘查表!C47</f>
        <v>钼铁生产</v>
      </c>
      <c r="D64" s="569" t="str">
        <f>表1温室气体盘查表!D48</f>
        <v>转炉、电炉</v>
      </c>
      <c r="E64" s="570"/>
      <c r="F64" s="543">
        <f>表1温室气体盘查表!AL47</f>
        <v>66065.4</v>
      </c>
      <c r="G64" s="556">
        <f>表1温室气体盘查表!AE47</f>
        <v>66065.4</v>
      </c>
      <c r="H64" s="556">
        <f>表1温室气体盘查表!AF47</f>
        <v>0</v>
      </c>
      <c r="I64" s="556">
        <f>表1温室气体盘查表!AG47</f>
        <v>0</v>
      </c>
      <c r="J64" s="556">
        <f>表1温室气体盘查表!AH47</f>
        <v>0</v>
      </c>
      <c r="K64" s="556">
        <f>表1温室气体盘查表!AI47</f>
        <v>0</v>
      </c>
      <c r="L64" s="556">
        <f>表1温室气体盘查表!AJ47</f>
        <v>0</v>
      </c>
      <c r="M64" s="556">
        <f>表1温室气体盘查表!AK47</f>
        <v>0</v>
      </c>
      <c r="N64" s="453"/>
    </row>
    <row r="65" s="452" customFormat="1" ht="25.15" customHeight="1" spans="1:14">
      <c r="A65" s="453"/>
      <c r="B65" s="567" t="s">
        <v>83</v>
      </c>
      <c r="C65" s="568" t="str">
        <f>表1温室气体盘查表!C48</f>
        <v>铝铁生产</v>
      </c>
      <c r="D65" s="569" t="str">
        <f>表1温室气体盘查表!D49</f>
        <v>转炉、电炉</v>
      </c>
      <c r="E65" s="570"/>
      <c r="F65" s="543">
        <f>表1温室气体盘查表!AL48</f>
        <v>63158.1901075051</v>
      </c>
      <c r="G65" s="556">
        <f>表1温室气体盘查表!AE48</f>
        <v>63158.1901075051</v>
      </c>
      <c r="H65" s="556">
        <f>表1温室气体盘查表!AF48</f>
        <v>0</v>
      </c>
      <c r="I65" s="556">
        <f>表1温室气体盘查表!AG48</f>
        <v>0</v>
      </c>
      <c r="J65" s="556">
        <f>表1温室气体盘查表!AH48</f>
        <v>0</v>
      </c>
      <c r="K65" s="556">
        <f>表1温室气体盘查表!AI48</f>
        <v>0</v>
      </c>
      <c r="L65" s="556">
        <f>表1温室气体盘查表!AJ48</f>
        <v>0</v>
      </c>
      <c r="M65" s="556">
        <f>表1温室气体盘查表!AK48</f>
        <v>0</v>
      </c>
      <c r="N65" s="453"/>
    </row>
    <row r="66" s="452" customFormat="1" ht="25.15" customHeight="1" spans="1:14">
      <c r="A66" s="453"/>
      <c r="B66" s="567" t="s">
        <v>84</v>
      </c>
      <c r="C66" s="568" t="str">
        <f>表1温室气体盘查表!C49</f>
        <v>铝生产</v>
      </c>
      <c r="D66" s="569" t="str">
        <f>表1温室气体盘查表!D50</f>
        <v>转炉、电炉</v>
      </c>
      <c r="E66" s="570"/>
      <c r="F66" s="543">
        <f>表1温室气体盘查表!AL49</f>
        <v>63342.1950321903</v>
      </c>
      <c r="G66" s="556">
        <f>表1温室气体盘查表!AE49</f>
        <v>63342.1950321903</v>
      </c>
      <c r="H66" s="556">
        <f>表1温室气体盘查表!AF49</f>
        <v>0</v>
      </c>
      <c r="I66" s="556">
        <f>表1温室气体盘查表!AG49</f>
        <v>0</v>
      </c>
      <c r="J66" s="556">
        <f>表1温室气体盘查表!AH49</f>
        <v>0</v>
      </c>
      <c r="K66" s="556">
        <f>表1温室气体盘查表!AI49</f>
        <v>0</v>
      </c>
      <c r="L66" s="556">
        <f>表1温室气体盘查表!AJ49</f>
        <v>0</v>
      </c>
      <c r="M66" s="556">
        <f>表1温室气体盘查表!AK49</f>
        <v>0</v>
      </c>
      <c r="N66" s="453"/>
    </row>
    <row r="67" s="452" customFormat="1" ht="25.15" customHeight="1" spans="1:14">
      <c r="A67" s="453"/>
      <c r="B67" s="567" t="s">
        <v>85</v>
      </c>
      <c r="C67" s="568" t="str">
        <f>表1温室气体盘查表!C50</f>
        <v>增碳剂生产</v>
      </c>
      <c r="D67" s="569" t="str">
        <f>表1温室气体盘查表!D50</f>
        <v>转炉、电炉</v>
      </c>
      <c r="E67" s="570"/>
      <c r="F67" s="543">
        <f>表1温室气体盘查表!AL50</f>
        <v>17778.3232071154</v>
      </c>
      <c r="G67" s="556">
        <f>表1温室气体盘查表!AE50</f>
        <v>17778.3232071154</v>
      </c>
      <c r="H67" s="556">
        <f>表1温室气体盘查表!AF50</f>
        <v>0</v>
      </c>
      <c r="I67" s="556">
        <f>表1温室气体盘查表!AG50</f>
        <v>0</v>
      </c>
      <c r="J67" s="556">
        <f>表1温室气体盘查表!AH50</f>
        <v>0</v>
      </c>
      <c r="K67" s="556">
        <f>表1温室气体盘查表!AI50</f>
        <v>0</v>
      </c>
      <c r="L67" s="556">
        <f>表1温室气体盘查表!AJ50</f>
        <v>0</v>
      </c>
      <c r="M67" s="556">
        <f>表1温室气体盘查表!AK50</f>
        <v>0</v>
      </c>
      <c r="N67" s="453"/>
    </row>
    <row r="68" s="452" customFormat="1" ht="25.15" customHeight="1" spans="1:14">
      <c r="A68" s="453"/>
      <c r="B68" s="567" t="s">
        <v>86</v>
      </c>
      <c r="C68" s="568" t="str">
        <f>表1温室气体盘查表!C51</f>
        <v>铁鳞生产</v>
      </c>
      <c r="D68" s="569" t="str">
        <f>表1温室气体盘查表!D51</f>
        <v>炼钢</v>
      </c>
      <c r="E68" s="570"/>
      <c r="F68" s="543">
        <f>表1温室气体盘查表!AL51</f>
        <v>608.383942171421</v>
      </c>
      <c r="G68" s="556">
        <f>表1温室气体盘查表!AE51</f>
        <v>608.383942171421</v>
      </c>
      <c r="H68" s="556">
        <f>表1温室气体盘查表!AF51</f>
        <v>0</v>
      </c>
      <c r="I68" s="556">
        <f>表1温室气体盘查表!AG51</f>
        <v>0</v>
      </c>
      <c r="J68" s="556">
        <f>表1温室气体盘查表!AH51</f>
        <v>0</v>
      </c>
      <c r="K68" s="556">
        <f>表1温室气体盘查表!AI51</f>
        <v>0</v>
      </c>
      <c r="L68" s="556">
        <f>表1温室气体盘查表!AJ51</f>
        <v>0</v>
      </c>
      <c r="M68" s="556">
        <f>表1温室气体盘查表!AK51</f>
        <v>0</v>
      </c>
      <c r="N68" s="453"/>
    </row>
    <row r="69" s="452" customFormat="1" ht="25.15" customHeight="1" spans="1:14">
      <c r="A69" s="453"/>
      <c r="B69" s="567" t="s">
        <v>87</v>
      </c>
      <c r="C69" s="568" t="str">
        <f>表1温室气体盘查表!C52</f>
        <v>氨水生产</v>
      </c>
      <c r="D69" s="569" t="str">
        <f>表1温室气体盘查表!D52</f>
        <v>烧结</v>
      </c>
      <c r="E69" s="570"/>
      <c r="F69" s="543">
        <f>表1温室气体盘查表!AL52</f>
        <v>24444.8152755637</v>
      </c>
      <c r="G69" s="556">
        <f>表1温室气体盘查表!AE52</f>
        <v>24444.8152755637</v>
      </c>
      <c r="H69" s="556">
        <f>表1温室气体盘查表!AF52</f>
        <v>0</v>
      </c>
      <c r="I69" s="556">
        <f>表1温室气体盘查表!AG52</f>
        <v>0</v>
      </c>
      <c r="J69" s="556">
        <f>表1温室气体盘查表!AH52</f>
        <v>0</v>
      </c>
      <c r="K69" s="556">
        <f>表1温室气体盘查表!AI52</f>
        <v>0</v>
      </c>
      <c r="L69" s="556">
        <f>表1温室气体盘查表!AJ52</f>
        <v>0</v>
      </c>
      <c r="M69" s="556">
        <f>表1温室气体盘查表!AK52</f>
        <v>0</v>
      </c>
      <c r="N69" s="453"/>
    </row>
    <row r="70" s="452" customFormat="1" ht="25.15" customHeight="1" spans="1:14">
      <c r="A70" s="453"/>
      <c r="B70" s="567" t="s">
        <v>88</v>
      </c>
      <c r="C70" s="568" t="str">
        <f>表1温室气体盘查表!C53</f>
        <v>碳化硅生产</v>
      </c>
      <c r="D70" s="569" t="str">
        <f>表1温室气体盘查表!D53</f>
        <v>-</v>
      </c>
      <c r="E70" s="570"/>
      <c r="F70" s="543">
        <f>表1温室气体盘查表!AL53</f>
        <v>48149.5851242863</v>
      </c>
      <c r="G70" s="556">
        <f>表1温室气体盘查表!AE53</f>
        <v>48149.5851242863</v>
      </c>
      <c r="H70" s="556">
        <f>表1温室气体盘查表!AF53</f>
        <v>0</v>
      </c>
      <c r="I70" s="556">
        <f>表1温室气体盘查表!AG53</f>
        <v>0</v>
      </c>
      <c r="J70" s="556">
        <f>表1温室气体盘查表!AH53</f>
        <v>0</v>
      </c>
      <c r="K70" s="556">
        <f>表1温室气体盘查表!AI53</f>
        <v>0</v>
      </c>
      <c r="L70" s="556">
        <f>表1温室气体盘查表!AJ53</f>
        <v>0</v>
      </c>
      <c r="M70" s="556">
        <f>表1温室气体盘查表!AK53</f>
        <v>0</v>
      </c>
      <c r="N70" s="453"/>
    </row>
    <row r="71" s="452" customFormat="1" ht="25.15" customHeight="1" spans="1:14">
      <c r="A71" s="453"/>
      <c r="B71" s="567" t="s">
        <v>89</v>
      </c>
      <c r="C71" s="568" t="str">
        <f>表1温室气体盘查表!C54</f>
        <v>镁生产</v>
      </c>
      <c r="D71" s="569" t="str">
        <f>表1温室气体盘查表!D54</f>
        <v>-</v>
      </c>
      <c r="E71" s="570"/>
      <c r="F71" s="543">
        <f>表1温室气体盘查表!AL54</f>
        <v>308520.83395426</v>
      </c>
      <c r="G71" s="556">
        <f>表1温室气体盘查表!AE54</f>
        <v>308520.83395426</v>
      </c>
      <c r="H71" s="556">
        <f>表1温室气体盘查表!AF54</f>
        <v>0</v>
      </c>
      <c r="I71" s="556">
        <f>表1温室气体盘查表!AG54</f>
        <v>0</v>
      </c>
      <c r="J71" s="556">
        <f>表1温室气体盘查表!AH54</f>
        <v>0</v>
      </c>
      <c r="K71" s="556">
        <f>表1温室气体盘查表!AI54</f>
        <v>0</v>
      </c>
      <c r="L71" s="556">
        <f>表1温室气体盘查表!AJ54</f>
        <v>0</v>
      </c>
      <c r="M71" s="556">
        <f>表1温室气体盘查表!AK54</f>
        <v>0</v>
      </c>
      <c r="N71" s="453"/>
    </row>
    <row r="72" s="452" customFormat="1" ht="25.15" customHeight="1" spans="1:14">
      <c r="A72" s="453"/>
      <c r="B72" s="567" t="s">
        <v>90</v>
      </c>
      <c r="C72" s="568" t="str">
        <f>表1温室气体盘查表!C55</f>
        <v>所有其他纸制品加工制造</v>
      </c>
      <c r="D72" s="569" t="str">
        <f>表1温室气体盘查表!D55</f>
        <v>办公室</v>
      </c>
      <c r="E72" s="570"/>
      <c r="F72" s="543">
        <f>表1温室气体盘查表!AL55</f>
        <v>5.54362431</v>
      </c>
      <c r="G72" s="556">
        <f>表1温室气体盘查表!AE55</f>
        <v>5.54362431</v>
      </c>
      <c r="H72" s="556">
        <f>表1温室气体盘查表!AF55</f>
        <v>0</v>
      </c>
      <c r="I72" s="556">
        <f>表1温室气体盘查表!AG55</f>
        <v>0</v>
      </c>
      <c r="J72" s="556">
        <f>表1温室气体盘查表!AH55</f>
        <v>0</v>
      </c>
      <c r="K72" s="556">
        <f>表1温室气体盘查表!AI55</f>
        <v>0</v>
      </c>
      <c r="L72" s="556">
        <f>表1温室气体盘查表!AJ55</f>
        <v>0</v>
      </c>
      <c r="M72" s="556">
        <f>表1温室气体盘查表!AK55</f>
        <v>0</v>
      </c>
      <c r="N72" s="453"/>
    </row>
    <row r="73" s="452" customFormat="1" ht="25.15" customHeight="1" spans="1:14">
      <c r="A73" s="453"/>
      <c r="B73" s="567" t="s">
        <v>91</v>
      </c>
      <c r="C73" s="568" t="str">
        <f>表1温室气体盘查表!C56</f>
        <v>办公用品(纸张除外)制造</v>
      </c>
      <c r="D73" s="569" t="str">
        <f>表1温室气体盘查表!D56</f>
        <v>办公室</v>
      </c>
      <c r="E73" s="570"/>
      <c r="F73" s="543">
        <f>表1温室气体盘查表!AL56</f>
        <v>47.0342564</v>
      </c>
      <c r="G73" s="556">
        <f>表1温室气体盘查表!AE56</f>
        <v>47.0342564</v>
      </c>
      <c r="H73" s="556">
        <f>表1温室气体盘查表!AF56</f>
        <v>0</v>
      </c>
      <c r="I73" s="556">
        <f>表1温室气体盘查表!AG56</f>
        <v>0</v>
      </c>
      <c r="J73" s="556">
        <f>表1温室气体盘查表!AH56</f>
        <v>0</v>
      </c>
      <c r="K73" s="556">
        <f>表1温室气体盘查表!AI56</f>
        <v>0</v>
      </c>
      <c r="L73" s="556">
        <f>表1温室气体盘查表!AJ56</f>
        <v>0</v>
      </c>
      <c r="M73" s="556">
        <f>表1温室气体盘查表!AK56</f>
        <v>0</v>
      </c>
      <c r="N73" s="453"/>
    </row>
    <row r="74" s="452" customFormat="1" ht="25.15" customHeight="1" spans="1:14">
      <c r="A74" s="453"/>
      <c r="B74" s="567" t="s">
        <v>92</v>
      </c>
      <c r="C74" s="568" t="str">
        <f>表1温室气体盘查表!C57</f>
        <v>源水</v>
      </c>
      <c r="D74" s="569" t="str">
        <f>表1温室气体盘查表!D57</f>
        <v>水处理工序</v>
      </c>
      <c r="E74" s="570"/>
      <c r="F74" s="543">
        <f>表1温室气体盘查表!AL57</f>
        <v>29761.0306554007</v>
      </c>
      <c r="G74" s="556">
        <f>表1温室气体盘查表!AE57</f>
        <v>29761.0306554007</v>
      </c>
      <c r="H74" s="556">
        <f>表1温室气体盘查表!AF57</f>
        <v>0</v>
      </c>
      <c r="I74" s="556">
        <f>表1温室气体盘查表!AG57</f>
        <v>0</v>
      </c>
      <c r="J74" s="556">
        <f>表1温室气体盘查表!AH57</f>
        <v>0</v>
      </c>
      <c r="K74" s="556">
        <f>表1温室气体盘查表!AI57</f>
        <v>0</v>
      </c>
      <c r="L74" s="556">
        <f>表1温室气体盘查表!AJ57</f>
        <v>0</v>
      </c>
      <c r="M74" s="556">
        <f>表1温室气体盘查表!AK57</f>
        <v>0</v>
      </c>
      <c r="N74" s="453"/>
    </row>
    <row r="75" s="453" customFormat="1" ht="25.15" customHeight="1" spans="1:14">
      <c r="B75" s="571"/>
      <c r="C75" s="570"/>
      <c r="D75" s="572"/>
      <c r="E75" s="570"/>
      <c r="F75" s="560"/>
      <c r="G75" s="561"/>
      <c r="H75" s="561"/>
      <c r="I75" s="561"/>
      <c r="J75" s="561"/>
      <c r="K75" s="561"/>
      <c r="L75" s="561"/>
      <c r="M75" s="561"/>
    </row>
    <row r="76" s="452" customFormat="1" ht="25.15" customHeight="1" spans="1:14">
      <c r="A76" s="453"/>
      <c r="B76" s="562" t="s">
        <v>93</v>
      </c>
      <c r="C76" s="563" t="str">
        <f>表1温室气体盘查表!B58</f>
        <v>资本货物</v>
      </c>
      <c r="D76" s="564"/>
      <c r="E76" s="565"/>
      <c r="F76" s="553">
        <f>SUM(G76:M76)</f>
        <v>51806.97034336</v>
      </c>
      <c r="G76" s="553">
        <f>SUM(G77:G87)</f>
        <v>51806.97034336</v>
      </c>
      <c r="H76" s="553">
        <f t="shared" ref="H76:M76" si="7">SUM(H77:H87)</f>
        <v>0</v>
      </c>
      <c r="I76" s="553">
        <f t="shared" si="7"/>
        <v>0</v>
      </c>
      <c r="J76" s="553">
        <f t="shared" si="7"/>
        <v>0</v>
      </c>
      <c r="K76" s="553">
        <f t="shared" si="7"/>
        <v>0</v>
      </c>
      <c r="L76" s="553">
        <f t="shared" si="7"/>
        <v>0</v>
      </c>
      <c r="M76" s="553">
        <f t="shared" si="7"/>
        <v>0</v>
      </c>
      <c r="N76" s="453"/>
    </row>
    <row r="77" s="452" customFormat="1" ht="32.1" customHeight="1" spans="1:14">
      <c r="A77" s="453"/>
      <c r="B77" s="567" t="s">
        <v>94</v>
      </c>
      <c r="C77" s="569" t="str">
        <f>表1温室气体盘查表!C58</f>
        <v>采购产品空调和暖空气加热设备和商业和工业制冷设备制造</v>
      </c>
      <c r="D77" s="569" t="str">
        <f>表1温室气体盘查表!D58</f>
        <v>办公室、各工序</v>
      </c>
      <c r="E77" s="570"/>
      <c r="F77" s="543">
        <f>表1温室气体盘查表!AL58</f>
        <v>14.8324392</v>
      </c>
      <c r="G77" s="543">
        <f>表1温室气体盘查表!AE58</f>
        <v>14.8324392</v>
      </c>
      <c r="H77" s="543">
        <f>表1温室气体盘查表!AF58</f>
        <v>0</v>
      </c>
      <c r="I77" s="543">
        <f>表1温室气体盘查表!AG58</f>
        <v>0</v>
      </c>
      <c r="J77" s="543">
        <f>表1温室气体盘查表!AH58</f>
        <v>0</v>
      </c>
      <c r="K77" s="543">
        <f>表1温室气体盘查表!AI58</f>
        <v>0</v>
      </c>
      <c r="L77" s="543">
        <f>表1温室气体盘查表!AJ58</f>
        <v>0</v>
      </c>
      <c r="M77" s="543">
        <f>表1温室气体盘查表!AK58</f>
        <v>0</v>
      </c>
      <c r="N77" s="453"/>
    </row>
    <row r="78" s="452" customFormat="1" ht="25.15" customHeight="1" spans="1:14">
      <c r="A78" s="453"/>
      <c r="B78" s="567" t="s">
        <v>95</v>
      </c>
      <c r="C78" s="569" t="str">
        <f>表1温室气体盘查表!C59</f>
        <v>电子计算机制造</v>
      </c>
      <c r="D78" s="569" t="str">
        <f>表1温室气体盘查表!D59</f>
        <v>办公室、各工序</v>
      </c>
      <c r="E78" s="570"/>
      <c r="F78" s="543">
        <f>表1温室气体盘查表!AL59</f>
        <v>3.78803974</v>
      </c>
      <c r="G78" s="543">
        <f>表1温室气体盘查表!AE59</f>
        <v>3.78803974</v>
      </c>
      <c r="H78" s="543">
        <f>表1温室气体盘查表!AF59</f>
        <v>0</v>
      </c>
      <c r="I78" s="543">
        <f>表1温室气体盘查表!AG59</f>
        <v>0</v>
      </c>
      <c r="J78" s="543">
        <f>表1温室气体盘查表!AH59</f>
        <v>0</v>
      </c>
      <c r="K78" s="543">
        <f>表1温室气体盘查表!AI59</f>
        <v>0</v>
      </c>
      <c r="L78" s="543">
        <f>表1温室气体盘查表!AJ59</f>
        <v>0</v>
      </c>
      <c r="M78" s="543">
        <f>表1温室气体盘查表!AK59</f>
        <v>0</v>
      </c>
      <c r="N78" s="453"/>
    </row>
    <row r="79" s="452" customFormat="1" ht="25.15" customHeight="1" spans="1:14">
      <c r="A79" s="453"/>
      <c r="B79" s="567" t="s">
        <v>96</v>
      </c>
      <c r="C79" s="569" t="str">
        <f>表1温室气体盘查表!C60</f>
        <v>焊接及焊接设备制造</v>
      </c>
      <c r="D79" s="569" t="str">
        <f>表1温室气体盘查表!D60</f>
        <v>各工序</v>
      </c>
      <c r="E79" s="570"/>
      <c r="F79" s="543">
        <f>表1温室气体盘查表!AL60</f>
        <v>216.4113282</v>
      </c>
      <c r="G79" s="543">
        <f>表1温室气体盘查表!AE60</f>
        <v>216.4113282</v>
      </c>
      <c r="H79" s="543">
        <f>表1温室气体盘查表!AF60</f>
        <v>0</v>
      </c>
      <c r="I79" s="543">
        <f>表1温室气体盘查表!AG60</f>
        <v>0</v>
      </c>
      <c r="J79" s="543">
        <f>表1温室气体盘查表!AH60</f>
        <v>0</v>
      </c>
      <c r="K79" s="543">
        <f>表1温室气体盘查表!AI60</f>
        <v>0</v>
      </c>
      <c r="L79" s="543">
        <f>表1温室气体盘查表!AJ60</f>
        <v>0</v>
      </c>
      <c r="M79" s="543">
        <f>表1温室气体盘查表!AK60</f>
        <v>0</v>
      </c>
      <c r="N79" s="453"/>
    </row>
    <row r="80" s="452" customFormat="1" ht="25.15" customHeight="1" spans="1:14">
      <c r="A80" s="453"/>
      <c r="B80" s="567" t="s">
        <v>97</v>
      </c>
      <c r="C80" s="569" t="str">
        <f>表1温室气体盘查表!C61</f>
        <v>其他工业设备制造</v>
      </c>
      <c r="D80" s="569" t="str">
        <f>表1温室气体盘查表!D61</f>
        <v>各工序</v>
      </c>
      <c r="E80" s="570"/>
      <c r="F80" s="543">
        <f>表1温室气体盘查表!AL61</f>
        <v>1153.46638455</v>
      </c>
      <c r="G80" s="543">
        <f>表1温室气体盘查表!AE61</f>
        <v>1153.46638455</v>
      </c>
      <c r="H80" s="543">
        <f>表1温室气体盘查表!AF61</f>
        <v>0</v>
      </c>
      <c r="I80" s="543">
        <f>表1温室气体盘查表!AG61</f>
        <v>0</v>
      </c>
      <c r="J80" s="543">
        <f>表1温室气体盘查表!AH61</f>
        <v>0</v>
      </c>
      <c r="K80" s="543">
        <f>表1温室气体盘查表!AI61</f>
        <v>0</v>
      </c>
      <c r="L80" s="543">
        <f>表1温室气体盘查表!AJ61</f>
        <v>0</v>
      </c>
      <c r="M80" s="543">
        <f>表1温室气体盘查表!AK61</f>
        <v>0</v>
      </c>
      <c r="N80" s="453"/>
    </row>
    <row r="81" s="452" customFormat="1" ht="25.15" customHeight="1" spans="1:14">
      <c r="A81" s="453"/>
      <c r="B81" s="567" t="s">
        <v>98</v>
      </c>
      <c r="C81" s="569" t="str">
        <f>表1温室气体盘查表!C62</f>
        <v>测量和测试电力和电气信号的仪器制造</v>
      </c>
      <c r="D81" s="569" t="str">
        <f>表1温室气体盘查表!D62</f>
        <v>各工序</v>
      </c>
      <c r="E81" s="570"/>
      <c r="F81" s="543">
        <f>表1温室气体盘查表!AL62</f>
        <v>44.31630215</v>
      </c>
      <c r="G81" s="543">
        <f>表1温室气体盘查表!AE62</f>
        <v>44.31630215</v>
      </c>
      <c r="H81" s="543">
        <f>表1温室气体盘查表!AF62</f>
        <v>0</v>
      </c>
      <c r="I81" s="543">
        <f>表1温室气体盘查表!AG62</f>
        <v>0</v>
      </c>
      <c r="J81" s="543">
        <f>表1温室气体盘查表!AH62</f>
        <v>0</v>
      </c>
      <c r="K81" s="543">
        <f>表1温室气体盘查表!AI62</f>
        <v>0</v>
      </c>
      <c r="L81" s="543">
        <f>表1温室气体盘查表!AJ62</f>
        <v>0</v>
      </c>
      <c r="M81" s="543">
        <f>表1温室气体盘查表!AK62</f>
        <v>0</v>
      </c>
      <c r="N81" s="453"/>
    </row>
    <row r="82" s="452" customFormat="1" ht="25.15" customHeight="1" spans="1:14">
      <c r="A82" s="453"/>
      <c r="B82" s="567" t="s">
        <v>99</v>
      </c>
      <c r="C82" s="569" t="str">
        <f>表1温室气体盘查表!C63</f>
        <v>计算机系统设计服务</v>
      </c>
      <c r="D82" s="569" t="str">
        <f>表1温室气体盘查表!D63</f>
        <v>各工序</v>
      </c>
      <c r="E82" s="570"/>
      <c r="F82" s="543">
        <f>表1温室气体盘查表!AL63</f>
        <v>56.22116828</v>
      </c>
      <c r="G82" s="543">
        <f>表1温室气体盘查表!AE63</f>
        <v>56.22116828</v>
      </c>
      <c r="H82" s="543">
        <f>表1温室气体盘查表!AF63</f>
        <v>0</v>
      </c>
      <c r="I82" s="543">
        <f>表1温室气体盘查表!AG63</f>
        <v>0</v>
      </c>
      <c r="J82" s="543">
        <f>表1温室气体盘查表!AH63</f>
        <v>0</v>
      </c>
      <c r="K82" s="543">
        <f>表1温室气体盘查表!AI63</f>
        <v>0</v>
      </c>
      <c r="L82" s="543">
        <f>表1温室气体盘查表!AJ63</f>
        <v>0</v>
      </c>
      <c r="M82" s="543">
        <f>表1温室气体盘查表!AK63</f>
        <v>0</v>
      </c>
      <c r="N82" s="453"/>
    </row>
    <row r="83" s="452" customFormat="1" ht="25.15" customHeight="1" spans="1:14">
      <c r="A83" s="453"/>
      <c r="B83" s="567" t="s">
        <v>100</v>
      </c>
      <c r="C83" s="569" t="str">
        <f>表1温室气体盘查表!C64</f>
        <v>机械动力传动设备制造</v>
      </c>
      <c r="D83" s="569" t="str">
        <f>表1温室气体盘查表!D64</f>
        <v>各工序</v>
      </c>
      <c r="E83" s="570"/>
      <c r="F83" s="543">
        <f>表1温室气体盘查表!AL64</f>
        <v>35.30405219</v>
      </c>
      <c r="G83" s="543">
        <f>表1温室气体盘查表!AE64</f>
        <v>35.30405219</v>
      </c>
      <c r="H83" s="543">
        <f>表1温室气体盘查表!AF64</f>
        <v>0</v>
      </c>
      <c r="I83" s="543">
        <f>表1温室气体盘查表!AG64</f>
        <v>0</v>
      </c>
      <c r="J83" s="543">
        <f>表1温室气体盘查表!AH64</f>
        <v>0</v>
      </c>
      <c r="K83" s="543">
        <f>表1温室气体盘查表!AI64</f>
        <v>0</v>
      </c>
      <c r="L83" s="543">
        <f>表1温室气体盘查表!AJ64</f>
        <v>0</v>
      </c>
      <c r="M83" s="543">
        <f>表1温室气体盘查表!AK64</f>
        <v>0</v>
      </c>
      <c r="N83" s="453"/>
    </row>
    <row r="84" s="452" customFormat="1" ht="25.15" customHeight="1" spans="1:14">
      <c r="A84" s="453"/>
      <c r="B84" s="567" t="s">
        <v>101</v>
      </c>
      <c r="C84" s="569" t="str">
        <f>表1温室气体盘查表!C65</f>
        <v>测量、分配及其他泵类设备制造</v>
      </c>
      <c r="D84" s="569" t="str">
        <f>表1温室气体盘查表!D65</f>
        <v>各工序</v>
      </c>
      <c r="E84" s="570"/>
      <c r="F84" s="543">
        <f>表1温室气体盘查表!AL65</f>
        <v>432.06181985</v>
      </c>
      <c r="G84" s="543">
        <f>表1温室气体盘查表!AE65</f>
        <v>432.06181985</v>
      </c>
      <c r="H84" s="543">
        <f>表1温室气体盘查表!AF65</f>
        <v>0</v>
      </c>
      <c r="I84" s="543">
        <f>表1温室气体盘查表!AG65</f>
        <v>0</v>
      </c>
      <c r="J84" s="543">
        <f>表1温室气体盘查表!AH65</f>
        <v>0</v>
      </c>
      <c r="K84" s="543">
        <f>表1温室气体盘查表!AI65</f>
        <v>0</v>
      </c>
      <c r="L84" s="543">
        <f>表1温室气体盘查表!AJ65</f>
        <v>0</v>
      </c>
      <c r="M84" s="543">
        <f>表1温室气体盘查表!AK65</f>
        <v>0</v>
      </c>
      <c r="N84" s="453"/>
    </row>
    <row r="85" s="452" customFormat="1" ht="25.15" customHeight="1" spans="1:14">
      <c r="A85" s="453"/>
      <c r="B85" s="567" t="s">
        <v>102</v>
      </c>
      <c r="C85" s="569" t="str">
        <f>表1温室气体盘查表!C66</f>
        <v>用于测量、显示和控制工业过程变量的仪器及相关产品制造</v>
      </c>
      <c r="D85" s="569" t="str">
        <f>表1温室气体盘查表!D66</f>
        <v>各工序</v>
      </c>
      <c r="E85" s="570"/>
      <c r="F85" s="543">
        <f>表1温室气体盘查表!AL66</f>
        <v>11.18455254</v>
      </c>
      <c r="G85" s="543">
        <f>表1温室气体盘查表!AE66</f>
        <v>11.18455254</v>
      </c>
      <c r="H85" s="543">
        <f>表1温室气体盘查表!AF66</f>
        <v>0</v>
      </c>
      <c r="I85" s="543">
        <f>表1温室气体盘查表!AG66</f>
        <v>0</v>
      </c>
      <c r="J85" s="543">
        <f>表1温室气体盘查表!AH66</f>
        <v>0</v>
      </c>
      <c r="K85" s="543">
        <f>表1温室气体盘查表!AI66</f>
        <v>0</v>
      </c>
      <c r="L85" s="543">
        <f>表1温室气体盘查表!AJ66</f>
        <v>0</v>
      </c>
      <c r="M85" s="543">
        <f>表1温室气体盘查表!AK66</f>
        <v>0</v>
      </c>
      <c r="N85" s="453"/>
    </row>
    <row r="86" s="452" customFormat="1" ht="25.15" customHeight="1" spans="1:14">
      <c r="A86" s="453"/>
      <c r="B86" s="567" t="s">
        <v>103</v>
      </c>
      <c r="C86" s="569" t="str">
        <f>表1温室气体盘查表!C67</f>
        <v>所有其他杂项电气设备及元件制造</v>
      </c>
      <c r="D86" s="569" t="str">
        <f>表1温室气体盘查表!D67</f>
        <v>各工序</v>
      </c>
      <c r="E86" s="570"/>
      <c r="F86" s="543">
        <f>表1温室气体盘查表!AL67</f>
        <v>555.07219968</v>
      </c>
      <c r="G86" s="543">
        <f>表1温室气体盘查表!AE67</f>
        <v>555.07219968</v>
      </c>
      <c r="H86" s="543">
        <f>表1温室气体盘查表!AF67</f>
        <v>0</v>
      </c>
      <c r="I86" s="543">
        <f>表1温室气体盘查表!AG67</f>
        <v>0</v>
      </c>
      <c r="J86" s="543">
        <f>表1温室气体盘查表!AH67</f>
        <v>0</v>
      </c>
      <c r="K86" s="543">
        <f>表1温室气体盘查表!AI67</f>
        <v>0</v>
      </c>
      <c r="L86" s="543">
        <f>表1温室气体盘查表!AJ67</f>
        <v>0</v>
      </c>
      <c r="M86" s="543">
        <f>表1温室气体盘查表!AK67</f>
        <v>0</v>
      </c>
      <c r="N86" s="453"/>
    </row>
    <row r="87" s="452" customFormat="1" ht="25.15" customHeight="1" spans="1:14">
      <c r="A87" s="453"/>
      <c r="B87" s="567" t="s">
        <v>104</v>
      </c>
      <c r="C87" s="569" t="str">
        <f>表1温室气体盘查表!C68</f>
        <v>所有其他杂项制造</v>
      </c>
      <c r="D87" s="569" t="str">
        <f>表1温室气体盘查表!D68</f>
        <v>各工序</v>
      </c>
      <c r="E87" s="570"/>
      <c r="F87" s="543">
        <f>表1温室气体盘查表!AL68</f>
        <v>49284.31205698</v>
      </c>
      <c r="G87" s="543">
        <f>表1温室气体盘查表!AE68</f>
        <v>49284.31205698</v>
      </c>
      <c r="H87" s="543">
        <f>表1温室气体盘查表!AF68</f>
        <v>0</v>
      </c>
      <c r="I87" s="543">
        <f>表1温室气体盘查表!AG68</f>
        <v>0</v>
      </c>
      <c r="J87" s="543">
        <f>表1温室气体盘查表!AH68</f>
        <v>0</v>
      </c>
      <c r="K87" s="543">
        <f>表1温室气体盘查表!AI68</f>
        <v>0</v>
      </c>
      <c r="L87" s="543">
        <f>表1温室气体盘查表!AJ68</f>
        <v>0</v>
      </c>
      <c r="M87" s="543">
        <f>表1温室气体盘查表!AK68</f>
        <v>0</v>
      </c>
      <c r="N87" s="453"/>
    </row>
    <row r="88" s="452" customFormat="1" ht="25.15" customHeight="1" spans="1:14">
      <c r="A88" s="453"/>
      <c r="B88" s="571"/>
      <c r="C88" s="570"/>
      <c r="D88" s="572"/>
      <c r="E88" s="570"/>
      <c r="F88" s="573"/>
      <c r="G88" s="573"/>
      <c r="H88" s="573"/>
      <c r="I88" s="573"/>
      <c r="J88" s="573"/>
      <c r="K88" s="573"/>
      <c r="L88" s="573"/>
      <c r="M88" s="573"/>
      <c r="N88" s="453"/>
    </row>
    <row r="89" s="450" customFormat="1" ht="25.15" customHeight="1" spans="1:14">
      <c r="A89" s="474"/>
      <c r="B89" s="562" t="s">
        <v>105</v>
      </c>
      <c r="C89" s="574" t="str">
        <f>表1温室气体盘查表!B70</f>
        <v>范围一、二相关燃料和能源相关的活动产生的排放</v>
      </c>
      <c r="D89" s="564"/>
      <c r="E89" s="565"/>
      <c r="F89" s="553">
        <f>SUM(G89:M89)</f>
        <v>2016736.07196272</v>
      </c>
      <c r="G89" s="553">
        <f>SUM(G90:G99)</f>
        <v>2016736.07196272</v>
      </c>
      <c r="H89" s="553">
        <f t="shared" ref="H89:M89" si="8">SUM(H91:H98)</f>
        <v>0</v>
      </c>
      <c r="I89" s="553">
        <f t="shared" si="8"/>
        <v>0</v>
      </c>
      <c r="J89" s="553">
        <f t="shared" si="8"/>
        <v>0</v>
      </c>
      <c r="K89" s="553">
        <f t="shared" si="8"/>
        <v>0</v>
      </c>
      <c r="L89" s="553">
        <f t="shared" si="8"/>
        <v>0</v>
      </c>
      <c r="M89" s="553">
        <f t="shared" si="8"/>
        <v>0</v>
      </c>
    </row>
    <row r="90" s="450" customFormat="1" ht="25.15" customHeight="1" spans="1:14">
      <c r="A90" s="474"/>
      <c r="B90" s="567" t="s">
        <v>106</v>
      </c>
      <c r="C90" s="568" t="str">
        <f>表1温室气体盘查表!C69</f>
        <v>液化石油气生产</v>
      </c>
      <c r="D90" s="569" t="str">
        <f>表1温室气体盘查表!D69</f>
        <v>冶钢宾馆</v>
      </c>
      <c r="E90" s="557"/>
      <c r="F90" s="543">
        <f>表1温室气体盘查表!AL69</f>
        <v>9.44845804628386</v>
      </c>
      <c r="G90" s="543">
        <f>表1温室气体盘查表!AE69</f>
        <v>9.44845804628386</v>
      </c>
      <c r="H90" s="543">
        <f>表1温室气体盘查表!AF69</f>
        <v>0</v>
      </c>
      <c r="I90" s="543">
        <f>表1温室气体盘查表!AG69</f>
        <v>0</v>
      </c>
      <c r="J90" s="543">
        <f>表1温室气体盘查表!AH69</f>
        <v>0</v>
      </c>
      <c r="K90" s="543">
        <f>表1温室气体盘查表!AI69</f>
        <v>0</v>
      </c>
      <c r="L90" s="543">
        <f>表1温室气体盘查表!AJ69</f>
        <v>0</v>
      </c>
      <c r="M90" s="543">
        <f>表1温室气体盘查表!AK69</f>
        <v>0</v>
      </c>
    </row>
    <row r="91" s="450" customFormat="1" ht="25.15" customHeight="1" spans="1:14">
      <c r="A91" s="474"/>
      <c r="B91" s="567" t="s">
        <v>107</v>
      </c>
      <c r="C91" s="568" t="str">
        <f>表1温室气体盘查表!C70</f>
        <v>洗精煤生产</v>
      </c>
      <c r="D91" s="569" t="str">
        <f>表1温室气体盘查表!D70</f>
        <v>焦化</v>
      </c>
      <c r="E91" s="570"/>
      <c r="F91" s="543">
        <f>表1温室气体盘查表!AL70</f>
        <v>1120352.4211275</v>
      </c>
      <c r="G91" s="543">
        <f>表1温室气体盘查表!AE70</f>
        <v>1120352.4211275</v>
      </c>
      <c r="H91" s="543">
        <f>表1温室气体盘查表!AF70</f>
        <v>0</v>
      </c>
      <c r="I91" s="543">
        <f>表1温室气体盘查表!AG70</f>
        <v>0</v>
      </c>
      <c r="J91" s="543">
        <f>表1温室气体盘查表!AH70</f>
        <v>0</v>
      </c>
      <c r="K91" s="543">
        <f>表1温室气体盘查表!AI70</f>
        <v>0</v>
      </c>
      <c r="L91" s="543">
        <f>表1温室气体盘查表!AJ70</f>
        <v>0</v>
      </c>
      <c r="M91" s="543">
        <f>表1温室气体盘查表!AK70</f>
        <v>0</v>
      </c>
    </row>
    <row r="92" s="450" customFormat="1" ht="25.15" customHeight="1" spans="1:14">
      <c r="A92" s="474"/>
      <c r="B92" s="567" t="s">
        <v>108</v>
      </c>
      <c r="C92" s="568" t="str">
        <f>表1温室气体盘查表!C71</f>
        <v>柴油生产</v>
      </c>
      <c r="D92" s="569" t="str">
        <f>表1温室气体盘查表!D71</f>
        <v>各工序</v>
      </c>
      <c r="E92" s="453"/>
      <c r="F92" s="543">
        <f>表1温室气体盘查表!AL71</f>
        <v>1182.2270044</v>
      </c>
      <c r="G92" s="543">
        <f>表1温室气体盘查表!AE71</f>
        <v>1182.2270044</v>
      </c>
      <c r="H92" s="543">
        <f>表1温室气体盘查表!AF71</f>
        <v>0</v>
      </c>
      <c r="I92" s="543">
        <f>表1温室气体盘查表!AG71</f>
        <v>0</v>
      </c>
      <c r="J92" s="543">
        <f>表1温室气体盘查表!AH71</f>
        <v>0</v>
      </c>
      <c r="K92" s="543">
        <f>表1温室气体盘查表!AI71</f>
        <v>0</v>
      </c>
      <c r="L92" s="543">
        <f>表1温室气体盘查表!AJ71</f>
        <v>0</v>
      </c>
      <c r="M92" s="543">
        <f>表1温室气体盘查表!AK71</f>
        <v>0</v>
      </c>
    </row>
    <row r="93" s="450" customFormat="1" ht="25.15" customHeight="1" spans="1:14">
      <c r="A93" s="474"/>
      <c r="B93" s="567" t="s">
        <v>109</v>
      </c>
      <c r="C93" s="568" t="str">
        <f>表1温室气体盘查表!C72</f>
        <v>汽油生产</v>
      </c>
      <c r="D93" s="569" t="str">
        <f>表1温室气体盘查表!D72</f>
        <v>车队</v>
      </c>
      <c r="E93" s="453"/>
      <c r="F93" s="543">
        <f>表1温室气体盘查表!AL72</f>
        <v>48.4384247743095</v>
      </c>
      <c r="G93" s="543">
        <f>表1温室气体盘查表!AE72</f>
        <v>48.4384247743095</v>
      </c>
      <c r="H93" s="543">
        <f>表1温室气体盘查表!AF72</f>
        <v>0</v>
      </c>
      <c r="I93" s="543">
        <f>表1温室气体盘查表!AG72</f>
        <v>0</v>
      </c>
      <c r="J93" s="543">
        <f>表1温室气体盘查表!AH72</f>
        <v>0</v>
      </c>
      <c r="K93" s="543">
        <f>表1温室气体盘查表!AI72</f>
        <v>0</v>
      </c>
      <c r="L93" s="543">
        <f>表1温室气体盘查表!AJ72</f>
        <v>0</v>
      </c>
      <c r="M93" s="543">
        <f>表1温室气体盘查表!AK72</f>
        <v>0</v>
      </c>
    </row>
    <row r="94" s="450" customFormat="1" ht="25.15" customHeight="1" spans="1:14">
      <c r="A94" s="474"/>
      <c r="B94" s="567" t="s">
        <v>110</v>
      </c>
      <c r="C94" s="568" t="str">
        <f>表1温室气体盘查表!C73</f>
        <v>焦炭生产</v>
      </c>
      <c r="D94" s="569" t="str">
        <f>表1温室气体盘查表!D73</f>
        <v>烧结、高炉</v>
      </c>
      <c r="E94" s="453"/>
      <c r="F94" s="543">
        <f>表1温室气体盘查表!AL73</f>
        <v>184347.32152</v>
      </c>
      <c r="G94" s="543">
        <f>表1温室气体盘查表!AE73</f>
        <v>184347.32152</v>
      </c>
      <c r="H94" s="543">
        <f>表1温室气体盘查表!AF73</f>
        <v>0</v>
      </c>
      <c r="I94" s="543">
        <f>表1温室气体盘查表!AG73</f>
        <v>0</v>
      </c>
      <c r="J94" s="543">
        <f>表1温室气体盘查表!AH73</f>
        <v>0</v>
      </c>
      <c r="K94" s="543">
        <f>表1温室气体盘查表!AI73</f>
        <v>0</v>
      </c>
      <c r="L94" s="543">
        <f>表1温室气体盘查表!AJ73</f>
        <v>0</v>
      </c>
      <c r="M94" s="543">
        <f>表1温室气体盘查表!AK73</f>
        <v>0</v>
      </c>
    </row>
    <row r="95" s="450" customFormat="1" ht="25.15" customHeight="1" spans="1:14">
      <c r="A95" s="474"/>
      <c r="B95" s="567" t="s">
        <v>111</v>
      </c>
      <c r="C95" s="568" t="str">
        <f>表1温室气体盘查表!C74</f>
        <v>焦屑生产</v>
      </c>
      <c r="D95" s="569" t="str">
        <f>表1温室气体盘查表!D74</f>
        <v>烧结、高炉</v>
      </c>
      <c r="E95" s="453"/>
      <c r="F95" s="543">
        <f>表1温室气体盘查表!AL74</f>
        <v>152835.1658</v>
      </c>
      <c r="G95" s="543">
        <f>表1温室气体盘查表!AE74</f>
        <v>152835.1658</v>
      </c>
      <c r="H95" s="543">
        <f>表1温室气体盘查表!AF74</f>
        <v>0</v>
      </c>
      <c r="I95" s="543">
        <f>表1温室气体盘查表!AG74</f>
        <v>0</v>
      </c>
      <c r="J95" s="543">
        <f>表1温室气体盘查表!AH74</f>
        <v>0</v>
      </c>
      <c r="K95" s="543">
        <f>表1温室气体盘查表!AI74</f>
        <v>0</v>
      </c>
      <c r="L95" s="543">
        <f>表1温室气体盘查表!AJ74</f>
        <v>0</v>
      </c>
      <c r="M95" s="543">
        <f>表1温室气体盘查表!AK74</f>
        <v>0</v>
      </c>
    </row>
    <row r="96" s="450" customFormat="1" ht="25.15" customHeight="1" spans="1:14">
      <c r="A96" s="474"/>
      <c r="B96" s="567" t="s">
        <v>112</v>
      </c>
      <c r="C96" s="568" t="str">
        <f>表1温室气体盘查表!C75</f>
        <v>烟煤生产</v>
      </c>
      <c r="D96" s="569" t="str">
        <f>表1温室气体盘查表!D75</f>
        <v>高炉</v>
      </c>
      <c r="E96" s="570"/>
      <c r="F96" s="543">
        <f>表1温室气体盘查表!AL75</f>
        <v>229690.010538</v>
      </c>
      <c r="G96" s="543">
        <f>表1温室气体盘查表!AE75</f>
        <v>229690.010538</v>
      </c>
      <c r="H96" s="543">
        <f>表1温室气体盘查表!AF75</f>
        <v>0</v>
      </c>
      <c r="I96" s="543">
        <f>表1温室气体盘查表!AG75</f>
        <v>0</v>
      </c>
      <c r="J96" s="543">
        <f>表1温室气体盘查表!AH75</f>
        <v>0</v>
      </c>
      <c r="K96" s="543">
        <f>表1温室气体盘查表!AI75</f>
        <v>0</v>
      </c>
      <c r="L96" s="543">
        <f>表1温室气体盘查表!AJ75</f>
        <v>0</v>
      </c>
      <c r="M96" s="543">
        <f>表1温室气体盘查表!AK75</f>
        <v>0</v>
      </c>
    </row>
    <row r="97" s="450" customFormat="1" ht="25.15" customHeight="1" spans="1:13">
      <c r="A97" s="474"/>
      <c r="B97" s="567" t="s">
        <v>113</v>
      </c>
      <c r="C97" s="568" t="str">
        <f>表1温室气体盘查表!C76</f>
        <v>无烟煤生产</v>
      </c>
      <c r="D97" s="569" t="str">
        <f>表1温室气体盘查表!D76</f>
        <v>烧结、高炉</v>
      </c>
      <c r="E97" s="570"/>
      <c r="F97" s="543">
        <f>表1温室气体盘查表!AL76</f>
        <v>149948.237187</v>
      </c>
      <c r="G97" s="543">
        <f>表1温室气体盘查表!AE76</f>
        <v>149948.237187</v>
      </c>
      <c r="H97" s="543">
        <f>表1温室气体盘查表!AF76</f>
        <v>0</v>
      </c>
      <c r="I97" s="543">
        <f>表1温室气体盘查表!AG76</f>
        <v>0</v>
      </c>
      <c r="J97" s="543">
        <f>表1温室气体盘查表!AH76</f>
        <v>0</v>
      </c>
      <c r="K97" s="543">
        <f>表1温室气体盘查表!AI76</f>
        <v>0</v>
      </c>
      <c r="L97" s="543">
        <f>表1温室气体盘查表!AJ76</f>
        <v>0</v>
      </c>
      <c r="M97" s="543">
        <f>表1温室气体盘查表!AK76</f>
        <v>0</v>
      </c>
    </row>
    <row r="98" s="450" customFormat="1" ht="25.15" customHeight="1" spans="1:13">
      <c r="A98" s="474"/>
      <c r="B98" s="567" t="s">
        <v>114</v>
      </c>
      <c r="C98" s="568" t="str">
        <f>表1温室气体盘查表!C77</f>
        <v>天然气生产</v>
      </c>
      <c r="D98" s="569" t="str">
        <f>表1温室气体盘查表!D77</f>
        <v>转炉、电炉、锻造、热处理</v>
      </c>
      <c r="E98" s="570"/>
      <c r="F98" s="543">
        <f>表1温室气体盘查表!AL77</f>
        <v>11120.2731</v>
      </c>
      <c r="G98" s="543">
        <f>表1温室气体盘查表!AE77</f>
        <v>11120.2731</v>
      </c>
      <c r="H98" s="543">
        <f>表1温室气体盘查表!AF77</f>
        <v>0</v>
      </c>
      <c r="I98" s="543">
        <f>表1温室气体盘查表!AG77</f>
        <v>0</v>
      </c>
      <c r="J98" s="543">
        <f>表1温室气体盘查表!AH77</f>
        <v>0</v>
      </c>
      <c r="K98" s="543">
        <f>表1温室气体盘查表!AI77</f>
        <v>0</v>
      </c>
      <c r="L98" s="543">
        <f>表1温室气体盘查表!AJ77</f>
        <v>0</v>
      </c>
      <c r="M98" s="543">
        <f>表1温室气体盘查表!AK77</f>
        <v>0</v>
      </c>
    </row>
    <row r="99" s="450" customFormat="1" ht="25.15" customHeight="1" spans="1:13">
      <c r="A99" s="474"/>
      <c r="B99" s="567" t="s">
        <v>115</v>
      </c>
      <c r="C99" s="568" t="str">
        <f>表1温室气体盘查表!C78</f>
        <v>外购电力上游排放</v>
      </c>
      <c r="D99" s="569" t="str">
        <f>表1温室气体盘查表!D78</f>
        <v>各工序</v>
      </c>
      <c r="E99" s="570"/>
      <c r="F99" s="543">
        <f>表1温室气体盘查表!AL78</f>
        <v>167202.528803</v>
      </c>
      <c r="G99" s="543">
        <f>表1温室气体盘查表!AE78</f>
        <v>167202.528803</v>
      </c>
      <c r="H99" s="543">
        <f>表1温室气体盘查表!AF78</f>
        <v>0</v>
      </c>
      <c r="I99" s="543">
        <f>表1温室气体盘查表!AG78</f>
        <v>0</v>
      </c>
      <c r="J99" s="543">
        <f>表1温室气体盘查表!AH78</f>
        <v>0</v>
      </c>
      <c r="K99" s="543">
        <f>表1温室气体盘查表!AI78</f>
        <v>0</v>
      </c>
      <c r="L99" s="543">
        <f>表1温室气体盘查表!AJ78</f>
        <v>0</v>
      </c>
      <c r="M99" s="543">
        <f>表1温室气体盘查表!AK78</f>
        <v>0</v>
      </c>
    </row>
    <row r="100" s="450" customFormat="1" ht="25.15" customHeight="1" spans="1:13">
      <c r="A100" s="474"/>
      <c r="B100" s="575"/>
      <c r="C100" s="576"/>
      <c r="D100" s="576"/>
      <c r="E100" s="453"/>
      <c r="F100" s="453"/>
      <c r="G100" s="577"/>
      <c r="H100" s="577"/>
      <c r="I100" s="577"/>
      <c r="J100" s="577"/>
      <c r="K100" s="577"/>
      <c r="L100" s="577"/>
      <c r="M100" s="577"/>
    </row>
    <row r="101" s="450" customFormat="1" ht="25.15" customHeight="1" spans="1:13">
      <c r="A101" s="474"/>
      <c r="B101" s="578" t="s">
        <v>116</v>
      </c>
      <c r="C101" s="579" t="str">
        <f>表1温室气体盘查表!B79</f>
        <v>上游运输配送产生的排放</v>
      </c>
      <c r="D101" s="580"/>
      <c r="E101" s="581"/>
      <c r="F101" s="582">
        <f>SUM(G101:M101)</f>
        <v>362284.252670301</v>
      </c>
      <c r="G101" s="582">
        <f>SUM(G102:G104)</f>
        <v>362284.252670301</v>
      </c>
      <c r="H101" s="582">
        <f t="shared" ref="H101:M101" si="9">SUM(H102:H104)</f>
        <v>0</v>
      </c>
      <c r="I101" s="582">
        <f t="shared" si="9"/>
        <v>0</v>
      </c>
      <c r="J101" s="582">
        <f t="shared" si="9"/>
        <v>0</v>
      </c>
      <c r="K101" s="582">
        <f t="shared" si="9"/>
        <v>0</v>
      </c>
      <c r="L101" s="582">
        <f t="shared" si="9"/>
        <v>0</v>
      </c>
      <c r="M101" s="582">
        <f t="shared" si="9"/>
        <v>0</v>
      </c>
    </row>
    <row r="102" s="450" customFormat="1" ht="25.15" customHeight="1" spans="1:13">
      <c r="A102" s="474"/>
      <c r="B102" s="541" t="s">
        <v>117</v>
      </c>
      <c r="C102" s="542" t="str">
        <f>表1温室气体盘查表!C79</f>
        <v>船运</v>
      </c>
      <c r="D102" s="548" t="str">
        <f>表1温室气体盘查表!D79</f>
        <v>-</v>
      </c>
      <c r="F102" s="543">
        <f>表1温室气体盘查表!AL79</f>
        <v>256608.969086949</v>
      </c>
      <c r="G102" s="543">
        <f>表1温室气体盘查表!AE79</f>
        <v>256608.969086949</v>
      </c>
      <c r="H102" s="543">
        <f>表1温室气体盘查表!AF79</f>
        <v>0</v>
      </c>
      <c r="I102" s="543">
        <f>表1温室气体盘查表!AG79</f>
        <v>0</v>
      </c>
      <c r="J102" s="543">
        <f>表1温室气体盘查表!AH79</f>
        <v>0</v>
      </c>
      <c r="K102" s="543">
        <f>表1温室气体盘查表!AI79</f>
        <v>0</v>
      </c>
      <c r="L102" s="543">
        <f>表1温室气体盘查表!AJ79</f>
        <v>0</v>
      </c>
      <c r="M102" s="543">
        <f>表1温室气体盘查表!AK79</f>
        <v>0</v>
      </c>
    </row>
    <row r="103" s="450" customFormat="1" ht="25.15" customHeight="1" spans="1:13">
      <c r="A103" s="474"/>
      <c r="B103" s="541" t="s">
        <v>118</v>
      </c>
      <c r="C103" s="542" t="str">
        <f>表1温室气体盘查表!C80</f>
        <v>汽运</v>
      </c>
      <c r="D103" s="548" t="str">
        <f>表1温室气体盘查表!D80</f>
        <v>-</v>
      </c>
      <c r="F103" s="543">
        <f>表1温室气体盘查表!AL80</f>
        <v>46150.5118723241</v>
      </c>
      <c r="G103" s="543">
        <f>表1温室气体盘查表!AE80</f>
        <v>46150.5118723241</v>
      </c>
      <c r="H103" s="543">
        <f>表1温室气体盘查表!AF80</f>
        <v>0</v>
      </c>
      <c r="I103" s="543">
        <f>表1温室气体盘查表!AG80</f>
        <v>0</v>
      </c>
      <c r="J103" s="543">
        <f>表1温室气体盘查表!AH80</f>
        <v>0</v>
      </c>
      <c r="K103" s="543">
        <f>表1温室气体盘查表!AI80</f>
        <v>0</v>
      </c>
      <c r="L103" s="543">
        <f>表1温室气体盘查表!AJ80</f>
        <v>0</v>
      </c>
      <c r="M103" s="543">
        <f>表1温室气体盘查表!AK80</f>
        <v>0</v>
      </c>
    </row>
    <row r="104" s="450" customFormat="1" ht="25.15" customHeight="1" spans="1:13">
      <c r="A104" s="474"/>
      <c r="B104" s="541" t="s">
        <v>119</v>
      </c>
      <c r="C104" s="542" t="str">
        <f>表1温室气体盘查表!C81</f>
        <v>铁路运输</v>
      </c>
      <c r="D104" s="548" t="str">
        <f>表1温室气体盘查表!D81</f>
        <v>-</v>
      </c>
      <c r="F104" s="543">
        <f>表1温室气体盘查表!AL81</f>
        <v>59524.7717110272</v>
      </c>
      <c r="G104" s="543">
        <f>表1温室气体盘查表!AE81</f>
        <v>59524.7717110272</v>
      </c>
      <c r="H104" s="543">
        <f>表1温室气体盘查表!AF81</f>
        <v>0</v>
      </c>
      <c r="I104" s="543">
        <f>表1温室气体盘查表!AG81</f>
        <v>0</v>
      </c>
      <c r="J104" s="543">
        <f>表1温室气体盘查表!AH81</f>
        <v>0</v>
      </c>
      <c r="K104" s="543">
        <f>表1温室气体盘查表!AI81</f>
        <v>0</v>
      </c>
      <c r="L104" s="543">
        <f>表1温室气体盘查表!AJ81</f>
        <v>0</v>
      </c>
      <c r="M104" s="543">
        <f>表1温室气体盘查表!AK81</f>
        <v>0</v>
      </c>
    </row>
    <row r="105" s="450" customFormat="1" ht="25.15" customHeight="1" spans="1:13">
      <c r="A105" s="474"/>
      <c r="B105" s="583"/>
      <c r="C105" s="584"/>
      <c r="D105" s="584"/>
      <c r="E105" s="452"/>
      <c r="F105" s="585"/>
      <c r="G105" s="585"/>
      <c r="H105" s="585"/>
      <c r="I105" s="585"/>
      <c r="J105" s="585"/>
      <c r="K105" s="585"/>
      <c r="L105" s="585"/>
      <c r="M105" s="585"/>
    </row>
    <row r="106" s="450" customFormat="1" ht="25.15" customHeight="1" spans="1:13">
      <c r="A106" s="474"/>
      <c r="B106" s="578" t="s">
        <v>120</v>
      </c>
      <c r="C106" s="579" t="str">
        <f>表1温室气体盘查表!B82</f>
        <v>运营中产生的废物排放</v>
      </c>
      <c r="D106" s="580"/>
      <c r="E106" s="581"/>
      <c r="F106" s="553">
        <f>SUM(G106:M106)</f>
        <v>147636.031876224</v>
      </c>
      <c r="G106" s="553">
        <f>SUM(G107:G111)</f>
        <v>147636.031876224</v>
      </c>
      <c r="H106" s="553">
        <f t="shared" ref="H106:M106" si="10">SUM(H107)</f>
        <v>0</v>
      </c>
      <c r="I106" s="553">
        <f t="shared" si="10"/>
        <v>0</v>
      </c>
      <c r="J106" s="553">
        <f t="shared" si="10"/>
        <v>0</v>
      </c>
      <c r="K106" s="553">
        <f t="shared" si="10"/>
        <v>0</v>
      </c>
      <c r="L106" s="553">
        <f t="shared" si="10"/>
        <v>0</v>
      </c>
      <c r="M106" s="553">
        <f t="shared" si="10"/>
        <v>0</v>
      </c>
    </row>
    <row r="107" s="450" customFormat="1" ht="25.15" customHeight="1" spans="1:13">
      <c r="A107" s="474"/>
      <c r="B107" s="541" t="s">
        <v>121</v>
      </c>
      <c r="C107" s="542" t="str">
        <f>表1温室气体盘查表!C82</f>
        <v>生活垃圾和厨余垃圾</v>
      </c>
      <c r="D107" s="542" t="str">
        <f>表1温室气体盘查表!D82</f>
        <v>垃圾站</v>
      </c>
      <c r="F107" s="543">
        <f>表1温室气体盘查表!AL82</f>
        <v>969.241929689684</v>
      </c>
      <c r="G107" s="543">
        <f>表1温室气体盘查表!AE82</f>
        <v>969.241929689684</v>
      </c>
      <c r="H107" s="543">
        <f>表1温室气体盘查表!AF82</f>
        <v>0</v>
      </c>
      <c r="I107" s="543">
        <f>表1温室气体盘查表!AG82</f>
        <v>0</v>
      </c>
      <c r="J107" s="543">
        <f>表1温室气体盘查表!AH82</f>
        <v>0</v>
      </c>
      <c r="K107" s="543">
        <f>表1温室气体盘查表!AI82</f>
        <v>0</v>
      </c>
      <c r="L107" s="543">
        <f>表1温室气体盘查表!AJ82</f>
        <v>0</v>
      </c>
      <c r="M107" s="543">
        <f>表1温室气体盘查表!AK82</f>
        <v>0</v>
      </c>
    </row>
    <row r="108" s="450" customFormat="1" ht="25.15" customHeight="1" spans="1:13">
      <c r="A108" s="474"/>
      <c r="B108" s="541" t="s">
        <v>122</v>
      </c>
      <c r="C108" s="542" t="str">
        <f>表1温室气体盘查表!C83</f>
        <v>废油</v>
      </c>
      <c r="D108" s="542" t="str">
        <f>表1温室气体盘查表!D83</f>
        <v>-</v>
      </c>
      <c r="F108" s="543">
        <f>表1温室气体盘查表!AL83</f>
        <v>104.702845570361</v>
      </c>
      <c r="G108" s="543">
        <f>表1温室气体盘查表!AE83</f>
        <v>104.702845570361</v>
      </c>
      <c r="H108" s="543">
        <f>表1温室气体盘查表!AF83</f>
        <v>0</v>
      </c>
      <c r="I108" s="543">
        <f>表1温室气体盘查表!AG83</f>
        <v>0</v>
      </c>
      <c r="J108" s="543">
        <f>表1温室气体盘查表!AH83</f>
        <v>0</v>
      </c>
      <c r="K108" s="543">
        <f>表1温室气体盘查表!AI83</f>
        <v>0</v>
      </c>
      <c r="L108" s="543">
        <f>表1温室气体盘查表!AJ83</f>
        <v>0</v>
      </c>
      <c r="M108" s="543">
        <f>表1温室气体盘查表!AK83</f>
        <v>0</v>
      </c>
    </row>
    <row r="109" s="450" customFormat="1" ht="25.15" customHeight="1" spans="1:13">
      <c r="A109" s="474"/>
      <c r="B109" s="541" t="s">
        <v>123</v>
      </c>
      <c r="C109" s="542" t="str">
        <f>表1温室气体盘查表!C84</f>
        <v>废油水</v>
      </c>
      <c r="D109" s="542" t="str">
        <f>表1温室气体盘查表!D84</f>
        <v>-</v>
      </c>
      <c r="F109" s="543">
        <f>表1温室气体盘查表!AL84</f>
        <v>653.858586623069</v>
      </c>
      <c r="G109" s="543">
        <f>表1温室气体盘查表!AE84</f>
        <v>653.858586623069</v>
      </c>
      <c r="H109" s="543">
        <f>表1温室气体盘查表!AF84</f>
        <v>0</v>
      </c>
      <c r="I109" s="543">
        <f>表1温室气体盘查表!AG84</f>
        <v>0</v>
      </c>
      <c r="J109" s="543">
        <f>表1温室气体盘查表!AH84</f>
        <v>0</v>
      </c>
      <c r="K109" s="543">
        <f>表1温室气体盘查表!AI84</f>
        <v>0</v>
      </c>
      <c r="L109" s="543">
        <f>表1温室气体盘查表!AJ84</f>
        <v>0</v>
      </c>
      <c r="M109" s="543">
        <f>表1温室气体盘查表!AK84</f>
        <v>0</v>
      </c>
    </row>
    <row r="110" s="450" customFormat="1" ht="25.15" customHeight="1" spans="1:13">
      <c r="A110" s="474"/>
      <c r="B110" s="541" t="s">
        <v>124</v>
      </c>
      <c r="C110" s="542" t="str">
        <f>表1温室气体盘查表!C85</f>
        <v>煤焦油</v>
      </c>
      <c r="D110" s="542" t="str">
        <f>表1温室气体盘查表!D85</f>
        <v>-</v>
      </c>
      <c r="F110" s="543">
        <f>表1温室气体盘查表!AL85</f>
        <v>145058.803127058</v>
      </c>
      <c r="G110" s="543">
        <f>表1温室气体盘查表!AE85</f>
        <v>145058.803127058</v>
      </c>
      <c r="H110" s="543">
        <f>表1温室气体盘查表!AF85</f>
        <v>0</v>
      </c>
      <c r="I110" s="543">
        <f>表1温室气体盘查表!AG85</f>
        <v>0</v>
      </c>
      <c r="J110" s="543">
        <f>表1温室气体盘查表!AH85</f>
        <v>0</v>
      </c>
      <c r="K110" s="543">
        <f>表1温室气体盘查表!AI85</f>
        <v>0</v>
      </c>
      <c r="L110" s="543">
        <f>表1温室气体盘查表!AJ85</f>
        <v>0</v>
      </c>
      <c r="M110" s="543">
        <f>表1温室气体盘查表!AK85</f>
        <v>0</v>
      </c>
    </row>
    <row r="111" s="450" customFormat="1" ht="25.15" customHeight="1" spans="1:13">
      <c r="A111" s="474"/>
      <c r="B111" s="541" t="s">
        <v>125</v>
      </c>
      <c r="C111" s="542" t="str">
        <f>表1温室气体盘查表!C86</f>
        <v>废弃物运输</v>
      </c>
      <c r="D111" s="542" t="str">
        <f>表1温室气体盘查表!D86</f>
        <v>-</v>
      </c>
      <c r="F111" s="543">
        <f>表1温室气体盘查表!AL86</f>
        <v>849.425387283242</v>
      </c>
      <c r="G111" s="543">
        <f>表1温室气体盘查表!AE86</f>
        <v>849.425387283242</v>
      </c>
      <c r="H111" s="543">
        <f>表1温室气体盘查表!AF86</f>
        <v>0</v>
      </c>
      <c r="I111" s="543">
        <f>表1温室气体盘查表!AG86</f>
        <v>0</v>
      </c>
      <c r="J111" s="543">
        <f>表1温室气体盘查表!AH86</f>
        <v>0</v>
      </c>
      <c r="K111" s="543">
        <f>表1温室气体盘查表!AI86</f>
        <v>0</v>
      </c>
      <c r="L111" s="543">
        <f>表1温室气体盘查表!AJ86</f>
        <v>0</v>
      </c>
      <c r="M111" s="543">
        <f>表1温室气体盘查表!AK86</f>
        <v>0</v>
      </c>
    </row>
    <row r="112" s="450" customFormat="1" ht="25.15" customHeight="1" spans="1:13">
      <c r="A112" s="474"/>
      <c r="B112" s="583"/>
      <c r="C112" s="584"/>
      <c r="D112" s="584"/>
      <c r="E112" s="452"/>
      <c r="F112" s="585"/>
      <c r="G112" s="585"/>
      <c r="H112" s="585"/>
      <c r="I112" s="585"/>
      <c r="J112" s="585"/>
      <c r="K112" s="585"/>
      <c r="L112" s="585"/>
      <c r="M112" s="585"/>
    </row>
    <row r="113" s="450" customFormat="1" ht="25.15" customHeight="1" spans="1:13">
      <c r="A113" s="474"/>
      <c r="B113" s="578" t="s">
        <v>126</v>
      </c>
      <c r="C113" s="579" t="str">
        <f>表1温室气体盘查表!B87</f>
        <v>商务旅行产生的排放</v>
      </c>
      <c r="D113" s="580"/>
      <c r="E113" s="581"/>
      <c r="F113" s="553">
        <f>SUM(G113:M113)</f>
        <v>1670.17345373528</v>
      </c>
      <c r="G113" s="553">
        <f>SUM(G114:G116)</f>
        <v>1670.17345373528</v>
      </c>
      <c r="H113" s="553">
        <f t="shared" ref="H113:M113" si="11">SUM(H114:H115)</f>
        <v>0</v>
      </c>
      <c r="I113" s="553">
        <f t="shared" si="11"/>
        <v>0</v>
      </c>
      <c r="J113" s="553">
        <f t="shared" si="11"/>
        <v>0</v>
      </c>
      <c r="K113" s="553">
        <f t="shared" si="11"/>
        <v>0</v>
      </c>
      <c r="L113" s="553">
        <f t="shared" si="11"/>
        <v>0</v>
      </c>
      <c r="M113" s="553">
        <f t="shared" si="11"/>
        <v>0</v>
      </c>
    </row>
    <row r="114" s="450" customFormat="1" ht="25.15" customHeight="1" spans="1:13">
      <c r="A114" s="474"/>
      <c r="B114" s="567" t="s">
        <v>127</v>
      </c>
      <c r="C114" s="568" t="str">
        <f>表1温室气体盘查表!C87</f>
        <v>航运</v>
      </c>
      <c r="D114" s="586" t="str">
        <f>表1温室气体盘查表!D87</f>
        <v>-</v>
      </c>
      <c r="E114" s="453"/>
      <c r="F114" s="543">
        <f>表1温室气体盘查表!AL87</f>
        <v>327.76098852</v>
      </c>
      <c r="G114" s="543">
        <f>表1温室气体盘查表!AE87</f>
        <v>327.76098852</v>
      </c>
      <c r="H114" s="543">
        <f>表1温室气体盘查表!AF87</f>
        <v>0</v>
      </c>
      <c r="I114" s="543">
        <f>表1温室气体盘查表!AG87</f>
        <v>0</v>
      </c>
      <c r="J114" s="543">
        <f>表1温室气体盘查表!AH87</f>
        <v>0</v>
      </c>
      <c r="K114" s="543">
        <f>表1温室气体盘查表!AI87</f>
        <v>0</v>
      </c>
      <c r="L114" s="543">
        <f>表1温室气体盘查表!AJ87</f>
        <v>0</v>
      </c>
      <c r="M114" s="543">
        <f>表1温室气体盘查表!AK87</f>
        <v>0</v>
      </c>
    </row>
    <row r="115" s="450" customFormat="1" ht="25.15" customHeight="1" spans="1:13">
      <c r="A115" s="474"/>
      <c r="B115" s="567" t="s">
        <v>128</v>
      </c>
      <c r="C115" s="568" t="str">
        <f>表1温室气体盘查表!C88</f>
        <v>铁路运输</v>
      </c>
      <c r="D115" s="586" t="str">
        <f>表1温室气体盘查表!D88</f>
        <v>-</v>
      </c>
      <c r="E115" s="453"/>
      <c r="F115" s="543">
        <f>表1温室气体盘查表!AL88</f>
        <v>619.787965215283</v>
      </c>
      <c r="G115" s="543">
        <f>表1温室气体盘查表!AE88</f>
        <v>619.787965215283</v>
      </c>
      <c r="H115" s="543">
        <f>表1温室气体盘查表!AF88</f>
        <v>0</v>
      </c>
      <c r="I115" s="543">
        <f>表1温室气体盘查表!AG88</f>
        <v>0</v>
      </c>
      <c r="J115" s="543">
        <f>表1温室气体盘查表!AH88</f>
        <v>0</v>
      </c>
      <c r="K115" s="543">
        <f>表1温室气体盘查表!AI88</f>
        <v>0</v>
      </c>
      <c r="L115" s="543">
        <f>表1温室气体盘查表!AJ88</f>
        <v>0</v>
      </c>
      <c r="M115" s="543">
        <f>表1温室气体盘查表!AK88</f>
        <v>0</v>
      </c>
    </row>
    <row r="116" s="450" customFormat="1" ht="25.15" customHeight="1" spans="1:13">
      <c r="A116" s="474"/>
      <c r="B116" s="567" t="s">
        <v>129</v>
      </c>
      <c r="C116" s="568" t="str">
        <f>表1温室气体盘查表!C89</f>
        <v>员工差旅住宿</v>
      </c>
      <c r="D116" s="586" t="str">
        <f>表1温室气体盘查表!D89</f>
        <v>-</v>
      </c>
      <c r="E116" s="453"/>
      <c r="F116" s="543">
        <f>表1温室气体盘查表!AL89</f>
        <v>722.6245</v>
      </c>
      <c r="G116" s="543">
        <f>表1温室气体盘查表!AE89</f>
        <v>722.6245</v>
      </c>
      <c r="H116" s="543">
        <f>表1温室气体盘查表!AF89</f>
        <v>0</v>
      </c>
      <c r="I116" s="543">
        <f>表1温室气体盘查表!AG89</f>
        <v>0</v>
      </c>
      <c r="J116" s="543">
        <f>表1温室气体盘查表!AH89</f>
        <v>0</v>
      </c>
      <c r="K116" s="543">
        <f>表1温室气体盘查表!AI89</f>
        <v>0</v>
      </c>
      <c r="L116" s="543">
        <f>表1温室气体盘查表!AJ89</f>
        <v>0</v>
      </c>
      <c r="M116" s="543">
        <f>表1温室气体盘查表!AK89</f>
        <v>0</v>
      </c>
    </row>
    <row r="117" s="450" customFormat="1" ht="25.15" customHeight="1" spans="1:13">
      <c r="A117" s="474"/>
      <c r="B117" s="583"/>
      <c r="C117" s="584"/>
      <c r="D117" s="584"/>
      <c r="E117" s="452"/>
      <c r="F117" s="585"/>
      <c r="G117" s="585"/>
      <c r="H117" s="585"/>
      <c r="I117" s="585"/>
      <c r="J117" s="585"/>
      <c r="K117" s="585"/>
      <c r="L117" s="585"/>
      <c r="M117" s="585"/>
    </row>
    <row r="118" s="450" customFormat="1" ht="25.15" customHeight="1" spans="1:13">
      <c r="A118" s="474"/>
      <c r="B118" s="587" t="s">
        <v>130</v>
      </c>
      <c r="C118" s="588" t="str">
        <f>表1温室气体盘查表!B90</f>
        <v>员工通勤产生的排放</v>
      </c>
      <c r="D118" s="589"/>
      <c r="E118" s="581"/>
      <c r="F118" s="553">
        <f>SUM(G118:M118)</f>
        <v>13322.57648759</v>
      </c>
      <c r="G118" s="553">
        <f t="shared" ref="G118:M118" si="12">SUM(G119:G122)</f>
        <v>13322.57648759</v>
      </c>
      <c r="H118" s="553">
        <f t="shared" si="12"/>
        <v>0</v>
      </c>
      <c r="I118" s="553">
        <f t="shared" si="12"/>
        <v>0</v>
      </c>
      <c r="J118" s="553">
        <f t="shared" si="12"/>
        <v>0</v>
      </c>
      <c r="K118" s="553">
        <f t="shared" si="12"/>
        <v>0</v>
      </c>
      <c r="L118" s="553">
        <f t="shared" si="12"/>
        <v>0</v>
      </c>
      <c r="M118" s="553">
        <f t="shared" si="12"/>
        <v>0</v>
      </c>
    </row>
    <row r="119" s="450" customFormat="1" ht="25.15" customHeight="1" spans="1:13">
      <c r="A119" s="474"/>
      <c r="B119" s="586" t="s">
        <v>131</v>
      </c>
      <c r="C119" s="569" t="str">
        <f>表1温室气体盘查表!C90</f>
        <v>通勤车</v>
      </c>
      <c r="D119" s="590" t="str">
        <f>表1温室气体盘查表!D90</f>
        <v>-</v>
      </c>
      <c r="E119" s="591"/>
      <c r="F119" s="543">
        <f>表1温室气体盘查表!AL90</f>
        <v>111.2064536</v>
      </c>
      <c r="G119" s="543">
        <f>表1温室气体盘查表!AE90</f>
        <v>111.2064536</v>
      </c>
      <c r="H119" s="543">
        <f>表1温室气体盘查表!AF90</f>
        <v>0</v>
      </c>
      <c r="I119" s="543">
        <f>表1温室气体盘查表!AG90</f>
        <v>0</v>
      </c>
      <c r="J119" s="543">
        <f>表1温室气体盘查表!AH90</f>
        <v>0</v>
      </c>
      <c r="K119" s="543">
        <f>表1温室气体盘查表!AI90</f>
        <v>0</v>
      </c>
      <c r="L119" s="543">
        <f>表1温室气体盘查表!AJ90</f>
        <v>0</v>
      </c>
      <c r="M119" s="543">
        <f>表1温室气体盘查表!AK90</f>
        <v>0</v>
      </c>
    </row>
    <row r="120" s="450" customFormat="1" ht="25.15" customHeight="1" spans="1:13">
      <c r="A120" s="474"/>
      <c r="B120" s="586" t="s">
        <v>132</v>
      </c>
      <c r="C120" s="569" t="str">
        <f>表1温室气体盘查表!C91</f>
        <v>电动车</v>
      </c>
      <c r="D120" s="590" t="str">
        <f>表1温室气体盘查表!D91</f>
        <v>-</v>
      </c>
      <c r="E120" s="591"/>
      <c r="F120" s="543">
        <f>表1温室气体盘查表!AL91</f>
        <v>474.515379130203</v>
      </c>
      <c r="G120" s="543">
        <f>表1温室气体盘查表!AE91</f>
        <v>474.515379130203</v>
      </c>
      <c r="H120" s="543">
        <f>表1温室气体盘查表!AF91</f>
        <v>0</v>
      </c>
      <c r="I120" s="543">
        <f>表1温室气体盘查表!AG91</f>
        <v>0</v>
      </c>
      <c r="J120" s="543">
        <f>表1温室气体盘查表!AH91</f>
        <v>0</v>
      </c>
      <c r="K120" s="543">
        <f>表1温室气体盘查表!AI91</f>
        <v>0</v>
      </c>
      <c r="L120" s="543">
        <f>表1温室气体盘查表!AJ91</f>
        <v>0</v>
      </c>
      <c r="M120" s="543">
        <f>表1温室气体盘查表!AK91</f>
        <v>0</v>
      </c>
    </row>
    <row r="121" s="450" customFormat="1" ht="25.15" customHeight="1" spans="1:13">
      <c r="A121" s="474"/>
      <c r="B121" s="586" t="s">
        <v>133</v>
      </c>
      <c r="C121" s="569" t="str">
        <f>表1温室气体盘查表!C92</f>
        <v>自驾油车</v>
      </c>
      <c r="D121" s="590" t="str">
        <f>表1温室气体盘查表!D92</f>
        <v>-</v>
      </c>
      <c r="E121" s="592"/>
      <c r="F121" s="543">
        <f>表1温室气体盘查表!AL92</f>
        <v>11664.7288421612</v>
      </c>
      <c r="G121" s="543">
        <f>表1温室气体盘查表!AE92</f>
        <v>11664.7288421612</v>
      </c>
      <c r="H121" s="543">
        <f>表1温室气体盘查表!AF92</f>
        <v>0</v>
      </c>
      <c r="I121" s="543">
        <f>表1温室气体盘查表!AG92</f>
        <v>0</v>
      </c>
      <c r="J121" s="543">
        <f>表1温室气体盘查表!AH92</f>
        <v>0</v>
      </c>
      <c r="K121" s="543">
        <f>表1温室气体盘查表!AI92</f>
        <v>0</v>
      </c>
      <c r="L121" s="543">
        <f>表1温室气体盘查表!AJ92</f>
        <v>0</v>
      </c>
      <c r="M121" s="543">
        <f>表1温室气体盘查表!AK92</f>
        <v>0</v>
      </c>
    </row>
    <row r="122" s="450" customFormat="1" ht="25.15" customHeight="1" spans="1:13">
      <c r="A122" s="474"/>
      <c r="B122" s="586" t="s">
        <v>134</v>
      </c>
      <c r="C122" s="569" t="str">
        <f>表1温室气体盘查表!C93</f>
        <v>自驾电车</v>
      </c>
      <c r="D122" s="590" t="str">
        <f>表1温室气体盘查表!D93</f>
        <v>-</v>
      </c>
      <c r="E122" s="593"/>
      <c r="F122" s="543">
        <f>表1温室气体盘查表!AL93</f>
        <v>1072.12581269864</v>
      </c>
      <c r="G122" s="543">
        <f>表1温室气体盘查表!AE93</f>
        <v>1072.12581269864</v>
      </c>
      <c r="H122" s="543">
        <f>表1温室气体盘查表!AF93</f>
        <v>0</v>
      </c>
      <c r="I122" s="543">
        <f>表1温室气体盘查表!AG93</f>
        <v>0</v>
      </c>
      <c r="J122" s="543">
        <f>表1温室气体盘查表!AH93</f>
        <v>0</v>
      </c>
      <c r="K122" s="543">
        <f>表1温室气体盘查表!AI93</f>
        <v>0</v>
      </c>
      <c r="L122" s="543">
        <f>表1温室气体盘查表!AJ93</f>
        <v>0</v>
      </c>
      <c r="M122" s="543">
        <f>表1温室气体盘查表!AK93</f>
        <v>0</v>
      </c>
    </row>
    <row r="123" s="450" customFormat="1" ht="25.15" customHeight="1" spans="1:13">
      <c r="A123" s="474"/>
      <c r="B123" s="594"/>
      <c r="C123" s="595"/>
      <c r="D123" s="595"/>
      <c r="E123" s="596"/>
      <c r="F123" s="597"/>
      <c r="G123" s="597"/>
      <c r="H123" s="597"/>
      <c r="I123" s="597"/>
      <c r="J123" s="597"/>
      <c r="K123" s="597"/>
      <c r="L123" s="597"/>
      <c r="M123" s="597"/>
    </row>
    <row r="124" s="450" customFormat="1" ht="25.15" customHeight="1" spans="1:13">
      <c r="A124" s="474"/>
      <c r="B124" s="587" t="s">
        <v>135</v>
      </c>
      <c r="C124" s="588" t="str">
        <f>表1温室气体盘查表!B94</f>
        <v>下游运输配送产生的排放</v>
      </c>
      <c r="D124" s="589"/>
      <c r="E124" s="581"/>
      <c r="F124" s="553">
        <f>SUM(G124:M124)</f>
        <v>274585.607161911</v>
      </c>
      <c r="G124" s="553">
        <f>SUM(G125:G128)</f>
        <v>274585.607161911</v>
      </c>
      <c r="H124" s="553">
        <f t="shared" ref="H124:M124" si="13">SUM(H125:H127)</f>
        <v>0</v>
      </c>
      <c r="I124" s="553">
        <f t="shared" si="13"/>
        <v>0</v>
      </c>
      <c r="J124" s="553">
        <f t="shared" si="13"/>
        <v>0</v>
      </c>
      <c r="K124" s="553">
        <f t="shared" si="13"/>
        <v>0</v>
      </c>
      <c r="L124" s="553">
        <f t="shared" si="13"/>
        <v>0</v>
      </c>
      <c r="M124" s="553">
        <f t="shared" si="13"/>
        <v>0</v>
      </c>
    </row>
    <row r="125" s="450" customFormat="1" ht="25.15" customHeight="1" spans="1:13">
      <c r="A125" s="474"/>
      <c r="B125" s="586" t="s">
        <v>136</v>
      </c>
      <c r="C125" s="569" t="str">
        <f>表1温室气体盘查表!C94</f>
        <v>船运</v>
      </c>
      <c r="D125" s="590" t="str">
        <f>表1温室气体盘查表!D94</f>
        <v>-</v>
      </c>
      <c r="E125" s="591"/>
      <c r="F125" s="543">
        <f>表1温室气体盘查表!AL94</f>
        <v>53478.1555212475</v>
      </c>
      <c r="G125" s="543">
        <f>表1温室气体盘查表!AE94</f>
        <v>53478.1555212475</v>
      </c>
      <c r="H125" s="543">
        <f>表1温室气体盘查表!AF94</f>
        <v>0</v>
      </c>
      <c r="I125" s="543">
        <f>表1温室气体盘查表!AG94</f>
        <v>0</v>
      </c>
      <c r="J125" s="543">
        <f>表1温室气体盘查表!AH94</f>
        <v>0</v>
      </c>
      <c r="K125" s="543">
        <f>表1温室气体盘查表!AI94</f>
        <v>0</v>
      </c>
      <c r="L125" s="543">
        <f>表1温室气体盘查表!AJ94</f>
        <v>0</v>
      </c>
      <c r="M125" s="543">
        <f>表1温室气体盘查表!AK94</f>
        <v>0</v>
      </c>
    </row>
    <row r="126" s="450" customFormat="1" ht="25.15" customHeight="1" spans="1:13">
      <c r="A126" s="474"/>
      <c r="B126" s="586" t="s">
        <v>137</v>
      </c>
      <c r="C126" s="569" t="str">
        <f>表1温室气体盘查表!C95</f>
        <v>汽运</v>
      </c>
      <c r="D126" s="590" t="str">
        <f>表1温室气体盘查表!D95</f>
        <v>-</v>
      </c>
      <c r="E126" s="591"/>
      <c r="F126" s="543">
        <f>表1温室气体盘查表!AL95</f>
        <v>208049.485839029</v>
      </c>
      <c r="G126" s="543">
        <f>表1温室气体盘查表!AE95</f>
        <v>208049.485839029</v>
      </c>
      <c r="H126" s="543">
        <f>表1温室气体盘查表!AF95</f>
        <v>0</v>
      </c>
      <c r="I126" s="543">
        <f>表1温室气体盘查表!AG95</f>
        <v>0</v>
      </c>
      <c r="J126" s="543">
        <f>表1温室气体盘查表!AH95</f>
        <v>0</v>
      </c>
      <c r="K126" s="543">
        <f>表1温室气体盘查表!AI95</f>
        <v>0</v>
      </c>
      <c r="L126" s="543">
        <f>表1温室气体盘查表!AJ95</f>
        <v>0</v>
      </c>
      <c r="M126" s="543">
        <f>表1温室气体盘查表!AK95</f>
        <v>0</v>
      </c>
    </row>
    <row r="127" s="450" customFormat="1" ht="25.15" customHeight="1" spans="1:13">
      <c r="A127" s="474"/>
      <c r="B127" s="586" t="s">
        <v>138</v>
      </c>
      <c r="C127" s="569" t="str">
        <f>表1温室气体盘查表!C96</f>
        <v>铁路运输</v>
      </c>
      <c r="D127" s="590" t="str">
        <f>表1温室气体盘查表!D96</f>
        <v>-</v>
      </c>
      <c r="E127" s="592"/>
      <c r="F127" s="543">
        <f>表1温室气体盘查表!AL96</f>
        <v>11086.4717529011</v>
      </c>
      <c r="G127" s="543">
        <f>表1温室气体盘查表!AE96</f>
        <v>11086.4717529011</v>
      </c>
      <c r="H127" s="543">
        <f>表1温室气体盘查表!AF96</f>
        <v>0</v>
      </c>
      <c r="I127" s="543">
        <f>表1温室气体盘查表!AG96</f>
        <v>0</v>
      </c>
      <c r="J127" s="543">
        <f>表1温室气体盘查表!AH96</f>
        <v>0</v>
      </c>
      <c r="K127" s="543">
        <f>表1温室气体盘查表!AI96</f>
        <v>0</v>
      </c>
      <c r="L127" s="543">
        <f>表1温室气体盘查表!AJ96</f>
        <v>0</v>
      </c>
      <c r="M127" s="543">
        <f>表1温室气体盘查表!AK96</f>
        <v>0</v>
      </c>
    </row>
    <row r="128" s="450" customFormat="1" ht="25.15" customHeight="1" spans="1:13">
      <c r="A128" s="474"/>
      <c r="B128" s="586" t="s">
        <v>139</v>
      </c>
      <c r="C128" s="569" t="str">
        <f>表1温室气体盘查表!C97</f>
        <v>汽运-副产品</v>
      </c>
      <c r="D128" s="590" t="str">
        <f>表1温室气体盘查表!D97</f>
        <v>-</v>
      </c>
      <c r="E128" s="592"/>
      <c r="F128" s="543">
        <f>表1温室气体盘查表!AL97</f>
        <v>1971.49404873413</v>
      </c>
      <c r="G128" s="543">
        <f>表1温室气体盘查表!AE97</f>
        <v>1971.49404873413</v>
      </c>
      <c r="H128" s="543">
        <f>表1温室气体盘查表!AF97</f>
        <v>0</v>
      </c>
      <c r="I128" s="543">
        <f>表1温室气体盘查表!AG97</f>
        <v>0</v>
      </c>
      <c r="J128" s="543">
        <f>表1温室气体盘查表!AH97</f>
        <v>0</v>
      </c>
      <c r="K128" s="543">
        <f>表1温室气体盘查表!AI97</f>
        <v>0</v>
      </c>
      <c r="L128" s="543">
        <f>表1温室气体盘查表!AJ97</f>
        <v>0</v>
      </c>
      <c r="M128" s="543">
        <f>表1温室气体盘查表!AK97</f>
        <v>0</v>
      </c>
    </row>
    <row r="129" s="450" customFormat="1" ht="25.15" customHeight="1" spans="1:13">
      <c r="A129" s="474"/>
      <c r="B129" s="594"/>
      <c r="C129" s="595"/>
      <c r="D129" s="595"/>
      <c r="E129" s="596"/>
      <c r="F129" s="597"/>
      <c r="G129" s="597"/>
      <c r="H129" s="597"/>
      <c r="I129" s="597"/>
      <c r="J129" s="597"/>
      <c r="K129" s="597"/>
      <c r="L129" s="597"/>
      <c r="M129" s="597"/>
    </row>
    <row r="130" s="450" customFormat="1" ht="26.25" customHeight="1" spans="1:13">
      <c r="A130" s="474"/>
      <c r="B130" s="587" t="s">
        <v>140</v>
      </c>
      <c r="C130" s="588" t="str">
        <f>表1温室气体盘查表!B98</f>
        <v>外销产品加工产生的排放</v>
      </c>
      <c r="D130" s="589"/>
      <c r="E130" s="581"/>
      <c r="F130" s="553">
        <f>SUM(G130:M130)</f>
        <v>1746619.95968953</v>
      </c>
      <c r="G130" s="553">
        <f>SUM(G131:G134)</f>
        <v>1746619.95968953</v>
      </c>
      <c r="H130" s="553">
        <f>SUM(H131:H132)</f>
        <v>0</v>
      </c>
      <c r="I130" s="553">
        <f>SUM(I131:I132)</f>
        <v>0</v>
      </c>
      <c r="J130" s="553">
        <f>SUM(J131:J132)</f>
        <v>0</v>
      </c>
      <c r="K130" s="553">
        <f>SUM(K131:K132)</f>
        <v>0</v>
      </c>
      <c r="L130" s="553">
        <f>SUM(L131:L132)</f>
        <v>0</v>
      </c>
      <c r="M130" s="553">
        <f>SUM(M131:M133)</f>
        <v>0</v>
      </c>
    </row>
    <row r="131" s="450" customFormat="1" ht="26.25" customHeight="1" spans="1:13">
      <c r="A131" s="474"/>
      <c r="B131" s="586" t="s">
        <v>141</v>
      </c>
      <c r="C131" s="569" t="str">
        <f>表1温室气体盘查表!C98</f>
        <v>锻材加工</v>
      </c>
      <c r="D131" s="569" t="str">
        <f>表1温室气体盘查表!D98</f>
        <v>下游钢铁厂</v>
      </c>
      <c r="E131" s="591"/>
      <c r="F131" s="543">
        <f>表1温室气体盘查表!AL98</f>
        <v>113275.661420512</v>
      </c>
      <c r="G131" s="543">
        <f>表1温室气体盘查表!AE98</f>
        <v>113275.661420512</v>
      </c>
      <c r="H131" s="543">
        <f>表1温室气体盘查表!AF98</f>
        <v>0</v>
      </c>
      <c r="I131" s="543">
        <f>表1温室气体盘查表!AG98</f>
        <v>0</v>
      </c>
      <c r="J131" s="543">
        <f>表1温室气体盘查表!AH98</f>
        <v>0</v>
      </c>
      <c r="K131" s="543">
        <f>表1温室气体盘查表!AI98</f>
        <v>0</v>
      </c>
      <c r="L131" s="543">
        <f>表1温室气体盘查表!AJ98</f>
        <v>0</v>
      </c>
      <c r="M131" s="543">
        <f>表1温室气体盘查表!AK98</f>
        <v>0</v>
      </c>
    </row>
    <row r="132" s="450" customFormat="1" ht="26.25" customHeight="1" spans="1:13">
      <c r="A132" s="474"/>
      <c r="B132" s="586" t="s">
        <v>142</v>
      </c>
      <c r="C132" s="569" t="str">
        <f>表1温室气体盘查表!C99</f>
        <v>棒材加工</v>
      </c>
      <c r="D132" s="569" t="str">
        <f>表1温室气体盘查表!D99</f>
        <v>下游钢铁厂</v>
      </c>
      <c r="E132" s="592"/>
      <c r="F132" s="543">
        <f>表1温室气体盘查表!AL99</f>
        <v>1357195.22298588</v>
      </c>
      <c r="G132" s="543">
        <f>表1温室气体盘查表!AE99</f>
        <v>1357195.22298588</v>
      </c>
      <c r="H132" s="543">
        <f>表1温室气体盘查表!AF99</f>
        <v>0</v>
      </c>
      <c r="I132" s="543">
        <f>表1温室气体盘查表!AG99</f>
        <v>0</v>
      </c>
      <c r="J132" s="543">
        <f>表1温室气体盘查表!AH99</f>
        <v>0</v>
      </c>
      <c r="K132" s="543">
        <f>表1温室气体盘查表!AI99</f>
        <v>0</v>
      </c>
      <c r="L132" s="543">
        <f>表1温室气体盘查表!AJ99</f>
        <v>0</v>
      </c>
      <c r="M132" s="543">
        <f>表1温室气体盘查表!AK99</f>
        <v>0</v>
      </c>
    </row>
    <row r="133" s="450" customFormat="1" ht="26.25" customHeight="1" spans="1:13">
      <c r="A133" s="474"/>
      <c r="B133" s="586" t="s">
        <v>143</v>
      </c>
      <c r="C133" s="569" t="str">
        <f>表1温室气体盘查表!C100</f>
        <v>钢管加工</v>
      </c>
      <c r="D133" s="569" t="str">
        <f>表1温室气体盘查表!D100</f>
        <v>下游钢铁厂</v>
      </c>
      <c r="E133" s="598"/>
      <c r="F133" s="543">
        <f>表1温室气体盘查表!AL100</f>
        <v>72250.3406477739</v>
      </c>
      <c r="G133" s="543">
        <f>表1温室气体盘查表!AE100</f>
        <v>72250.3406477739</v>
      </c>
      <c r="H133" s="543">
        <f>表1温室气体盘查表!AF100</f>
        <v>0</v>
      </c>
      <c r="I133" s="543">
        <f>表1温室气体盘查表!AG100</f>
        <v>0</v>
      </c>
      <c r="J133" s="543">
        <f>表1温室气体盘查表!AH100</f>
        <v>0</v>
      </c>
      <c r="K133" s="543">
        <f>表1温室气体盘查表!AI100</f>
        <v>0</v>
      </c>
      <c r="L133" s="543">
        <f>表1温室气体盘查表!AJ100</f>
        <v>0</v>
      </c>
      <c r="M133" s="543">
        <f>表1温室气体盘查表!AK100</f>
        <v>0</v>
      </c>
    </row>
    <row r="134" s="450" customFormat="1" ht="26.25" customHeight="1" spans="1:13">
      <c r="A134" s="474"/>
      <c r="B134" s="586" t="s">
        <v>144</v>
      </c>
      <c r="C134" s="569" t="str">
        <f>表1温室气体盘查表!C101</f>
        <v>钢坯加工</v>
      </c>
      <c r="D134" s="569" t="str">
        <f>表1温室气体盘查表!D101</f>
        <v>下游钢铁厂</v>
      </c>
      <c r="E134" s="598"/>
      <c r="F134" s="543">
        <f>表1温室气体盘查表!AL101</f>
        <v>203898.734635364</v>
      </c>
      <c r="G134" s="543">
        <f>表1温室气体盘查表!AE101</f>
        <v>203898.734635364</v>
      </c>
      <c r="H134" s="543">
        <f>表1温室气体盘查表!AF101</f>
        <v>0</v>
      </c>
      <c r="I134" s="543">
        <f>表1温室气体盘查表!AG101</f>
        <v>0</v>
      </c>
      <c r="J134" s="543">
        <f>表1温室气体盘查表!AH101</f>
        <v>0</v>
      </c>
      <c r="K134" s="543">
        <f>表1温室气体盘查表!AI101</f>
        <v>0</v>
      </c>
      <c r="L134" s="543">
        <f>表1温室气体盘查表!AJ101</f>
        <v>0</v>
      </c>
      <c r="M134" s="543">
        <f>表1温室气体盘查表!AK101</f>
        <v>0</v>
      </c>
    </row>
    <row r="135" s="450" customFormat="1" ht="26.25" customHeight="1" spans="1:13">
      <c r="A135" s="474"/>
      <c r="D135" s="517"/>
    </row>
    <row r="136" s="450" customFormat="1" ht="26.25" customHeight="1" spans="1:13">
      <c r="A136" s="474"/>
      <c r="B136" s="587" t="s">
        <v>145</v>
      </c>
      <c r="C136" s="588" t="str">
        <f>表1温室气体盘查表!B103</f>
        <v>外售产品报废产生的排放</v>
      </c>
      <c r="D136" s="589"/>
      <c r="E136" s="581"/>
      <c r="F136" s="553">
        <f>SUM(G136:M136)</f>
        <v>3747.34695958894</v>
      </c>
      <c r="G136" s="553">
        <f>SUM(G137)</f>
        <v>3747.34695958894</v>
      </c>
      <c r="H136" s="553">
        <f t="shared" ref="H136:M136" si="14">SUM(H137:H138)</f>
        <v>0</v>
      </c>
      <c r="I136" s="553">
        <f t="shared" si="14"/>
        <v>0</v>
      </c>
      <c r="J136" s="553">
        <f t="shared" si="14"/>
        <v>0</v>
      </c>
      <c r="K136" s="553">
        <f t="shared" si="14"/>
        <v>0</v>
      </c>
      <c r="L136" s="553">
        <f t="shared" si="14"/>
        <v>0</v>
      </c>
      <c r="M136" s="553">
        <f t="shared" si="14"/>
        <v>0</v>
      </c>
    </row>
    <row r="137" s="450" customFormat="1" ht="26.25" customHeight="1" spans="1:13">
      <c r="A137" s="474"/>
      <c r="B137" s="586" t="s">
        <v>146</v>
      </c>
      <c r="C137" s="569" t="str">
        <f>表1温室气体盘查表!C103</f>
        <v>产品报废</v>
      </c>
      <c r="D137" s="569" t="str">
        <f>表1温室气体盘查表!D103</f>
        <v>下游钢铁厂</v>
      </c>
      <c r="E137" s="591"/>
      <c r="F137" s="543">
        <f>表1温室气体盘查表!AL103</f>
        <v>3747.34695958894</v>
      </c>
      <c r="G137" s="543">
        <f>表1温室气体盘查表!AE103</f>
        <v>3747.34695958894</v>
      </c>
      <c r="H137" s="543">
        <f>表1温室气体盘查表!AF103</f>
        <v>0</v>
      </c>
      <c r="I137" s="543">
        <f>表1温室气体盘查表!AG103</f>
        <v>0</v>
      </c>
      <c r="J137" s="543">
        <f>表1温室气体盘查表!AH103</f>
        <v>0</v>
      </c>
      <c r="K137" s="543">
        <f>表1温室气体盘查表!AI103</f>
        <v>0</v>
      </c>
      <c r="L137" s="543">
        <f>表1温室气体盘查表!AJ103</f>
        <v>0</v>
      </c>
      <c r="M137" s="543">
        <f>表1温室气体盘查表!AK103</f>
        <v>0</v>
      </c>
    </row>
    <row r="138" ht="26.25" customHeight="1"/>
    <row r="139" s="454" customFormat="1" ht="13.5" spans="1:13">
      <c r="A139" s="601"/>
      <c r="B139" s="602"/>
      <c r="C139" s="602"/>
      <c r="D139" s="603"/>
      <c r="E139" s="602"/>
      <c r="F139" s="604"/>
      <c r="G139" s="604"/>
      <c r="H139" s="604"/>
      <c r="I139" s="604"/>
      <c r="J139" s="604"/>
      <c r="K139" s="604"/>
      <c r="L139" s="604"/>
      <c r="M139" s="604"/>
    </row>
    <row r="140" s="455" customFormat="1" ht="13.5" spans="1:13">
      <c r="B140" s="605"/>
      <c r="C140" s="605"/>
      <c r="D140" s="606"/>
      <c r="E140" s="605"/>
      <c r="F140" s="607"/>
      <c r="G140" s="607"/>
      <c r="H140" s="607"/>
      <c r="I140" s="607"/>
      <c r="J140" s="607"/>
      <c r="K140" s="607"/>
      <c r="L140" s="607"/>
      <c r="M140" s="607"/>
    </row>
    <row r="147" spans="8:8">
      <c r="H147" s="457"/>
    </row>
  </sheetData>
  <mergeCells count="13">
    <mergeCell ref="L1:M1"/>
    <mergeCell ref="L2:M2"/>
    <mergeCell ref="L3:M3"/>
    <mergeCell ref="F7:G7"/>
    <mergeCell ref="L7:M7"/>
    <mergeCell ref="G13:M13"/>
    <mergeCell ref="B46:D46"/>
    <mergeCell ref="B12:B13"/>
    <mergeCell ref="C12:C13"/>
    <mergeCell ref="D12:D13"/>
    <mergeCell ref="E12:E13"/>
    <mergeCell ref="F12:F13"/>
    <mergeCell ref="B1:K3"/>
  </mergeCells>
  <printOptions horizontalCentered="1"/>
  <pageMargins left="0.590551181102362" right="0.590551181102362" top="0.708661417322835" bottom="0.590551181102362" header="0.31496062992126" footer="0.31496062992126"/>
  <pageSetup paperSize="9" fitToHeight="0" orientation="landscape" horizontalDpi="300" verticalDpi="300"/>
  <headerFooter>
    <oddHeader>&amp;L&amp;"-,常规"&amp;10南侨版本/修改号NC Edition/Rev.Code：A/0
吉好版本/修改号YY Edition/Rev.Code：A/0
&amp;R&amp;"-,常规"&amp;10记录标识/Identification Code:7.2 GYGZ/GHG.R015.02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7"/>
  <sheetViews>
    <sheetView tabSelected="1" zoomScale="85" zoomScaleNormal="85" zoomScaleSheetLayoutView="60" workbookViewId="0">
      <selection activeCell="C12" sqref="C12"/>
    </sheetView>
  </sheetViews>
  <sheetFormatPr defaultColWidth="9" defaultRowHeight="14.25" outlineLevelCol="2"/>
  <cols>
    <col min="1" max="1" width="9" style="608"/>
    <col min="2" max="2" width="36.6083333333333" style="608" customWidth="1"/>
    <col min="3" max="3" width="86.1666666666667" style="608" customWidth="1"/>
    <col min="6" max="16384" width="9" style="608"/>
  </cols>
  <sheetData>
    <row r="1" spans="1:3">
      <c r="A1" s="608" t="s">
        <v>147</v>
      </c>
      <c r="B1" s="608" t="s">
        <v>147</v>
      </c>
      <c r="C1" s="608" t="s">
        <v>148</v>
      </c>
    </row>
    <row r="2" spans="1:3">
      <c r="A2" s="608" t="s">
        <v>149</v>
      </c>
      <c r="B2" s="608" t="s">
        <v>150</v>
      </c>
      <c r="C2" s="608" t="s">
        <v>151</v>
      </c>
    </row>
    <row r="3" spans="1:3">
      <c r="A3" s="608" t="s">
        <v>152</v>
      </c>
      <c r="B3" s="608" t="s">
        <v>153</v>
      </c>
      <c r="C3" s="608" t="s">
        <v>154</v>
      </c>
    </row>
    <row r="4" spans="1:3">
      <c r="A4" s="608" t="s">
        <v>155</v>
      </c>
      <c r="B4" s="608" t="s">
        <v>156</v>
      </c>
      <c r="C4" s="608" t="s">
        <v>157</v>
      </c>
    </row>
    <row r="5" spans="1:3">
      <c r="A5" s="609" t="s">
        <v>158</v>
      </c>
      <c r="B5" s="608" t="s">
        <v>159</v>
      </c>
      <c r="C5" s="609">
        <v>45841</v>
      </c>
    </row>
    <row r="6" spans="1:3">
      <c r="A6" s="608" t="s">
        <v>160</v>
      </c>
      <c r="B6" s="608" t="s">
        <v>161</v>
      </c>
      <c r="C6" s="608" t="s">
        <v>162</v>
      </c>
    </row>
    <row r="7" spans="1:3">
      <c r="A7" s="608" t="s">
        <v>163</v>
      </c>
      <c r="B7" s="608" t="s">
        <v>164</v>
      </c>
      <c r="C7" s="608" t="s">
        <v>165</v>
      </c>
    </row>
    <row r="8" spans="1:3">
      <c r="A8" s="608" t="s">
        <v>166</v>
      </c>
      <c r="B8" s="608" t="s">
        <v>167</v>
      </c>
      <c r="C8" s="608" t="s">
        <v>168</v>
      </c>
    </row>
    <row r="9" spans="1:3">
      <c r="A9" s="609" t="s">
        <v>169</v>
      </c>
      <c r="B9" s="608" t="s">
        <v>170</v>
      </c>
      <c r="C9" s="609">
        <v>39150</v>
      </c>
    </row>
    <row r="10" spans="1:3">
      <c r="A10" s="608" t="s">
        <v>171</v>
      </c>
      <c r="B10" s="608" t="s">
        <v>172</v>
      </c>
      <c r="C10" s="608" t="s">
        <v>173</v>
      </c>
    </row>
    <row r="11" spans="1:3">
      <c r="A11" s="608" t="s">
        <v>174</v>
      </c>
      <c r="B11" s="608" t="s">
        <v>175</v>
      </c>
      <c r="C11" s="608" t="s">
        <v>173</v>
      </c>
    </row>
    <row r="12" ht="94.5" spans="1:3">
      <c r="A12" s="610" t="s">
        <v>176</v>
      </c>
      <c r="B12" s="608" t="s">
        <v>177</v>
      </c>
      <c r="C12" s="610" t="s">
        <v>178</v>
      </c>
    </row>
    <row r="13" ht="270" spans="1:3">
      <c r="A13" s="610" t="s">
        <v>179</v>
      </c>
      <c r="B13" s="608" t="s">
        <v>180</v>
      </c>
      <c r="C13" s="610" t="s">
        <v>181</v>
      </c>
    </row>
    <row r="14" spans="1:3">
      <c r="A14" s="608" t="s">
        <v>182</v>
      </c>
      <c r="B14" s="608" t="s">
        <v>183</v>
      </c>
      <c r="C14" s="608" t="s">
        <v>184</v>
      </c>
    </row>
    <row r="15" spans="1:3">
      <c r="A15" s="608" t="s">
        <v>185</v>
      </c>
      <c r="B15" s="608" t="s">
        <v>186</v>
      </c>
      <c r="C15" s="608" t="s">
        <v>187</v>
      </c>
    </row>
    <row r="16" spans="1:3">
      <c r="A16" s="608" t="s">
        <v>188</v>
      </c>
      <c r="B16" s="608" t="s">
        <v>189</v>
      </c>
      <c r="C16" s="608" t="s">
        <v>190</v>
      </c>
    </row>
    <row r="17" spans="2:3">
      <c r="B17" s="608" t="s">
        <v>191</v>
      </c>
      <c r="C17" s="608" t="s">
        <v>192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0"/>
  <sheetViews>
    <sheetView zoomScalePageLayoutView="130" workbookViewId="0">
      <selection activeCell="P7" sqref="P7"/>
    </sheetView>
  </sheetViews>
  <sheetFormatPr defaultColWidth="11" defaultRowHeight="12.75"/>
  <cols>
    <col min="1" max="1" width="3.375" style="456" customWidth="1"/>
    <col min="2" max="2" width="9.875" style="457" customWidth="1"/>
    <col min="3" max="3" width="22.625" style="457" customWidth="1"/>
    <col min="4" max="4" width="9.875" style="458" customWidth="1"/>
    <col min="5" max="5" width="31.5" style="457" customWidth="1"/>
    <col min="6" max="6" width="14.5" style="459" customWidth="1"/>
    <col min="7" max="7" width="10.25" style="459" customWidth="1"/>
    <col min="8" max="8" width="6.875" style="459" customWidth="1"/>
    <col min="9" max="9" width="8.625" style="459" customWidth="1"/>
    <col min="10" max="12" width="6.875" style="459" customWidth="1"/>
    <col min="13" max="13" width="7.5" style="459" customWidth="1"/>
    <col min="14" max="16384" width="11" style="457"/>
  </cols>
  <sheetData>
    <row r="1" ht="15" customHeight="1" spans="1:14">
      <c r="B1" s="460" t="s">
        <v>0</v>
      </c>
      <c r="C1" s="461"/>
      <c r="D1" s="461"/>
      <c r="E1" s="461"/>
      <c r="F1" s="461"/>
      <c r="G1" s="461"/>
      <c r="H1" s="461"/>
      <c r="I1" s="461"/>
      <c r="J1" s="461"/>
      <c r="K1" s="462"/>
      <c r="L1" s="463" t="s">
        <v>1</v>
      </c>
      <c r="M1" s="464"/>
    </row>
    <row r="2" ht="15" customHeight="1" spans="1:14">
      <c r="B2" s="465"/>
      <c r="C2" s="466"/>
      <c r="D2" s="466"/>
      <c r="E2" s="466"/>
      <c r="F2" s="466"/>
      <c r="G2" s="466"/>
      <c r="H2" s="466"/>
      <c r="I2" s="466"/>
      <c r="J2" s="466"/>
      <c r="K2" s="467"/>
      <c r="L2" s="468" t="s">
        <v>2</v>
      </c>
      <c r="M2" s="464"/>
    </row>
    <row r="3" ht="15" customHeight="1" spans="1:14">
      <c r="B3" s="469"/>
      <c r="C3" s="470"/>
      <c r="D3" s="470"/>
      <c r="E3" s="470"/>
      <c r="F3" s="470"/>
      <c r="G3" s="470"/>
      <c r="H3" s="470"/>
      <c r="I3" s="470"/>
      <c r="J3" s="470"/>
      <c r="K3" s="471"/>
      <c r="L3" s="472" t="s">
        <v>3</v>
      </c>
      <c r="M3" s="473"/>
    </row>
    <row r="4" s="450" customFormat="1" ht="25.15" customHeight="1" spans="1:14">
      <c r="A4" s="474"/>
      <c r="B4" s="475" t="s">
        <v>4</v>
      </c>
      <c r="C4" s="476" t="s">
        <v>5</v>
      </c>
      <c r="D4" s="477"/>
      <c r="E4" s="478"/>
      <c r="F4" s="479"/>
      <c r="G4" s="479"/>
      <c r="H4" s="479"/>
      <c r="I4" s="479"/>
      <c r="J4" s="479"/>
      <c r="K4" s="479"/>
      <c r="L4" s="479"/>
      <c r="M4" s="479"/>
    </row>
    <row r="5" s="450" customFormat="1" ht="25.15" customHeight="1" spans="1:14">
      <c r="A5" s="474"/>
      <c r="B5" s="480" t="s">
        <v>6</v>
      </c>
      <c r="C5" s="481" t="s">
        <v>7</v>
      </c>
      <c r="D5" s="482"/>
      <c r="E5" s="483"/>
      <c r="F5" s="484"/>
      <c r="G5" s="485"/>
      <c r="H5" s="485"/>
      <c r="I5" s="485"/>
      <c r="J5" s="485"/>
      <c r="K5" s="485"/>
      <c r="L5" s="485"/>
    </row>
    <row r="6" s="450" customFormat="1" ht="25.15" customHeight="1" spans="1:14">
      <c r="A6" s="474"/>
      <c r="B6" s="480" t="s">
        <v>8</v>
      </c>
      <c r="C6" s="486" t="s">
        <v>9</v>
      </c>
      <c r="D6" s="482"/>
      <c r="E6" s="485"/>
      <c r="F6" s="485"/>
      <c r="G6" s="485"/>
      <c r="H6" s="485"/>
      <c r="I6" s="485"/>
      <c r="J6" s="485"/>
      <c r="K6" s="485"/>
      <c r="L6" s="485"/>
    </row>
    <row r="7" s="451" customFormat="1" ht="25.15" customHeight="1" spans="1:14">
      <c r="A7" s="487"/>
      <c r="B7" s="488" t="s">
        <v>10</v>
      </c>
      <c r="C7" s="489"/>
      <c r="D7" s="490"/>
      <c r="E7" s="491" t="s">
        <v>11</v>
      </c>
      <c r="F7" s="492"/>
      <c r="G7" s="493"/>
      <c r="H7" s="494"/>
      <c r="I7" s="495"/>
      <c r="J7" s="496"/>
      <c r="K7" s="497" t="s">
        <v>12</v>
      </c>
      <c r="L7" s="492"/>
      <c r="M7" s="493"/>
    </row>
    <row r="8" s="451" customFormat="1" ht="25.15" customHeight="1" spans="1:14">
      <c r="A8" s="498"/>
      <c r="B8" s="499" t="s">
        <v>13</v>
      </c>
      <c r="C8" s="499" t="s">
        <v>14</v>
      </c>
      <c r="D8" s="500"/>
      <c r="E8" s="501" t="s">
        <v>15</v>
      </c>
      <c r="F8" s="502">
        <f>F14</f>
        <v>7122248.8339861</v>
      </c>
      <c r="G8" s="502"/>
      <c r="H8" s="503"/>
      <c r="I8" s="503"/>
      <c r="J8" s="504"/>
      <c r="K8" s="503" t="s">
        <v>16</v>
      </c>
      <c r="L8" s="503"/>
      <c r="M8" s="503"/>
      <c r="N8" s="505"/>
    </row>
    <row r="9" s="451" customFormat="1" ht="25.15" customHeight="1" spans="1:14">
      <c r="A9" s="487"/>
      <c r="B9" s="506"/>
      <c r="C9" s="507"/>
      <c r="D9" s="508"/>
      <c r="E9" s="501" t="s">
        <v>17</v>
      </c>
      <c r="F9" s="509">
        <f>F47</f>
        <v>1069378.747982</v>
      </c>
      <c r="G9" s="510"/>
      <c r="H9" s="511"/>
      <c r="I9" s="512"/>
      <c r="J9" s="513"/>
      <c r="K9" s="514"/>
      <c r="L9" s="515"/>
      <c r="M9" s="516"/>
    </row>
    <row r="10" s="450" customFormat="1" ht="25.15" customHeight="1" spans="1:14">
      <c r="A10" s="474"/>
      <c r="D10" s="517"/>
      <c r="E10" s="501" t="s">
        <v>18</v>
      </c>
      <c r="F10" s="509">
        <f>F48</f>
        <v>1161900.332352</v>
      </c>
      <c r="G10" s="518"/>
      <c r="H10" s="474"/>
      <c r="I10" s="474"/>
      <c r="J10" s="474"/>
      <c r="K10" s="474"/>
      <c r="L10" s="474"/>
      <c r="M10" s="474"/>
    </row>
    <row r="11" s="450" customFormat="1" ht="25.15" customHeight="1" spans="1:14">
      <c r="A11" s="474"/>
      <c r="B11" s="519" t="s">
        <v>19</v>
      </c>
      <c r="C11" s="520"/>
      <c r="D11" s="521"/>
      <c r="E11" s="501" t="s">
        <v>20</v>
      </c>
      <c r="F11" s="509">
        <f>SUM(F50,F76,F89,F101,F106,F113,F118,F124,F130,F139,F136)</f>
        <v>7332407.74543851</v>
      </c>
      <c r="G11" s="522"/>
      <c r="H11" s="512"/>
      <c r="I11" s="512"/>
      <c r="J11" s="512"/>
      <c r="K11" s="512"/>
      <c r="L11" s="512"/>
      <c r="M11" s="512"/>
    </row>
    <row r="12" s="450" customFormat="1" ht="25.15" customHeight="1" spans="1:14">
      <c r="A12" s="523"/>
      <c r="B12" s="524" t="s">
        <v>21</v>
      </c>
      <c r="C12" s="525" t="s">
        <v>22</v>
      </c>
      <c r="D12" s="526" t="s">
        <v>23</v>
      </c>
      <c r="E12" s="524" t="s">
        <v>24</v>
      </c>
      <c r="F12" s="527" t="s">
        <v>25</v>
      </c>
      <c r="G12" s="528" t="s">
        <v>26</v>
      </c>
      <c r="H12" s="529" t="s">
        <v>27</v>
      </c>
      <c r="I12" s="529" t="s">
        <v>28</v>
      </c>
      <c r="J12" s="529" t="s">
        <v>29</v>
      </c>
      <c r="K12" s="529" t="s">
        <v>30</v>
      </c>
      <c r="L12" s="529" t="s">
        <v>31</v>
      </c>
      <c r="M12" s="529" t="s">
        <v>32</v>
      </c>
      <c r="N12" s="530"/>
    </row>
    <row r="13" s="450" customFormat="1" ht="25.15" customHeight="1" spans="1:14">
      <c r="A13" s="523"/>
      <c r="B13" s="524"/>
      <c r="C13" s="525"/>
      <c r="D13" s="526"/>
      <c r="E13" s="524"/>
      <c r="F13" s="527"/>
      <c r="G13" s="529" t="s">
        <v>33</v>
      </c>
      <c r="H13" s="529"/>
      <c r="I13" s="529"/>
      <c r="J13" s="529"/>
      <c r="K13" s="529"/>
      <c r="L13" s="529"/>
      <c r="M13" s="529"/>
      <c r="N13" s="530"/>
    </row>
    <row r="14" s="451" customFormat="1" ht="25.15" customHeight="1" spans="1:14">
      <c r="A14" s="487"/>
      <c r="B14" s="531" t="s">
        <v>34</v>
      </c>
      <c r="C14" s="532"/>
      <c r="D14" s="533"/>
      <c r="E14" s="532"/>
      <c r="F14" s="534">
        <f t="shared" ref="F14:M14" si="0">F15+F24+F27+F33</f>
        <v>7122248.8339861</v>
      </c>
      <c r="G14" s="534">
        <f t="shared" si="0"/>
        <v>7086080.34512885</v>
      </c>
      <c r="H14" s="534">
        <f t="shared" si="0"/>
        <v>2569.68353485897</v>
      </c>
      <c r="I14" s="534">
        <f t="shared" si="0"/>
        <v>30422.615322387</v>
      </c>
      <c r="J14" s="534">
        <f t="shared" si="0"/>
        <v>717.03</v>
      </c>
      <c r="K14" s="534">
        <f t="shared" si="0"/>
        <v>0</v>
      </c>
      <c r="L14" s="534">
        <f t="shared" si="0"/>
        <v>2459.16</v>
      </c>
      <c r="M14" s="534">
        <f t="shared" si="0"/>
        <v>0</v>
      </c>
    </row>
    <row r="15" s="450" customFormat="1" ht="25.15" customHeight="1" spans="1:14">
      <c r="A15" s="474"/>
      <c r="B15" s="535">
        <v>1.1</v>
      </c>
      <c r="C15" s="536" t="s">
        <v>35</v>
      </c>
      <c r="D15" s="537"/>
      <c r="E15" s="538"/>
      <c r="F15" s="539">
        <f>SUM(G15:M15)</f>
        <v>7227644.23779006</v>
      </c>
      <c r="G15" s="540">
        <f>SUM(G16:G23)</f>
        <v>7195204.64033109</v>
      </c>
      <c r="H15" s="540">
        <f t="shared" ref="H15:M15" si="1">SUM(H16:H23)</f>
        <v>2083.9815849094</v>
      </c>
      <c r="I15" s="540">
        <f t="shared" si="1"/>
        <v>30355.6158740626</v>
      </c>
      <c r="J15" s="540">
        <f t="shared" si="1"/>
        <v>0</v>
      </c>
      <c r="K15" s="540">
        <f t="shared" si="1"/>
        <v>0</v>
      </c>
      <c r="L15" s="540">
        <f t="shared" si="1"/>
        <v>0</v>
      </c>
      <c r="M15" s="540">
        <f t="shared" si="1"/>
        <v>0</v>
      </c>
    </row>
    <row r="16" s="450" customFormat="1" ht="25.15" customHeight="1" spans="1:14">
      <c r="A16" s="474"/>
      <c r="B16" s="541" t="s">
        <v>36</v>
      </c>
      <c r="C16" s="542" t="str">
        <f>表1温室气体盘查表!C5</f>
        <v>天然气燃烧</v>
      </c>
      <c r="D16" s="542" t="str">
        <f>表1温室气体盘查表!D5</f>
        <v>热处理炉（加热炉）</v>
      </c>
      <c r="F16" s="543">
        <f>SUM(G16:M16)</f>
        <v>38881.7260826929</v>
      </c>
      <c r="G16" s="543">
        <f>表1温室气体盘查表!AE5</f>
        <v>38843.5057348041</v>
      </c>
      <c r="H16" s="543">
        <f>表1温室气体盘查表!AF5</f>
        <v>19.3178932263999</v>
      </c>
      <c r="I16" s="543">
        <f>表1温室气体盘查表!AG5</f>
        <v>18.9024546623913</v>
      </c>
      <c r="J16" s="543">
        <f>表1温室气体盘查表!AH5</f>
        <v>0</v>
      </c>
      <c r="K16" s="543">
        <f>表1温室气体盘查表!AI5</f>
        <v>0</v>
      </c>
      <c r="L16" s="543">
        <f>表1温室气体盘查表!AJ5</f>
        <v>0</v>
      </c>
      <c r="M16" s="543">
        <f>表1温室气体盘查表!AK5</f>
        <v>0</v>
      </c>
    </row>
    <row r="17" s="450" customFormat="1" ht="25.15" customHeight="1" spans="1:13">
      <c r="A17" s="474"/>
      <c r="B17" s="541" t="s">
        <v>37</v>
      </c>
      <c r="C17" s="542" t="str">
        <f>表1温室气体盘查表!C6</f>
        <v>液化石油气燃烧</v>
      </c>
      <c r="D17" s="542" t="str">
        <f>表1温室气体盘查表!D6</f>
        <v>冶钢宾馆</v>
      </c>
      <c r="F17" s="543">
        <f t="shared" ref="F17:F27" si="2">SUM(G17:M17)</f>
        <v>29.1623679258778</v>
      </c>
      <c r="G17" s="543">
        <f>表1温室气体盘查表!AE6</f>
        <v>29.13687892878</v>
      </c>
      <c r="H17" s="543">
        <f>表1温室气体盘查表!AF6</f>
        <v>0.01288302570702</v>
      </c>
      <c r="I17" s="543">
        <f>表1温室气体盘查表!AG6</f>
        <v>0.01260597139074</v>
      </c>
      <c r="J17" s="543">
        <f>表1温室气体盘查表!AH6</f>
        <v>0</v>
      </c>
      <c r="K17" s="543">
        <f>表1温室气体盘查表!AI6</f>
        <v>0</v>
      </c>
      <c r="L17" s="543">
        <f>表1温室气体盘查表!AJ6</f>
        <v>0</v>
      </c>
      <c r="M17" s="543">
        <f>表1温室气体盘查表!AK6</f>
        <v>0</v>
      </c>
    </row>
    <row r="18" s="450" customFormat="1" ht="25.15" customHeight="1" spans="1:13">
      <c r="A18" s="474"/>
      <c r="B18" s="541" t="s">
        <v>38</v>
      </c>
      <c r="C18" s="542" t="str">
        <f>表1温室气体盘查表!C7</f>
        <v>烟煤燃烧</v>
      </c>
      <c r="D18" s="542" t="str">
        <f>表1温室气体盘查表!D7</f>
        <v>高炉</v>
      </c>
      <c r="F18" s="543">
        <f t="shared" si="2"/>
        <v>925941.318843156</v>
      </c>
      <c r="G18" s="543">
        <f>表1温室气体盘查表!AE7</f>
        <v>921839.461463258</v>
      </c>
      <c r="H18" s="543">
        <f>表1温室气体盘查表!AF7</f>
        <v>261.641108594353</v>
      </c>
      <c r="I18" s="543">
        <f>表1温室气体盘查表!AG7</f>
        <v>3840.21627130421</v>
      </c>
      <c r="J18" s="543">
        <f>表1温室气体盘查表!AH7</f>
        <v>0</v>
      </c>
      <c r="K18" s="543">
        <f>表1温室气体盘查表!AI7</f>
        <v>0</v>
      </c>
      <c r="L18" s="543">
        <f>表1温室气体盘查表!AJ7</f>
        <v>0</v>
      </c>
      <c r="M18" s="543">
        <f>表1温室气体盘查表!AK7</f>
        <v>0</v>
      </c>
    </row>
    <row r="19" s="450" customFormat="1" ht="25.15" customHeight="1" spans="1:13">
      <c r="A19" s="474"/>
      <c r="B19" s="541" t="s">
        <v>39</v>
      </c>
      <c r="C19" s="542" t="str">
        <f>表1温室气体盘查表!C8</f>
        <v>无烟煤燃烧</v>
      </c>
      <c r="D19" s="542" t="str">
        <f>表1温室气体盘查表!D8</f>
        <v>高炉、烧结</v>
      </c>
      <c r="F19" s="543">
        <f t="shared" si="2"/>
        <v>637282.392059932</v>
      </c>
      <c r="G19" s="543">
        <f>表1温室气体盘查表!AE8</f>
        <v>634459.274190847</v>
      </c>
      <c r="H19" s="543">
        <f>表1温室气体盘查表!AF8</f>
        <v>180.075419633007</v>
      </c>
      <c r="I19" s="543">
        <f>表1温室气体盘查表!AG8</f>
        <v>2643.0424494522</v>
      </c>
      <c r="J19" s="543">
        <f>表1温室气体盘查表!AH8</f>
        <v>0</v>
      </c>
      <c r="K19" s="543">
        <f>表1温室气体盘查表!AI8</f>
        <v>0</v>
      </c>
      <c r="L19" s="543">
        <f>表1温室气体盘查表!AJ8</f>
        <v>0</v>
      </c>
      <c r="M19" s="543">
        <f>表1温室气体盘查表!AK8</f>
        <v>0</v>
      </c>
    </row>
    <row r="20" s="450" customFormat="1" ht="25.15" customHeight="1" spans="1:13">
      <c r="A20" s="474"/>
      <c r="B20" s="541" t="s">
        <v>40</v>
      </c>
      <c r="C20" s="542" t="str">
        <f>表1温室气体盘查表!C9</f>
        <v>洗精煤燃烧</v>
      </c>
      <c r="D20" s="542" t="str">
        <f>表1温室气体盘查表!D9</f>
        <v>焦炉</v>
      </c>
      <c r="F20" s="543">
        <f t="shared" si="2"/>
        <v>4824841.57343012</v>
      </c>
      <c r="G20" s="543">
        <f>表1温室气体盘查表!AE9</f>
        <v>4802635.7291602</v>
      </c>
      <c r="H20" s="543">
        <f>表1温室气体盘查表!AF9</f>
        <v>1416.42216536543</v>
      </c>
      <c r="I20" s="543">
        <f>表1温室气体盘查表!AG9</f>
        <v>20789.4221045571</v>
      </c>
      <c r="J20" s="543">
        <f>表1温室气体盘查表!AH9</f>
        <v>0</v>
      </c>
      <c r="K20" s="543">
        <f>表1温室气体盘查表!AI9</f>
        <v>0</v>
      </c>
      <c r="L20" s="543">
        <f>表1温室气体盘查表!AJ9</f>
        <v>0</v>
      </c>
      <c r="M20" s="543">
        <f>表1温室气体盘查表!AK9</f>
        <v>0</v>
      </c>
    </row>
    <row r="21" s="450" customFormat="1" ht="25.15" customHeight="1" spans="1:13">
      <c r="A21" s="474"/>
      <c r="B21" s="541" t="s">
        <v>41</v>
      </c>
      <c r="C21" s="542" t="str">
        <f>表1温室气体盘查表!C10</f>
        <v>焦炭燃烧</v>
      </c>
      <c r="D21" s="542" t="str">
        <f>表1温室气体盘查表!D10</f>
        <v>高炉</v>
      </c>
      <c r="F21" s="543">
        <f t="shared" si="2"/>
        <v>439843.844348532</v>
      </c>
      <c r="G21" s="543">
        <f>表1温室气体盘查表!AE10</f>
        <v>438053.14858041</v>
      </c>
      <c r="H21" s="543">
        <f>表1温室气体盘查表!AF10</f>
        <v>114.221335003677</v>
      </c>
      <c r="I21" s="543">
        <f>表1温室气体盘查表!AG10</f>
        <v>1676.47443311848</v>
      </c>
      <c r="J21" s="543">
        <f>表1温室气体盘查表!AH10</f>
        <v>0</v>
      </c>
      <c r="K21" s="543">
        <f>表1温室气体盘查表!AI10</f>
        <v>0</v>
      </c>
      <c r="L21" s="543">
        <f>表1温室气体盘查表!AJ10</f>
        <v>0</v>
      </c>
      <c r="M21" s="543">
        <f>表1温室气体盘查表!AK10</f>
        <v>0</v>
      </c>
    </row>
    <row r="22" s="450" customFormat="1" ht="25.15" customHeight="1" spans="1:13">
      <c r="A22" s="474"/>
      <c r="B22" s="541" t="s">
        <v>42</v>
      </c>
      <c r="C22" s="542" t="str">
        <f>表1温室气体盘查表!C11</f>
        <v>焦屑燃烧</v>
      </c>
      <c r="D22" s="542" t="str">
        <f>表1温室气体盘查表!D11</f>
        <v>烧结、高炉</v>
      </c>
      <c r="F22" s="543">
        <f t="shared" si="2"/>
        <v>364657.356140779</v>
      </c>
      <c r="G22" s="543">
        <f>表1温室气体盘查表!AE11</f>
        <v>363172.760203275</v>
      </c>
      <c r="H22" s="543">
        <f>表1温室气体盘查表!AF11</f>
        <v>94.6964486885175</v>
      </c>
      <c r="I22" s="543">
        <f>表1温室气体盘查表!AG11</f>
        <v>1389.89948881534</v>
      </c>
      <c r="J22" s="543">
        <f>表1温室气体盘查表!AH11</f>
        <v>0</v>
      </c>
      <c r="K22" s="543">
        <f>表1温室气体盘查表!AI11</f>
        <v>0</v>
      </c>
      <c r="L22" s="543">
        <f>表1温室气体盘查表!AJ11</f>
        <v>0</v>
      </c>
      <c r="M22" s="543">
        <f>表1温室气体盘查表!AK11</f>
        <v>0</v>
      </c>
    </row>
    <row r="23" s="450" customFormat="1" ht="25.15" customHeight="1" spans="1:13">
      <c r="A23" s="474"/>
      <c r="B23" s="541" t="s">
        <v>43</v>
      </c>
      <c r="C23" s="542" t="str">
        <f>表1温室气体盘查表!C12</f>
        <v>焦炉煤气燃烧</v>
      </c>
      <c r="D23" s="542" t="str">
        <f>表1温室气体盘查表!D12</f>
        <v>外售</v>
      </c>
      <c r="F23" s="543">
        <f t="shared" si="2"/>
        <v>-3833.13548307747</v>
      </c>
      <c r="G23" s="543">
        <f>表1温室气体盘查表!AE12</f>
        <v>-3828.37588063128</v>
      </c>
      <c r="H23" s="543">
        <f>表1温室气体盘查表!AF12</f>
        <v>-2.40566862769398</v>
      </c>
      <c r="I23" s="543">
        <f>表1温室气体盘查表!AG12</f>
        <v>-2.35393381849626</v>
      </c>
      <c r="J23" s="543">
        <f>表1温室气体盘查表!AH12</f>
        <v>0</v>
      </c>
      <c r="K23" s="543">
        <f>表1温室气体盘查表!AI12</f>
        <v>0</v>
      </c>
      <c r="L23" s="543">
        <f>表1温室气体盘查表!AJ12</f>
        <v>0</v>
      </c>
      <c r="M23" s="543">
        <f>表1温室气体盘查表!AK12</f>
        <v>0</v>
      </c>
    </row>
    <row r="24" s="450" customFormat="1" ht="25.15" customHeight="1" spans="1:13">
      <c r="A24" s="474"/>
      <c r="B24" s="544">
        <v>1.2</v>
      </c>
      <c r="C24" s="545" t="s">
        <v>44</v>
      </c>
      <c r="D24" s="546"/>
      <c r="E24" s="547"/>
      <c r="F24" s="539">
        <f t="shared" si="2"/>
        <v>4566.54272241503</v>
      </c>
      <c r="G24" s="540">
        <f>SUM(G25:G26)</f>
        <v>4491.71391914112</v>
      </c>
      <c r="H24" s="540">
        <f t="shared" ref="H24:M24" si="3">SUM(H25:H26)</f>
        <v>7.82935494957151</v>
      </c>
      <c r="I24" s="540">
        <f t="shared" si="3"/>
        <v>66.9994483243394</v>
      </c>
      <c r="J24" s="540">
        <f t="shared" si="3"/>
        <v>0</v>
      </c>
      <c r="K24" s="540">
        <f t="shared" si="3"/>
        <v>0</v>
      </c>
      <c r="L24" s="540">
        <f t="shared" si="3"/>
        <v>0</v>
      </c>
      <c r="M24" s="540">
        <f t="shared" si="3"/>
        <v>0</v>
      </c>
    </row>
    <row r="25" s="450" customFormat="1" ht="25.15" customHeight="1" spans="1:13">
      <c r="A25" s="474"/>
      <c r="B25" s="541" t="s">
        <v>45</v>
      </c>
      <c r="C25" s="548" t="str">
        <f>表1温室气体盘查表!C13</f>
        <v>0#柴油燃烧</v>
      </c>
      <c r="D25" s="542" t="str">
        <f>表1温室气体盘查表!D13</f>
        <v>场内运输</v>
      </c>
      <c r="F25" s="543">
        <f t="shared" si="2"/>
        <v>4417.07259862728</v>
      </c>
      <c r="G25" s="543">
        <f>表1温室气体盘查表!AE13</f>
        <v>4348.21067276232</v>
      </c>
      <c r="H25" s="543">
        <f>表1温室气体盘查表!AF13</f>
        <v>6.38500409316151</v>
      </c>
      <c r="I25" s="543">
        <f>表1温室气体盘查表!AG13</f>
        <v>62.4769217717954</v>
      </c>
      <c r="J25" s="543">
        <f>表1温室气体盘查表!AH13</f>
        <v>0</v>
      </c>
      <c r="K25" s="543">
        <f>表1温室气体盘查表!AI13</f>
        <v>0</v>
      </c>
      <c r="L25" s="543">
        <f>表1温室气体盘查表!AJ13</f>
        <v>0</v>
      </c>
      <c r="M25" s="543">
        <f>表1温室气体盘查表!AK13</f>
        <v>0</v>
      </c>
    </row>
    <row r="26" s="450" customFormat="1" ht="25.15" customHeight="1" spans="1:13">
      <c r="A26" s="474"/>
      <c r="B26" s="541" t="s">
        <v>46</v>
      </c>
      <c r="C26" s="548" t="str">
        <f>表1温室气体盘查表!C14</f>
        <v>92#汽油燃烧</v>
      </c>
      <c r="D26" s="542" t="str">
        <f>表1温室气体盘查表!D14</f>
        <v>公务车</v>
      </c>
      <c r="F26" s="543">
        <f t="shared" si="2"/>
        <v>149.470123787754</v>
      </c>
      <c r="G26" s="543">
        <f>表1温室气体盘查表!AE14</f>
        <v>143.5032463788</v>
      </c>
      <c r="H26" s="543">
        <f>表1温室气体盘查表!AF14</f>
        <v>1.44435085641</v>
      </c>
      <c r="I26" s="543">
        <f>表1温室气体盘查表!AG14</f>
        <v>4.522526552544</v>
      </c>
      <c r="J26" s="543">
        <f>表1温室气体盘查表!AH14</f>
        <v>0</v>
      </c>
      <c r="K26" s="543">
        <f>表1温室气体盘查表!AI14</f>
        <v>0</v>
      </c>
      <c r="L26" s="543">
        <f>表1温室气体盘查表!AJ14</f>
        <v>0</v>
      </c>
      <c r="M26" s="543">
        <f>表1温室气体盘查表!AK14</f>
        <v>0</v>
      </c>
    </row>
    <row r="27" s="450" customFormat="1" ht="25.15" customHeight="1" spans="1:13">
      <c r="A27" s="474"/>
      <c r="B27" s="544">
        <v>1.3</v>
      </c>
      <c r="C27" s="545" t="s">
        <v>47</v>
      </c>
      <c r="D27" s="546"/>
      <c r="E27" s="547"/>
      <c r="F27" s="539">
        <f t="shared" si="2"/>
        <v>3654.722595</v>
      </c>
      <c r="G27" s="539">
        <f t="shared" ref="G27:M27" si="4">SUM(G28:G32)</f>
        <v>0.66</v>
      </c>
      <c r="H27" s="539">
        <f t="shared" si="4"/>
        <v>477.872595</v>
      </c>
      <c r="I27" s="539">
        <f t="shared" si="4"/>
        <v>0</v>
      </c>
      <c r="J27" s="539">
        <f t="shared" si="4"/>
        <v>717.03</v>
      </c>
      <c r="K27" s="539">
        <f t="shared" si="4"/>
        <v>0</v>
      </c>
      <c r="L27" s="539">
        <f t="shared" si="4"/>
        <v>2459.16</v>
      </c>
      <c r="M27" s="539">
        <f t="shared" si="4"/>
        <v>0</v>
      </c>
    </row>
    <row r="28" s="450" customFormat="1" ht="25.15" customHeight="1" spans="1:13">
      <c r="A28" s="474"/>
      <c r="B28" s="541" t="s">
        <v>48</v>
      </c>
      <c r="C28" s="542" t="str">
        <f>表1温室气体盘查表!C15</f>
        <v>制冷剂逸散（R32）</v>
      </c>
      <c r="D28" s="542" t="str">
        <f>表1温室气体盘查表!D15</f>
        <v>分体式空调</v>
      </c>
      <c r="F28" s="543">
        <f t="shared" ref="F28:F34" si="5">SUM(G28:M28)</f>
        <v>717.03</v>
      </c>
      <c r="G28" s="543">
        <f>表1温室气体盘查表!AE15</f>
        <v>0</v>
      </c>
      <c r="H28" s="543">
        <f>表1温室气体盘查表!AF15</f>
        <v>0</v>
      </c>
      <c r="I28" s="543">
        <f>表1温室气体盘查表!AG15</f>
        <v>0</v>
      </c>
      <c r="J28" s="543">
        <f>表1温室气体盘查表!AH15</f>
        <v>717.03</v>
      </c>
      <c r="K28" s="543">
        <f>表1温室气体盘查表!AI15</f>
        <v>0</v>
      </c>
      <c r="L28" s="543">
        <f>表1温室气体盘查表!AJ15</f>
        <v>0</v>
      </c>
      <c r="M28" s="543">
        <f>表1温室气体盘查表!AK15</f>
        <v>0</v>
      </c>
    </row>
    <row r="29" s="450" customFormat="1" ht="25.15" customHeight="1" spans="1:13">
      <c r="A29" s="474"/>
      <c r="B29" s="541" t="s">
        <v>49</v>
      </c>
      <c r="C29" s="542" t="str">
        <f>表1温室气体盘查表!C16</f>
        <v>CO2逸散</v>
      </c>
      <c r="D29" s="542" t="str">
        <f>表1温室气体盘查表!D16</f>
        <v>二氧化碳灭火器</v>
      </c>
      <c r="F29" s="543">
        <f t="shared" si="5"/>
        <v>0.66</v>
      </c>
      <c r="G29" s="543">
        <f>表1温室气体盘查表!AE16</f>
        <v>0.66</v>
      </c>
      <c r="H29" s="543">
        <f>表1温室气体盘查表!AF16</f>
        <v>0</v>
      </c>
      <c r="I29" s="543">
        <f>表1温室气体盘查表!AG16</f>
        <v>0</v>
      </c>
      <c r="J29" s="543">
        <f>表1温室气体盘查表!AH16</f>
        <v>0</v>
      </c>
      <c r="K29" s="543">
        <f>表1温室气体盘查表!AI16</f>
        <v>0</v>
      </c>
      <c r="L29" s="543">
        <f>表1温室气体盘查表!AJ16</f>
        <v>0</v>
      </c>
      <c r="M29" s="543">
        <f>表1温室气体盘查表!AK16</f>
        <v>0</v>
      </c>
    </row>
    <row r="30" s="450" customFormat="1" ht="25.15" customHeight="1" spans="1:13">
      <c r="A30" s="474"/>
      <c r="B30" s="541" t="s">
        <v>50</v>
      </c>
      <c r="C30" s="542" t="str">
        <f>表1温室气体盘查表!C17</f>
        <v>CH4逸散</v>
      </c>
      <c r="D30" s="542" t="str">
        <f>表1温室气体盘查表!D17</f>
        <v>化粪池</v>
      </c>
      <c r="F30" s="543">
        <f t="shared" si="5"/>
        <v>112.29192</v>
      </c>
      <c r="G30" s="543">
        <f>表1温室气体盘查表!AE17</f>
        <v>0</v>
      </c>
      <c r="H30" s="543">
        <f>表1温室气体盘查表!AF17</f>
        <v>112.29192</v>
      </c>
      <c r="I30" s="543">
        <f>表1温室气体盘查表!AG17</f>
        <v>0</v>
      </c>
      <c r="J30" s="543">
        <f>表1温室气体盘查表!AH17</f>
        <v>0</v>
      </c>
      <c r="K30" s="543">
        <f>表1温室气体盘查表!AI17</f>
        <v>0</v>
      </c>
      <c r="L30" s="543">
        <f>表1温室气体盘查表!AJ17</f>
        <v>0</v>
      </c>
      <c r="M30" s="543">
        <f>表1温室气体盘查表!AK17</f>
        <v>0</v>
      </c>
    </row>
    <row r="31" s="450" customFormat="1" ht="25.15" customHeight="1" spans="1:13">
      <c r="A31" s="474"/>
      <c r="B31" s="541" t="s">
        <v>51</v>
      </c>
      <c r="C31" s="542" t="str">
        <f>表1温室气体盘查表!C18</f>
        <v>CH4逸散</v>
      </c>
      <c r="D31" s="542" t="str">
        <f>表1温室气体盘查表!D18</f>
        <v>耗氧池</v>
      </c>
      <c r="F31" s="543">
        <f t="shared" si="5"/>
        <v>365.580675</v>
      </c>
      <c r="G31" s="543">
        <f>表1温室气体盘查表!AE18</f>
        <v>0</v>
      </c>
      <c r="H31" s="543">
        <f>表1温室气体盘查表!AF18</f>
        <v>365.580675</v>
      </c>
      <c r="I31" s="543">
        <f>表1温室气体盘查表!AG18</f>
        <v>0</v>
      </c>
      <c r="J31" s="543">
        <f>表1温室气体盘查表!AH18</f>
        <v>0</v>
      </c>
      <c r="K31" s="543">
        <f>表1温室气体盘查表!AI18</f>
        <v>0</v>
      </c>
      <c r="L31" s="543">
        <f>表1温室气体盘查表!AJ18</f>
        <v>0</v>
      </c>
      <c r="M31" s="543">
        <f>表1温室气体盘查表!AK18</f>
        <v>0</v>
      </c>
    </row>
    <row r="32" s="450" customFormat="1" ht="25.15" customHeight="1" spans="1:13">
      <c r="A32" s="474"/>
      <c r="B32" s="541" t="s">
        <v>52</v>
      </c>
      <c r="C32" s="542" t="str">
        <f>表1温室气体盘查表!C19</f>
        <v>SF6逸散</v>
      </c>
      <c r="D32" s="542" t="str">
        <f>表1温室气体盘查表!D19</f>
        <v>高压开关</v>
      </c>
      <c r="F32" s="543">
        <f t="shared" si="5"/>
        <v>2459.16</v>
      </c>
      <c r="G32" s="543">
        <f>表1温室气体盘查表!AE19</f>
        <v>0</v>
      </c>
      <c r="H32" s="543">
        <f>表1温室气体盘查表!AF19</f>
        <v>0</v>
      </c>
      <c r="I32" s="543">
        <f>表1温室气体盘查表!AG19</f>
        <v>0</v>
      </c>
      <c r="J32" s="543">
        <f>表1温室气体盘查表!AH19</f>
        <v>0</v>
      </c>
      <c r="K32" s="543">
        <f>表1温室气体盘查表!AI19</f>
        <v>0</v>
      </c>
      <c r="L32" s="543">
        <f>表1温室气体盘查表!AJ19</f>
        <v>2459.16</v>
      </c>
      <c r="M32" s="543">
        <f>表1温室气体盘查表!AK19</f>
        <v>0</v>
      </c>
    </row>
    <row r="33" s="450" customFormat="1" ht="25.15" customHeight="1" spans="1:14">
      <c r="A33" s="474"/>
      <c r="B33" s="544">
        <v>1.4</v>
      </c>
      <c r="C33" s="545" t="s">
        <v>53</v>
      </c>
      <c r="D33" s="546"/>
      <c r="E33" s="547"/>
      <c r="F33" s="539">
        <f t="shared" si="5"/>
        <v>-113616.669121381</v>
      </c>
      <c r="G33" s="539">
        <f t="shared" ref="G33:M33" si="6">SUM(G34:G45)</f>
        <v>-113616.669121381</v>
      </c>
      <c r="H33" s="539">
        <f t="shared" si="6"/>
        <v>0</v>
      </c>
      <c r="I33" s="539">
        <f t="shared" si="6"/>
        <v>0</v>
      </c>
      <c r="J33" s="539">
        <f t="shared" si="6"/>
        <v>0</v>
      </c>
      <c r="K33" s="539">
        <f t="shared" si="6"/>
        <v>0</v>
      </c>
      <c r="L33" s="539">
        <f t="shared" si="6"/>
        <v>0</v>
      </c>
      <c r="M33" s="539">
        <f t="shared" si="6"/>
        <v>0</v>
      </c>
    </row>
    <row r="34" s="450" customFormat="1" ht="25.15" customHeight="1" spans="1:14">
      <c r="A34" s="474"/>
      <c r="B34" s="541" t="s">
        <v>54</v>
      </c>
      <c r="C34" s="542" t="str">
        <f>表1温室气体盘查表!C20</f>
        <v>石灰石</v>
      </c>
      <c r="D34" s="542" t="str">
        <f>表1温室气体盘查表!D20</f>
        <v>石灰窑</v>
      </c>
      <c r="F34" s="543">
        <f t="shared" si="5"/>
        <v>8520.9388</v>
      </c>
      <c r="G34" s="543">
        <f>表1温室气体盘查表!AE20</f>
        <v>8520.9388</v>
      </c>
      <c r="H34" s="543">
        <f>表1温室气体盘查表!AF20</f>
        <v>0</v>
      </c>
      <c r="I34" s="543">
        <f>表1温室气体盘查表!AG20</f>
        <v>0</v>
      </c>
      <c r="J34" s="543">
        <f>表1温室气体盘查表!AH20</f>
        <v>0</v>
      </c>
      <c r="K34" s="543">
        <f>表1温室气体盘查表!AI20</f>
        <v>0</v>
      </c>
      <c r="L34" s="543">
        <f>表1温室气体盘查表!AJ20</f>
        <v>0</v>
      </c>
      <c r="M34" s="543">
        <f>表1温室气体盘查表!AK20</f>
        <v>0</v>
      </c>
    </row>
    <row r="35" s="450" customFormat="1" ht="25.15" customHeight="1" spans="1:14">
      <c r="A35" s="474"/>
      <c r="B35" s="541" t="s">
        <v>55</v>
      </c>
      <c r="C35" s="542" t="str">
        <f>表1温室气体盘查表!C21</f>
        <v>白云石</v>
      </c>
      <c r="D35" s="542" t="str">
        <f>表1温室气体盘查表!D21</f>
        <v>高炉</v>
      </c>
      <c r="F35" s="543">
        <f t="shared" ref="F35:F45" si="7">SUM(G35:M35)</f>
        <v>169593.74964</v>
      </c>
      <c r="G35" s="543">
        <f>表1温室气体盘查表!AE21</f>
        <v>169593.74964</v>
      </c>
      <c r="H35" s="543">
        <f>表1温室气体盘查表!AF21</f>
        <v>0</v>
      </c>
      <c r="I35" s="543">
        <f>表1温室气体盘查表!AG21</f>
        <v>0</v>
      </c>
      <c r="J35" s="543">
        <f>表1温室气体盘查表!AH21</f>
        <v>0</v>
      </c>
      <c r="K35" s="543">
        <f>表1温室气体盘查表!AI21</f>
        <v>0</v>
      </c>
      <c r="L35" s="543">
        <f>表1温室气体盘查表!AJ21</f>
        <v>0</v>
      </c>
      <c r="M35" s="543">
        <f>表1温室气体盘查表!AK21</f>
        <v>0</v>
      </c>
    </row>
    <row r="36" s="450" customFormat="1" ht="25.15" customHeight="1" spans="1:14">
      <c r="A36" s="474"/>
      <c r="B36" s="541" t="s">
        <v>56</v>
      </c>
      <c r="C36" s="542" t="str">
        <f>表1温室气体盘查表!C22</f>
        <v>电极</v>
      </c>
      <c r="D36" s="542" t="str">
        <f>表1温室气体盘查表!D22</f>
        <v>炼钢</v>
      </c>
      <c r="F36" s="543">
        <f t="shared" si="7"/>
        <v>17447.12541</v>
      </c>
      <c r="G36" s="543">
        <f>表1温室气体盘查表!AE22</f>
        <v>17447.12541</v>
      </c>
      <c r="H36" s="543">
        <f>表1温室气体盘查表!AF22</f>
        <v>0</v>
      </c>
      <c r="I36" s="543">
        <f>表1温室气体盘查表!AG22</f>
        <v>0</v>
      </c>
      <c r="J36" s="543">
        <f>表1温室气体盘查表!AH22</f>
        <v>0</v>
      </c>
      <c r="K36" s="543">
        <f>表1温室气体盘查表!AI22</f>
        <v>0</v>
      </c>
      <c r="L36" s="543">
        <f>表1温室气体盘查表!AJ22</f>
        <v>0</v>
      </c>
      <c r="M36" s="543">
        <f>表1温室气体盘查表!AK22</f>
        <v>0</v>
      </c>
    </row>
    <row r="37" s="450" customFormat="1" ht="25.15" customHeight="1" spans="1:14">
      <c r="A37" s="474"/>
      <c r="B37" s="541" t="s">
        <v>57</v>
      </c>
      <c r="C37" s="542" t="str">
        <f>表1温室气体盘查表!C23</f>
        <v>废钢</v>
      </c>
      <c r="D37" s="542" t="str">
        <f>表1温室气体盘查表!D23</f>
        <v>炼钢</v>
      </c>
      <c r="F37" s="543">
        <f t="shared" si="7"/>
        <v>39875.7377946186</v>
      </c>
      <c r="G37" s="543">
        <f>表1温室气体盘查表!AE23</f>
        <v>39875.7377946186</v>
      </c>
      <c r="H37" s="543">
        <f>表1温室气体盘查表!AF23</f>
        <v>0</v>
      </c>
      <c r="I37" s="543">
        <f>表1温室气体盘查表!AG23</f>
        <v>0</v>
      </c>
      <c r="J37" s="543">
        <f>表1温室气体盘查表!AH23</f>
        <v>0</v>
      </c>
      <c r="K37" s="543">
        <f>表1温室气体盘查表!AI23</f>
        <v>0</v>
      </c>
      <c r="L37" s="543">
        <f>表1温室气体盘查表!AJ23</f>
        <v>0</v>
      </c>
      <c r="M37" s="543">
        <f>表1温室气体盘查表!AK23</f>
        <v>0</v>
      </c>
    </row>
    <row r="38" s="450" customFormat="1" ht="25.15" customHeight="1" spans="1:14">
      <c r="A38" s="474"/>
      <c r="B38" s="541" t="s">
        <v>58</v>
      </c>
      <c r="C38" s="542" t="str">
        <f>表1温室气体盘查表!C24</f>
        <v>锰铁</v>
      </c>
      <c r="D38" s="542" t="str">
        <f>表1温室气体盘查表!D24</f>
        <v>炼钢</v>
      </c>
      <c r="F38" s="543">
        <f t="shared" si="7"/>
        <v>13114.101</v>
      </c>
      <c r="G38" s="543">
        <f>表1温室气体盘查表!AE24</f>
        <v>13114.101</v>
      </c>
      <c r="H38" s="543">
        <f>表1温室气体盘查表!AF24</f>
        <v>0</v>
      </c>
      <c r="I38" s="543">
        <f>表1温室气体盘查表!AG24</f>
        <v>0</v>
      </c>
      <c r="J38" s="543">
        <f>表1温室气体盘查表!AH24</f>
        <v>0</v>
      </c>
      <c r="K38" s="543">
        <f>表1温室气体盘查表!AI24</f>
        <v>0</v>
      </c>
      <c r="L38" s="543">
        <f>表1温室气体盘查表!AJ24</f>
        <v>0</v>
      </c>
      <c r="M38" s="543">
        <f>表1温室气体盘查表!AK24</f>
        <v>0</v>
      </c>
    </row>
    <row r="39" s="450" customFormat="1" ht="25.15" customHeight="1" spans="1:14">
      <c r="A39" s="474"/>
      <c r="B39" s="541" t="s">
        <v>59</v>
      </c>
      <c r="C39" s="542" t="str">
        <f>表1温室气体盘查表!C25</f>
        <v>镍铁</v>
      </c>
      <c r="D39" s="542" t="str">
        <f>表1温室气体盘查表!D25</f>
        <v>炼钢</v>
      </c>
      <c r="F39" s="543">
        <f t="shared" si="7"/>
        <v>349.46907</v>
      </c>
      <c r="G39" s="543">
        <f>表1温室气体盘查表!AE25</f>
        <v>349.46907</v>
      </c>
      <c r="H39" s="543">
        <f>表1温室气体盘查表!AF25</f>
        <v>0</v>
      </c>
      <c r="I39" s="543">
        <f>表1温室气体盘查表!AG25</f>
        <v>0</v>
      </c>
      <c r="J39" s="543">
        <f>表1温室气体盘查表!AH25</f>
        <v>0</v>
      </c>
      <c r="K39" s="543">
        <f>表1温室气体盘查表!AI25</f>
        <v>0</v>
      </c>
      <c r="L39" s="543">
        <f>表1温室气体盘查表!AJ25</f>
        <v>0</v>
      </c>
      <c r="M39" s="543">
        <f>表1温室气体盘查表!AK25</f>
        <v>0</v>
      </c>
    </row>
    <row r="40" s="450" customFormat="1" ht="25.15" customHeight="1" spans="1:14">
      <c r="A40" s="474"/>
      <c r="B40" s="541" t="s">
        <v>60</v>
      </c>
      <c r="C40" s="542" t="str">
        <f>表1温室气体盘查表!C26</f>
        <v>铬铁</v>
      </c>
      <c r="D40" s="542" t="str">
        <f>表1温室气体盘查表!D26</f>
        <v>炼钢</v>
      </c>
      <c r="F40" s="543">
        <f t="shared" si="7"/>
        <v>22918.907292</v>
      </c>
      <c r="G40" s="543">
        <f>表1温室气体盘查表!AE26</f>
        <v>22918.907292</v>
      </c>
      <c r="H40" s="543">
        <f>表1温室气体盘查表!AF26</f>
        <v>0</v>
      </c>
      <c r="I40" s="543">
        <f>表1温室气体盘查表!AG26</f>
        <v>0</v>
      </c>
      <c r="J40" s="543">
        <f>表1温室气体盘查表!AH26</f>
        <v>0</v>
      </c>
      <c r="K40" s="543">
        <f>表1温室气体盘查表!AI26</f>
        <v>0</v>
      </c>
      <c r="L40" s="543">
        <f>表1温室气体盘查表!AJ26</f>
        <v>0</v>
      </c>
      <c r="M40" s="543">
        <f>表1温室气体盘查表!AK26</f>
        <v>0</v>
      </c>
    </row>
    <row r="41" s="450" customFormat="1" ht="25.15" customHeight="1" spans="1:14">
      <c r="A41" s="474"/>
      <c r="B41" s="541" t="s">
        <v>61</v>
      </c>
      <c r="C41" s="542" t="str">
        <f>表1温室气体盘查表!C27</f>
        <v>硅铁</v>
      </c>
      <c r="D41" s="542" t="str">
        <f>表1温室气体盘查表!D27</f>
        <v>炼钢</v>
      </c>
      <c r="F41" s="543">
        <f t="shared" si="7"/>
        <v>74.70736</v>
      </c>
      <c r="G41" s="543">
        <f>表1温室气体盘查表!AE27</f>
        <v>74.70736</v>
      </c>
      <c r="H41" s="543">
        <f>表1温室气体盘查表!AF27</f>
        <v>0</v>
      </c>
      <c r="I41" s="543">
        <f>表1温室气体盘查表!AG27</f>
        <v>0</v>
      </c>
      <c r="J41" s="543">
        <f>表1温室气体盘查表!AH27</f>
        <v>0</v>
      </c>
      <c r="K41" s="543">
        <f>表1温室气体盘查表!AI27</f>
        <v>0</v>
      </c>
      <c r="L41" s="543">
        <f>表1温室气体盘查表!AJ27</f>
        <v>0</v>
      </c>
      <c r="M41" s="543">
        <f>表1温室气体盘查表!AK27</f>
        <v>0</v>
      </c>
    </row>
    <row r="42" s="450" customFormat="1" ht="25.15" customHeight="1" spans="1:14">
      <c r="A42" s="474"/>
      <c r="B42" s="541" t="s">
        <v>62</v>
      </c>
      <c r="C42" s="542" t="str">
        <f>表1温室气体盘查表!C28</f>
        <v>钼铁</v>
      </c>
      <c r="D42" s="542" t="str">
        <f>表1温室气体盘查表!D28</f>
        <v>炼钢</v>
      </c>
      <c r="F42" s="543">
        <f t="shared" si="7"/>
        <v>143.012952</v>
      </c>
      <c r="G42" s="543">
        <f>表1温室气体盘查表!AE28</f>
        <v>143.012952</v>
      </c>
      <c r="H42" s="543">
        <f>表1温室气体盘查表!AF28</f>
        <v>0</v>
      </c>
      <c r="I42" s="543">
        <f>表1温室气体盘查表!AG28</f>
        <v>0</v>
      </c>
      <c r="J42" s="543">
        <f>表1温室气体盘查表!AH28</f>
        <v>0</v>
      </c>
      <c r="K42" s="543">
        <f>表1温室气体盘查表!AI28</f>
        <v>0</v>
      </c>
      <c r="L42" s="543">
        <f>表1温室气体盘查表!AJ28</f>
        <v>0</v>
      </c>
      <c r="M42" s="543">
        <f>表1温室气体盘查表!AK28</f>
        <v>0</v>
      </c>
    </row>
    <row r="43" s="450" customFormat="1" ht="25.15" customHeight="1" spans="1:14">
      <c r="A43" s="474"/>
      <c r="B43" s="541" t="s">
        <v>63</v>
      </c>
      <c r="C43" s="542" t="str">
        <f>表1温室气体盘查表!C29</f>
        <v>钢坯</v>
      </c>
      <c r="D43" s="542" t="str">
        <f>表1温室气体盘查表!D29</f>
        <v>固碳产品</v>
      </c>
      <c r="F43" s="543">
        <f t="shared" si="7"/>
        <v>-160314.41178</v>
      </c>
      <c r="G43" s="543">
        <f>表1温室气体盘查表!AE29</f>
        <v>-160314.41178</v>
      </c>
      <c r="H43" s="543">
        <f>表1温室气体盘查表!AF29</f>
        <v>0</v>
      </c>
      <c r="I43" s="543">
        <f>表1温室气体盘查表!AG29</f>
        <v>0</v>
      </c>
      <c r="J43" s="543">
        <f>表1温室气体盘查表!AH29</f>
        <v>0</v>
      </c>
      <c r="K43" s="543">
        <f>表1温室气体盘查表!AI29</f>
        <v>0</v>
      </c>
      <c r="L43" s="543">
        <f>表1温室气体盘查表!AJ29</f>
        <v>0</v>
      </c>
      <c r="M43" s="543">
        <f>表1温室气体盘查表!AK29</f>
        <v>0</v>
      </c>
    </row>
    <row r="44" s="450" customFormat="1" ht="25.15" customHeight="1" spans="1:14">
      <c r="A44" s="474"/>
      <c r="B44" s="541" t="s">
        <v>64</v>
      </c>
      <c r="C44" s="542" t="str">
        <f>表1温室气体盘查表!C30</f>
        <v>粗苯</v>
      </c>
      <c r="D44" s="542" t="str">
        <f>表1温室气体盘查表!D30</f>
        <v>外售</v>
      </c>
      <c r="F44" s="543">
        <f t="shared" si="7"/>
        <v>-65952.99076</v>
      </c>
      <c r="G44" s="543">
        <f>表1温室气体盘查表!AE30</f>
        <v>-65952.99076</v>
      </c>
      <c r="H44" s="543">
        <f>表1温室气体盘查表!AF30</f>
        <v>0</v>
      </c>
      <c r="I44" s="543">
        <f>表1温室气体盘查表!AG30</f>
        <v>0</v>
      </c>
      <c r="J44" s="543">
        <f>表1温室气体盘查表!AH30</f>
        <v>0</v>
      </c>
      <c r="K44" s="543">
        <f>表1温室气体盘查表!AI30</f>
        <v>0</v>
      </c>
      <c r="L44" s="543">
        <f>表1温室气体盘查表!AJ30</f>
        <v>0</v>
      </c>
      <c r="M44" s="543">
        <f>表1温室气体盘查表!AK30</f>
        <v>0</v>
      </c>
    </row>
    <row r="45" s="450" customFormat="1" ht="25.15" customHeight="1" spans="1:14">
      <c r="A45" s="474"/>
      <c r="B45" s="541" t="s">
        <v>65</v>
      </c>
      <c r="C45" s="542" t="str">
        <f>表1温室气体盘查表!C31</f>
        <v>煤焦油</v>
      </c>
      <c r="D45" s="542" t="str">
        <f>表1温室气体盘查表!D31</f>
        <v>危废处置</v>
      </c>
      <c r="F45" s="543">
        <f t="shared" si="7"/>
        <v>-159387.0159</v>
      </c>
      <c r="G45" s="543">
        <f>表1温室气体盘查表!AE31</f>
        <v>-159387.0159</v>
      </c>
      <c r="H45" s="543">
        <f>表1温室气体盘查表!AF31</f>
        <v>0</v>
      </c>
      <c r="I45" s="543">
        <f>表1温室气体盘查表!AG31</f>
        <v>0</v>
      </c>
      <c r="J45" s="543">
        <f>表1温室气体盘查表!AH31</f>
        <v>0</v>
      </c>
      <c r="K45" s="543">
        <f>表1温室气体盘查表!AI31</f>
        <v>0</v>
      </c>
      <c r="L45" s="543">
        <f>表1温室气体盘查表!AJ31</f>
        <v>0</v>
      </c>
      <c r="M45" s="543">
        <f>表1温室气体盘查表!AK31</f>
        <v>0</v>
      </c>
    </row>
    <row r="46" s="450" customFormat="1" ht="25.15" customHeight="1" spans="1:14">
      <c r="A46" s="474"/>
      <c r="B46" s="549" t="s">
        <v>66</v>
      </c>
      <c r="C46" s="550"/>
      <c r="D46" s="551"/>
      <c r="E46" s="552"/>
      <c r="F46" s="553"/>
      <c r="G46" s="553"/>
      <c r="H46" s="553"/>
      <c r="I46" s="553"/>
      <c r="J46" s="553"/>
      <c r="K46" s="553"/>
      <c r="L46" s="553"/>
      <c r="M46" s="553"/>
    </row>
    <row r="47" s="450" customFormat="1" ht="25.15" customHeight="1" spans="1:14">
      <c r="A47" s="474"/>
      <c r="B47" s="554">
        <v>2.1</v>
      </c>
      <c r="C47" s="542" t="str">
        <f>表1温室气体盘查表!C32</f>
        <v>外购电力（基于位置）</v>
      </c>
      <c r="D47" s="542" t="str">
        <f>表1温室气体盘查表!D32</f>
        <v>用电设备</v>
      </c>
      <c r="E47" s="555"/>
      <c r="F47" s="543">
        <f>SUM(G47:M47)</f>
        <v>1069378.747982</v>
      </c>
      <c r="G47" s="556">
        <f>表1温室气体盘查表!AE32</f>
        <v>1069378.747982</v>
      </c>
      <c r="H47" s="556">
        <f>表1温室气体盘查表!AF32</f>
        <v>0</v>
      </c>
      <c r="I47" s="556">
        <f>表1温室气体盘查表!AG32</f>
        <v>0</v>
      </c>
      <c r="J47" s="556">
        <f>表1温室气体盘查表!AH32</f>
        <v>0</v>
      </c>
      <c r="K47" s="556">
        <f>表1温室气体盘查表!AI32</f>
        <v>0</v>
      </c>
      <c r="L47" s="556">
        <f>表1温室气体盘查表!AJ32</f>
        <v>0</v>
      </c>
      <c r="M47" s="556">
        <f>表1温室气体盘查表!AK32</f>
        <v>0</v>
      </c>
    </row>
    <row r="48" s="450" customFormat="1" ht="25.15" customHeight="1" spans="1:14">
      <c r="A48" s="523"/>
      <c r="B48" s="554">
        <v>2.2</v>
      </c>
      <c r="C48" s="542" t="str">
        <f>表1温室气体盘查表!C33</f>
        <v>外购电力（基于市场）</v>
      </c>
      <c r="D48" s="542" t="str">
        <f>表1温室气体盘查表!D33</f>
        <v>用电设备</v>
      </c>
      <c r="E48" s="557"/>
      <c r="F48" s="543">
        <f>SUM(G48:M48)</f>
        <v>1161900.332352</v>
      </c>
      <c r="G48" s="556">
        <f>表1温室气体盘查表!AE33</f>
        <v>1161900.332352</v>
      </c>
      <c r="H48" s="556">
        <f>表1温室气体盘查表!AF33</f>
        <v>0</v>
      </c>
      <c r="I48" s="556">
        <f>表1温室气体盘查表!AG33</f>
        <v>0</v>
      </c>
      <c r="J48" s="556">
        <f>表1温室气体盘查表!AH33</f>
        <v>0</v>
      </c>
      <c r="K48" s="556">
        <f>表1温室气体盘查表!AI33</f>
        <v>0</v>
      </c>
      <c r="L48" s="556">
        <f>表1温室气体盘查表!AJ33</f>
        <v>0</v>
      </c>
      <c r="M48" s="556">
        <f>表1温室气体盘查表!AK33</f>
        <v>0</v>
      </c>
      <c r="N48" s="530"/>
    </row>
    <row r="49" s="450" customFormat="1" ht="25.15" customHeight="1" spans="1:14">
      <c r="A49" s="523"/>
      <c r="B49" s="558"/>
      <c r="C49" s="559"/>
      <c r="D49" s="559"/>
      <c r="E49" s="557"/>
      <c r="F49" s="560"/>
      <c r="G49" s="561"/>
      <c r="H49" s="561"/>
      <c r="I49" s="561"/>
      <c r="J49" s="561"/>
      <c r="K49" s="561"/>
      <c r="L49" s="561"/>
      <c r="M49" s="561"/>
      <c r="N49" s="530"/>
    </row>
    <row r="50" s="450" customFormat="1" ht="25.15" customHeight="1" spans="1:14">
      <c r="A50" s="523"/>
      <c r="B50" s="562" t="s">
        <v>67</v>
      </c>
      <c r="C50" s="563" t="s">
        <v>68</v>
      </c>
      <c r="D50" s="564"/>
      <c r="E50" s="565"/>
      <c r="F50" s="566">
        <f>SUM(G50:M50)</f>
        <v>2710165.61935046</v>
      </c>
      <c r="G50" s="566">
        <f>SUM(G51:G74)</f>
        <v>2710165.61935046</v>
      </c>
      <c r="H50" s="566">
        <f t="shared" ref="H50:M50" si="8">SUM(H51:H69)</f>
        <v>0</v>
      </c>
      <c r="I50" s="566">
        <f t="shared" si="8"/>
        <v>0</v>
      </c>
      <c r="J50" s="566">
        <f t="shared" si="8"/>
        <v>0</v>
      </c>
      <c r="K50" s="566">
        <f t="shared" si="8"/>
        <v>0</v>
      </c>
      <c r="L50" s="566">
        <f t="shared" si="8"/>
        <v>0</v>
      </c>
      <c r="M50" s="566">
        <f t="shared" si="8"/>
        <v>0</v>
      </c>
      <c r="N50" s="530"/>
    </row>
    <row r="51" s="452" customFormat="1" ht="25.15" customHeight="1" spans="1:14">
      <c r="A51" s="453"/>
      <c r="B51" s="567" t="s">
        <v>69</v>
      </c>
      <c r="C51" s="568" t="str">
        <f>表1温室气体盘查表!C34</f>
        <v>铁矿石生产</v>
      </c>
      <c r="D51" s="569" t="str">
        <f>表1温室气体盘查表!D34</f>
        <v>烧结</v>
      </c>
      <c r="E51" s="570"/>
      <c r="F51" s="543">
        <f>表1温室气体盘查表!AL34</f>
        <v>448588.57632498</v>
      </c>
      <c r="G51" s="556">
        <f>表1温室气体盘查表!AE34</f>
        <v>448588.57632498</v>
      </c>
      <c r="H51" s="556">
        <f>表1温室气体盘查表!AF34</f>
        <v>0</v>
      </c>
      <c r="I51" s="556">
        <f>表1温室气体盘查表!AG34</f>
        <v>0</v>
      </c>
      <c r="J51" s="556">
        <f>表1温室气体盘查表!AH34</f>
        <v>0</v>
      </c>
      <c r="K51" s="556">
        <f>表1温室气体盘查表!AI34</f>
        <v>0</v>
      </c>
      <c r="L51" s="556">
        <f>表1温室气体盘查表!AJ34</f>
        <v>0</v>
      </c>
      <c r="M51" s="556">
        <f>表1温室气体盘查表!AK34</f>
        <v>0</v>
      </c>
      <c r="N51" s="453"/>
    </row>
    <row r="52" s="452" customFormat="1" ht="25.15" customHeight="1" spans="1:14">
      <c r="A52" s="453"/>
      <c r="B52" s="567" t="s">
        <v>70</v>
      </c>
      <c r="C52" s="568" t="str">
        <f>表1温室气体盘查表!C35</f>
        <v>生石灰生产</v>
      </c>
      <c r="D52" s="569" t="str">
        <f>表1温室气体盘查表!D35</f>
        <v>烧结、转炉、电炉</v>
      </c>
      <c r="E52" s="453"/>
      <c r="F52" s="543">
        <f>表1温室气体盘查表!AL35</f>
        <v>727500.380476304</v>
      </c>
      <c r="G52" s="556">
        <f>表1温室气体盘查表!AE35</f>
        <v>727500.380476304</v>
      </c>
      <c r="H52" s="556">
        <f>表1温室气体盘查表!AF35</f>
        <v>0</v>
      </c>
      <c r="I52" s="556">
        <f>表1温室气体盘查表!AG35</f>
        <v>0</v>
      </c>
      <c r="J52" s="556">
        <f>表1温室气体盘查表!AH35</f>
        <v>0</v>
      </c>
      <c r="K52" s="556">
        <f>表1温室气体盘查表!AI35</f>
        <v>0</v>
      </c>
      <c r="L52" s="556">
        <f>表1温室气体盘查表!AJ35</f>
        <v>0</v>
      </c>
      <c r="M52" s="556">
        <f>表1温室气体盘查表!AK35</f>
        <v>0</v>
      </c>
      <c r="N52" s="453"/>
    </row>
    <row r="53" s="452" customFormat="1" ht="25.15" customHeight="1" spans="1:14">
      <c r="A53" s="453"/>
      <c r="B53" s="567" t="s">
        <v>71</v>
      </c>
      <c r="C53" s="568" t="str">
        <f>表1温室气体盘查表!C36</f>
        <v>石灰石生产</v>
      </c>
      <c r="D53" s="569" t="str">
        <f>表1温室气体盘查表!D36</f>
        <v>转炉</v>
      </c>
      <c r="E53" s="453"/>
      <c r="F53" s="543">
        <f>表1温室气体盘查表!AL36</f>
        <v>58.676346523</v>
      </c>
      <c r="G53" s="556">
        <f>表1温室气体盘查表!AE36</f>
        <v>58.676346523</v>
      </c>
      <c r="H53" s="556">
        <f>表1温室气体盘查表!AF36</f>
        <v>0</v>
      </c>
      <c r="I53" s="556">
        <f>表1温室气体盘查表!AG36</f>
        <v>0</v>
      </c>
      <c r="J53" s="556">
        <f>表1温室气体盘查表!AH36</f>
        <v>0</v>
      </c>
      <c r="K53" s="556">
        <f>表1温室气体盘查表!AI36</f>
        <v>0</v>
      </c>
      <c r="L53" s="556">
        <f>表1温室气体盘查表!AJ36</f>
        <v>0</v>
      </c>
      <c r="M53" s="556">
        <f>表1温室气体盘查表!AK36</f>
        <v>0</v>
      </c>
      <c r="N53" s="453"/>
    </row>
    <row r="54" s="452" customFormat="1" ht="25.15" customHeight="1" spans="1:14">
      <c r="A54" s="453"/>
      <c r="B54" s="567" t="s">
        <v>72</v>
      </c>
      <c r="C54" s="568" t="str">
        <f>表1温室气体盘查表!C37</f>
        <v>白云石生产</v>
      </c>
      <c r="D54" s="569" t="str">
        <f>表1温室气体盘查表!D37</f>
        <v>烧结、转炉、电炉</v>
      </c>
      <c r="E54" s="453"/>
      <c r="F54" s="543">
        <f>表1温室气体盘查表!AL37</f>
        <v>46435.1961987</v>
      </c>
      <c r="G54" s="556">
        <f>表1温室气体盘查表!AE37</f>
        <v>46435.1961987</v>
      </c>
      <c r="H54" s="556">
        <f>表1温室气体盘查表!AF37</f>
        <v>0</v>
      </c>
      <c r="I54" s="556">
        <f>表1温室气体盘查表!AG37</f>
        <v>0</v>
      </c>
      <c r="J54" s="556">
        <f>表1温室气体盘查表!AH37</f>
        <v>0</v>
      </c>
      <c r="K54" s="556">
        <f>表1温室气体盘查表!AI37</f>
        <v>0</v>
      </c>
      <c r="L54" s="556">
        <f>表1温室气体盘查表!AJ37</f>
        <v>0</v>
      </c>
      <c r="M54" s="556">
        <f>表1温室气体盘查表!AK37</f>
        <v>0</v>
      </c>
      <c r="N54" s="453"/>
    </row>
    <row r="55" s="452" customFormat="1" ht="25.15" customHeight="1" spans="1:14">
      <c r="A55" s="453"/>
      <c r="B55" s="567" t="s">
        <v>73</v>
      </c>
      <c r="C55" s="568" t="str">
        <f>表1温室气体盘查表!C38</f>
        <v>轻烧白云石生产</v>
      </c>
      <c r="D55" s="569" t="str">
        <f>表1温室气体盘查表!D39</f>
        <v>高炉、转炉</v>
      </c>
      <c r="E55" s="570"/>
      <c r="F55" s="543">
        <f>表1温室气体盘查表!AL38</f>
        <v>363.2088572</v>
      </c>
      <c r="G55" s="556">
        <f>表1温室气体盘查表!AE38</f>
        <v>363.2088572</v>
      </c>
      <c r="H55" s="556">
        <f>表1温室气体盘查表!AF38</f>
        <v>0</v>
      </c>
      <c r="I55" s="556">
        <f>表1温室气体盘查表!AG38</f>
        <v>0</v>
      </c>
      <c r="J55" s="556">
        <f>表1温室气体盘查表!AH38</f>
        <v>0</v>
      </c>
      <c r="K55" s="556">
        <f>表1温室气体盘查表!AI38</f>
        <v>0</v>
      </c>
      <c r="L55" s="556">
        <f>表1温室气体盘查表!AJ38</f>
        <v>0</v>
      </c>
      <c r="M55" s="556">
        <f>表1温室气体盘查表!AK38</f>
        <v>0</v>
      </c>
      <c r="N55" s="453"/>
    </row>
    <row r="56" s="452" customFormat="1" ht="25.15" customHeight="1" spans="1:14">
      <c r="A56" s="453"/>
      <c r="B56" s="567" t="s">
        <v>74</v>
      </c>
      <c r="C56" s="568" t="str">
        <f>表1温室气体盘查表!C39</f>
        <v>球团生产</v>
      </c>
      <c r="D56" s="569" t="str">
        <f>表1温室气体盘查表!D40</f>
        <v>转炉、电炉</v>
      </c>
      <c r="E56" s="570"/>
      <c r="F56" s="543">
        <f>表1温室气体盘查表!AL39</f>
        <v>71601.0509094</v>
      </c>
      <c r="G56" s="556">
        <f>表1温室气体盘查表!AE39</f>
        <v>71601.0509094</v>
      </c>
      <c r="H56" s="556">
        <f>表1温室气体盘查表!AF39</f>
        <v>0</v>
      </c>
      <c r="I56" s="556">
        <f>表1温室气体盘查表!AG39</f>
        <v>0</v>
      </c>
      <c r="J56" s="556">
        <f>表1温室气体盘查表!AH39</f>
        <v>0</v>
      </c>
      <c r="K56" s="556">
        <f>表1温室气体盘查表!AI39</f>
        <v>0</v>
      </c>
      <c r="L56" s="556">
        <f>表1温室气体盘查表!AJ39</f>
        <v>0</v>
      </c>
      <c r="M56" s="556">
        <f>表1温室气体盘查表!AK39</f>
        <v>0</v>
      </c>
      <c r="N56" s="453"/>
    </row>
    <row r="57" s="452" customFormat="1" ht="25.15" customHeight="1" spans="1:14">
      <c r="A57" s="453"/>
      <c r="B57" s="567" t="s">
        <v>75</v>
      </c>
      <c r="C57" s="568" t="str">
        <f>表1温室气体盘查表!C40</f>
        <v>废钢生产</v>
      </c>
      <c r="D57" s="569" t="str">
        <f>表1温室气体盘查表!D41</f>
        <v>转炉、电炉</v>
      </c>
      <c r="E57" s="570"/>
      <c r="F57" s="543">
        <f>表1温室气体盘查表!AL40</f>
        <v>79944.3879423517</v>
      </c>
      <c r="G57" s="556">
        <f>表1温室气体盘查表!AE40</f>
        <v>79944.3879423517</v>
      </c>
      <c r="H57" s="556">
        <f>表1温室气体盘查表!AF40</f>
        <v>0</v>
      </c>
      <c r="I57" s="556">
        <f>表1温室气体盘查表!AG40</f>
        <v>0</v>
      </c>
      <c r="J57" s="556">
        <f>表1温室气体盘查表!AH40</f>
        <v>0</v>
      </c>
      <c r="K57" s="556">
        <f>表1温室气体盘查表!AI40</f>
        <v>0</v>
      </c>
      <c r="L57" s="556">
        <f>表1温室气体盘查表!AJ40</f>
        <v>0</v>
      </c>
      <c r="M57" s="556">
        <f>表1温室气体盘查表!AK40</f>
        <v>0</v>
      </c>
      <c r="N57" s="453"/>
    </row>
    <row r="58" s="452" customFormat="1" ht="25.15" customHeight="1" spans="1:14">
      <c r="A58" s="453"/>
      <c r="B58" s="567" t="s">
        <v>76</v>
      </c>
      <c r="C58" s="568" t="str">
        <f>表1温室气体盘查表!C41</f>
        <v>电极生产</v>
      </c>
      <c r="D58" s="569" t="str">
        <f>表1温室气体盘查表!D42</f>
        <v>转炉、电炉</v>
      </c>
      <c r="E58" s="570"/>
      <c r="F58" s="543">
        <f>表1温室气体盘查表!AL41</f>
        <v>37742.8121526018</v>
      </c>
      <c r="G58" s="556">
        <f>表1温室气体盘查表!AE41</f>
        <v>37742.8121526018</v>
      </c>
      <c r="H58" s="556">
        <f>表1温室气体盘查表!AF41</f>
        <v>0</v>
      </c>
      <c r="I58" s="556">
        <f>表1温室气体盘查表!AG41</f>
        <v>0</v>
      </c>
      <c r="J58" s="556">
        <f>表1温室气体盘查表!AH41</f>
        <v>0</v>
      </c>
      <c r="K58" s="556">
        <f>表1温室气体盘查表!AI41</f>
        <v>0</v>
      </c>
      <c r="L58" s="556">
        <f>表1温室气体盘查表!AJ41</f>
        <v>0</v>
      </c>
      <c r="M58" s="556">
        <f>表1温室气体盘查表!AK41</f>
        <v>0</v>
      </c>
      <c r="N58" s="453"/>
    </row>
    <row r="59" s="452" customFormat="1" ht="25.15" customHeight="1" spans="1:14">
      <c r="A59" s="453"/>
      <c r="B59" s="567" t="s">
        <v>77</v>
      </c>
      <c r="C59" s="568" t="str">
        <f>表1温室气体盘查表!C42</f>
        <v>锰铁生产</v>
      </c>
      <c r="D59" s="569" t="str">
        <f>表1温室气体盘查表!D43</f>
        <v>转炉、电炉</v>
      </c>
      <c r="E59" s="570"/>
      <c r="F59" s="543">
        <f>表1温室气体盘查表!AL42</f>
        <v>141868.581696</v>
      </c>
      <c r="G59" s="556">
        <f>表1温室气体盘查表!AE42</f>
        <v>141868.581696</v>
      </c>
      <c r="H59" s="556">
        <f>表1温室气体盘查表!AF42</f>
        <v>0</v>
      </c>
      <c r="I59" s="556">
        <f>表1温室气体盘查表!AG42</f>
        <v>0</v>
      </c>
      <c r="J59" s="556">
        <f>表1温室气体盘查表!AH42</f>
        <v>0</v>
      </c>
      <c r="K59" s="556">
        <f>表1温室气体盘查表!AI42</f>
        <v>0</v>
      </c>
      <c r="L59" s="556">
        <f>表1温室气体盘查表!AJ42</f>
        <v>0</v>
      </c>
      <c r="M59" s="556">
        <f>表1温室气体盘查表!AK42</f>
        <v>0</v>
      </c>
      <c r="N59" s="453"/>
    </row>
    <row r="60" s="452" customFormat="1" ht="25.15" customHeight="1" spans="1:14">
      <c r="A60" s="453"/>
      <c r="B60" s="567" t="s">
        <v>78</v>
      </c>
      <c r="C60" s="568" t="str">
        <f>表1温室气体盘查表!C43</f>
        <v>镍铁生产</v>
      </c>
      <c r="D60" s="569" t="str">
        <f>表1温室气体盘查表!D44</f>
        <v>转炉、电炉</v>
      </c>
      <c r="E60" s="570"/>
      <c r="F60" s="543">
        <f>表1温室气体盘查表!AL43</f>
        <v>84819.123027</v>
      </c>
      <c r="G60" s="556">
        <f>表1温室气体盘查表!AE43</f>
        <v>84819.123027</v>
      </c>
      <c r="H60" s="556">
        <f>表1温室气体盘查表!AF43</f>
        <v>0</v>
      </c>
      <c r="I60" s="556">
        <f>表1温室气体盘查表!AG43</f>
        <v>0</v>
      </c>
      <c r="J60" s="556">
        <f>表1温室气体盘查表!AH43</f>
        <v>0</v>
      </c>
      <c r="K60" s="556">
        <f>表1温室气体盘查表!AI43</f>
        <v>0</v>
      </c>
      <c r="L60" s="556">
        <f>表1温室气体盘查表!AJ43</f>
        <v>0</v>
      </c>
      <c r="M60" s="556">
        <f>表1温室气体盘查表!AK43</f>
        <v>0</v>
      </c>
      <c r="N60" s="453"/>
    </row>
    <row r="61" s="452" customFormat="1" ht="25.15" customHeight="1" spans="1:14">
      <c r="A61" s="453"/>
      <c r="B61" s="567" t="s">
        <v>79</v>
      </c>
      <c r="C61" s="568" t="str">
        <f>表1温室气体盘查表!C44</f>
        <v>铬铁生产</v>
      </c>
      <c r="D61" s="569" t="str">
        <f>表1温室气体盘查表!D45</f>
        <v>转炉、电炉</v>
      </c>
      <c r="E61" s="570"/>
      <c r="F61" s="543">
        <f>表1温室气体盘查表!AL44</f>
        <v>345101.444753</v>
      </c>
      <c r="G61" s="556">
        <f>表1温室气体盘查表!AE44</f>
        <v>345101.444753</v>
      </c>
      <c r="H61" s="556">
        <f>表1温室气体盘查表!AF44</f>
        <v>0</v>
      </c>
      <c r="I61" s="556">
        <f>表1温室气体盘查表!AG44</f>
        <v>0</v>
      </c>
      <c r="J61" s="556">
        <f>表1温室气体盘查表!AH44</f>
        <v>0</v>
      </c>
      <c r="K61" s="556">
        <f>表1温室气体盘查表!AI44</f>
        <v>0</v>
      </c>
      <c r="L61" s="556">
        <f>表1温室气体盘查表!AJ44</f>
        <v>0</v>
      </c>
      <c r="M61" s="556">
        <f>表1温室气体盘查表!AK44</f>
        <v>0</v>
      </c>
      <c r="N61" s="453"/>
    </row>
    <row r="62" s="452" customFormat="1" ht="25.15" customHeight="1" spans="1:14">
      <c r="A62" s="453"/>
      <c r="B62" s="567" t="s">
        <v>80</v>
      </c>
      <c r="C62" s="568" t="str">
        <f>表1温室气体盘查表!C45</f>
        <v>萤石生产</v>
      </c>
      <c r="D62" s="569" t="str">
        <f>表1温室气体盘查表!D46</f>
        <v>转炉、电炉</v>
      </c>
      <c r="E62" s="570"/>
      <c r="F62" s="543">
        <f>表1温室气体盘查表!AL45</f>
        <v>685.0621872</v>
      </c>
      <c r="G62" s="556">
        <f>表1温室气体盘查表!AE45</f>
        <v>685.0621872</v>
      </c>
      <c r="H62" s="556">
        <f>表1温室气体盘查表!AF45</f>
        <v>0</v>
      </c>
      <c r="I62" s="556">
        <f>表1温室气体盘查表!AG45</f>
        <v>0</v>
      </c>
      <c r="J62" s="556">
        <f>表1温室气体盘查表!AH45</f>
        <v>0</v>
      </c>
      <c r="K62" s="556">
        <f>表1温室气体盘查表!AI45</f>
        <v>0</v>
      </c>
      <c r="L62" s="556">
        <f>表1温室气体盘查表!AJ45</f>
        <v>0</v>
      </c>
      <c r="M62" s="556">
        <f>表1温室气体盘查表!AK45</f>
        <v>0</v>
      </c>
      <c r="N62" s="453"/>
    </row>
    <row r="63" s="452" customFormat="1" ht="25.15" customHeight="1" spans="1:14">
      <c r="A63" s="453"/>
      <c r="B63" s="567" t="s">
        <v>81</v>
      </c>
      <c r="C63" s="568" t="str">
        <f>表1温室气体盘查表!C46</f>
        <v>硅铁生产</v>
      </c>
      <c r="D63" s="569" t="str">
        <f>表1温室气体盘查表!D47</f>
        <v>转炉、电炉</v>
      </c>
      <c r="E63" s="570"/>
      <c r="F63" s="543">
        <f>表1温室气体盘查表!AL46</f>
        <v>103575.7833</v>
      </c>
      <c r="G63" s="556">
        <f>表1温室气体盘查表!AE46</f>
        <v>103575.7833</v>
      </c>
      <c r="H63" s="556">
        <f>表1温室气体盘查表!AF46</f>
        <v>0</v>
      </c>
      <c r="I63" s="556">
        <f>表1温室气体盘查表!AG46</f>
        <v>0</v>
      </c>
      <c r="J63" s="556">
        <f>表1温室气体盘查表!AH46</f>
        <v>0</v>
      </c>
      <c r="K63" s="556">
        <f>表1温室气体盘查表!AI46</f>
        <v>0</v>
      </c>
      <c r="L63" s="556">
        <f>表1温室气体盘查表!AJ46</f>
        <v>0</v>
      </c>
      <c r="M63" s="556">
        <f>表1温室气体盘查表!AK46</f>
        <v>0</v>
      </c>
      <c r="N63" s="453"/>
    </row>
    <row r="64" s="452" customFormat="1" ht="25.15" customHeight="1" spans="1:14">
      <c r="A64" s="453"/>
      <c r="B64" s="567" t="s">
        <v>82</v>
      </c>
      <c r="C64" s="568" t="str">
        <f>表1温室气体盘查表!C47</f>
        <v>钼铁生产</v>
      </c>
      <c r="D64" s="569" t="str">
        <f>表1温室气体盘查表!D48</f>
        <v>转炉、电炉</v>
      </c>
      <c r="E64" s="570"/>
      <c r="F64" s="543">
        <f>表1温室气体盘查表!AL47</f>
        <v>66065.4</v>
      </c>
      <c r="G64" s="556">
        <f>表1温室气体盘查表!AE47</f>
        <v>66065.4</v>
      </c>
      <c r="H64" s="556">
        <f>表1温室气体盘查表!AF47</f>
        <v>0</v>
      </c>
      <c r="I64" s="556">
        <f>表1温室气体盘查表!AG47</f>
        <v>0</v>
      </c>
      <c r="J64" s="556">
        <f>表1温室气体盘查表!AH47</f>
        <v>0</v>
      </c>
      <c r="K64" s="556">
        <f>表1温室气体盘查表!AI47</f>
        <v>0</v>
      </c>
      <c r="L64" s="556">
        <f>表1温室气体盘查表!AJ47</f>
        <v>0</v>
      </c>
      <c r="M64" s="556">
        <f>表1温室气体盘查表!AK47</f>
        <v>0</v>
      </c>
      <c r="N64" s="453"/>
    </row>
    <row r="65" s="452" customFormat="1" ht="25.15" customHeight="1" spans="1:14">
      <c r="A65" s="453"/>
      <c r="B65" s="567" t="s">
        <v>83</v>
      </c>
      <c r="C65" s="568" t="str">
        <f>表1温室气体盘查表!C48</f>
        <v>铝铁生产</v>
      </c>
      <c r="D65" s="569" t="str">
        <f>表1温室气体盘查表!D49</f>
        <v>转炉、电炉</v>
      </c>
      <c r="E65" s="570"/>
      <c r="F65" s="543">
        <f>表1温室气体盘查表!AL48</f>
        <v>63158.1901075051</v>
      </c>
      <c r="G65" s="556">
        <f>表1温室气体盘查表!AE48</f>
        <v>63158.1901075051</v>
      </c>
      <c r="H65" s="556">
        <f>表1温室气体盘查表!AF48</f>
        <v>0</v>
      </c>
      <c r="I65" s="556">
        <f>表1温室气体盘查表!AG48</f>
        <v>0</v>
      </c>
      <c r="J65" s="556">
        <f>表1温室气体盘查表!AH48</f>
        <v>0</v>
      </c>
      <c r="K65" s="556">
        <f>表1温室气体盘查表!AI48</f>
        <v>0</v>
      </c>
      <c r="L65" s="556">
        <f>表1温室气体盘查表!AJ48</f>
        <v>0</v>
      </c>
      <c r="M65" s="556">
        <f>表1温室气体盘查表!AK48</f>
        <v>0</v>
      </c>
      <c r="N65" s="453"/>
    </row>
    <row r="66" s="452" customFormat="1" ht="25.15" customHeight="1" spans="1:14">
      <c r="A66" s="453"/>
      <c r="B66" s="567" t="s">
        <v>84</v>
      </c>
      <c r="C66" s="568" t="str">
        <f>表1温室气体盘查表!C49</f>
        <v>铝生产</v>
      </c>
      <c r="D66" s="569" t="str">
        <f>表1温室气体盘查表!D50</f>
        <v>转炉、电炉</v>
      </c>
      <c r="E66" s="570"/>
      <c r="F66" s="543">
        <f>表1温室气体盘查表!AL49</f>
        <v>63342.1950321903</v>
      </c>
      <c r="G66" s="556">
        <f>表1温室气体盘查表!AE49</f>
        <v>63342.1950321903</v>
      </c>
      <c r="H66" s="556">
        <f>表1温室气体盘查表!AF49</f>
        <v>0</v>
      </c>
      <c r="I66" s="556">
        <f>表1温室气体盘查表!AG49</f>
        <v>0</v>
      </c>
      <c r="J66" s="556">
        <f>表1温室气体盘查表!AH49</f>
        <v>0</v>
      </c>
      <c r="K66" s="556">
        <f>表1温室气体盘查表!AI49</f>
        <v>0</v>
      </c>
      <c r="L66" s="556">
        <f>表1温室气体盘查表!AJ49</f>
        <v>0</v>
      </c>
      <c r="M66" s="556">
        <f>表1温室气体盘查表!AK49</f>
        <v>0</v>
      </c>
      <c r="N66" s="453"/>
    </row>
    <row r="67" s="452" customFormat="1" ht="25.15" customHeight="1" spans="1:14">
      <c r="A67" s="453"/>
      <c r="B67" s="567" t="s">
        <v>85</v>
      </c>
      <c r="C67" s="568" t="str">
        <f>表1温室气体盘查表!C50</f>
        <v>增碳剂生产</v>
      </c>
      <c r="D67" s="569" t="str">
        <f>表1温室气体盘查表!D50</f>
        <v>转炉、电炉</v>
      </c>
      <c r="E67" s="570"/>
      <c r="F67" s="543">
        <f>表1温室气体盘查表!AL50</f>
        <v>17778.3232071154</v>
      </c>
      <c r="G67" s="556">
        <f>表1温室气体盘查表!AE50</f>
        <v>17778.3232071154</v>
      </c>
      <c r="H67" s="556">
        <f>表1温室气体盘查表!AF50</f>
        <v>0</v>
      </c>
      <c r="I67" s="556">
        <f>表1温室气体盘查表!AG50</f>
        <v>0</v>
      </c>
      <c r="J67" s="556">
        <f>表1温室气体盘查表!AH50</f>
        <v>0</v>
      </c>
      <c r="K67" s="556">
        <f>表1温室气体盘查表!AI50</f>
        <v>0</v>
      </c>
      <c r="L67" s="556">
        <f>表1温室气体盘查表!AJ50</f>
        <v>0</v>
      </c>
      <c r="M67" s="556">
        <f>表1温室气体盘查表!AK50</f>
        <v>0</v>
      </c>
      <c r="N67" s="453"/>
    </row>
    <row r="68" s="452" customFormat="1" ht="25.15" customHeight="1" spans="1:14">
      <c r="A68" s="453"/>
      <c r="B68" s="567" t="s">
        <v>86</v>
      </c>
      <c r="C68" s="568" t="str">
        <f>表1温室气体盘查表!C51</f>
        <v>铁鳞生产</v>
      </c>
      <c r="D68" s="569" t="str">
        <f>表1温室气体盘查表!D51</f>
        <v>炼钢</v>
      </c>
      <c r="E68" s="570"/>
      <c r="F68" s="543">
        <f>表1温室气体盘查表!AL51</f>
        <v>608.383942171421</v>
      </c>
      <c r="G68" s="556">
        <f>表1温室气体盘查表!AE51</f>
        <v>608.383942171421</v>
      </c>
      <c r="H68" s="556">
        <f>表1温室气体盘查表!AF51</f>
        <v>0</v>
      </c>
      <c r="I68" s="556">
        <f>表1温室气体盘查表!AG51</f>
        <v>0</v>
      </c>
      <c r="J68" s="556">
        <f>表1温室气体盘查表!AH51</f>
        <v>0</v>
      </c>
      <c r="K68" s="556">
        <f>表1温室气体盘查表!AI51</f>
        <v>0</v>
      </c>
      <c r="L68" s="556">
        <f>表1温室气体盘查表!AJ51</f>
        <v>0</v>
      </c>
      <c r="M68" s="556">
        <f>表1温室气体盘查表!AK51</f>
        <v>0</v>
      </c>
      <c r="N68" s="453"/>
    </row>
    <row r="69" s="452" customFormat="1" ht="25.15" customHeight="1" spans="1:14">
      <c r="A69" s="453"/>
      <c r="B69" s="567" t="s">
        <v>87</v>
      </c>
      <c r="C69" s="568" t="str">
        <f>表1温室气体盘查表!C52</f>
        <v>氨水生产</v>
      </c>
      <c r="D69" s="569" t="str">
        <f>表1温室气体盘查表!D52</f>
        <v>烧结</v>
      </c>
      <c r="E69" s="570"/>
      <c r="F69" s="543">
        <f>表1温室气体盘查表!AL52</f>
        <v>24444.8152755637</v>
      </c>
      <c r="G69" s="556">
        <f>表1温室气体盘查表!AE52</f>
        <v>24444.8152755637</v>
      </c>
      <c r="H69" s="556">
        <f>表1温室气体盘查表!AF52</f>
        <v>0</v>
      </c>
      <c r="I69" s="556">
        <f>表1温室气体盘查表!AG52</f>
        <v>0</v>
      </c>
      <c r="J69" s="556">
        <f>表1温室气体盘查表!AH52</f>
        <v>0</v>
      </c>
      <c r="K69" s="556">
        <f>表1温室气体盘查表!AI52</f>
        <v>0</v>
      </c>
      <c r="L69" s="556">
        <f>表1温室气体盘查表!AJ52</f>
        <v>0</v>
      </c>
      <c r="M69" s="556">
        <f>表1温室气体盘查表!AK52</f>
        <v>0</v>
      </c>
      <c r="N69" s="453"/>
    </row>
    <row r="70" s="452" customFormat="1" ht="25.15" customHeight="1" spans="1:14">
      <c r="A70" s="453"/>
      <c r="B70" s="567" t="s">
        <v>88</v>
      </c>
      <c r="C70" s="568" t="str">
        <f>表1温室气体盘查表!C53</f>
        <v>碳化硅生产</v>
      </c>
      <c r="D70" s="569" t="str">
        <f>表1温室气体盘查表!D53</f>
        <v>-</v>
      </c>
      <c r="E70" s="570"/>
      <c r="F70" s="543">
        <f>表1温室气体盘查表!AL53</f>
        <v>48149.5851242863</v>
      </c>
      <c r="G70" s="556">
        <f>表1温室气体盘查表!AE53</f>
        <v>48149.5851242863</v>
      </c>
      <c r="H70" s="556">
        <f>表1温室气体盘查表!AF53</f>
        <v>0</v>
      </c>
      <c r="I70" s="556">
        <f>表1温室气体盘查表!AG53</f>
        <v>0</v>
      </c>
      <c r="J70" s="556">
        <f>表1温室气体盘查表!AH53</f>
        <v>0</v>
      </c>
      <c r="K70" s="556">
        <f>表1温室气体盘查表!AI53</f>
        <v>0</v>
      </c>
      <c r="L70" s="556">
        <f>表1温室气体盘查表!AJ53</f>
        <v>0</v>
      </c>
      <c r="M70" s="556">
        <f>表1温室气体盘查表!AK53</f>
        <v>0</v>
      </c>
      <c r="N70" s="453"/>
    </row>
    <row r="71" s="452" customFormat="1" ht="25.15" customHeight="1" spans="1:14">
      <c r="A71" s="453"/>
      <c r="B71" s="567" t="s">
        <v>89</v>
      </c>
      <c r="C71" s="568" t="str">
        <f>表1温室气体盘查表!C54</f>
        <v>镁生产</v>
      </c>
      <c r="D71" s="569" t="str">
        <f>表1温室气体盘查表!D54</f>
        <v>-</v>
      </c>
      <c r="E71" s="570"/>
      <c r="F71" s="543">
        <f>表1温室气体盘查表!AL54</f>
        <v>308520.83395426</v>
      </c>
      <c r="G71" s="556">
        <f>表1温室气体盘查表!AE54</f>
        <v>308520.83395426</v>
      </c>
      <c r="H71" s="556">
        <f>表1温室气体盘查表!AF54</f>
        <v>0</v>
      </c>
      <c r="I71" s="556">
        <f>表1温室气体盘查表!AG54</f>
        <v>0</v>
      </c>
      <c r="J71" s="556">
        <f>表1温室气体盘查表!AH54</f>
        <v>0</v>
      </c>
      <c r="K71" s="556">
        <f>表1温室气体盘查表!AI54</f>
        <v>0</v>
      </c>
      <c r="L71" s="556">
        <f>表1温室气体盘查表!AJ54</f>
        <v>0</v>
      </c>
      <c r="M71" s="556">
        <f>表1温室气体盘查表!AK54</f>
        <v>0</v>
      </c>
      <c r="N71" s="453"/>
    </row>
    <row r="72" s="452" customFormat="1" ht="25.15" customHeight="1" spans="1:14">
      <c r="A72" s="453"/>
      <c r="B72" s="567" t="s">
        <v>90</v>
      </c>
      <c r="C72" s="568" t="str">
        <f>表1温室气体盘查表!C55</f>
        <v>所有其他纸制品加工制造</v>
      </c>
      <c r="D72" s="569" t="str">
        <f>表1温室气体盘查表!D55</f>
        <v>办公室</v>
      </c>
      <c r="E72" s="570"/>
      <c r="F72" s="543">
        <f>表1温室气体盘查表!AL55</f>
        <v>5.54362431</v>
      </c>
      <c r="G72" s="556">
        <f>表1温室气体盘查表!AE55</f>
        <v>5.54362431</v>
      </c>
      <c r="H72" s="556">
        <f>表1温室气体盘查表!AF55</f>
        <v>0</v>
      </c>
      <c r="I72" s="556">
        <f>表1温室气体盘查表!AG55</f>
        <v>0</v>
      </c>
      <c r="J72" s="556">
        <f>表1温室气体盘查表!AH55</f>
        <v>0</v>
      </c>
      <c r="K72" s="556">
        <f>表1温室气体盘查表!AI55</f>
        <v>0</v>
      </c>
      <c r="L72" s="556">
        <f>表1温室气体盘查表!AJ55</f>
        <v>0</v>
      </c>
      <c r="M72" s="556">
        <f>表1温室气体盘查表!AK55</f>
        <v>0</v>
      </c>
      <c r="N72" s="453"/>
    </row>
    <row r="73" s="452" customFormat="1" ht="25.15" customHeight="1" spans="1:14">
      <c r="A73" s="453"/>
      <c r="B73" s="567" t="s">
        <v>91</v>
      </c>
      <c r="C73" s="568" t="str">
        <f>表1温室气体盘查表!C56</f>
        <v>办公用品(纸张除外)制造</v>
      </c>
      <c r="D73" s="569" t="str">
        <f>表1温室气体盘查表!D56</f>
        <v>办公室</v>
      </c>
      <c r="E73" s="570"/>
      <c r="F73" s="543">
        <f>表1温室气体盘查表!AL56</f>
        <v>47.0342564</v>
      </c>
      <c r="G73" s="556">
        <f>表1温室气体盘查表!AE56</f>
        <v>47.0342564</v>
      </c>
      <c r="H73" s="556">
        <f>表1温室气体盘查表!AF56</f>
        <v>0</v>
      </c>
      <c r="I73" s="556">
        <f>表1温室气体盘查表!AG56</f>
        <v>0</v>
      </c>
      <c r="J73" s="556">
        <f>表1温室气体盘查表!AH56</f>
        <v>0</v>
      </c>
      <c r="K73" s="556">
        <f>表1温室气体盘查表!AI56</f>
        <v>0</v>
      </c>
      <c r="L73" s="556">
        <f>表1温室气体盘查表!AJ56</f>
        <v>0</v>
      </c>
      <c r="M73" s="556">
        <f>表1温室气体盘查表!AK56</f>
        <v>0</v>
      </c>
      <c r="N73" s="453"/>
    </row>
    <row r="74" s="452" customFormat="1" ht="25.15" customHeight="1" spans="1:14">
      <c r="A74" s="453"/>
      <c r="B74" s="567" t="s">
        <v>92</v>
      </c>
      <c r="C74" s="568" t="str">
        <f>表1温室气体盘查表!C57</f>
        <v>源水</v>
      </c>
      <c r="D74" s="569" t="str">
        <f>表1温室气体盘查表!D57</f>
        <v>水处理工序</v>
      </c>
      <c r="E74" s="570"/>
      <c r="F74" s="543">
        <f>表1温室气体盘查表!AL57</f>
        <v>29761.0306554007</v>
      </c>
      <c r="G74" s="556">
        <f>表1温室气体盘查表!AE57</f>
        <v>29761.0306554007</v>
      </c>
      <c r="H74" s="556">
        <f>表1温室气体盘查表!AF57</f>
        <v>0</v>
      </c>
      <c r="I74" s="556">
        <f>表1温室气体盘查表!AG57</f>
        <v>0</v>
      </c>
      <c r="J74" s="556">
        <f>表1温室气体盘查表!AH57</f>
        <v>0</v>
      </c>
      <c r="K74" s="556">
        <f>表1温室气体盘查表!AI57</f>
        <v>0</v>
      </c>
      <c r="L74" s="556">
        <f>表1温室气体盘查表!AJ57</f>
        <v>0</v>
      </c>
      <c r="M74" s="556">
        <f>表1温室气体盘查表!AK57</f>
        <v>0</v>
      </c>
      <c r="N74" s="453"/>
    </row>
    <row r="75" s="453" customFormat="1" ht="25.15" customHeight="1" spans="1:14">
      <c r="B75" s="571"/>
      <c r="C75" s="570"/>
      <c r="D75" s="572"/>
      <c r="E75" s="570"/>
      <c r="F75" s="560"/>
      <c r="G75" s="561"/>
      <c r="H75" s="561"/>
      <c r="I75" s="561"/>
      <c r="J75" s="561"/>
      <c r="K75" s="561"/>
      <c r="L75" s="561"/>
      <c r="M75" s="561"/>
    </row>
    <row r="76" s="452" customFormat="1" ht="25.15" customHeight="1" spans="1:14">
      <c r="A76" s="453"/>
      <c r="B76" s="562" t="s">
        <v>93</v>
      </c>
      <c r="C76" s="563" t="str">
        <f>表1温室气体盘查表!B58</f>
        <v>资本货物</v>
      </c>
      <c r="D76" s="564"/>
      <c r="E76" s="565"/>
      <c r="F76" s="553">
        <f>SUM(G76:M76)</f>
        <v>51806.97034336</v>
      </c>
      <c r="G76" s="553">
        <f>SUM(G77:G87)</f>
        <v>51806.97034336</v>
      </c>
      <c r="H76" s="553">
        <f t="shared" ref="H76:M76" si="9">SUM(H77:H87)</f>
        <v>0</v>
      </c>
      <c r="I76" s="553">
        <f t="shared" si="9"/>
        <v>0</v>
      </c>
      <c r="J76" s="553">
        <f t="shared" si="9"/>
        <v>0</v>
      </c>
      <c r="K76" s="553">
        <f t="shared" si="9"/>
        <v>0</v>
      </c>
      <c r="L76" s="553">
        <f t="shared" si="9"/>
        <v>0</v>
      </c>
      <c r="M76" s="553">
        <f t="shared" si="9"/>
        <v>0</v>
      </c>
      <c r="N76" s="453"/>
    </row>
    <row r="77" s="452" customFormat="1" ht="32.1" customHeight="1" spans="1:14">
      <c r="A77" s="453"/>
      <c r="B77" s="567" t="s">
        <v>94</v>
      </c>
      <c r="C77" s="569" t="str">
        <f>表1温室气体盘查表!C58</f>
        <v>采购产品空调和暖空气加热设备和商业和工业制冷设备制造</v>
      </c>
      <c r="D77" s="569" t="str">
        <f>表1温室气体盘查表!D58</f>
        <v>办公室、各工序</v>
      </c>
      <c r="E77" s="570"/>
      <c r="F77" s="543">
        <f>表1温室气体盘查表!AL58</f>
        <v>14.8324392</v>
      </c>
      <c r="G77" s="543">
        <f>表1温室气体盘查表!AE58</f>
        <v>14.8324392</v>
      </c>
      <c r="H77" s="543">
        <f>表1温室气体盘查表!AF58</f>
        <v>0</v>
      </c>
      <c r="I77" s="543">
        <f>表1温室气体盘查表!AG58</f>
        <v>0</v>
      </c>
      <c r="J77" s="543">
        <f>表1温室气体盘查表!AH58</f>
        <v>0</v>
      </c>
      <c r="K77" s="543">
        <f>表1温室气体盘查表!AI58</f>
        <v>0</v>
      </c>
      <c r="L77" s="543">
        <f>表1温室气体盘查表!AJ58</f>
        <v>0</v>
      </c>
      <c r="M77" s="543">
        <f>表1温室气体盘查表!AK58</f>
        <v>0</v>
      </c>
      <c r="N77" s="453"/>
    </row>
    <row r="78" s="452" customFormat="1" ht="25.15" customHeight="1" spans="1:14">
      <c r="A78" s="453"/>
      <c r="B78" s="567" t="s">
        <v>95</v>
      </c>
      <c r="C78" s="569" t="str">
        <f>表1温室气体盘查表!C59</f>
        <v>电子计算机制造</v>
      </c>
      <c r="D78" s="569" t="str">
        <f>表1温室气体盘查表!D59</f>
        <v>办公室、各工序</v>
      </c>
      <c r="E78" s="570"/>
      <c r="F78" s="543">
        <f>表1温室气体盘查表!AL59</f>
        <v>3.78803974</v>
      </c>
      <c r="G78" s="543">
        <f>表1温室气体盘查表!AE59</f>
        <v>3.78803974</v>
      </c>
      <c r="H78" s="543">
        <f>表1温室气体盘查表!AF59</f>
        <v>0</v>
      </c>
      <c r="I78" s="543">
        <f>表1温室气体盘查表!AG59</f>
        <v>0</v>
      </c>
      <c r="J78" s="543">
        <f>表1温室气体盘查表!AH59</f>
        <v>0</v>
      </c>
      <c r="K78" s="543">
        <f>表1温室气体盘查表!AI59</f>
        <v>0</v>
      </c>
      <c r="L78" s="543">
        <f>表1温室气体盘查表!AJ59</f>
        <v>0</v>
      </c>
      <c r="M78" s="543">
        <f>表1温室气体盘查表!AK59</f>
        <v>0</v>
      </c>
      <c r="N78" s="453"/>
    </row>
    <row r="79" s="452" customFormat="1" ht="25.15" customHeight="1" spans="1:14">
      <c r="A79" s="453"/>
      <c r="B79" s="567" t="s">
        <v>96</v>
      </c>
      <c r="C79" s="569" t="str">
        <f>表1温室气体盘查表!C60</f>
        <v>焊接及焊接设备制造</v>
      </c>
      <c r="D79" s="569" t="str">
        <f>表1温室气体盘查表!D60</f>
        <v>各工序</v>
      </c>
      <c r="E79" s="570"/>
      <c r="F79" s="543">
        <f>表1温室气体盘查表!AL60</f>
        <v>216.4113282</v>
      </c>
      <c r="G79" s="543">
        <f>表1温室气体盘查表!AE60</f>
        <v>216.4113282</v>
      </c>
      <c r="H79" s="543">
        <f>表1温室气体盘查表!AF60</f>
        <v>0</v>
      </c>
      <c r="I79" s="543">
        <f>表1温室气体盘查表!AG60</f>
        <v>0</v>
      </c>
      <c r="J79" s="543">
        <f>表1温室气体盘查表!AH60</f>
        <v>0</v>
      </c>
      <c r="K79" s="543">
        <f>表1温室气体盘查表!AI60</f>
        <v>0</v>
      </c>
      <c r="L79" s="543">
        <f>表1温室气体盘查表!AJ60</f>
        <v>0</v>
      </c>
      <c r="M79" s="543">
        <f>表1温室气体盘查表!AK60</f>
        <v>0</v>
      </c>
      <c r="N79" s="453"/>
    </row>
    <row r="80" s="452" customFormat="1" ht="25.15" customHeight="1" spans="1:14">
      <c r="A80" s="453"/>
      <c r="B80" s="567" t="s">
        <v>97</v>
      </c>
      <c r="C80" s="569" t="str">
        <f>表1温室气体盘查表!C61</f>
        <v>其他工业设备制造</v>
      </c>
      <c r="D80" s="569" t="str">
        <f>表1温室气体盘查表!D61</f>
        <v>各工序</v>
      </c>
      <c r="E80" s="570"/>
      <c r="F80" s="543">
        <f>表1温室气体盘查表!AL61</f>
        <v>1153.46638455</v>
      </c>
      <c r="G80" s="543">
        <f>表1温室气体盘查表!AE61</f>
        <v>1153.46638455</v>
      </c>
      <c r="H80" s="543">
        <f>表1温室气体盘查表!AF61</f>
        <v>0</v>
      </c>
      <c r="I80" s="543">
        <f>表1温室气体盘查表!AG61</f>
        <v>0</v>
      </c>
      <c r="J80" s="543">
        <f>表1温室气体盘查表!AH61</f>
        <v>0</v>
      </c>
      <c r="K80" s="543">
        <f>表1温室气体盘查表!AI61</f>
        <v>0</v>
      </c>
      <c r="L80" s="543">
        <f>表1温室气体盘查表!AJ61</f>
        <v>0</v>
      </c>
      <c r="M80" s="543">
        <f>表1温室气体盘查表!AK61</f>
        <v>0</v>
      </c>
      <c r="N80" s="453"/>
    </row>
    <row r="81" s="452" customFormat="1" ht="25.15" customHeight="1" spans="1:14">
      <c r="A81" s="453"/>
      <c r="B81" s="567" t="s">
        <v>98</v>
      </c>
      <c r="C81" s="569" t="str">
        <f>表1温室气体盘查表!C62</f>
        <v>测量和测试电力和电气信号的仪器制造</v>
      </c>
      <c r="D81" s="569" t="str">
        <f>表1温室气体盘查表!D62</f>
        <v>各工序</v>
      </c>
      <c r="E81" s="570"/>
      <c r="F81" s="543">
        <f>表1温室气体盘查表!AL62</f>
        <v>44.31630215</v>
      </c>
      <c r="G81" s="543">
        <f>表1温室气体盘查表!AE62</f>
        <v>44.31630215</v>
      </c>
      <c r="H81" s="543">
        <f>表1温室气体盘查表!AF62</f>
        <v>0</v>
      </c>
      <c r="I81" s="543">
        <f>表1温室气体盘查表!AG62</f>
        <v>0</v>
      </c>
      <c r="J81" s="543">
        <f>表1温室气体盘查表!AH62</f>
        <v>0</v>
      </c>
      <c r="K81" s="543">
        <f>表1温室气体盘查表!AI62</f>
        <v>0</v>
      </c>
      <c r="L81" s="543">
        <f>表1温室气体盘查表!AJ62</f>
        <v>0</v>
      </c>
      <c r="M81" s="543">
        <f>表1温室气体盘查表!AK62</f>
        <v>0</v>
      </c>
      <c r="N81" s="453"/>
    </row>
    <row r="82" s="452" customFormat="1" ht="25.15" customHeight="1" spans="1:14">
      <c r="A82" s="453"/>
      <c r="B82" s="567" t="s">
        <v>99</v>
      </c>
      <c r="C82" s="569" t="str">
        <f>表1温室气体盘查表!C63</f>
        <v>计算机系统设计服务</v>
      </c>
      <c r="D82" s="569" t="str">
        <f>表1温室气体盘查表!D63</f>
        <v>各工序</v>
      </c>
      <c r="E82" s="570"/>
      <c r="F82" s="543">
        <f>表1温室气体盘查表!AL63</f>
        <v>56.22116828</v>
      </c>
      <c r="G82" s="543">
        <f>表1温室气体盘查表!AE63</f>
        <v>56.22116828</v>
      </c>
      <c r="H82" s="543">
        <f>表1温室气体盘查表!AF63</f>
        <v>0</v>
      </c>
      <c r="I82" s="543">
        <f>表1温室气体盘查表!AG63</f>
        <v>0</v>
      </c>
      <c r="J82" s="543">
        <f>表1温室气体盘查表!AH63</f>
        <v>0</v>
      </c>
      <c r="K82" s="543">
        <f>表1温室气体盘查表!AI63</f>
        <v>0</v>
      </c>
      <c r="L82" s="543">
        <f>表1温室气体盘查表!AJ63</f>
        <v>0</v>
      </c>
      <c r="M82" s="543">
        <f>表1温室气体盘查表!AK63</f>
        <v>0</v>
      </c>
      <c r="N82" s="453"/>
    </row>
    <row r="83" s="452" customFormat="1" ht="25.15" customHeight="1" spans="1:14">
      <c r="A83" s="453"/>
      <c r="B83" s="567" t="s">
        <v>100</v>
      </c>
      <c r="C83" s="569" t="str">
        <f>表1温室气体盘查表!C64</f>
        <v>机械动力传动设备制造</v>
      </c>
      <c r="D83" s="569" t="str">
        <f>表1温室气体盘查表!D64</f>
        <v>各工序</v>
      </c>
      <c r="E83" s="570"/>
      <c r="F83" s="543">
        <f>表1温室气体盘查表!AL64</f>
        <v>35.30405219</v>
      </c>
      <c r="G83" s="543">
        <f>表1温室气体盘查表!AE64</f>
        <v>35.30405219</v>
      </c>
      <c r="H83" s="543">
        <f>表1温室气体盘查表!AF64</f>
        <v>0</v>
      </c>
      <c r="I83" s="543">
        <f>表1温室气体盘查表!AG64</f>
        <v>0</v>
      </c>
      <c r="J83" s="543">
        <f>表1温室气体盘查表!AH64</f>
        <v>0</v>
      </c>
      <c r="K83" s="543">
        <f>表1温室气体盘查表!AI64</f>
        <v>0</v>
      </c>
      <c r="L83" s="543">
        <f>表1温室气体盘查表!AJ64</f>
        <v>0</v>
      </c>
      <c r="M83" s="543">
        <f>表1温室气体盘查表!AK64</f>
        <v>0</v>
      </c>
      <c r="N83" s="453"/>
    </row>
    <row r="84" s="452" customFormat="1" ht="25.15" customHeight="1" spans="1:14">
      <c r="A84" s="453"/>
      <c r="B84" s="567" t="s">
        <v>101</v>
      </c>
      <c r="C84" s="569" t="str">
        <f>表1温室气体盘查表!C65</f>
        <v>测量、分配及其他泵类设备制造</v>
      </c>
      <c r="D84" s="569" t="str">
        <f>表1温室气体盘查表!D65</f>
        <v>各工序</v>
      </c>
      <c r="E84" s="570"/>
      <c r="F84" s="543">
        <f>表1温室气体盘查表!AL65</f>
        <v>432.06181985</v>
      </c>
      <c r="G84" s="543">
        <f>表1温室气体盘查表!AE65</f>
        <v>432.06181985</v>
      </c>
      <c r="H84" s="543">
        <f>表1温室气体盘查表!AF65</f>
        <v>0</v>
      </c>
      <c r="I84" s="543">
        <f>表1温室气体盘查表!AG65</f>
        <v>0</v>
      </c>
      <c r="J84" s="543">
        <f>表1温室气体盘查表!AH65</f>
        <v>0</v>
      </c>
      <c r="K84" s="543">
        <f>表1温室气体盘查表!AI65</f>
        <v>0</v>
      </c>
      <c r="L84" s="543">
        <f>表1温室气体盘查表!AJ65</f>
        <v>0</v>
      </c>
      <c r="M84" s="543">
        <f>表1温室气体盘查表!AK65</f>
        <v>0</v>
      </c>
      <c r="N84" s="453"/>
    </row>
    <row r="85" s="452" customFormat="1" ht="25.15" customHeight="1" spans="1:14">
      <c r="A85" s="453"/>
      <c r="B85" s="567" t="s">
        <v>102</v>
      </c>
      <c r="C85" s="569" t="str">
        <f>表1温室气体盘查表!C66</f>
        <v>用于测量、显示和控制工业过程变量的仪器及相关产品制造</v>
      </c>
      <c r="D85" s="569" t="str">
        <f>表1温室气体盘查表!D66</f>
        <v>各工序</v>
      </c>
      <c r="E85" s="570"/>
      <c r="F85" s="543">
        <f>表1温室气体盘查表!AL66</f>
        <v>11.18455254</v>
      </c>
      <c r="G85" s="543">
        <f>表1温室气体盘查表!AE66</f>
        <v>11.18455254</v>
      </c>
      <c r="H85" s="543">
        <f>表1温室气体盘查表!AF66</f>
        <v>0</v>
      </c>
      <c r="I85" s="543">
        <f>表1温室气体盘查表!AG66</f>
        <v>0</v>
      </c>
      <c r="J85" s="543">
        <f>表1温室气体盘查表!AH66</f>
        <v>0</v>
      </c>
      <c r="K85" s="543">
        <f>表1温室气体盘查表!AI66</f>
        <v>0</v>
      </c>
      <c r="L85" s="543">
        <f>表1温室气体盘查表!AJ66</f>
        <v>0</v>
      </c>
      <c r="M85" s="543">
        <f>表1温室气体盘查表!AK66</f>
        <v>0</v>
      </c>
      <c r="N85" s="453"/>
    </row>
    <row r="86" s="452" customFormat="1" ht="25.15" customHeight="1" spans="1:14">
      <c r="A86" s="453"/>
      <c r="B86" s="567" t="s">
        <v>103</v>
      </c>
      <c r="C86" s="569" t="str">
        <f>表1温室气体盘查表!C67</f>
        <v>所有其他杂项电气设备及元件制造</v>
      </c>
      <c r="D86" s="569" t="str">
        <f>表1温室气体盘查表!D67</f>
        <v>各工序</v>
      </c>
      <c r="E86" s="570"/>
      <c r="F86" s="543">
        <f>表1温室气体盘查表!AL67</f>
        <v>555.07219968</v>
      </c>
      <c r="G86" s="543">
        <f>表1温室气体盘查表!AE67</f>
        <v>555.07219968</v>
      </c>
      <c r="H86" s="543">
        <f>表1温室气体盘查表!AF67</f>
        <v>0</v>
      </c>
      <c r="I86" s="543">
        <f>表1温室气体盘查表!AG67</f>
        <v>0</v>
      </c>
      <c r="J86" s="543">
        <f>表1温室气体盘查表!AH67</f>
        <v>0</v>
      </c>
      <c r="K86" s="543">
        <f>表1温室气体盘查表!AI67</f>
        <v>0</v>
      </c>
      <c r="L86" s="543">
        <f>表1温室气体盘查表!AJ67</f>
        <v>0</v>
      </c>
      <c r="M86" s="543">
        <f>表1温室气体盘查表!AK67</f>
        <v>0</v>
      </c>
      <c r="N86" s="453"/>
    </row>
    <row r="87" s="452" customFormat="1" ht="25.15" customHeight="1" spans="1:14">
      <c r="A87" s="453"/>
      <c r="B87" s="567" t="s">
        <v>104</v>
      </c>
      <c r="C87" s="569" t="str">
        <f>表1温室气体盘查表!C68</f>
        <v>所有其他杂项制造</v>
      </c>
      <c r="D87" s="569" t="str">
        <f>表1温室气体盘查表!D68</f>
        <v>各工序</v>
      </c>
      <c r="E87" s="570"/>
      <c r="F87" s="543">
        <f>表1温室气体盘查表!AL68</f>
        <v>49284.31205698</v>
      </c>
      <c r="G87" s="543">
        <f>表1温室气体盘查表!AE68</f>
        <v>49284.31205698</v>
      </c>
      <c r="H87" s="543">
        <f>表1温室气体盘查表!AF68</f>
        <v>0</v>
      </c>
      <c r="I87" s="543">
        <f>表1温室气体盘查表!AG68</f>
        <v>0</v>
      </c>
      <c r="J87" s="543">
        <f>表1温室气体盘查表!AH68</f>
        <v>0</v>
      </c>
      <c r="K87" s="543">
        <f>表1温室气体盘查表!AI68</f>
        <v>0</v>
      </c>
      <c r="L87" s="543">
        <f>表1温室气体盘查表!AJ68</f>
        <v>0</v>
      </c>
      <c r="M87" s="543">
        <f>表1温室气体盘查表!AK68</f>
        <v>0</v>
      </c>
      <c r="N87" s="453"/>
    </row>
    <row r="88" s="452" customFormat="1" ht="25.15" customHeight="1" spans="1:14">
      <c r="A88" s="453"/>
      <c r="B88" s="571"/>
      <c r="C88" s="570"/>
      <c r="D88" s="572"/>
      <c r="E88" s="570"/>
      <c r="F88" s="573"/>
      <c r="G88" s="573"/>
      <c r="H88" s="573"/>
      <c r="I88" s="573"/>
      <c r="J88" s="573"/>
      <c r="K88" s="573"/>
      <c r="L88" s="573"/>
      <c r="M88" s="573"/>
      <c r="N88" s="453"/>
    </row>
    <row r="89" s="450" customFormat="1" ht="25.15" customHeight="1" spans="1:14">
      <c r="A89" s="474"/>
      <c r="B89" s="562" t="s">
        <v>105</v>
      </c>
      <c r="C89" s="574" t="str">
        <f>表1温室气体盘查表!B70</f>
        <v>范围一、二相关燃料和能源相关的活动产生的排放</v>
      </c>
      <c r="D89" s="564"/>
      <c r="E89" s="565"/>
      <c r="F89" s="553">
        <f>SUM(G89:M89)</f>
        <v>2016736.07196272</v>
      </c>
      <c r="G89" s="553">
        <f>SUM(G90:G99)</f>
        <v>2016736.07196272</v>
      </c>
      <c r="H89" s="553">
        <f t="shared" ref="H89:M89" si="10">SUM(H91:H98)</f>
        <v>0</v>
      </c>
      <c r="I89" s="553">
        <f t="shared" si="10"/>
        <v>0</v>
      </c>
      <c r="J89" s="553">
        <f t="shared" si="10"/>
        <v>0</v>
      </c>
      <c r="K89" s="553">
        <f t="shared" si="10"/>
        <v>0</v>
      </c>
      <c r="L89" s="553">
        <f t="shared" si="10"/>
        <v>0</v>
      </c>
      <c r="M89" s="553">
        <f t="shared" si="10"/>
        <v>0</v>
      </c>
    </row>
    <row r="90" s="450" customFormat="1" ht="25.15" customHeight="1" spans="1:14">
      <c r="A90" s="474"/>
      <c r="B90" s="567" t="s">
        <v>106</v>
      </c>
      <c r="C90" s="568" t="str">
        <f>表1温室气体盘查表!C69</f>
        <v>液化石油气生产</v>
      </c>
      <c r="D90" s="569" t="str">
        <f>表1温室气体盘查表!D69</f>
        <v>冶钢宾馆</v>
      </c>
      <c r="E90" s="557"/>
      <c r="F90" s="543">
        <f>表1温室气体盘查表!AL69</f>
        <v>9.44845804628386</v>
      </c>
      <c r="G90" s="543">
        <f>表1温室气体盘查表!AE69</f>
        <v>9.44845804628386</v>
      </c>
      <c r="H90" s="543">
        <f>表1温室气体盘查表!AF69</f>
        <v>0</v>
      </c>
      <c r="I90" s="543">
        <f>表1温室气体盘查表!AG69</f>
        <v>0</v>
      </c>
      <c r="J90" s="543">
        <f>表1温室气体盘查表!AH69</f>
        <v>0</v>
      </c>
      <c r="K90" s="543">
        <f>表1温室气体盘查表!AI69</f>
        <v>0</v>
      </c>
      <c r="L90" s="543">
        <f>表1温室气体盘查表!AJ69</f>
        <v>0</v>
      </c>
      <c r="M90" s="543">
        <f>表1温室气体盘查表!AK69</f>
        <v>0</v>
      </c>
    </row>
    <row r="91" s="450" customFormat="1" ht="25.15" customHeight="1" spans="1:14">
      <c r="A91" s="474"/>
      <c r="B91" s="567" t="s">
        <v>107</v>
      </c>
      <c r="C91" s="568" t="str">
        <f>表1温室气体盘查表!C70</f>
        <v>洗精煤生产</v>
      </c>
      <c r="D91" s="569" t="str">
        <f>表1温室气体盘查表!D70</f>
        <v>焦化</v>
      </c>
      <c r="E91" s="570"/>
      <c r="F91" s="543">
        <f>表1温室气体盘查表!AL70</f>
        <v>1120352.4211275</v>
      </c>
      <c r="G91" s="543">
        <f>表1温室气体盘查表!AE70</f>
        <v>1120352.4211275</v>
      </c>
      <c r="H91" s="543">
        <f>表1温室气体盘查表!AF70</f>
        <v>0</v>
      </c>
      <c r="I91" s="543">
        <f>表1温室气体盘查表!AG70</f>
        <v>0</v>
      </c>
      <c r="J91" s="543">
        <f>表1温室气体盘查表!AH70</f>
        <v>0</v>
      </c>
      <c r="K91" s="543">
        <f>表1温室气体盘查表!AI70</f>
        <v>0</v>
      </c>
      <c r="L91" s="543">
        <f>表1温室气体盘查表!AJ70</f>
        <v>0</v>
      </c>
      <c r="M91" s="543">
        <f>表1温室气体盘查表!AK70</f>
        <v>0</v>
      </c>
    </row>
    <row r="92" s="450" customFormat="1" ht="25.15" customHeight="1" spans="1:14">
      <c r="A92" s="474"/>
      <c r="B92" s="567" t="s">
        <v>108</v>
      </c>
      <c r="C92" s="568" t="str">
        <f>表1温室气体盘查表!C71</f>
        <v>柴油生产</v>
      </c>
      <c r="D92" s="569" t="str">
        <f>表1温室气体盘查表!D71</f>
        <v>各工序</v>
      </c>
      <c r="E92" s="453"/>
      <c r="F92" s="543">
        <f>表1温室气体盘查表!AL71</f>
        <v>1182.2270044</v>
      </c>
      <c r="G92" s="543">
        <f>表1温室气体盘查表!AE71</f>
        <v>1182.2270044</v>
      </c>
      <c r="H92" s="543">
        <f>表1温室气体盘查表!AF71</f>
        <v>0</v>
      </c>
      <c r="I92" s="543">
        <f>表1温室气体盘查表!AG71</f>
        <v>0</v>
      </c>
      <c r="J92" s="543">
        <f>表1温室气体盘查表!AH71</f>
        <v>0</v>
      </c>
      <c r="K92" s="543">
        <f>表1温室气体盘查表!AI71</f>
        <v>0</v>
      </c>
      <c r="L92" s="543">
        <f>表1温室气体盘查表!AJ71</f>
        <v>0</v>
      </c>
      <c r="M92" s="543">
        <f>表1温室气体盘查表!AK71</f>
        <v>0</v>
      </c>
    </row>
    <row r="93" s="450" customFormat="1" ht="25.15" customHeight="1" spans="1:14">
      <c r="A93" s="474"/>
      <c r="B93" s="567" t="s">
        <v>109</v>
      </c>
      <c r="C93" s="568" t="str">
        <f>表1温室气体盘查表!C72</f>
        <v>汽油生产</v>
      </c>
      <c r="D93" s="569" t="str">
        <f>表1温室气体盘查表!D72</f>
        <v>车队</v>
      </c>
      <c r="E93" s="453"/>
      <c r="F93" s="543">
        <f>表1温室气体盘查表!AL72</f>
        <v>48.4384247743095</v>
      </c>
      <c r="G93" s="543">
        <f>表1温室气体盘查表!AE72</f>
        <v>48.4384247743095</v>
      </c>
      <c r="H93" s="543">
        <f>表1温室气体盘查表!AF72</f>
        <v>0</v>
      </c>
      <c r="I93" s="543">
        <f>表1温室气体盘查表!AG72</f>
        <v>0</v>
      </c>
      <c r="J93" s="543">
        <f>表1温室气体盘查表!AH72</f>
        <v>0</v>
      </c>
      <c r="K93" s="543">
        <f>表1温室气体盘查表!AI72</f>
        <v>0</v>
      </c>
      <c r="L93" s="543">
        <f>表1温室气体盘查表!AJ72</f>
        <v>0</v>
      </c>
      <c r="M93" s="543">
        <f>表1温室气体盘查表!AK72</f>
        <v>0</v>
      </c>
    </row>
    <row r="94" s="450" customFormat="1" ht="25.15" customHeight="1" spans="1:14">
      <c r="A94" s="474"/>
      <c r="B94" s="567" t="s">
        <v>110</v>
      </c>
      <c r="C94" s="568" t="str">
        <f>表1温室气体盘查表!C73</f>
        <v>焦炭生产</v>
      </c>
      <c r="D94" s="569" t="str">
        <f>表1温室气体盘查表!D73</f>
        <v>烧结、高炉</v>
      </c>
      <c r="E94" s="453"/>
      <c r="F94" s="543">
        <f>表1温室气体盘查表!AL73</f>
        <v>184347.32152</v>
      </c>
      <c r="G94" s="543">
        <f>表1温室气体盘查表!AE73</f>
        <v>184347.32152</v>
      </c>
      <c r="H94" s="543">
        <f>表1温室气体盘查表!AF73</f>
        <v>0</v>
      </c>
      <c r="I94" s="543">
        <f>表1温室气体盘查表!AG73</f>
        <v>0</v>
      </c>
      <c r="J94" s="543">
        <f>表1温室气体盘查表!AH73</f>
        <v>0</v>
      </c>
      <c r="K94" s="543">
        <f>表1温室气体盘查表!AI73</f>
        <v>0</v>
      </c>
      <c r="L94" s="543">
        <f>表1温室气体盘查表!AJ73</f>
        <v>0</v>
      </c>
      <c r="M94" s="543">
        <f>表1温室气体盘查表!AK73</f>
        <v>0</v>
      </c>
    </row>
    <row r="95" s="450" customFormat="1" ht="25.15" customHeight="1" spans="1:14">
      <c r="A95" s="474"/>
      <c r="B95" s="567" t="s">
        <v>111</v>
      </c>
      <c r="C95" s="568" t="str">
        <f>表1温室气体盘查表!C74</f>
        <v>焦屑生产</v>
      </c>
      <c r="D95" s="569" t="str">
        <f>表1温室气体盘查表!D74</f>
        <v>烧结、高炉</v>
      </c>
      <c r="E95" s="453"/>
      <c r="F95" s="543">
        <f>表1温室气体盘查表!AL74</f>
        <v>152835.1658</v>
      </c>
      <c r="G95" s="543">
        <f>表1温室气体盘查表!AE74</f>
        <v>152835.1658</v>
      </c>
      <c r="H95" s="543">
        <f>表1温室气体盘查表!AF74</f>
        <v>0</v>
      </c>
      <c r="I95" s="543">
        <f>表1温室气体盘查表!AG74</f>
        <v>0</v>
      </c>
      <c r="J95" s="543">
        <f>表1温室气体盘查表!AH74</f>
        <v>0</v>
      </c>
      <c r="K95" s="543">
        <f>表1温室气体盘查表!AI74</f>
        <v>0</v>
      </c>
      <c r="L95" s="543">
        <f>表1温室气体盘查表!AJ74</f>
        <v>0</v>
      </c>
      <c r="M95" s="543">
        <f>表1温室气体盘查表!AK74</f>
        <v>0</v>
      </c>
    </row>
    <row r="96" s="450" customFormat="1" ht="25.15" customHeight="1" spans="1:14">
      <c r="A96" s="474"/>
      <c r="B96" s="567" t="s">
        <v>112</v>
      </c>
      <c r="C96" s="568" t="str">
        <f>表1温室气体盘查表!C75</f>
        <v>烟煤生产</v>
      </c>
      <c r="D96" s="569" t="str">
        <f>表1温室气体盘查表!D75</f>
        <v>高炉</v>
      </c>
      <c r="E96" s="570"/>
      <c r="F96" s="543">
        <f>表1温室气体盘查表!AL75</f>
        <v>229690.010538</v>
      </c>
      <c r="G96" s="543">
        <f>表1温室气体盘查表!AE75</f>
        <v>229690.010538</v>
      </c>
      <c r="H96" s="543">
        <f>表1温室气体盘查表!AF75</f>
        <v>0</v>
      </c>
      <c r="I96" s="543">
        <f>表1温室气体盘查表!AG75</f>
        <v>0</v>
      </c>
      <c r="J96" s="543">
        <f>表1温室气体盘查表!AH75</f>
        <v>0</v>
      </c>
      <c r="K96" s="543">
        <f>表1温室气体盘查表!AI75</f>
        <v>0</v>
      </c>
      <c r="L96" s="543">
        <f>表1温室气体盘查表!AJ75</f>
        <v>0</v>
      </c>
      <c r="M96" s="543">
        <f>表1温室气体盘查表!AK75</f>
        <v>0</v>
      </c>
    </row>
    <row r="97" s="450" customFormat="1" ht="25.15" customHeight="1" spans="1:13">
      <c r="A97" s="474"/>
      <c r="B97" s="567" t="s">
        <v>113</v>
      </c>
      <c r="C97" s="568" t="str">
        <f>表1温室气体盘查表!C76</f>
        <v>无烟煤生产</v>
      </c>
      <c r="D97" s="569" t="str">
        <f>表1温室气体盘查表!D76</f>
        <v>烧结、高炉</v>
      </c>
      <c r="E97" s="570"/>
      <c r="F97" s="543">
        <f>表1温室气体盘查表!AL76</f>
        <v>149948.237187</v>
      </c>
      <c r="G97" s="543">
        <f>表1温室气体盘查表!AE76</f>
        <v>149948.237187</v>
      </c>
      <c r="H97" s="543">
        <f>表1温室气体盘查表!AF76</f>
        <v>0</v>
      </c>
      <c r="I97" s="543">
        <f>表1温室气体盘查表!AG76</f>
        <v>0</v>
      </c>
      <c r="J97" s="543">
        <f>表1温室气体盘查表!AH76</f>
        <v>0</v>
      </c>
      <c r="K97" s="543">
        <f>表1温室气体盘查表!AI76</f>
        <v>0</v>
      </c>
      <c r="L97" s="543">
        <f>表1温室气体盘查表!AJ76</f>
        <v>0</v>
      </c>
      <c r="M97" s="543">
        <f>表1温室气体盘查表!AK76</f>
        <v>0</v>
      </c>
    </row>
    <row r="98" s="450" customFormat="1" ht="25.15" customHeight="1" spans="1:13">
      <c r="A98" s="474"/>
      <c r="B98" s="567" t="s">
        <v>114</v>
      </c>
      <c r="C98" s="568" t="str">
        <f>表1温室气体盘查表!C77</f>
        <v>天然气生产</v>
      </c>
      <c r="D98" s="569" t="str">
        <f>表1温室气体盘查表!D77</f>
        <v>转炉、电炉、锻造、热处理</v>
      </c>
      <c r="E98" s="570"/>
      <c r="F98" s="543">
        <f>表1温室气体盘查表!AL77</f>
        <v>11120.2731</v>
      </c>
      <c r="G98" s="543">
        <f>表1温室气体盘查表!AE77</f>
        <v>11120.2731</v>
      </c>
      <c r="H98" s="543">
        <f>表1温室气体盘查表!AF77</f>
        <v>0</v>
      </c>
      <c r="I98" s="543">
        <f>表1温室气体盘查表!AG77</f>
        <v>0</v>
      </c>
      <c r="J98" s="543">
        <f>表1温室气体盘查表!AH77</f>
        <v>0</v>
      </c>
      <c r="K98" s="543">
        <f>表1温室气体盘查表!AI77</f>
        <v>0</v>
      </c>
      <c r="L98" s="543">
        <f>表1温室气体盘查表!AJ77</f>
        <v>0</v>
      </c>
      <c r="M98" s="543">
        <f>表1温室气体盘查表!AK77</f>
        <v>0</v>
      </c>
    </row>
    <row r="99" s="450" customFormat="1" ht="25.15" customHeight="1" spans="1:13">
      <c r="A99" s="474"/>
      <c r="B99" s="567" t="s">
        <v>115</v>
      </c>
      <c r="C99" s="568" t="str">
        <f>表1温室气体盘查表!C78</f>
        <v>外购电力上游排放</v>
      </c>
      <c r="D99" s="569" t="str">
        <f>表1温室气体盘查表!D78</f>
        <v>各工序</v>
      </c>
      <c r="E99" s="570"/>
      <c r="F99" s="543">
        <f>表1温室气体盘查表!AL78</f>
        <v>167202.528803</v>
      </c>
      <c r="G99" s="543">
        <f>表1温室气体盘查表!AE78</f>
        <v>167202.528803</v>
      </c>
      <c r="H99" s="543">
        <f>表1温室气体盘查表!AF78</f>
        <v>0</v>
      </c>
      <c r="I99" s="543">
        <f>表1温室气体盘查表!AG78</f>
        <v>0</v>
      </c>
      <c r="J99" s="543">
        <f>表1温室气体盘查表!AH78</f>
        <v>0</v>
      </c>
      <c r="K99" s="543">
        <f>表1温室气体盘查表!AI78</f>
        <v>0</v>
      </c>
      <c r="L99" s="543">
        <f>表1温室气体盘查表!AJ78</f>
        <v>0</v>
      </c>
      <c r="M99" s="543">
        <f>表1温室气体盘查表!AK78</f>
        <v>0</v>
      </c>
    </row>
    <row r="100" s="450" customFormat="1" ht="25.15" customHeight="1" spans="1:13">
      <c r="A100" s="474"/>
      <c r="B100" s="575"/>
      <c r="C100" s="576"/>
      <c r="D100" s="576"/>
      <c r="E100" s="453"/>
      <c r="F100" s="453"/>
      <c r="G100" s="577"/>
      <c r="H100" s="577"/>
      <c r="I100" s="577"/>
      <c r="J100" s="577"/>
      <c r="K100" s="577"/>
      <c r="L100" s="577"/>
      <c r="M100" s="577"/>
    </row>
    <row r="101" s="450" customFormat="1" ht="25.15" customHeight="1" spans="1:13">
      <c r="A101" s="474"/>
      <c r="B101" s="578" t="s">
        <v>116</v>
      </c>
      <c r="C101" s="579" t="str">
        <f>表1温室气体盘查表!B79</f>
        <v>上游运输配送产生的排放</v>
      </c>
      <c r="D101" s="580"/>
      <c r="E101" s="581"/>
      <c r="F101" s="582">
        <f>SUM(G101:M101)</f>
        <v>362284.252670301</v>
      </c>
      <c r="G101" s="582">
        <f>SUM(G102:G104)</f>
        <v>362284.252670301</v>
      </c>
      <c r="H101" s="582">
        <f t="shared" ref="H101:M101" si="11">SUM(H102:H104)</f>
        <v>0</v>
      </c>
      <c r="I101" s="582">
        <f t="shared" si="11"/>
        <v>0</v>
      </c>
      <c r="J101" s="582">
        <f t="shared" si="11"/>
        <v>0</v>
      </c>
      <c r="K101" s="582">
        <f t="shared" si="11"/>
        <v>0</v>
      </c>
      <c r="L101" s="582">
        <f t="shared" si="11"/>
        <v>0</v>
      </c>
      <c r="M101" s="582">
        <f t="shared" si="11"/>
        <v>0</v>
      </c>
    </row>
    <row r="102" s="450" customFormat="1" ht="25.15" customHeight="1" spans="1:13">
      <c r="A102" s="474"/>
      <c r="B102" s="541" t="s">
        <v>117</v>
      </c>
      <c r="C102" s="542" t="str">
        <f>表1温室气体盘查表!C79</f>
        <v>船运</v>
      </c>
      <c r="D102" s="548" t="str">
        <f>表1温室气体盘查表!D79</f>
        <v>-</v>
      </c>
      <c r="F102" s="543">
        <f>表1温室气体盘查表!AL79</f>
        <v>256608.969086949</v>
      </c>
      <c r="G102" s="543">
        <f>表1温室气体盘查表!AE79</f>
        <v>256608.969086949</v>
      </c>
      <c r="H102" s="543">
        <f>表1温室气体盘查表!AF79</f>
        <v>0</v>
      </c>
      <c r="I102" s="543">
        <f>表1温室气体盘查表!AG79</f>
        <v>0</v>
      </c>
      <c r="J102" s="543">
        <f>表1温室气体盘查表!AH79</f>
        <v>0</v>
      </c>
      <c r="K102" s="543">
        <f>表1温室气体盘查表!AI79</f>
        <v>0</v>
      </c>
      <c r="L102" s="543">
        <f>表1温室气体盘查表!AJ79</f>
        <v>0</v>
      </c>
      <c r="M102" s="543">
        <f>表1温室气体盘查表!AK79</f>
        <v>0</v>
      </c>
    </row>
    <row r="103" s="450" customFormat="1" ht="25.15" customHeight="1" spans="1:13">
      <c r="A103" s="474"/>
      <c r="B103" s="541" t="s">
        <v>118</v>
      </c>
      <c r="C103" s="542" t="str">
        <f>表1温室气体盘查表!C80</f>
        <v>汽运</v>
      </c>
      <c r="D103" s="548" t="str">
        <f>表1温室气体盘查表!D80</f>
        <v>-</v>
      </c>
      <c r="F103" s="543">
        <f>表1温室气体盘查表!AL80</f>
        <v>46150.5118723241</v>
      </c>
      <c r="G103" s="543">
        <f>表1温室气体盘查表!AE80</f>
        <v>46150.5118723241</v>
      </c>
      <c r="H103" s="543">
        <f>表1温室气体盘查表!AF80</f>
        <v>0</v>
      </c>
      <c r="I103" s="543">
        <f>表1温室气体盘查表!AG80</f>
        <v>0</v>
      </c>
      <c r="J103" s="543">
        <f>表1温室气体盘查表!AH80</f>
        <v>0</v>
      </c>
      <c r="K103" s="543">
        <f>表1温室气体盘查表!AI80</f>
        <v>0</v>
      </c>
      <c r="L103" s="543">
        <f>表1温室气体盘查表!AJ80</f>
        <v>0</v>
      </c>
      <c r="M103" s="543">
        <f>表1温室气体盘查表!AK80</f>
        <v>0</v>
      </c>
    </row>
    <row r="104" s="450" customFormat="1" ht="25.15" customHeight="1" spans="1:13">
      <c r="A104" s="474"/>
      <c r="B104" s="541" t="s">
        <v>119</v>
      </c>
      <c r="C104" s="542" t="str">
        <f>表1温室气体盘查表!C81</f>
        <v>铁路运输</v>
      </c>
      <c r="D104" s="548" t="str">
        <f>表1温室气体盘查表!D81</f>
        <v>-</v>
      </c>
      <c r="F104" s="543">
        <f>表1温室气体盘查表!AL81</f>
        <v>59524.7717110272</v>
      </c>
      <c r="G104" s="543">
        <f>表1温室气体盘查表!AE81</f>
        <v>59524.7717110272</v>
      </c>
      <c r="H104" s="543">
        <f>表1温室气体盘查表!AF81</f>
        <v>0</v>
      </c>
      <c r="I104" s="543">
        <f>表1温室气体盘查表!AG81</f>
        <v>0</v>
      </c>
      <c r="J104" s="543">
        <f>表1温室气体盘查表!AH81</f>
        <v>0</v>
      </c>
      <c r="K104" s="543">
        <f>表1温室气体盘查表!AI81</f>
        <v>0</v>
      </c>
      <c r="L104" s="543">
        <f>表1温室气体盘查表!AJ81</f>
        <v>0</v>
      </c>
      <c r="M104" s="543">
        <f>表1温室气体盘查表!AK81</f>
        <v>0</v>
      </c>
    </row>
    <row r="105" s="450" customFormat="1" ht="25.15" customHeight="1" spans="1:13">
      <c r="A105" s="474"/>
      <c r="B105" s="583"/>
      <c r="C105" s="584"/>
      <c r="D105" s="584"/>
      <c r="E105" s="452"/>
      <c r="F105" s="585"/>
      <c r="G105" s="585"/>
      <c r="H105" s="585"/>
      <c r="I105" s="585"/>
      <c r="J105" s="585"/>
      <c r="K105" s="585"/>
      <c r="L105" s="585"/>
      <c r="M105" s="585"/>
    </row>
    <row r="106" s="450" customFormat="1" ht="25.15" customHeight="1" spans="1:13">
      <c r="A106" s="474"/>
      <c r="B106" s="578" t="s">
        <v>120</v>
      </c>
      <c r="C106" s="579" t="str">
        <f>表1温室气体盘查表!B82</f>
        <v>运营中产生的废物排放</v>
      </c>
      <c r="D106" s="580"/>
      <c r="E106" s="581"/>
      <c r="F106" s="553">
        <f>SUM(G106:M106)</f>
        <v>147636.031876224</v>
      </c>
      <c r="G106" s="553">
        <f>SUM(G107:G111)</f>
        <v>147636.031876224</v>
      </c>
      <c r="H106" s="553">
        <f t="shared" ref="H106:M106" si="12">SUM(H107)</f>
        <v>0</v>
      </c>
      <c r="I106" s="553">
        <f t="shared" si="12"/>
        <v>0</v>
      </c>
      <c r="J106" s="553">
        <f t="shared" si="12"/>
        <v>0</v>
      </c>
      <c r="K106" s="553">
        <f t="shared" si="12"/>
        <v>0</v>
      </c>
      <c r="L106" s="553">
        <f t="shared" si="12"/>
        <v>0</v>
      </c>
      <c r="M106" s="553">
        <f t="shared" si="12"/>
        <v>0</v>
      </c>
    </row>
    <row r="107" s="450" customFormat="1" ht="25.15" customHeight="1" spans="1:13">
      <c r="A107" s="474"/>
      <c r="B107" s="541" t="s">
        <v>121</v>
      </c>
      <c r="C107" s="542" t="str">
        <f>表1温室气体盘查表!C82</f>
        <v>生活垃圾和厨余垃圾</v>
      </c>
      <c r="D107" s="542" t="str">
        <f>表1温室气体盘查表!D82</f>
        <v>垃圾站</v>
      </c>
      <c r="F107" s="543">
        <f>表1温室气体盘查表!AL82</f>
        <v>969.241929689684</v>
      </c>
      <c r="G107" s="543">
        <f>表1温室气体盘查表!AE82</f>
        <v>969.241929689684</v>
      </c>
      <c r="H107" s="543">
        <f>表1温室气体盘查表!AF82</f>
        <v>0</v>
      </c>
      <c r="I107" s="543">
        <f>表1温室气体盘查表!AG82</f>
        <v>0</v>
      </c>
      <c r="J107" s="543">
        <f>表1温室气体盘查表!AH82</f>
        <v>0</v>
      </c>
      <c r="K107" s="543">
        <f>表1温室气体盘查表!AI82</f>
        <v>0</v>
      </c>
      <c r="L107" s="543">
        <f>表1温室气体盘查表!AJ82</f>
        <v>0</v>
      </c>
      <c r="M107" s="543">
        <f>表1温室气体盘查表!AK82</f>
        <v>0</v>
      </c>
    </row>
    <row r="108" s="450" customFormat="1" ht="25.15" customHeight="1" spans="1:13">
      <c r="A108" s="474"/>
      <c r="B108" s="541" t="s">
        <v>122</v>
      </c>
      <c r="C108" s="542" t="str">
        <f>表1温室气体盘查表!C83</f>
        <v>废油</v>
      </c>
      <c r="D108" s="542" t="str">
        <f>表1温室气体盘查表!D83</f>
        <v>-</v>
      </c>
      <c r="F108" s="543">
        <f>表1温室气体盘查表!AL83</f>
        <v>104.702845570361</v>
      </c>
      <c r="G108" s="543">
        <f>表1温室气体盘查表!AE83</f>
        <v>104.702845570361</v>
      </c>
      <c r="H108" s="543">
        <f>表1温室气体盘查表!AF83</f>
        <v>0</v>
      </c>
      <c r="I108" s="543">
        <f>表1温室气体盘查表!AG83</f>
        <v>0</v>
      </c>
      <c r="J108" s="543">
        <f>表1温室气体盘查表!AH83</f>
        <v>0</v>
      </c>
      <c r="K108" s="543">
        <f>表1温室气体盘查表!AI83</f>
        <v>0</v>
      </c>
      <c r="L108" s="543">
        <f>表1温室气体盘查表!AJ83</f>
        <v>0</v>
      </c>
      <c r="M108" s="543">
        <f>表1温室气体盘查表!AK83</f>
        <v>0</v>
      </c>
    </row>
    <row r="109" s="450" customFormat="1" ht="25.15" customHeight="1" spans="1:13">
      <c r="A109" s="474"/>
      <c r="B109" s="541" t="s">
        <v>123</v>
      </c>
      <c r="C109" s="542" t="str">
        <f>表1温室气体盘查表!C84</f>
        <v>废油水</v>
      </c>
      <c r="D109" s="542" t="str">
        <f>表1温室气体盘查表!D84</f>
        <v>-</v>
      </c>
      <c r="F109" s="543">
        <f>表1温室气体盘查表!AL84</f>
        <v>653.858586623069</v>
      </c>
      <c r="G109" s="543">
        <f>表1温室气体盘查表!AE84</f>
        <v>653.858586623069</v>
      </c>
      <c r="H109" s="543">
        <f>表1温室气体盘查表!AF84</f>
        <v>0</v>
      </c>
      <c r="I109" s="543">
        <f>表1温室气体盘查表!AG84</f>
        <v>0</v>
      </c>
      <c r="J109" s="543">
        <f>表1温室气体盘查表!AH84</f>
        <v>0</v>
      </c>
      <c r="K109" s="543">
        <f>表1温室气体盘查表!AI84</f>
        <v>0</v>
      </c>
      <c r="L109" s="543">
        <f>表1温室气体盘查表!AJ84</f>
        <v>0</v>
      </c>
      <c r="M109" s="543">
        <f>表1温室气体盘查表!AK84</f>
        <v>0</v>
      </c>
    </row>
    <row r="110" s="450" customFormat="1" ht="25.15" customHeight="1" spans="1:13">
      <c r="A110" s="474"/>
      <c r="B110" s="541" t="s">
        <v>124</v>
      </c>
      <c r="C110" s="542" t="str">
        <f>表1温室气体盘查表!C85</f>
        <v>煤焦油</v>
      </c>
      <c r="D110" s="542" t="str">
        <f>表1温室气体盘查表!D85</f>
        <v>-</v>
      </c>
      <c r="F110" s="543">
        <f>表1温室气体盘查表!AL85</f>
        <v>145058.803127058</v>
      </c>
      <c r="G110" s="543">
        <f>表1温室气体盘查表!AE85</f>
        <v>145058.803127058</v>
      </c>
      <c r="H110" s="543">
        <f>表1温室气体盘查表!AF85</f>
        <v>0</v>
      </c>
      <c r="I110" s="543">
        <f>表1温室气体盘查表!AG85</f>
        <v>0</v>
      </c>
      <c r="J110" s="543">
        <f>表1温室气体盘查表!AH85</f>
        <v>0</v>
      </c>
      <c r="K110" s="543">
        <f>表1温室气体盘查表!AI85</f>
        <v>0</v>
      </c>
      <c r="L110" s="543">
        <f>表1温室气体盘查表!AJ85</f>
        <v>0</v>
      </c>
      <c r="M110" s="543">
        <f>表1温室气体盘查表!AK85</f>
        <v>0</v>
      </c>
    </row>
    <row r="111" s="450" customFormat="1" ht="25.15" customHeight="1" spans="1:13">
      <c r="A111" s="474"/>
      <c r="B111" s="541" t="s">
        <v>125</v>
      </c>
      <c r="C111" s="542" t="str">
        <f>表1温室气体盘查表!C86</f>
        <v>废弃物运输</v>
      </c>
      <c r="D111" s="542" t="str">
        <f>表1温室气体盘查表!D86</f>
        <v>-</v>
      </c>
      <c r="F111" s="543">
        <f>表1温室气体盘查表!AL86</f>
        <v>849.425387283242</v>
      </c>
      <c r="G111" s="543">
        <f>表1温室气体盘查表!AE86</f>
        <v>849.425387283242</v>
      </c>
      <c r="H111" s="543">
        <f>表1温室气体盘查表!AF86</f>
        <v>0</v>
      </c>
      <c r="I111" s="543">
        <f>表1温室气体盘查表!AG86</f>
        <v>0</v>
      </c>
      <c r="J111" s="543">
        <f>表1温室气体盘查表!AH86</f>
        <v>0</v>
      </c>
      <c r="K111" s="543">
        <f>表1温室气体盘查表!AI86</f>
        <v>0</v>
      </c>
      <c r="L111" s="543">
        <f>表1温室气体盘查表!AJ86</f>
        <v>0</v>
      </c>
      <c r="M111" s="543">
        <f>表1温室气体盘查表!AK86</f>
        <v>0</v>
      </c>
    </row>
    <row r="112" s="450" customFormat="1" ht="25.15" customHeight="1" spans="1:13">
      <c r="A112" s="474"/>
      <c r="B112" s="583"/>
      <c r="C112" s="584"/>
      <c r="D112" s="584"/>
      <c r="E112" s="452"/>
      <c r="F112" s="585"/>
      <c r="G112" s="585"/>
      <c r="H112" s="585"/>
      <c r="I112" s="585"/>
      <c r="J112" s="585"/>
      <c r="K112" s="585"/>
      <c r="L112" s="585"/>
      <c r="M112" s="585"/>
    </row>
    <row r="113" s="450" customFormat="1" ht="25.15" customHeight="1" spans="1:13">
      <c r="A113" s="474"/>
      <c r="B113" s="578" t="s">
        <v>126</v>
      </c>
      <c r="C113" s="579" t="str">
        <f>表1温室气体盘查表!B87</f>
        <v>商务旅行产生的排放</v>
      </c>
      <c r="D113" s="580"/>
      <c r="E113" s="581"/>
      <c r="F113" s="553">
        <f>SUM(G113:M113)</f>
        <v>1670.17345373528</v>
      </c>
      <c r="G113" s="553">
        <f>SUM(G114:G116)</f>
        <v>1670.17345373528</v>
      </c>
      <c r="H113" s="553">
        <f t="shared" ref="H113:M113" si="13">SUM(H114:H115)</f>
        <v>0</v>
      </c>
      <c r="I113" s="553">
        <f t="shared" si="13"/>
        <v>0</v>
      </c>
      <c r="J113" s="553">
        <f t="shared" si="13"/>
        <v>0</v>
      </c>
      <c r="K113" s="553">
        <f t="shared" si="13"/>
        <v>0</v>
      </c>
      <c r="L113" s="553">
        <f t="shared" si="13"/>
        <v>0</v>
      </c>
      <c r="M113" s="553">
        <f t="shared" si="13"/>
        <v>0</v>
      </c>
    </row>
    <row r="114" s="450" customFormat="1" ht="25.15" customHeight="1" spans="1:13">
      <c r="A114" s="474"/>
      <c r="B114" s="567" t="s">
        <v>127</v>
      </c>
      <c r="C114" s="568" t="str">
        <f>表1温室气体盘查表!C87</f>
        <v>航运</v>
      </c>
      <c r="D114" s="586" t="str">
        <f>表1温室气体盘查表!D87</f>
        <v>-</v>
      </c>
      <c r="E114" s="453"/>
      <c r="F114" s="543">
        <f>表1温室气体盘查表!AL87</f>
        <v>327.76098852</v>
      </c>
      <c r="G114" s="543">
        <f>表1温室气体盘查表!AE87</f>
        <v>327.76098852</v>
      </c>
      <c r="H114" s="543">
        <f>表1温室气体盘查表!AF87</f>
        <v>0</v>
      </c>
      <c r="I114" s="543">
        <f>表1温室气体盘查表!AG87</f>
        <v>0</v>
      </c>
      <c r="J114" s="543">
        <f>表1温室气体盘查表!AH87</f>
        <v>0</v>
      </c>
      <c r="K114" s="543">
        <f>表1温室气体盘查表!AI87</f>
        <v>0</v>
      </c>
      <c r="L114" s="543">
        <f>表1温室气体盘查表!AJ87</f>
        <v>0</v>
      </c>
      <c r="M114" s="543">
        <f>表1温室气体盘查表!AK87</f>
        <v>0</v>
      </c>
    </row>
    <row r="115" s="450" customFormat="1" ht="25.15" customHeight="1" spans="1:13">
      <c r="A115" s="474"/>
      <c r="B115" s="567" t="s">
        <v>128</v>
      </c>
      <c r="C115" s="568" t="str">
        <f>表1温室气体盘查表!C88</f>
        <v>铁路运输</v>
      </c>
      <c r="D115" s="586" t="str">
        <f>表1温室气体盘查表!D88</f>
        <v>-</v>
      </c>
      <c r="E115" s="453"/>
      <c r="F115" s="543">
        <f>表1温室气体盘查表!AL88</f>
        <v>619.787965215283</v>
      </c>
      <c r="G115" s="543">
        <f>表1温室气体盘查表!AE88</f>
        <v>619.787965215283</v>
      </c>
      <c r="H115" s="543">
        <f>表1温室气体盘查表!AF88</f>
        <v>0</v>
      </c>
      <c r="I115" s="543">
        <f>表1温室气体盘查表!AG88</f>
        <v>0</v>
      </c>
      <c r="J115" s="543">
        <f>表1温室气体盘查表!AH88</f>
        <v>0</v>
      </c>
      <c r="K115" s="543">
        <f>表1温室气体盘查表!AI88</f>
        <v>0</v>
      </c>
      <c r="L115" s="543">
        <f>表1温室气体盘查表!AJ88</f>
        <v>0</v>
      </c>
      <c r="M115" s="543">
        <f>表1温室气体盘查表!AK88</f>
        <v>0</v>
      </c>
    </row>
    <row r="116" s="450" customFormat="1" ht="25.15" customHeight="1" spans="1:13">
      <c r="A116" s="474"/>
      <c r="B116" s="567" t="s">
        <v>129</v>
      </c>
      <c r="C116" s="568" t="str">
        <f>表1温室气体盘查表!C89</f>
        <v>员工差旅住宿</v>
      </c>
      <c r="D116" s="586" t="str">
        <f>表1温室气体盘查表!D89</f>
        <v>-</v>
      </c>
      <c r="E116" s="453"/>
      <c r="F116" s="543">
        <f>表1温室气体盘查表!AL89</f>
        <v>722.6245</v>
      </c>
      <c r="G116" s="543">
        <f>表1温室气体盘查表!AE89</f>
        <v>722.6245</v>
      </c>
      <c r="H116" s="543">
        <f>表1温室气体盘查表!AF89</f>
        <v>0</v>
      </c>
      <c r="I116" s="543">
        <f>表1温室气体盘查表!AG89</f>
        <v>0</v>
      </c>
      <c r="J116" s="543">
        <f>表1温室气体盘查表!AH89</f>
        <v>0</v>
      </c>
      <c r="K116" s="543">
        <f>表1温室气体盘查表!AI89</f>
        <v>0</v>
      </c>
      <c r="L116" s="543">
        <f>表1温室气体盘查表!AJ89</f>
        <v>0</v>
      </c>
      <c r="M116" s="543">
        <f>表1温室气体盘查表!AK89</f>
        <v>0</v>
      </c>
    </row>
    <row r="117" s="450" customFormat="1" ht="25.15" customHeight="1" spans="1:13">
      <c r="A117" s="474"/>
      <c r="B117" s="583"/>
      <c r="C117" s="584"/>
      <c r="D117" s="584"/>
      <c r="E117" s="452"/>
      <c r="F117" s="585"/>
      <c r="G117" s="585"/>
      <c r="H117" s="585"/>
      <c r="I117" s="585"/>
      <c r="J117" s="585"/>
      <c r="K117" s="585"/>
      <c r="L117" s="585"/>
      <c r="M117" s="585"/>
    </row>
    <row r="118" s="450" customFormat="1" ht="25.15" customHeight="1" spans="1:13">
      <c r="A118" s="474"/>
      <c r="B118" s="587" t="s">
        <v>130</v>
      </c>
      <c r="C118" s="588" t="str">
        <f>表1温室气体盘查表!B90</f>
        <v>员工通勤产生的排放</v>
      </c>
      <c r="D118" s="589"/>
      <c r="E118" s="581"/>
      <c r="F118" s="553">
        <f>SUM(G118:M118)</f>
        <v>13322.57648759</v>
      </c>
      <c r="G118" s="553">
        <f t="shared" ref="G118:M118" si="14">SUM(G119:G122)</f>
        <v>13322.57648759</v>
      </c>
      <c r="H118" s="553">
        <f t="shared" si="14"/>
        <v>0</v>
      </c>
      <c r="I118" s="553">
        <f t="shared" si="14"/>
        <v>0</v>
      </c>
      <c r="J118" s="553">
        <f t="shared" si="14"/>
        <v>0</v>
      </c>
      <c r="K118" s="553">
        <f t="shared" si="14"/>
        <v>0</v>
      </c>
      <c r="L118" s="553">
        <f t="shared" si="14"/>
        <v>0</v>
      </c>
      <c r="M118" s="553">
        <f t="shared" si="14"/>
        <v>0</v>
      </c>
    </row>
    <row r="119" s="450" customFormat="1" ht="25.15" customHeight="1" spans="1:13">
      <c r="A119" s="474"/>
      <c r="B119" s="586" t="s">
        <v>131</v>
      </c>
      <c r="C119" s="569" t="str">
        <f>表1温室气体盘查表!C90</f>
        <v>通勤车</v>
      </c>
      <c r="D119" s="590" t="str">
        <f>表1温室气体盘查表!D90</f>
        <v>-</v>
      </c>
      <c r="E119" s="591"/>
      <c r="F119" s="543">
        <f>表1温室气体盘查表!AL90</f>
        <v>111.2064536</v>
      </c>
      <c r="G119" s="543">
        <f>表1温室气体盘查表!AE90</f>
        <v>111.2064536</v>
      </c>
      <c r="H119" s="543">
        <f>表1温室气体盘查表!AF90</f>
        <v>0</v>
      </c>
      <c r="I119" s="543">
        <f>表1温室气体盘查表!AG90</f>
        <v>0</v>
      </c>
      <c r="J119" s="543">
        <f>表1温室气体盘查表!AH90</f>
        <v>0</v>
      </c>
      <c r="K119" s="543">
        <f>表1温室气体盘查表!AI90</f>
        <v>0</v>
      </c>
      <c r="L119" s="543">
        <f>表1温室气体盘查表!AJ90</f>
        <v>0</v>
      </c>
      <c r="M119" s="543">
        <f>表1温室气体盘查表!AK90</f>
        <v>0</v>
      </c>
    </row>
    <row r="120" s="450" customFormat="1" ht="25.15" customHeight="1" spans="1:13">
      <c r="A120" s="474"/>
      <c r="B120" s="586" t="s">
        <v>132</v>
      </c>
      <c r="C120" s="569" t="str">
        <f>表1温室气体盘查表!C91</f>
        <v>电动车</v>
      </c>
      <c r="D120" s="590" t="str">
        <f>表1温室气体盘查表!D91</f>
        <v>-</v>
      </c>
      <c r="E120" s="591"/>
      <c r="F120" s="543">
        <f>表1温室气体盘查表!AL91</f>
        <v>474.515379130203</v>
      </c>
      <c r="G120" s="543">
        <f>表1温室气体盘查表!AE91</f>
        <v>474.515379130203</v>
      </c>
      <c r="H120" s="543">
        <f>表1温室气体盘查表!AF91</f>
        <v>0</v>
      </c>
      <c r="I120" s="543">
        <f>表1温室气体盘查表!AG91</f>
        <v>0</v>
      </c>
      <c r="J120" s="543">
        <f>表1温室气体盘查表!AH91</f>
        <v>0</v>
      </c>
      <c r="K120" s="543">
        <f>表1温室气体盘查表!AI91</f>
        <v>0</v>
      </c>
      <c r="L120" s="543">
        <f>表1温室气体盘查表!AJ91</f>
        <v>0</v>
      </c>
      <c r="M120" s="543">
        <f>表1温室气体盘查表!AK91</f>
        <v>0</v>
      </c>
    </row>
    <row r="121" s="450" customFormat="1" ht="25.15" customHeight="1" spans="1:13">
      <c r="A121" s="474"/>
      <c r="B121" s="586" t="s">
        <v>133</v>
      </c>
      <c r="C121" s="569" t="str">
        <f>表1温室气体盘查表!C92</f>
        <v>自驾油车</v>
      </c>
      <c r="D121" s="590" t="str">
        <f>表1温室气体盘查表!D92</f>
        <v>-</v>
      </c>
      <c r="E121" s="592"/>
      <c r="F121" s="543">
        <f>表1温室气体盘查表!AL92</f>
        <v>11664.7288421612</v>
      </c>
      <c r="G121" s="543">
        <f>表1温室气体盘查表!AE92</f>
        <v>11664.7288421612</v>
      </c>
      <c r="H121" s="543">
        <f>表1温室气体盘查表!AF92</f>
        <v>0</v>
      </c>
      <c r="I121" s="543">
        <f>表1温室气体盘查表!AG92</f>
        <v>0</v>
      </c>
      <c r="J121" s="543">
        <f>表1温室气体盘查表!AH92</f>
        <v>0</v>
      </c>
      <c r="K121" s="543">
        <f>表1温室气体盘查表!AI92</f>
        <v>0</v>
      </c>
      <c r="L121" s="543">
        <f>表1温室气体盘查表!AJ92</f>
        <v>0</v>
      </c>
      <c r="M121" s="543">
        <f>表1温室气体盘查表!AK92</f>
        <v>0</v>
      </c>
    </row>
    <row r="122" s="450" customFormat="1" ht="25.15" customHeight="1" spans="1:13">
      <c r="A122" s="474"/>
      <c r="B122" s="586" t="s">
        <v>134</v>
      </c>
      <c r="C122" s="569" t="str">
        <f>表1温室气体盘查表!C93</f>
        <v>自驾电车</v>
      </c>
      <c r="D122" s="590" t="str">
        <f>表1温室气体盘查表!D93</f>
        <v>-</v>
      </c>
      <c r="E122" s="593"/>
      <c r="F122" s="543">
        <f>表1温室气体盘查表!AL93</f>
        <v>1072.12581269864</v>
      </c>
      <c r="G122" s="543">
        <f>表1温室气体盘查表!AE93</f>
        <v>1072.12581269864</v>
      </c>
      <c r="H122" s="543">
        <f>表1温室气体盘查表!AF93</f>
        <v>0</v>
      </c>
      <c r="I122" s="543">
        <f>表1温室气体盘查表!AG93</f>
        <v>0</v>
      </c>
      <c r="J122" s="543">
        <f>表1温室气体盘查表!AH93</f>
        <v>0</v>
      </c>
      <c r="K122" s="543">
        <f>表1温室气体盘查表!AI93</f>
        <v>0</v>
      </c>
      <c r="L122" s="543">
        <f>表1温室气体盘查表!AJ93</f>
        <v>0</v>
      </c>
      <c r="M122" s="543">
        <f>表1温室气体盘查表!AK93</f>
        <v>0</v>
      </c>
    </row>
    <row r="123" s="450" customFormat="1" ht="25.15" customHeight="1" spans="1:13">
      <c r="A123" s="474"/>
      <c r="B123" s="594"/>
      <c r="C123" s="595"/>
      <c r="D123" s="595"/>
      <c r="E123" s="596"/>
      <c r="F123" s="597"/>
      <c r="G123" s="597"/>
      <c r="H123" s="597"/>
      <c r="I123" s="597"/>
      <c r="J123" s="597"/>
      <c r="K123" s="597"/>
      <c r="L123" s="597"/>
      <c r="M123" s="597"/>
    </row>
    <row r="124" s="450" customFormat="1" ht="25.15" customHeight="1" spans="1:13">
      <c r="A124" s="474"/>
      <c r="B124" s="587" t="s">
        <v>135</v>
      </c>
      <c r="C124" s="588" t="str">
        <f>表1温室气体盘查表!B94</f>
        <v>下游运输配送产生的排放</v>
      </c>
      <c r="D124" s="589"/>
      <c r="E124" s="581"/>
      <c r="F124" s="553">
        <f>SUM(G124:M124)</f>
        <v>274585.607161911</v>
      </c>
      <c r="G124" s="553">
        <f>SUM(G125:G128)</f>
        <v>274585.607161911</v>
      </c>
      <c r="H124" s="553">
        <f t="shared" ref="H124:M124" si="15">SUM(H125:H127)</f>
        <v>0</v>
      </c>
      <c r="I124" s="553">
        <f t="shared" si="15"/>
        <v>0</v>
      </c>
      <c r="J124" s="553">
        <f t="shared" si="15"/>
        <v>0</v>
      </c>
      <c r="K124" s="553">
        <f t="shared" si="15"/>
        <v>0</v>
      </c>
      <c r="L124" s="553">
        <f t="shared" si="15"/>
        <v>0</v>
      </c>
      <c r="M124" s="553">
        <f t="shared" si="15"/>
        <v>0</v>
      </c>
    </row>
    <row r="125" s="450" customFormat="1" ht="25.15" customHeight="1" spans="1:13">
      <c r="A125" s="474"/>
      <c r="B125" s="586" t="s">
        <v>136</v>
      </c>
      <c r="C125" s="569" t="str">
        <f>表1温室气体盘查表!C94</f>
        <v>船运</v>
      </c>
      <c r="D125" s="590" t="str">
        <f>表1温室气体盘查表!D94</f>
        <v>-</v>
      </c>
      <c r="E125" s="591"/>
      <c r="F125" s="543">
        <f>表1温室气体盘查表!AL94</f>
        <v>53478.1555212475</v>
      </c>
      <c r="G125" s="543">
        <f>表1温室气体盘查表!AE94</f>
        <v>53478.1555212475</v>
      </c>
      <c r="H125" s="543">
        <f>表1温室气体盘查表!AF94</f>
        <v>0</v>
      </c>
      <c r="I125" s="543">
        <f>表1温室气体盘查表!AG94</f>
        <v>0</v>
      </c>
      <c r="J125" s="543">
        <f>表1温室气体盘查表!AH94</f>
        <v>0</v>
      </c>
      <c r="K125" s="543">
        <f>表1温室气体盘查表!AI94</f>
        <v>0</v>
      </c>
      <c r="L125" s="543">
        <f>表1温室气体盘查表!AJ94</f>
        <v>0</v>
      </c>
      <c r="M125" s="543">
        <f>表1温室气体盘查表!AK94</f>
        <v>0</v>
      </c>
    </row>
    <row r="126" s="450" customFormat="1" ht="25.15" customHeight="1" spans="1:13">
      <c r="A126" s="474"/>
      <c r="B126" s="586" t="s">
        <v>137</v>
      </c>
      <c r="C126" s="569" t="str">
        <f>表1温室气体盘查表!C95</f>
        <v>汽运</v>
      </c>
      <c r="D126" s="590" t="str">
        <f>表1温室气体盘查表!D95</f>
        <v>-</v>
      </c>
      <c r="E126" s="591"/>
      <c r="F126" s="543">
        <f>表1温室气体盘查表!AL95</f>
        <v>208049.485839029</v>
      </c>
      <c r="G126" s="543">
        <f>表1温室气体盘查表!AE95</f>
        <v>208049.485839029</v>
      </c>
      <c r="H126" s="543">
        <f>表1温室气体盘查表!AF95</f>
        <v>0</v>
      </c>
      <c r="I126" s="543">
        <f>表1温室气体盘查表!AG95</f>
        <v>0</v>
      </c>
      <c r="J126" s="543">
        <f>表1温室气体盘查表!AH95</f>
        <v>0</v>
      </c>
      <c r="K126" s="543">
        <f>表1温室气体盘查表!AI95</f>
        <v>0</v>
      </c>
      <c r="L126" s="543">
        <f>表1温室气体盘查表!AJ95</f>
        <v>0</v>
      </c>
      <c r="M126" s="543">
        <f>表1温室气体盘查表!AK95</f>
        <v>0</v>
      </c>
    </row>
    <row r="127" s="450" customFormat="1" ht="25.15" customHeight="1" spans="1:13">
      <c r="A127" s="474"/>
      <c r="B127" s="586" t="s">
        <v>138</v>
      </c>
      <c r="C127" s="569" t="str">
        <f>表1温室气体盘查表!C96</f>
        <v>铁路运输</v>
      </c>
      <c r="D127" s="590" t="str">
        <f>表1温室气体盘查表!D96</f>
        <v>-</v>
      </c>
      <c r="E127" s="592"/>
      <c r="F127" s="543">
        <f>表1温室气体盘查表!AL96</f>
        <v>11086.4717529011</v>
      </c>
      <c r="G127" s="543">
        <f>表1温室气体盘查表!AE96</f>
        <v>11086.4717529011</v>
      </c>
      <c r="H127" s="543">
        <f>表1温室气体盘查表!AF96</f>
        <v>0</v>
      </c>
      <c r="I127" s="543">
        <f>表1温室气体盘查表!AG96</f>
        <v>0</v>
      </c>
      <c r="J127" s="543">
        <f>表1温室气体盘查表!AH96</f>
        <v>0</v>
      </c>
      <c r="K127" s="543">
        <f>表1温室气体盘查表!AI96</f>
        <v>0</v>
      </c>
      <c r="L127" s="543">
        <f>表1温室气体盘查表!AJ96</f>
        <v>0</v>
      </c>
      <c r="M127" s="543">
        <f>表1温室气体盘查表!AK96</f>
        <v>0</v>
      </c>
    </row>
    <row r="128" s="450" customFormat="1" ht="25.15" customHeight="1" spans="1:13">
      <c r="A128" s="474"/>
      <c r="B128" s="586" t="s">
        <v>139</v>
      </c>
      <c r="C128" s="569" t="str">
        <f>表1温室气体盘查表!C97</f>
        <v>汽运-副产品</v>
      </c>
      <c r="D128" s="590" t="str">
        <f>表1温室气体盘查表!D97</f>
        <v>-</v>
      </c>
      <c r="E128" s="592"/>
      <c r="F128" s="543">
        <f>表1温室气体盘查表!AL97</f>
        <v>1971.49404873413</v>
      </c>
      <c r="G128" s="543">
        <f>表1温室气体盘查表!AE97</f>
        <v>1971.49404873413</v>
      </c>
      <c r="H128" s="543">
        <f>表1温室气体盘查表!AF97</f>
        <v>0</v>
      </c>
      <c r="I128" s="543">
        <f>表1温室气体盘查表!AG97</f>
        <v>0</v>
      </c>
      <c r="J128" s="543">
        <f>表1温室气体盘查表!AH97</f>
        <v>0</v>
      </c>
      <c r="K128" s="543">
        <f>表1温室气体盘查表!AI97</f>
        <v>0</v>
      </c>
      <c r="L128" s="543">
        <f>表1温室气体盘查表!AJ97</f>
        <v>0</v>
      </c>
      <c r="M128" s="543">
        <f>表1温室气体盘查表!AK97</f>
        <v>0</v>
      </c>
    </row>
    <row r="129" s="450" customFormat="1" ht="25.15" customHeight="1" spans="1:13">
      <c r="A129" s="474"/>
      <c r="B129" s="594"/>
      <c r="C129" s="595"/>
      <c r="D129" s="595"/>
      <c r="E129" s="596"/>
      <c r="F129" s="597"/>
      <c r="G129" s="597"/>
      <c r="H129" s="597"/>
      <c r="I129" s="597"/>
      <c r="J129" s="597"/>
      <c r="K129" s="597"/>
      <c r="L129" s="597"/>
      <c r="M129" s="597"/>
    </row>
    <row r="130" s="450" customFormat="1" ht="26.25" customHeight="1" spans="1:13">
      <c r="A130" s="474"/>
      <c r="B130" s="587" t="s">
        <v>140</v>
      </c>
      <c r="C130" s="588" t="str">
        <f>表1温室气体盘查表!B98</f>
        <v>外销产品加工产生的排放</v>
      </c>
      <c r="D130" s="589"/>
      <c r="E130" s="581"/>
      <c r="F130" s="553">
        <f>SUM(G130:M130)</f>
        <v>1746619.95968953</v>
      </c>
      <c r="G130" s="553">
        <f>SUM(G131:G134)</f>
        <v>1746619.95968953</v>
      </c>
      <c r="H130" s="553">
        <f>SUM(H131:H132)</f>
        <v>0</v>
      </c>
      <c r="I130" s="553">
        <f>SUM(I131:I132)</f>
        <v>0</v>
      </c>
      <c r="J130" s="553">
        <f>SUM(J131:J132)</f>
        <v>0</v>
      </c>
      <c r="K130" s="553">
        <f>SUM(K131:K132)</f>
        <v>0</v>
      </c>
      <c r="L130" s="553">
        <f>SUM(L131:L132)</f>
        <v>0</v>
      </c>
      <c r="M130" s="553">
        <f>SUM(M131:M133)</f>
        <v>0</v>
      </c>
    </row>
    <row r="131" s="450" customFormat="1" ht="26.25" customHeight="1" spans="1:13">
      <c r="A131" s="474"/>
      <c r="B131" s="586" t="s">
        <v>141</v>
      </c>
      <c r="C131" s="569" t="str">
        <f>表1温室气体盘查表!C98</f>
        <v>锻材加工</v>
      </c>
      <c r="D131" s="569" t="str">
        <f>表1温室气体盘查表!D98</f>
        <v>下游钢铁厂</v>
      </c>
      <c r="E131" s="591"/>
      <c r="F131" s="543">
        <f>表1温室气体盘查表!AL98</f>
        <v>113275.661420512</v>
      </c>
      <c r="G131" s="543">
        <f>表1温室气体盘查表!AE98</f>
        <v>113275.661420512</v>
      </c>
      <c r="H131" s="543">
        <f>表1温室气体盘查表!AF98</f>
        <v>0</v>
      </c>
      <c r="I131" s="543">
        <f>表1温室气体盘查表!AG98</f>
        <v>0</v>
      </c>
      <c r="J131" s="543">
        <f>表1温室气体盘查表!AH98</f>
        <v>0</v>
      </c>
      <c r="K131" s="543">
        <f>表1温室气体盘查表!AI98</f>
        <v>0</v>
      </c>
      <c r="L131" s="543">
        <f>表1温室气体盘查表!AJ98</f>
        <v>0</v>
      </c>
      <c r="M131" s="543">
        <f>表1温室气体盘查表!AK98</f>
        <v>0</v>
      </c>
    </row>
    <row r="132" s="450" customFormat="1" ht="26.25" customHeight="1" spans="1:13">
      <c r="A132" s="474"/>
      <c r="B132" s="586" t="s">
        <v>142</v>
      </c>
      <c r="C132" s="569" t="str">
        <f>表1温室气体盘查表!C99</f>
        <v>棒材加工</v>
      </c>
      <c r="D132" s="569" t="str">
        <f>表1温室气体盘查表!D99</f>
        <v>下游钢铁厂</v>
      </c>
      <c r="E132" s="592"/>
      <c r="F132" s="543">
        <f>表1温室气体盘查表!AL99</f>
        <v>1357195.22298588</v>
      </c>
      <c r="G132" s="543">
        <f>表1温室气体盘查表!AE99</f>
        <v>1357195.22298588</v>
      </c>
      <c r="H132" s="543">
        <f>表1温室气体盘查表!AF99</f>
        <v>0</v>
      </c>
      <c r="I132" s="543">
        <f>表1温室气体盘查表!AG99</f>
        <v>0</v>
      </c>
      <c r="J132" s="543">
        <f>表1温室气体盘查表!AH99</f>
        <v>0</v>
      </c>
      <c r="K132" s="543">
        <f>表1温室气体盘查表!AI99</f>
        <v>0</v>
      </c>
      <c r="L132" s="543">
        <f>表1温室气体盘查表!AJ99</f>
        <v>0</v>
      </c>
      <c r="M132" s="543">
        <f>表1温室气体盘查表!AK99</f>
        <v>0</v>
      </c>
    </row>
    <row r="133" s="450" customFormat="1" ht="26.25" customHeight="1" spans="1:13">
      <c r="A133" s="474"/>
      <c r="B133" s="586" t="s">
        <v>143</v>
      </c>
      <c r="C133" s="569" t="str">
        <f>表1温室气体盘查表!C100</f>
        <v>钢管加工</v>
      </c>
      <c r="D133" s="569" t="str">
        <f>表1温室气体盘查表!D100</f>
        <v>下游钢铁厂</v>
      </c>
      <c r="E133" s="598"/>
      <c r="F133" s="543">
        <f>表1温室气体盘查表!AL100</f>
        <v>72250.3406477739</v>
      </c>
      <c r="G133" s="543">
        <f>表1温室气体盘查表!AE100</f>
        <v>72250.3406477739</v>
      </c>
      <c r="H133" s="543">
        <f>表1温室气体盘查表!AF100</f>
        <v>0</v>
      </c>
      <c r="I133" s="543">
        <f>表1温室气体盘查表!AG100</f>
        <v>0</v>
      </c>
      <c r="J133" s="543">
        <f>表1温室气体盘查表!AH100</f>
        <v>0</v>
      </c>
      <c r="K133" s="543">
        <f>表1温室气体盘查表!AI100</f>
        <v>0</v>
      </c>
      <c r="L133" s="543">
        <f>表1温室气体盘查表!AJ100</f>
        <v>0</v>
      </c>
      <c r="M133" s="543">
        <f>表1温室气体盘查表!AK100</f>
        <v>0</v>
      </c>
    </row>
    <row r="134" s="450" customFormat="1" ht="26.25" customHeight="1" spans="1:13">
      <c r="A134" s="474"/>
      <c r="B134" s="586" t="s">
        <v>144</v>
      </c>
      <c r="C134" s="569" t="str">
        <f>表1温室气体盘查表!C101</f>
        <v>钢坯加工</v>
      </c>
      <c r="D134" s="569" t="str">
        <f>表1温室气体盘查表!D101</f>
        <v>下游钢铁厂</v>
      </c>
      <c r="E134" s="598"/>
      <c r="F134" s="543">
        <f>表1温室气体盘查表!AL101</f>
        <v>203898.734635364</v>
      </c>
      <c r="G134" s="543">
        <f>表1温室气体盘查表!AE101</f>
        <v>203898.734635364</v>
      </c>
      <c r="H134" s="543">
        <f>表1温室气体盘查表!AF101</f>
        <v>0</v>
      </c>
      <c r="I134" s="543">
        <f>表1温室气体盘查表!AG101</f>
        <v>0</v>
      </c>
      <c r="J134" s="543">
        <f>表1温室气体盘查表!AH101</f>
        <v>0</v>
      </c>
      <c r="K134" s="543">
        <f>表1温室气体盘查表!AI101</f>
        <v>0</v>
      </c>
      <c r="L134" s="543">
        <f>表1温室气体盘查表!AJ101</f>
        <v>0</v>
      </c>
      <c r="M134" s="543">
        <f>表1温室气体盘查表!AK101</f>
        <v>0</v>
      </c>
    </row>
    <row r="135" s="450" customFormat="1" ht="26.25" customHeight="1" spans="1:13">
      <c r="A135" s="474"/>
      <c r="D135" s="517"/>
    </row>
    <row r="136" s="450" customFormat="1" ht="26.25" customHeight="1" spans="1:13">
      <c r="A136" s="474"/>
      <c r="B136" s="587" t="s">
        <v>145</v>
      </c>
      <c r="C136" s="588" t="str">
        <f>表1温室气体盘查表!B102</f>
        <v>外销产品使用产生的排放</v>
      </c>
      <c r="D136" s="589"/>
      <c r="E136" s="581"/>
      <c r="F136" s="553">
        <f>SUM(G136:M136)</f>
        <v>3833.13548307747</v>
      </c>
      <c r="G136" s="553">
        <f>SUM(G137)</f>
        <v>3828.37588063128</v>
      </c>
      <c r="H136" s="553">
        <f t="shared" ref="H136:M136" si="16">SUM(H137:H138)</f>
        <v>2.40566862769398</v>
      </c>
      <c r="I136" s="553">
        <f t="shared" si="16"/>
        <v>2.35393381849626</v>
      </c>
      <c r="J136" s="553">
        <f t="shared" si="16"/>
        <v>0</v>
      </c>
      <c r="K136" s="553">
        <f t="shared" si="16"/>
        <v>0</v>
      </c>
      <c r="L136" s="553">
        <f t="shared" si="16"/>
        <v>0</v>
      </c>
      <c r="M136" s="553">
        <f t="shared" si="16"/>
        <v>0</v>
      </c>
    </row>
    <row r="137" s="450" customFormat="1" ht="26.25" customHeight="1" spans="1:13">
      <c r="A137" s="474"/>
      <c r="B137" s="586" t="s">
        <v>193</v>
      </c>
      <c r="C137" s="569" t="str">
        <f>表1温室气体盘查表!C102</f>
        <v>外售焦炉煤气燃烧</v>
      </c>
      <c r="D137" s="569" t="str">
        <f>表1温室气体盘查表!D100</f>
        <v>下游钢铁厂</v>
      </c>
      <c r="E137" s="591"/>
      <c r="F137" s="543">
        <f>表1温室气体盘查表!AL102</f>
        <v>3833.13548307747</v>
      </c>
      <c r="G137" s="543">
        <f>表1温室气体盘查表!AE102</f>
        <v>3828.37588063128</v>
      </c>
      <c r="H137" s="543">
        <f>表1温室气体盘查表!AF102</f>
        <v>2.40566862769398</v>
      </c>
      <c r="I137" s="543">
        <f>表1温室气体盘查表!AG102</f>
        <v>2.35393381849626</v>
      </c>
      <c r="J137" s="543">
        <f>表1温室气体盘查表!AH102</f>
        <v>0</v>
      </c>
      <c r="K137" s="543">
        <f>表1温室气体盘查表!AI102</f>
        <v>0</v>
      </c>
      <c r="L137" s="543">
        <f>表1温室气体盘查表!AJ102</f>
        <v>0</v>
      </c>
      <c r="M137" s="543">
        <f>表1温室气体盘查表!AK102</f>
        <v>0</v>
      </c>
    </row>
    <row r="138" s="450" customFormat="1" ht="26.25" customHeight="1" spans="1:13">
      <c r="A138" s="474"/>
      <c r="B138" s="557"/>
      <c r="C138" s="557"/>
      <c r="D138" s="599"/>
      <c r="E138" s="600"/>
      <c r="F138" s="504"/>
      <c r="G138" s="504"/>
      <c r="H138" s="504"/>
      <c r="I138" s="504"/>
      <c r="J138" s="504"/>
      <c r="K138" s="504"/>
      <c r="L138" s="504"/>
      <c r="M138" s="504"/>
    </row>
    <row r="139" s="450" customFormat="1" ht="26.25" customHeight="1" spans="1:13">
      <c r="A139" s="474"/>
      <c r="B139" s="587" t="s">
        <v>145</v>
      </c>
      <c r="C139" s="588" t="str">
        <f>表1温室气体盘查表!B103</f>
        <v>外售产品报废产生的排放</v>
      </c>
      <c r="D139" s="589"/>
      <c r="E139" s="581"/>
      <c r="F139" s="553">
        <f>SUM(G139:M139)</f>
        <v>3747.34695958894</v>
      </c>
      <c r="G139" s="553">
        <f>SUM(G140)</f>
        <v>3747.34695958894</v>
      </c>
      <c r="H139" s="553">
        <f t="shared" ref="H139:M139" si="17">SUM(H140:H141)</f>
        <v>0</v>
      </c>
      <c r="I139" s="553">
        <f t="shared" si="17"/>
        <v>0</v>
      </c>
      <c r="J139" s="553">
        <f t="shared" si="17"/>
        <v>0</v>
      </c>
      <c r="K139" s="553">
        <f t="shared" si="17"/>
        <v>0</v>
      </c>
      <c r="L139" s="553">
        <f t="shared" si="17"/>
        <v>0</v>
      </c>
      <c r="M139" s="553">
        <f t="shared" si="17"/>
        <v>0</v>
      </c>
    </row>
    <row r="140" s="450" customFormat="1" ht="26.25" customHeight="1" spans="1:13">
      <c r="A140" s="474"/>
      <c r="B140" s="586" t="s">
        <v>146</v>
      </c>
      <c r="C140" s="569" t="str">
        <f>表1温室气体盘查表!C103</f>
        <v>产品报废</v>
      </c>
      <c r="D140" s="569" t="str">
        <f>表1温室气体盘查表!D103</f>
        <v>下游钢铁厂</v>
      </c>
      <c r="E140" s="591"/>
      <c r="F140" s="543">
        <f>表1温室气体盘查表!AL103</f>
        <v>3747.34695958894</v>
      </c>
      <c r="G140" s="543">
        <f>表1温室气体盘查表!AE103</f>
        <v>3747.34695958894</v>
      </c>
      <c r="H140" s="543">
        <f>表1温室气体盘查表!AF103</f>
        <v>0</v>
      </c>
      <c r="I140" s="543">
        <f>表1温室气体盘查表!AG103</f>
        <v>0</v>
      </c>
      <c r="J140" s="543">
        <f>表1温室气体盘查表!AH103</f>
        <v>0</v>
      </c>
      <c r="K140" s="543">
        <f>表1温室气体盘查表!AI103</f>
        <v>0</v>
      </c>
      <c r="L140" s="543">
        <f>表1温室气体盘查表!AJ103</f>
        <v>0</v>
      </c>
      <c r="M140" s="543">
        <f>表1温室气体盘查表!AK103</f>
        <v>0</v>
      </c>
    </row>
    <row r="141" ht="26.25" customHeight="1"/>
    <row r="142" s="454" customFormat="1" ht="13.5" spans="1:13">
      <c r="A142" s="601"/>
      <c r="B142" s="602"/>
      <c r="C142" s="602"/>
      <c r="D142" s="603"/>
      <c r="E142" s="602"/>
      <c r="F142" s="604"/>
      <c r="G142" s="604"/>
      <c r="H142" s="604"/>
      <c r="I142" s="604"/>
      <c r="J142" s="604"/>
      <c r="K142" s="604"/>
      <c r="L142" s="604"/>
      <c r="M142" s="604"/>
    </row>
    <row r="143" s="455" customFormat="1" ht="13.5" spans="1:13">
      <c r="B143" s="605"/>
      <c r="C143" s="605"/>
      <c r="D143" s="606"/>
      <c r="E143" s="605"/>
      <c r="F143" s="607"/>
      <c r="G143" s="607"/>
      <c r="H143" s="607"/>
      <c r="I143" s="607"/>
      <c r="J143" s="607"/>
      <c r="K143" s="607"/>
      <c r="L143" s="607"/>
      <c r="M143" s="607"/>
    </row>
    <row r="150" spans="8:8">
      <c r="H150" s="457"/>
    </row>
  </sheetData>
  <mergeCells count="13">
    <mergeCell ref="L1:M1"/>
    <mergeCell ref="L2:M2"/>
    <mergeCell ref="L3:M3"/>
    <mergeCell ref="F7:G7"/>
    <mergeCell ref="L7:M7"/>
    <mergeCell ref="G13:M13"/>
    <mergeCell ref="B46:D46"/>
    <mergeCell ref="B12:B13"/>
    <mergeCell ref="C12:C13"/>
    <mergeCell ref="D12:D13"/>
    <mergeCell ref="E12:E13"/>
    <mergeCell ref="F12:F13"/>
    <mergeCell ref="B1:K3"/>
  </mergeCells>
  <printOptions horizontalCentered="1"/>
  <pageMargins left="0.590551181102362" right="0.590551181102362" top="0.708661417322835" bottom="0.590551181102362" header="0.31496062992126" footer="0.31496062992126"/>
  <pageSetup paperSize="9" fitToHeight="0" orientation="landscape" horizontalDpi="300" verticalDpi="300"/>
  <headerFooter>
    <oddHeader>&amp;L&amp;"-,常规"&amp;10南侨版本/修改号NC Edition/Rev.Code：A/0
吉好版本/修改号YY Edition/Rev.Code：A/0
&amp;R&amp;"-,常规"&amp;10记录标识/Identification Code:7.2 GYGZ/GHG.R015.02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84"/>
  <sheetViews>
    <sheetView showGridLines="0" zoomScale="85" zoomScaleNormal="85" zoomScalePageLayoutView="85" workbookViewId="0">
      <selection activeCell="G9" sqref="G9"/>
    </sheetView>
  </sheetViews>
  <sheetFormatPr defaultColWidth="8.75" defaultRowHeight="15"/>
  <cols>
    <col min="1" max="1" width="12.625" style="30" customWidth="1"/>
    <col min="2" max="2" width="23.625" style="30" customWidth="1"/>
    <col min="3" max="3" width="30.375" style="30" customWidth="1"/>
    <col min="4" max="4" width="21.125" style="30" customWidth="1"/>
    <col min="5" max="5" width="8.75" style="313" customWidth="1"/>
    <col min="6" max="6" width="16.625" style="30" customWidth="1"/>
    <col min="7" max="7" width="10.5" style="30" customWidth="1"/>
    <col min="8" max="8" width="12.375" style="30" customWidth="1"/>
    <col min="9" max="9" width="29.875" style="30" customWidth="1"/>
    <col min="10" max="10" width="6.625" style="30" customWidth="1"/>
    <col min="11" max="11" width="11.125" style="30" customWidth="1"/>
    <col min="12" max="12" width="13.5" style="30" customWidth="1"/>
    <col min="13" max="13" width="7.5" style="30" customWidth="1"/>
    <col min="14" max="14" width="9.75" style="30" customWidth="1"/>
    <col min="15" max="15" width="11.5" style="30" customWidth="1"/>
    <col min="16" max="16" width="8.125" style="30" customWidth="1"/>
    <col min="17" max="17" width="8.5" style="30" customWidth="1"/>
    <col min="18" max="18" width="10.375" style="30" customWidth="1"/>
    <col min="19" max="19" width="9.375" style="30" customWidth="1"/>
    <col min="20" max="20" width="10.125" style="30" customWidth="1"/>
    <col min="21" max="21" width="8.5" style="30" customWidth="1"/>
    <col min="22" max="22" width="10.375" style="30" customWidth="1"/>
    <col min="23" max="23" width="6.5" style="30" customWidth="1"/>
    <col min="24" max="24" width="14.625" style="30" customWidth="1"/>
    <col min="25" max="25" width="8.5" style="30" customWidth="1"/>
    <col min="26" max="26" width="10.375" style="30" customWidth="1"/>
    <col min="27" max="27" width="6.5" style="30" customWidth="1"/>
    <col min="28" max="28" width="8.5" style="30" customWidth="1"/>
    <col min="29" max="29" width="10.375" style="30" customWidth="1"/>
    <col min="30" max="30" width="6.5" style="30" customWidth="1"/>
    <col min="31" max="31" width="19.25" style="30" customWidth="1"/>
    <col min="32" max="37" width="13.625" style="30" customWidth="1"/>
    <col min="38" max="38" width="18.625" style="30" customWidth="1"/>
    <col min="39" max="64" width="9" style="30"/>
    <col min="65" max="16384" width="8.75" style="30"/>
  </cols>
  <sheetData>
    <row r="1" ht="33.75" customHeight="1" spans="1:38">
      <c r="A1" s="314" t="s">
        <v>194</v>
      </c>
      <c r="B1" s="314"/>
      <c r="C1" s="314"/>
      <c r="D1" s="314"/>
      <c r="E1" s="314"/>
      <c r="F1" s="314"/>
      <c r="G1" s="314"/>
      <c r="H1" s="314"/>
      <c r="I1" s="314"/>
      <c r="J1" s="314"/>
      <c r="K1" s="314"/>
      <c r="L1" s="314"/>
      <c r="M1" s="314"/>
      <c r="N1" s="314"/>
      <c r="O1" s="314"/>
      <c r="P1" s="314"/>
    </row>
    <row r="2" s="24" customFormat="1" ht="16.5" customHeight="1" spans="1:38">
      <c r="A2" s="315" t="s">
        <v>195</v>
      </c>
      <c r="B2" s="315" t="s">
        <v>196</v>
      </c>
      <c r="C2" s="315" t="s">
        <v>197</v>
      </c>
      <c r="D2" s="315" t="s">
        <v>198</v>
      </c>
      <c r="E2" s="315" t="s">
        <v>199</v>
      </c>
      <c r="F2" s="315" t="s">
        <v>200</v>
      </c>
      <c r="G2" s="315"/>
      <c r="H2" s="315" t="s">
        <v>201</v>
      </c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315"/>
      <c r="T2" s="315"/>
      <c r="U2" s="315"/>
      <c r="V2" s="315"/>
      <c r="W2" s="315"/>
      <c r="X2" s="315"/>
      <c r="Y2" s="315"/>
      <c r="Z2" s="315"/>
      <c r="AA2" s="315"/>
      <c r="AB2" s="315"/>
      <c r="AC2" s="315"/>
      <c r="AD2" s="315"/>
      <c r="AE2" s="315" t="s">
        <v>202</v>
      </c>
      <c r="AF2" s="315"/>
      <c r="AG2" s="315"/>
      <c r="AH2" s="315"/>
      <c r="AI2" s="315"/>
      <c r="AJ2" s="315"/>
      <c r="AK2" s="315"/>
      <c r="AL2" s="315"/>
    </row>
    <row r="3" s="24" customFormat="1" ht="15.75" spans="1:38">
      <c r="A3" s="315"/>
      <c r="B3" s="315"/>
      <c r="C3" s="315"/>
      <c r="D3" s="315"/>
      <c r="E3" s="315"/>
      <c r="F3" s="315"/>
      <c r="G3" s="315"/>
      <c r="H3" s="315" t="s">
        <v>203</v>
      </c>
      <c r="I3" s="315"/>
      <c r="J3" s="315"/>
      <c r="K3" s="315" t="s">
        <v>204</v>
      </c>
      <c r="L3" s="315"/>
      <c r="M3" s="315"/>
      <c r="N3" s="315" t="s">
        <v>205</v>
      </c>
      <c r="O3" s="315"/>
      <c r="P3" s="315"/>
      <c r="Q3" s="315" t="s">
        <v>29</v>
      </c>
      <c r="R3" s="315"/>
      <c r="S3" s="315"/>
      <c r="T3" s="315"/>
      <c r="U3" s="315" t="s">
        <v>30</v>
      </c>
      <c r="V3" s="315"/>
      <c r="W3" s="315"/>
      <c r="X3" s="315"/>
      <c r="Y3" s="315" t="s">
        <v>206</v>
      </c>
      <c r="Z3" s="315"/>
      <c r="AA3" s="315"/>
      <c r="AB3" s="315" t="s">
        <v>207</v>
      </c>
      <c r="AC3" s="315"/>
      <c r="AD3" s="315"/>
      <c r="AE3" s="315" t="str">
        <f>H3</f>
        <v>CO2</v>
      </c>
      <c r="AF3" s="315" t="str">
        <f>K3</f>
        <v>CH4</v>
      </c>
      <c r="AG3" s="315" t="str">
        <f>N3</f>
        <v>N2O</v>
      </c>
      <c r="AH3" s="315" t="str">
        <f>Q3</f>
        <v>HFCs</v>
      </c>
      <c r="AI3" s="315" t="str">
        <f>U3</f>
        <v>PFCs</v>
      </c>
      <c r="AJ3" s="315" t="str">
        <f>Y3</f>
        <v>SF6</v>
      </c>
      <c r="AK3" s="315" t="str">
        <f>AB3</f>
        <v>NF3</v>
      </c>
      <c r="AL3" s="315" t="s">
        <v>208</v>
      </c>
    </row>
    <row r="4" s="24" customFormat="1" ht="15.75" spans="1:38">
      <c r="A4" s="315"/>
      <c r="B4" s="315"/>
      <c r="C4" s="315"/>
      <c r="D4" s="315"/>
      <c r="E4" s="315"/>
      <c r="F4" s="315" t="s">
        <v>209</v>
      </c>
      <c r="G4" s="315" t="s">
        <v>210</v>
      </c>
      <c r="H4" s="315" t="s">
        <v>211</v>
      </c>
      <c r="I4" s="315" t="s">
        <v>210</v>
      </c>
      <c r="J4" s="315" t="s">
        <v>212</v>
      </c>
      <c r="K4" s="315" t="s">
        <v>211</v>
      </c>
      <c r="L4" s="315" t="s">
        <v>210</v>
      </c>
      <c r="M4" s="315" t="s">
        <v>212</v>
      </c>
      <c r="N4" s="315" t="s">
        <v>211</v>
      </c>
      <c r="O4" s="315" t="s">
        <v>210</v>
      </c>
      <c r="P4" s="315" t="s">
        <v>212</v>
      </c>
      <c r="Q4" s="315" t="s">
        <v>211</v>
      </c>
      <c r="R4" s="315" t="s">
        <v>210</v>
      </c>
      <c r="S4" s="315" t="s">
        <v>212</v>
      </c>
      <c r="T4" s="315" t="s">
        <v>213</v>
      </c>
      <c r="U4" s="315" t="s">
        <v>211</v>
      </c>
      <c r="V4" s="315" t="s">
        <v>210</v>
      </c>
      <c r="W4" s="315" t="s">
        <v>212</v>
      </c>
      <c r="X4" s="315" t="s">
        <v>213</v>
      </c>
      <c r="Y4" s="315" t="s">
        <v>211</v>
      </c>
      <c r="Z4" s="315" t="s">
        <v>210</v>
      </c>
      <c r="AA4" s="315" t="s">
        <v>212</v>
      </c>
      <c r="AB4" s="315" t="s">
        <v>211</v>
      </c>
      <c r="AC4" s="315" t="s">
        <v>210</v>
      </c>
      <c r="AD4" s="315" t="s">
        <v>212</v>
      </c>
      <c r="AE4" s="315" t="s">
        <v>214</v>
      </c>
      <c r="AF4" s="315"/>
      <c r="AG4" s="315"/>
      <c r="AH4" s="315"/>
      <c r="AI4" s="315"/>
      <c r="AJ4" s="315"/>
      <c r="AK4" s="315"/>
      <c r="AL4" s="315"/>
    </row>
    <row r="5" s="24" customFormat="1" ht="15.75" spans="1:38">
      <c r="A5" s="316">
        <v>1</v>
      </c>
      <c r="B5" s="317" t="s">
        <v>215</v>
      </c>
      <c r="C5" s="318" t="s">
        <v>216</v>
      </c>
      <c r="D5" s="319" t="s">
        <v>217</v>
      </c>
      <c r="E5" s="320" t="s">
        <v>218</v>
      </c>
      <c r="F5" s="321">
        <v>1796.49</v>
      </c>
      <c r="G5" s="322" t="s">
        <v>219</v>
      </c>
      <c r="H5" s="323">
        <f>'附表2-EF'!L5</f>
        <v>21.62188809</v>
      </c>
      <c r="I5" s="322" t="s">
        <v>220</v>
      </c>
      <c r="J5" s="324">
        <f>'附表1-GWP TABLE'!E3</f>
        <v>1</v>
      </c>
      <c r="K5" s="325">
        <f>'附表2-EF'!M5</f>
        <v>0.0003854169</v>
      </c>
      <c r="L5" s="322"/>
      <c r="M5" s="324">
        <f>'附表1-GWP TABLE'!E4</f>
        <v>27.9</v>
      </c>
      <c r="N5" s="325">
        <f>'附表2-EF'!N5</f>
        <v>3.854169e-5</v>
      </c>
      <c r="O5" s="322"/>
      <c r="P5" s="324">
        <f>'附表1-GWP TABLE'!E5</f>
        <v>273</v>
      </c>
      <c r="Q5" s="326"/>
      <c r="R5" s="134"/>
      <c r="S5" s="327"/>
      <c r="T5" s="134"/>
      <c r="U5" s="325"/>
      <c r="V5" s="322"/>
      <c r="W5" s="328"/>
      <c r="X5" s="322"/>
      <c r="Y5" s="325"/>
      <c r="Z5" s="322"/>
      <c r="AA5" s="324"/>
      <c r="AB5" s="325"/>
      <c r="AC5" s="134"/>
      <c r="AD5" s="324"/>
      <c r="AE5" s="329">
        <f t="shared" ref="AE5:AE21" si="0">F5*H5*J5</f>
        <v>38843.5057348041</v>
      </c>
      <c r="AF5" s="329">
        <f t="shared" ref="AF5:AF21" si="1">F5*K5*M5</f>
        <v>19.3178932263999</v>
      </c>
      <c r="AG5" s="329">
        <f t="shared" ref="AG5:AG21" si="2">F5*N5*P5</f>
        <v>18.9024546623913</v>
      </c>
      <c r="AH5" s="329">
        <f t="shared" ref="AH5:AH21" si="3">F5*Q5*S5</f>
        <v>0</v>
      </c>
      <c r="AI5" s="329">
        <f t="shared" ref="AI5:AI21" si="4">F5*U5*W5</f>
        <v>0</v>
      </c>
      <c r="AJ5" s="329">
        <f t="shared" ref="AJ5:AJ21" si="5">F5*Y5*AA5</f>
        <v>0</v>
      </c>
      <c r="AK5" s="329">
        <f t="shared" ref="AK5:AK21" si="6">F5*AB5*AD5</f>
        <v>0</v>
      </c>
      <c r="AL5" s="329">
        <f t="shared" ref="AL5:AL21" si="7">SUM(AE5:AK5)</f>
        <v>38881.7260826929</v>
      </c>
    </row>
    <row r="6" s="25" customFormat="1" ht="14.25" spans="1:38">
      <c r="A6" s="316">
        <v>2</v>
      </c>
      <c r="B6" s="317" t="s">
        <v>215</v>
      </c>
      <c r="C6" s="197" t="s">
        <v>221</v>
      </c>
      <c r="D6" s="319" t="s">
        <v>222</v>
      </c>
      <c r="E6" s="320" t="s">
        <v>218</v>
      </c>
      <c r="F6" s="330">
        <f>ROUND(9.391,2)</f>
        <v>9.39</v>
      </c>
      <c r="G6" s="331" t="s">
        <v>223</v>
      </c>
      <c r="H6" s="323">
        <f>'附表2-EF'!L6</f>
        <v>3.102969002</v>
      </c>
      <c r="I6" s="322" t="s">
        <v>224</v>
      </c>
      <c r="J6" s="332">
        <v>1</v>
      </c>
      <c r="K6" s="325">
        <f>'附表2-EF'!M6</f>
        <v>4.917542e-5</v>
      </c>
      <c r="L6" s="333"/>
      <c r="M6" s="332">
        <f>'附表1-GWP TABLE'!E4</f>
        <v>27.9</v>
      </c>
      <c r="N6" s="325">
        <f>'附表2-EF'!N6</f>
        <v>4.917542e-6</v>
      </c>
      <c r="O6" s="331"/>
      <c r="P6" s="332">
        <f>'附表1-GWP TABLE'!E5</f>
        <v>273</v>
      </c>
      <c r="Q6" s="334"/>
      <c r="R6" s="335"/>
      <c r="S6" s="336"/>
      <c r="T6" s="337"/>
      <c r="U6" s="338"/>
      <c r="V6" s="331"/>
      <c r="W6" s="339"/>
      <c r="X6" s="331"/>
      <c r="Y6" s="338"/>
      <c r="Z6" s="331"/>
      <c r="AA6" s="332"/>
      <c r="AB6" s="338"/>
      <c r="AC6" s="335"/>
      <c r="AD6" s="332"/>
      <c r="AE6" s="329">
        <f t="shared" si="0"/>
        <v>29.13687892878</v>
      </c>
      <c r="AF6" s="329">
        <f t="shared" si="1"/>
        <v>0.01288302570702</v>
      </c>
      <c r="AG6" s="329">
        <f t="shared" si="2"/>
        <v>0.01260597139074</v>
      </c>
      <c r="AH6" s="329">
        <f t="shared" si="3"/>
        <v>0</v>
      </c>
      <c r="AI6" s="329">
        <f t="shared" si="4"/>
        <v>0</v>
      </c>
      <c r="AJ6" s="329">
        <f t="shared" si="5"/>
        <v>0</v>
      </c>
      <c r="AK6" s="329">
        <f t="shared" si="6"/>
        <v>0</v>
      </c>
      <c r="AL6" s="329">
        <f t="shared" si="7"/>
        <v>29.1623679258778</v>
      </c>
    </row>
    <row r="7" s="24" customFormat="1" ht="15.75" spans="1:38">
      <c r="A7" s="316">
        <v>3</v>
      </c>
      <c r="B7" s="317" t="s">
        <v>215</v>
      </c>
      <c r="C7" s="318" t="s">
        <v>225</v>
      </c>
      <c r="D7" s="146" t="s">
        <v>226</v>
      </c>
      <c r="E7" s="320" t="s">
        <v>218</v>
      </c>
      <c r="F7" s="340">
        <f>ROUND(333590.27/(1-0.1641),2)</f>
        <v>399079.16</v>
      </c>
      <c r="G7" s="322" t="s">
        <v>223</v>
      </c>
      <c r="H7" s="323">
        <f>'附表2-EF'!L7</f>
        <v>2.309916312</v>
      </c>
      <c r="I7" s="322" t="s">
        <v>224</v>
      </c>
      <c r="J7" s="324">
        <f>'附表1-GWP TABLE'!E3</f>
        <v>1</v>
      </c>
      <c r="K7" s="325">
        <f>'附表2-EF'!M7</f>
        <v>2.349864e-5</v>
      </c>
      <c r="L7" s="322"/>
      <c r="M7" s="324">
        <f>'附表1-GWP TABLE'!E4</f>
        <v>27.9</v>
      </c>
      <c r="N7" s="325">
        <f>'附表2-EF'!N7</f>
        <v>3.524796e-5</v>
      </c>
      <c r="O7" s="322"/>
      <c r="P7" s="324">
        <f>'附表1-GWP TABLE'!E5</f>
        <v>273</v>
      </c>
      <c r="Q7" s="326"/>
      <c r="R7" s="134"/>
      <c r="S7" s="327"/>
      <c r="T7" s="134"/>
      <c r="U7" s="325"/>
      <c r="V7" s="322"/>
      <c r="W7" s="328"/>
      <c r="X7" s="322"/>
      <c r="Y7" s="325"/>
      <c r="Z7" s="322"/>
      <c r="AA7" s="324"/>
      <c r="AB7" s="325"/>
      <c r="AC7" s="134"/>
      <c r="AD7" s="324"/>
      <c r="AE7" s="329">
        <f t="shared" si="0"/>
        <v>921839.461463258</v>
      </c>
      <c r="AF7" s="329">
        <f t="shared" si="1"/>
        <v>261.641108594353</v>
      </c>
      <c r="AG7" s="329">
        <f t="shared" si="2"/>
        <v>3840.21627130421</v>
      </c>
      <c r="AH7" s="329">
        <f t="shared" si="3"/>
        <v>0</v>
      </c>
      <c r="AI7" s="329">
        <f t="shared" si="4"/>
        <v>0</v>
      </c>
      <c r="AJ7" s="329">
        <f t="shared" si="5"/>
        <v>0</v>
      </c>
      <c r="AK7" s="329">
        <f t="shared" si="6"/>
        <v>0</v>
      </c>
      <c r="AL7" s="329">
        <f t="shared" si="7"/>
        <v>925941.318843156</v>
      </c>
    </row>
    <row r="8" s="24" customFormat="1" ht="15.75" spans="1:38">
      <c r="A8" s="316">
        <v>4</v>
      </c>
      <c r="B8" s="317" t="s">
        <v>215</v>
      </c>
      <c r="C8" s="318" t="s">
        <v>227</v>
      </c>
      <c r="D8" s="319" t="s">
        <v>228</v>
      </c>
      <c r="E8" s="320" t="s">
        <v>218</v>
      </c>
      <c r="F8" s="340">
        <f>ROUND(235649.69/(1-0.0955),2)</f>
        <v>260530.34</v>
      </c>
      <c r="G8" s="322" t="s">
        <v>223</v>
      </c>
      <c r="H8" s="323">
        <f>'附表2-EF'!L8</f>
        <v>2.435260608</v>
      </c>
      <c r="I8" s="322" t="s">
        <v>224</v>
      </c>
      <c r="J8" s="324">
        <f>'附表1-GWP TABLE'!E3</f>
        <v>1</v>
      </c>
      <c r="K8" s="325">
        <f>'附表2-EF'!M8</f>
        <v>2.477376e-5</v>
      </c>
      <c r="L8" s="322"/>
      <c r="M8" s="324">
        <f>'附表1-GWP TABLE'!E4</f>
        <v>27.9</v>
      </c>
      <c r="N8" s="325">
        <f>'附表2-EF'!N8</f>
        <v>3.716064e-5</v>
      </c>
      <c r="O8" s="322"/>
      <c r="P8" s="324">
        <f>'附表1-GWP TABLE'!E5</f>
        <v>273</v>
      </c>
      <c r="Q8" s="326"/>
      <c r="R8" s="134"/>
      <c r="S8" s="327"/>
      <c r="T8" s="134"/>
      <c r="U8" s="325"/>
      <c r="V8" s="322"/>
      <c r="W8" s="328"/>
      <c r="X8" s="322"/>
      <c r="Y8" s="325"/>
      <c r="Z8" s="322"/>
      <c r="AA8" s="324"/>
      <c r="AB8" s="325"/>
      <c r="AC8" s="134"/>
      <c r="AD8" s="324"/>
      <c r="AE8" s="329">
        <f t="shared" si="0"/>
        <v>634459.274190847</v>
      </c>
      <c r="AF8" s="329">
        <f t="shared" si="1"/>
        <v>180.075419633007</v>
      </c>
      <c r="AG8" s="329">
        <f t="shared" si="2"/>
        <v>2643.0424494522</v>
      </c>
      <c r="AH8" s="329">
        <f t="shared" si="3"/>
        <v>0</v>
      </c>
      <c r="AI8" s="329">
        <f t="shared" si="4"/>
        <v>0</v>
      </c>
      <c r="AJ8" s="329">
        <f t="shared" si="5"/>
        <v>0</v>
      </c>
      <c r="AK8" s="329">
        <f t="shared" si="6"/>
        <v>0</v>
      </c>
      <c r="AL8" s="329">
        <f t="shared" si="7"/>
        <v>637282.392059932</v>
      </c>
    </row>
    <row r="9" s="26" customFormat="1" ht="14.25" spans="1:38">
      <c r="A9" s="316">
        <v>5</v>
      </c>
      <c r="B9" s="341" t="s">
        <v>229</v>
      </c>
      <c r="C9" s="342" t="s">
        <v>230</v>
      </c>
      <c r="D9" s="343" t="s">
        <v>231</v>
      </c>
      <c r="E9" s="320" t="s">
        <v>218</v>
      </c>
      <c r="F9" s="344">
        <f>ROUND(1790850.884/(1-0.08),2)</f>
        <v>1946577.05</v>
      </c>
      <c r="G9" s="345" t="s">
        <v>223</v>
      </c>
      <c r="H9" s="323">
        <f>'附表2-EF'!L9</f>
        <v>2.467220976</v>
      </c>
      <c r="I9" s="346" t="s">
        <v>224</v>
      </c>
      <c r="J9" s="324">
        <f>'附表1-GWP TABLE'!E3</f>
        <v>1</v>
      </c>
      <c r="K9" s="325">
        <f>'附表2-EF'!M9</f>
        <v>2.608056e-5</v>
      </c>
      <c r="L9" s="346"/>
      <c r="M9" s="347">
        <f>'附表1-GWP TABLE'!E4</f>
        <v>27.9</v>
      </c>
      <c r="N9" s="325">
        <f>'附表2-EF'!N9</f>
        <v>3.912084e-5</v>
      </c>
      <c r="O9" s="346"/>
      <c r="P9" s="347">
        <f>'附表1-GWP TABLE'!E5</f>
        <v>273</v>
      </c>
      <c r="Q9" s="348"/>
      <c r="R9" s="349"/>
      <c r="S9" s="350"/>
      <c r="T9" s="349"/>
      <c r="U9" s="351"/>
      <c r="V9" s="346"/>
      <c r="W9" s="352"/>
      <c r="X9" s="346"/>
      <c r="Y9" s="351"/>
      <c r="Z9" s="346"/>
      <c r="AA9" s="347"/>
      <c r="AB9" s="351"/>
      <c r="AC9" s="349"/>
      <c r="AD9" s="347"/>
      <c r="AE9" s="329">
        <f t="shared" si="0"/>
        <v>4802635.7291602</v>
      </c>
      <c r="AF9" s="329">
        <f t="shared" si="1"/>
        <v>1416.42216536543</v>
      </c>
      <c r="AG9" s="329">
        <f t="shared" si="2"/>
        <v>20789.4221045571</v>
      </c>
      <c r="AH9" s="329">
        <f t="shared" si="3"/>
        <v>0</v>
      </c>
      <c r="AI9" s="329">
        <f t="shared" si="4"/>
        <v>0</v>
      </c>
      <c r="AJ9" s="329">
        <f t="shared" si="5"/>
        <v>0</v>
      </c>
      <c r="AK9" s="329">
        <f t="shared" si="6"/>
        <v>0</v>
      </c>
      <c r="AL9" s="329">
        <f t="shared" si="7"/>
        <v>4824841.57343012</v>
      </c>
    </row>
    <row r="10" s="24" customFormat="1" ht="15.75" spans="1:38">
      <c r="A10" s="316">
        <v>6</v>
      </c>
      <c r="B10" s="317" t="s">
        <v>215</v>
      </c>
      <c r="C10" s="342" t="s">
        <v>232</v>
      </c>
      <c r="D10" s="343" t="s">
        <v>233</v>
      </c>
      <c r="E10" s="320" t="s">
        <v>218</v>
      </c>
      <c r="F10" s="340">
        <f>ROUND(141299.98/(1-0.0284),2)</f>
        <v>145430.2</v>
      </c>
      <c r="G10" s="322" t="s">
        <v>223</v>
      </c>
      <c r="H10" s="323">
        <f>'附表2-EF'!L10</f>
        <v>3.01211955</v>
      </c>
      <c r="I10" s="322" t="s">
        <v>224</v>
      </c>
      <c r="J10" s="324">
        <f>'附表1-GWP TABLE'!E3</f>
        <v>1</v>
      </c>
      <c r="K10" s="325">
        <f>'附表2-EF'!M10</f>
        <v>2.815065e-5</v>
      </c>
      <c r="L10" s="322"/>
      <c r="M10" s="324">
        <f>'附表1-GWP TABLE'!E4</f>
        <v>27.9</v>
      </c>
      <c r="N10" s="325">
        <f>'附表2-EF'!N10</f>
        <v>4.2225975e-5</v>
      </c>
      <c r="O10" s="322"/>
      <c r="P10" s="324">
        <f>'附表1-GWP TABLE'!E5</f>
        <v>273</v>
      </c>
      <c r="Q10" s="326"/>
      <c r="R10" s="134"/>
      <c r="S10" s="327"/>
      <c r="T10" s="134"/>
      <c r="U10" s="325"/>
      <c r="V10" s="322"/>
      <c r="W10" s="328"/>
      <c r="X10" s="322"/>
      <c r="Y10" s="325"/>
      <c r="Z10" s="322"/>
      <c r="AA10" s="324"/>
      <c r="AB10" s="325"/>
      <c r="AC10" s="134"/>
      <c r="AD10" s="324"/>
      <c r="AE10" s="329">
        <f t="shared" si="0"/>
        <v>438053.14858041</v>
      </c>
      <c r="AF10" s="329">
        <f t="shared" si="1"/>
        <v>114.221335003677</v>
      </c>
      <c r="AG10" s="329">
        <f t="shared" si="2"/>
        <v>1676.47443311848</v>
      </c>
      <c r="AH10" s="329">
        <f t="shared" si="3"/>
        <v>0</v>
      </c>
      <c r="AI10" s="329">
        <f t="shared" si="4"/>
        <v>0</v>
      </c>
      <c r="AJ10" s="329">
        <f t="shared" si="5"/>
        <v>0</v>
      </c>
      <c r="AK10" s="329">
        <f t="shared" si="6"/>
        <v>0</v>
      </c>
      <c r="AL10" s="329">
        <f t="shared" si="7"/>
        <v>439843.844348532</v>
      </c>
    </row>
    <row r="11" s="24" customFormat="1" ht="15.75" spans="1:38">
      <c r="A11" s="316">
        <v>7</v>
      </c>
      <c r="B11" s="317" t="s">
        <v>215</v>
      </c>
      <c r="C11" s="342" t="s">
        <v>234</v>
      </c>
      <c r="D11" s="343" t="s">
        <v>235</v>
      </c>
      <c r="E11" s="320" t="s">
        <v>218</v>
      </c>
      <c r="F11" s="340">
        <f>ROUND(109912.07/(1-0.0884),2)</f>
        <v>120570.5</v>
      </c>
      <c r="G11" s="322" t="s">
        <v>223</v>
      </c>
      <c r="H11" s="323">
        <f>'附表2-EF'!L10</f>
        <v>3.01211955</v>
      </c>
      <c r="I11" s="322" t="s">
        <v>224</v>
      </c>
      <c r="J11" s="324">
        <f>'附表1-GWP TABLE'!E3</f>
        <v>1</v>
      </c>
      <c r="K11" s="325">
        <f>'附表2-EF'!M10</f>
        <v>2.815065e-5</v>
      </c>
      <c r="L11" s="322"/>
      <c r="M11" s="324">
        <f>'附表1-GWP TABLE'!E4</f>
        <v>27.9</v>
      </c>
      <c r="N11" s="325">
        <f>'附表2-EF'!N10</f>
        <v>4.2225975e-5</v>
      </c>
      <c r="O11" s="322"/>
      <c r="P11" s="324">
        <f>'附表1-GWP TABLE'!E5</f>
        <v>273</v>
      </c>
      <c r="Q11" s="326"/>
      <c r="R11" s="134"/>
      <c r="S11" s="327"/>
      <c r="T11" s="134"/>
      <c r="U11" s="325"/>
      <c r="V11" s="322"/>
      <c r="W11" s="328"/>
      <c r="X11" s="322"/>
      <c r="Y11" s="325"/>
      <c r="Z11" s="322"/>
      <c r="AA11" s="324"/>
      <c r="AB11" s="325"/>
      <c r="AC11" s="134"/>
      <c r="AD11" s="324"/>
      <c r="AE11" s="329">
        <f t="shared" si="0"/>
        <v>363172.760203275</v>
      </c>
      <c r="AF11" s="329">
        <f t="shared" si="1"/>
        <v>94.6964486885175</v>
      </c>
      <c r="AG11" s="329">
        <f t="shared" si="2"/>
        <v>1389.89948881534</v>
      </c>
      <c r="AH11" s="329">
        <f t="shared" si="3"/>
        <v>0</v>
      </c>
      <c r="AI11" s="329">
        <f t="shared" si="4"/>
        <v>0</v>
      </c>
      <c r="AJ11" s="329">
        <f t="shared" si="5"/>
        <v>0</v>
      </c>
      <c r="AK11" s="329">
        <f t="shared" si="6"/>
        <v>0</v>
      </c>
      <c r="AL11" s="329">
        <f t="shared" si="7"/>
        <v>364657.356140779</v>
      </c>
    </row>
    <row r="12" s="28" customFormat="1" ht="14.25" spans="1:38">
      <c r="A12" s="316">
        <v>8</v>
      </c>
      <c r="B12" s="353" t="s">
        <v>229</v>
      </c>
      <c r="C12" s="354" t="s">
        <v>236</v>
      </c>
      <c r="D12" s="354" t="s">
        <v>237</v>
      </c>
      <c r="E12" s="355" t="s">
        <v>218</v>
      </c>
      <c r="F12" s="356">
        <f>ROUND(-500.973085,2)</f>
        <v>-500.97</v>
      </c>
      <c r="G12" s="357" t="s">
        <v>219</v>
      </c>
      <c r="H12" s="323">
        <f>'附表2-EF'!L11</f>
        <v>7.641926424</v>
      </c>
      <c r="I12" s="357" t="s">
        <v>220</v>
      </c>
      <c r="J12" s="358">
        <v>1</v>
      </c>
      <c r="K12" s="325">
        <f>'附表2-EF'!M11</f>
        <v>0.00017211546</v>
      </c>
      <c r="L12" s="359"/>
      <c r="M12" s="358">
        <f>'附表1-GWP TABLE'!E4</f>
        <v>27.9</v>
      </c>
      <c r="N12" s="325">
        <f>'附表2-EF'!N11</f>
        <v>1.7211546e-5</v>
      </c>
      <c r="O12" s="357"/>
      <c r="P12" s="358">
        <f>'附表1-GWP TABLE'!E5</f>
        <v>273</v>
      </c>
      <c r="Q12" s="360"/>
      <c r="R12" s="361"/>
      <c r="S12" s="362"/>
      <c r="T12" s="363"/>
      <c r="U12" s="364"/>
      <c r="V12" s="357"/>
      <c r="W12" s="365"/>
      <c r="X12" s="357"/>
      <c r="Y12" s="364"/>
      <c r="Z12" s="357"/>
      <c r="AA12" s="358"/>
      <c r="AB12" s="364"/>
      <c r="AC12" s="361"/>
      <c r="AD12" s="358"/>
      <c r="AE12" s="329">
        <f t="shared" si="0"/>
        <v>-3828.37588063128</v>
      </c>
      <c r="AF12" s="329">
        <f t="shared" si="1"/>
        <v>-2.40566862769398</v>
      </c>
      <c r="AG12" s="329">
        <f t="shared" si="2"/>
        <v>-2.35393381849626</v>
      </c>
      <c r="AH12" s="329">
        <f t="shared" si="3"/>
        <v>0</v>
      </c>
      <c r="AI12" s="329">
        <f t="shared" si="4"/>
        <v>0</v>
      </c>
      <c r="AJ12" s="329">
        <f t="shared" si="5"/>
        <v>0</v>
      </c>
      <c r="AK12" s="329">
        <f t="shared" si="6"/>
        <v>0</v>
      </c>
      <c r="AL12" s="366">
        <f t="shared" si="7"/>
        <v>-3833.13548307747</v>
      </c>
    </row>
    <row r="13" s="27" customFormat="1" ht="15.75" spans="1:38">
      <c r="A13" s="316">
        <v>9</v>
      </c>
      <c r="B13" s="317" t="s">
        <v>238</v>
      </c>
      <c r="C13" s="318" t="s">
        <v>239</v>
      </c>
      <c r="D13" s="319" t="s">
        <v>240</v>
      </c>
      <c r="E13" s="320" t="s">
        <v>218</v>
      </c>
      <c r="F13" s="330">
        <f>ROUND(1403.865,2)</f>
        <v>1403.87</v>
      </c>
      <c r="G13" s="322" t="s">
        <v>223</v>
      </c>
      <c r="H13" s="323">
        <f>'附表2-EF'!L12</f>
        <v>3.097302936</v>
      </c>
      <c r="I13" s="322" t="s">
        <v>224</v>
      </c>
      <c r="J13" s="324">
        <v>1</v>
      </c>
      <c r="K13" s="325">
        <f>'附表2-EF'!M12</f>
        <v>0.000163015944</v>
      </c>
      <c r="L13" s="359"/>
      <c r="M13" s="324">
        <f>'附表1-GWP TABLE'!E4</f>
        <v>27.9</v>
      </c>
      <c r="N13" s="325">
        <f>'附表2-EF'!N12</f>
        <v>0.000163015944</v>
      </c>
      <c r="O13" s="357"/>
      <c r="P13" s="358">
        <f>'附表1-GWP TABLE'!E5</f>
        <v>273</v>
      </c>
      <c r="Q13" s="326"/>
      <c r="R13" s="134"/>
      <c r="S13" s="327"/>
      <c r="T13" s="134"/>
      <c r="U13" s="325"/>
      <c r="V13" s="322"/>
      <c r="W13" s="328"/>
      <c r="X13" s="322"/>
      <c r="Y13" s="325"/>
      <c r="Z13" s="322"/>
      <c r="AA13" s="324"/>
      <c r="AB13" s="325"/>
      <c r="AC13" s="361"/>
      <c r="AD13" s="358"/>
      <c r="AE13" s="329">
        <f t="shared" si="0"/>
        <v>4348.21067276232</v>
      </c>
      <c r="AF13" s="329">
        <f t="shared" si="1"/>
        <v>6.38500409316151</v>
      </c>
      <c r="AG13" s="329">
        <f t="shared" si="2"/>
        <v>62.4769217717954</v>
      </c>
      <c r="AH13" s="329">
        <f t="shared" si="3"/>
        <v>0</v>
      </c>
      <c r="AI13" s="329">
        <f t="shared" si="4"/>
        <v>0</v>
      </c>
      <c r="AJ13" s="329">
        <f t="shared" si="5"/>
        <v>0</v>
      </c>
      <c r="AK13" s="329">
        <f t="shared" si="6"/>
        <v>0</v>
      </c>
      <c r="AL13" s="329">
        <f t="shared" si="7"/>
        <v>4417.07259862728</v>
      </c>
    </row>
    <row r="14" s="24" customFormat="1" ht="15.75" spans="1:38">
      <c r="A14" s="316">
        <v>10</v>
      </c>
      <c r="B14" s="317" t="s">
        <v>238</v>
      </c>
      <c r="C14" s="318" t="s">
        <v>241</v>
      </c>
      <c r="D14" s="146" t="s">
        <v>242</v>
      </c>
      <c r="E14" s="320" t="s">
        <v>218</v>
      </c>
      <c r="F14" s="330">
        <f>ROUND(63298.77*0.775/10^3,2)</f>
        <v>49.06</v>
      </c>
      <c r="G14" s="322" t="s">
        <v>223</v>
      </c>
      <c r="H14" s="323">
        <f>'附表2-EF'!L13</f>
        <v>2.92505598</v>
      </c>
      <c r="I14" s="322" t="s">
        <v>224</v>
      </c>
      <c r="J14" s="324">
        <v>1</v>
      </c>
      <c r="K14" s="325">
        <f>'附表2-EF'!M13</f>
        <v>0.001055215</v>
      </c>
      <c r="L14" s="359"/>
      <c r="M14" s="324">
        <f>'附表1-GWP TABLE'!E4</f>
        <v>27.9</v>
      </c>
      <c r="N14" s="325">
        <f>'附表2-EF'!N13</f>
        <v>0.0003376688</v>
      </c>
      <c r="O14" s="357"/>
      <c r="P14" s="358">
        <f>'附表1-GWP TABLE'!E5</f>
        <v>273</v>
      </c>
      <c r="Q14" s="326"/>
      <c r="R14" s="134"/>
      <c r="S14" s="327"/>
      <c r="T14" s="134"/>
      <c r="U14" s="325"/>
      <c r="V14" s="322"/>
      <c r="W14" s="328"/>
      <c r="X14" s="322"/>
      <c r="Y14" s="325"/>
      <c r="Z14" s="322"/>
      <c r="AA14" s="324"/>
      <c r="AB14" s="325"/>
      <c r="AC14" s="134"/>
      <c r="AD14" s="324"/>
      <c r="AE14" s="329">
        <f t="shared" ref="AE14" si="8">F14*H14*J14</f>
        <v>143.5032463788</v>
      </c>
      <c r="AF14" s="329">
        <f t="shared" ref="AF14" si="9">F14*K14*M14</f>
        <v>1.44435085641</v>
      </c>
      <c r="AG14" s="329">
        <f t="shared" ref="AG14" si="10">F14*N14*P14</f>
        <v>4.522526552544</v>
      </c>
      <c r="AH14" s="329">
        <f t="shared" ref="AH14" si="11">F14*Q14*S14</f>
        <v>0</v>
      </c>
      <c r="AI14" s="329">
        <f t="shared" ref="AI14" si="12">F14*U14*W14</f>
        <v>0</v>
      </c>
      <c r="AJ14" s="329">
        <f t="shared" ref="AJ14" si="13">F14*Y14*AA14</f>
        <v>0</v>
      </c>
      <c r="AK14" s="329">
        <f t="shared" ref="AK14" si="14">F14*AB14*AD14</f>
        <v>0</v>
      </c>
      <c r="AL14" s="329">
        <f t="shared" ref="AL14" si="15">SUM(AE14:AK14)</f>
        <v>149.470123787754</v>
      </c>
    </row>
    <row r="15" s="27" customFormat="1" ht="15.75" spans="1:38">
      <c r="A15" s="316">
        <v>11</v>
      </c>
      <c r="B15" s="317" t="s">
        <v>243</v>
      </c>
      <c r="C15" s="318" t="s">
        <v>244</v>
      </c>
      <c r="D15" s="146" t="s">
        <v>245</v>
      </c>
      <c r="E15" s="320" t="s">
        <v>218</v>
      </c>
      <c r="F15" s="340">
        <f>ROUND(0.9274,2)</f>
        <v>0.93</v>
      </c>
      <c r="G15" s="322" t="s">
        <v>223</v>
      </c>
      <c r="H15" s="323"/>
      <c r="I15" s="322"/>
      <c r="J15" s="324"/>
      <c r="K15" s="325"/>
      <c r="L15" s="322"/>
      <c r="M15" s="324"/>
      <c r="N15" s="325"/>
      <c r="O15" s="322"/>
      <c r="P15" s="324"/>
      <c r="Q15" s="367">
        <v>1</v>
      </c>
      <c r="R15" s="134" t="s">
        <v>246</v>
      </c>
      <c r="S15" s="368">
        <f>'附表1-GWP TABLE'!F8</f>
        <v>771</v>
      </c>
      <c r="T15" s="369" t="s">
        <v>247</v>
      </c>
      <c r="U15" s="325"/>
      <c r="V15" s="322"/>
      <c r="W15" s="328"/>
      <c r="X15" s="322"/>
      <c r="Y15" s="325"/>
      <c r="Z15" s="322"/>
      <c r="AA15" s="324"/>
      <c r="AB15" s="325"/>
      <c r="AC15" s="361"/>
      <c r="AD15" s="358"/>
      <c r="AE15" s="329">
        <f t="shared" si="0"/>
        <v>0</v>
      </c>
      <c r="AF15" s="329">
        <f t="shared" si="1"/>
        <v>0</v>
      </c>
      <c r="AG15" s="329">
        <f t="shared" si="2"/>
        <v>0</v>
      </c>
      <c r="AH15" s="329">
        <f t="shared" si="3"/>
        <v>717.03</v>
      </c>
      <c r="AI15" s="329">
        <f t="shared" si="4"/>
        <v>0</v>
      </c>
      <c r="AJ15" s="329">
        <f t="shared" si="5"/>
        <v>0</v>
      </c>
      <c r="AK15" s="329">
        <f t="shared" si="6"/>
        <v>0</v>
      </c>
      <c r="AL15" s="329">
        <f t="shared" si="7"/>
        <v>717.03</v>
      </c>
    </row>
    <row r="16" s="28" customFormat="1" ht="14.25" spans="1:38">
      <c r="A16" s="316">
        <v>12</v>
      </c>
      <c r="B16" s="317" t="s">
        <v>243</v>
      </c>
      <c r="C16" s="318" t="s">
        <v>248</v>
      </c>
      <c r="D16" s="146" t="s">
        <v>249</v>
      </c>
      <c r="E16" s="320" t="s">
        <v>218</v>
      </c>
      <c r="F16" s="330">
        <f>ROUND((127*3+56*5)/1000,2)</f>
        <v>0.66</v>
      </c>
      <c r="G16" s="322" t="s">
        <v>223</v>
      </c>
      <c r="H16" s="370">
        <f>'附表2-EF'!F34</f>
        <v>1</v>
      </c>
      <c r="I16" s="322" t="s">
        <v>224</v>
      </c>
      <c r="J16" s="324">
        <v>1</v>
      </c>
      <c r="K16" s="325"/>
      <c r="L16" s="318"/>
      <c r="M16" s="324"/>
      <c r="N16" s="325"/>
      <c r="O16" s="322"/>
      <c r="P16" s="324"/>
      <c r="Q16" s="326"/>
      <c r="R16" s="134"/>
      <c r="S16" s="327"/>
      <c r="T16" s="134"/>
      <c r="U16" s="325"/>
      <c r="V16" s="322"/>
      <c r="W16" s="328"/>
      <c r="X16" s="322"/>
      <c r="Y16" s="325"/>
      <c r="Z16" s="322"/>
      <c r="AA16" s="324"/>
      <c r="AB16" s="325"/>
      <c r="AC16" s="361"/>
      <c r="AD16" s="358"/>
      <c r="AE16" s="329">
        <f t="shared" si="0"/>
        <v>0.66</v>
      </c>
      <c r="AF16" s="329">
        <f t="shared" si="1"/>
        <v>0</v>
      </c>
      <c r="AG16" s="329">
        <f t="shared" si="2"/>
        <v>0</v>
      </c>
      <c r="AH16" s="329">
        <f t="shared" si="3"/>
        <v>0</v>
      </c>
      <c r="AI16" s="329">
        <f t="shared" si="4"/>
        <v>0</v>
      </c>
      <c r="AJ16" s="329">
        <f t="shared" si="5"/>
        <v>0</v>
      </c>
      <c r="AK16" s="329">
        <f t="shared" si="6"/>
        <v>0</v>
      </c>
      <c r="AL16" s="329">
        <f t="shared" si="7"/>
        <v>0.66</v>
      </c>
    </row>
    <row r="17" s="28" customFormat="1" ht="14.25" spans="1:38">
      <c r="A17" s="316">
        <v>13</v>
      </c>
      <c r="B17" s="317" t="s">
        <v>243</v>
      </c>
      <c r="C17" s="318" t="s">
        <v>250</v>
      </c>
      <c r="D17" s="146" t="s">
        <v>251</v>
      </c>
      <c r="E17" s="320" t="s">
        <v>218</v>
      </c>
      <c r="F17" s="330">
        <f>ROUND(6680*'附表2-EF'!J38*251/10^6*8/24,2)</f>
        <v>22.36</v>
      </c>
      <c r="G17" s="322" t="s">
        <v>252</v>
      </c>
      <c r="H17" s="370"/>
      <c r="I17" s="322"/>
      <c r="J17" s="324"/>
      <c r="K17" s="371">
        <f>'附表2-EF'!J36</f>
        <v>0.18</v>
      </c>
      <c r="L17" s="318" t="s">
        <v>253</v>
      </c>
      <c r="M17" s="324">
        <f>'附表1-GWP TABLE'!E4</f>
        <v>27.9</v>
      </c>
      <c r="N17" s="325"/>
      <c r="O17" s="322"/>
      <c r="P17" s="324"/>
      <c r="Q17" s="326"/>
      <c r="R17" s="134"/>
      <c r="S17" s="327"/>
      <c r="T17" s="134"/>
      <c r="U17" s="325"/>
      <c r="V17" s="322"/>
      <c r="W17" s="328"/>
      <c r="X17" s="322"/>
      <c r="Y17" s="325"/>
      <c r="Z17" s="322"/>
      <c r="AA17" s="324"/>
      <c r="AB17" s="325"/>
      <c r="AC17" s="361"/>
      <c r="AD17" s="358"/>
      <c r="AE17" s="329">
        <f t="shared" si="0"/>
        <v>0</v>
      </c>
      <c r="AF17" s="329">
        <f t="shared" si="1"/>
        <v>112.29192</v>
      </c>
      <c r="AG17" s="329">
        <f t="shared" si="2"/>
        <v>0</v>
      </c>
      <c r="AH17" s="329">
        <f t="shared" si="3"/>
        <v>0</v>
      </c>
      <c r="AI17" s="329">
        <f t="shared" si="4"/>
        <v>0</v>
      </c>
      <c r="AJ17" s="329">
        <f t="shared" si="5"/>
        <v>0</v>
      </c>
      <c r="AK17" s="329">
        <f t="shared" si="6"/>
        <v>0</v>
      </c>
      <c r="AL17" s="329">
        <f t="shared" si="7"/>
        <v>112.29192</v>
      </c>
    </row>
    <row r="18" s="28" customFormat="1" ht="14.25" spans="1:38">
      <c r="A18" s="316">
        <v>14</v>
      </c>
      <c r="B18" s="372" t="s">
        <v>254</v>
      </c>
      <c r="C18" s="318" t="s">
        <v>250</v>
      </c>
      <c r="D18" s="319" t="s">
        <v>255</v>
      </c>
      <c r="E18" s="320" t="s">
        <v>218</v>
      </c>
      <c r="F18" s="373">
        <f>ROUND((21.7-7.3)/10^6*9700672+(27.5-8.5)/10^6*1843418,2)</f>
        <v>174.71</v>
      </c>
      <c r="G18" s="322" t="s">
        <v>256</v>
      </c>
      <c r="H18" s="374"/>
      <c r="I18" s="346"/>
      <c r="J18" s="347"/>
      <c r="K18" s="375">
        <f>'附表2-EF'!J37</f>
        <v>0.075</v>
      </c>
      <c r="L18" s="376" t="s">
        <v>257</v>
      </c>
      <c r="M18" s="347">
        <f>'附表1-GWP TABLE'!E4</f>
        <v>27.9</v>
      </c>
      <c r="N18" s="351"/>
      <c r="O18" s="346"/>
      <c r="P18" s="347"/>
      <c r="Q18" s="348"/>
      <c r="R18" s="349"/>
      <c r="S18" s="350"/>
      <c r="T18" s="349"/>
      <c r="U18" s="351"/>
      <c r="V18" s="346"/>
      <c r="W18" s="352"/>
      <c r="X18" s="346"/>
      <c r="Y18" s="351"/>
      <c r="Z18" s="346"/>
      <c r="AA18" s="347"/>
      <c r="AB18" s="351"/>
      <c r="AC18" s="377"/>
      <c r="AD18" s="378"/>
      <c r="AE18" s="329">
        <f t="shared" si="0"/>
        <v>0</v>
      </c>
      <c r="AF18" s="329">
        <f t="shared" si="1"/>
        <v>365.580675</v>
      </c>
      <c r="AG18" s="329">
        <f t="shared" si="2"/>
        <v>0</v>
      </c>
      <c r="AH18" s="329">
        <f t="shared" si="3"/>
        <v>0</v>
      </c>
      <c r="AI18" s="329">
        <f t="shared" si="4"/>
        <v>0</v>
      </c>
      <c r="AJ18" s="329">
        <f t="shared" si="5"/>
        <v>0</v>
      </c>
      <c r="AK18" s="329">
        <f t="shared" si="6"/>
        <v>0</v>
      </c>
      <c r="AL18" s="329">
        <f t="shared" si="7"/>
        <v>365.580675</v>
      </c>
    </row>
    <row r="19" s="28" customFormat="1" ht="14.25" spans="1:38">
      <c r="A19" s="316">
        <v>15</v>
      </c>
      <c r="B19" s="317" t="s">
        <v>243</v>
      </c>
      <c r="C19" s="318" t="s">
        <v>258</v>
      </c>
      <c r="D19" s="146" t="s">
        <v>259</v>
      </c>
      <c r="E19" s="320" t="s">
        <v>218</v>
      </c>
      <c r="F19" s="330">
        <f>ROUND((56*24+63*300)/1000,2)</f>
        <v>20.24</v>
      </c>
      <c r="G19" s="322" t="s">
        <v>223</v>
      </c>
      <c r="H19" s="370"/>
      <c r="I19" s="322"/>
      <c r="J19" s="324"/>
      <c r="K19" s="325"/>
      <c r="L19" s="318"/>
      <c r="M19" s="324"/>
      <c r="N19" s="325"/>
      <c r="O19" s="322"/>
      <c r="P19" s="324"/>
      <c r="Q19" s="326"/>
      <c r="R19" s="134"/>
      <c r="S19" s="327"/>
      <c r="T19" s="134"/>
      <c r="U19" s="325"/>
      <c r="V19" s="322"/>
      <c r="W19" s="328"/>
      <c r="X19" s="322"/>
      <c r="Y19" s="379">
        <f>'附表2-EF'!F33</f>
        <v>0.005</v>
      </c>
      <c r="Z19" s="134" t="s">
        <v>260</v>
      </c>
      <c r="AA19" s="324">
        <f>'附表1-GWP TABLE'!E48</f>
        <v>24300</v>
      </c>
      <c r="AB19" s="325"/>
      <c r="AC19" s="361"/>
      <c r="AD19" s="358"/>
      <c r="AE19" s="329">
        <f t="shared" si="0"/>
        <v>0</v>
      </c>
      <c r="AF19" s="329">
        <f t="shared" si="1"/>
        <v>0</v>
      </c>
      <c r="AG19" s="329">
        <f t="shared" si="2"/>
        <v>0</v>
      </c>
      <c r="AH19" s="329">
        <f t="shared" si="3"/>
        <v>0</v>
      </c>
      <c r="AI19" s="329">
        <f t="shared" si="4"/>
        <v>0</v>
      </c>
      <c r="AJ19" s="329">
        <f t="shared" si="5"/>
        <v>2459.16</v>
      </c>
      <c r="AK19" s="329">
        <f t="shared" si="6"/>
        <v>0</v>
      </c>
      <c r="AL19" s="329">
        <f t="shared" si="7"/>
        <v>2459.16</v>
      </c>
    </row>
    <row r="20" s="28" customFormat="1" ht="14.25" spans="1:38">
      <c r="A20" s="316">
        <v>16</v>
      </c>
      <c r="B20" s="380" t="s">
        <v>53</v>
      </c>
      <c r="C20" s="342" t="s">
        <v>261</v>
      </c>
      <c r="D20" s="319" t="s">
        <v>262</v>
      </c>
      <c r="E20" s="320" t="s">
        <v>218</v>
      </c>
      <c r="F20" s="330">
        <f>ROUND(4595.368+7694.12+7076.28,2)</f>
        <v>19365.77</v>
      </c>
      <c r="G20" s="322" t="s">
        <v>223</v>
      </c>
      <c r="H20" s="323">
        <f>'附表2-EF'!F19</f>
        <v>0.44</v>
      </c>
      <c r="I20" s="322" t="s">
        <v>224</v>
      </c>
      <c r="J20" s="324">
        <v>1</v>
      </c>
      <c r="K20" s="325"/>
      <c r="L20" s="318"/>
      <c r="M20" s="324"/>
      <c r="N20" s="325"/>
      <c r="O20" s="322"/>
      <c r="P20" s="324"/>
      <c r="Q20" s="326"/>
      <c r="R20" s="134"/>
      <c r="S20" s="368"/>
      <c r="T20" s="369"/>
      <c r="U20" s="325"/>
      <c r="V20" s="322"/>
      <c r="W20" s="328"/>
      <c r="X20" s="322"/>
      <c r="Y20" s="325"/>
      <c r="Z20" s="322"/>
      <c r="AA20" s="324"/>
      <c r="AB20" s="325"/>
      <c r="AC20" s="361"/>
      <c r="AD20" s="358"/>
      <c r="AE20" s="329">
        <f t="shared" si="0"/>
        <v>8520.9388</v>
      </c>
      <c r="AF20" s="329">
        <f t="shared" si="1"/>
        <v>0</v>
      </c>
      <c r="AG20" s="329">
        <f t="shared" si="2"/>
        <v>0</v>
      </c>
      <c r="AH20" s="329">
        <f t="shared" si="3"/>
        <v>0</v>
      </c>
      <c r="AI20" s="329">
        <f t="shared" si="4"/>
        <v>0</v>
      </c>
      <c r="AJ20" s="329">
        <f t="shared" si="5"/>
        <v>0</v>
      </c>
      <c r="AK20" s="329">
        <f t="shared" si="6"/>
        <v>0</v>
      </c>
      <c r="AL20" s="329">
        <f t="shared" si="7"/>
        <v>8520.9388</v>
      </c>
    </row>
    <row r="21" s="28" customFormat="1" ht="14.25" spans="1:38">
      <c r="A21" s="316">
        <v>17</v>
      </c>
      <c r="B21" s="380" t="s">
        <v>53</v>
      </c>
      <c r="C21" s="342" t="s">
        <v>263</v>
      </c>
      <c r="D21" s="146" t="s">
        <v>226</v>
      </c>
      <c r="E21" s="320" t="s">
        <v>218</v>
      </c>
      <c r="F21" s="330">
        <f>ROUND(356289.39,2)</f>
        <v>356289.39</v>
      </c>
      <c r="G21" s="322" t="s">
        <v>223</v>
      </c>
      <c r="H21" s="323">
        <f>'附表2-EF'!F20</f>
        <v>0.476</v>
      </c>
      <c r="I21" s="322" t="s">
        <v>224</v>
      </c>
      <c r="J21" s="324">
        <v>1</v>
      </c>
      <c r="K21" s="325"/>
      <c r="L21" s="318"/>
      <c r="M21" s="324"/>
      <c r="N21" s="325"/>
      <c r="O21" s="322"/>
      <c r="P21" s="324"/>
      <c r="Q21" s="326"/>
      <c r="R21" s="134"/>
      <c r="S21" s="368"/>
      <c r="T21" s="369"/>
      <c r="U21" s="325"/>
      <c r="V21" s="322"/>
      <c r="W21" s="328"/>
      <c r="X21" s="322"/>
      <c r="Y21" s="325"/>
      <c r="Z21" s="322"/>
      <c r="AA21" s="324"/>
      <c r="AB21" s="325"/>
      <c r="AC21" s="361"/>
      <c r="AD21" s="358"/>
      <c r="AE21" s="329">
        <f t="shared" si="0"/>
        <v>169593.74964</v>
      </c>
      <c r="AF21" s="329">
        <f t="shared" si="1"/>
        <v>0</v>
      </c>
      <c r="AG21" s="329">
        <f t="shared" si="2"/>
        <v>0</v>
      </c>
      <c r="AH21" s="329">
        <f t="shared" si="3"/>
        <v>0</v>
      </c>
      <c r="AI21" s="329">
        <f t="shared" si="4"/>
        <v>0</v>
      </c>
      <c r="AJ21" s="329">
        <f t="shared" si="5"/>
        <v>0</v>
      </c>
      <c r="AK21" s="329">
        <f t="shared" si="6"/>
        <v>0</v>
      </c>
      <c r="AL21" s="329">
        <f t="shared" si="7"/>
        <v>169593.74964</v>
      </c>
    </row>
    <row r="22" s="28" customFormat="1" ht="14.25" spans="1:38">
      <c r="A22" s="316">
        <v>18</v>
      </c>
      <c r="B22" s="380" t="s">
        <v>53</v>
      </c>
      <c r="C22" s="342" t="s">
        <v>264</v>
      </c>
      <c r="D22" s="146" t="s">
        <v>265</v>
      </c>
      <c r="E22" s="320" t="s">
        <v>218</v>
      </c>
      <c r="F22" s="330">
        <f>ROUND(4763.07,2)</f>
        <v>4763.07</v>
      </c>
      <c r="G22" s="322" t="s">
        <v>223</v>
      </c>
      <c r="H22" s="381">
        <f>'附表2-EF'!F21</f>
        <v>3.663</v>
      </c>
      <c r="I22" s="322" t="s">
        <v>224</v>
      </c>
      <c r="J22" s="324">
        <v>1</v>
      </c>
      <c r="K22" s="325"/>
      <c r="L22" s="318"/>
      <c r="M22" s="324"/>
      <c r="N22" s="325"/>
      <c r="O22" s="322"/>
      <c r="P22" s="324"/>
      <c r="Q22" s="326"/>
      <c r="R22" s="134"/>
      <c r="S22" s="368"/>
      <c r="T22" s="369"/>
      <c r="U22" s="325"/>
      <c r="V22" s="322"/>
      <c r="W22" s="328"/>
      <c r="X22" s="322"/>
      <c r="Y22" s="325"/>
      <c r="Z22" s="322"/>
      <c r="AA22" s="324"/>
      <c r="AB22" s="325"/>
      <c r="AC22" s="361"/>
      <c r="AD22" s="358"/>
      <c r="AE22" s="329">
        <f t="shared" ref="AE22:AE34" si="16">F22*H22*J22</f>
        <v>17447.12541</v>
      </c>
      <c r="AF22" s="329">
        <f t="shared" ref="AF22:AF34" si="17">F22*K22*M22</f>
        <v>0</v>
      </c>
      <c r="AG22" s="329">
        <f t="shared" ref="AG22:AG34" si="18">F22*N22*P22</f>
        <v>0</v>
      </c>
      <c r="AH22" s="329">
        <f t="shared" ref="AH22:AH34" si="19">F22*Q22*S22</f>
        <v>0</v>
      </c>
      <c r="AI22" s="329">
        <f t="shared" ref="AI22:AI34" si="20">F22*U22*W22</f>
        <v>0</v>
      </c>
      <c r="AJ22" s="329">
        <f t="shared" ref="AJ22:AJ34" si="21">F22*Y22*AA22</f>
        <v>0</v>
      </c>
      <c r="AK22" s="329">
        <f t="shared" ref="AK22:AK34" si="22">F22*AB22*AD22</f>
        <v>0</v>
      </c>
      <c r="AL22" s="329">
        <f t="shared" ref="AL22:AL34" si="23">SUM(AE22:AK22)</f>
        <v>17447.12541</v>
      </c>
    </row>
    <row r="23" s="28" customFormat="1" ht="14.25" spans="1:38">
      <c r="A23" s="316">
        <v>19</v>
      </c>
      <c r="B23" s="380" t="s">
        <v>53</v>
      </c>
      <c r="C23" s="342" t="s">
        <v>266</v>
      </c>
      <c r="D23" s="146" t="s">
        <v>265</v>
      </c>
      <c r="E23" s="320" t="s">
        <v>218</v>
      </c>
      <c r="F23" s="330">
        <v>1077722.6430978</v>
      </c>
      <c r="G23" s="322" t="s">
        <v>223</v>
      </c>
      <c r="H23" s="382">
        <f>'附表2-EF'!F27</f>
        <v>0.037</v>
      </c>
      <c r="I23" s="322" t="s">
        <v>224</v>
      </c>
      <c r="J23" s="324">
        <v>1</v>
      </c>
      <c r="K23" s="325"/>
      <c r="L23" s="318"/>
      <c r="M23" s="324"/>
      <c r="N23" s="325"/>
      <c r="O23" s="322"/>
      <c r="P23" s="324"/>
      <c r="Q23" s="326"/>
      <c r="R23" s="134"/>
      <c r="S23" s="368"/>
      <c r="T23" s="369"/>
      <c r="U23" s="325"/>
      <c r="V23" s="322"/>
      <c r="W23" s="328"/>
      <c r="X23" s="322"/>
      <c r="Y23" s="325"/>
      <c r="Z23" s="322"/>
      <c r="AA23" s="324"/>
      <c r="AB23" s="325"/>
      <c r="AC23" s="361"/>
      <c r="AD23" s="358"/>
      <c r="AE23" s="329">
        <f t="shared" si="16"/>
        <v>39875.7377946186</v>
      </c>
      <c r="AF23" s="329">
        <f t="shared" si="17"/>
        <v>0</v>
      </c>
      <c r="AG23" s="329">
        <f t="shared" si="18"/>
        <v>0</v>
      </c>
      <c r="AH23" s="329">
        <f t="shared" si="19"/>
        <v>0</v>
      </c>
      <c r="AI23" s="329">
        <f t="shared" si="20"/>
        <v>0</v>
      </c>
      <c r="AJ23" s="329">
        <f t="shared" si="21"/>
        <v>0</v>
      </c>
      <c r="AK23" s="329">
        <f t="shared" si="22"/>
        <v>0</v>
      </c>
      <c r="AL23" s="329">
        <f t="shared" si="23"/>
        <v>39875.7377946186</v>
      </c>
    </row>
    <row r="24" s="28" customFormat="1" ht="14.25" spans="1:38">
      <c r="A24" s="316">
        <v>20</v>
      </c>
      <c r="B24" s="380" t="s">
        <v>53</v>
      </c>
      <c r="C24" s="197" t="s">
        <v>267</v>
      </c>
      <c r="D24" s="146" t="s">
        <v>265</v>
      </c>
      <c r="E24" s="320" t="s">
        <v>218</v>
      </c>
      <c r="F24" s="330">
        <f>ROUND(47687.636,2)</f>
        <v>47687.64</v>
      </c>
      <c r="G24" s="322" t="s">
        <v>223</v>
      </c>
      <c r="H24" s="382">
        <f>'附表2-EF'!F26</f>
        <v>0.275</v>
      </c>
      <c r="I24" s="322" t="s">
        <v>224</v>
      </c>
      <c r="J24" s="324">
        <v>1</v>
      </c>
      <c r="K24" s="325"/>
      <c r="L24" s="318"/>
      <c r="M24" s="324"/>
      <c r="N24" s="325"/>
      <c r="O24" s="322"/>
      <c r="P24" s="324"/>
      <c r="Q24" s="326"/>
      <c r="R24" s="134"/>
      <c r="S24" s="368"/>
      <c r="T24" s="369"/>
      <c r="U24" s="325"/>
      <c r="V24" s="322"/>
      <c r="W24" s="328"/>
      <c r="X24" s="322"/>
      <c r="Y24" s="325"/>
      <c r="Z24" s="322"/>
      <c r="AA24" s="324"/>
      <c r="AB24" s="325"/>
      <c r="AC24" s="361"/>
      <c r="AD24" s="358"/>
      <c r="AE24" s="329">
        <f t="shared" si="16"/>
        <v>13114.101</v>
      </c>
      <c r="AF24" s="329">
        <f t="shared" si="17"/>
        <v>0</v>
      </c>
      <c r="AG24" s="329">
        <f t="shared" si="18"/>
        <v>0</v>
      </c>
      <c r="AH24" s="329">
        <f t="shared" si="19"/>
        <v>0</v>
      </c>
      <c r="AI24" s="329">
        <f t="shared" si="20"/>
        <v>0</v>
      </c>
      <c r="AJ24" s="329">
        <f t="shared" si="21"/>
        <v>0</v>
      </c>
      <c r="AK24" s="329">
        <f t="shared" si="22"/>
        <v>0</v>
      </c>
      <c r="AL24" s="329">
        <f t="shared" si="23"/>
        <v>13114.101</v>
      </c>
    </row>
    <row r="25" s="28" customFormat="1" ht="14.25" spans="1:38">
      <c r="A25" s="316">
        <v>21</v>
      </c>
      <c r="B25" s="380" t="s">
        <v>53</v>
      </c>
      <c r="C25" s="197" t="s">
        <v>268</v>
      </c>
      <c r="D25" s="146" t="s">
        <v>265</v>
      </c>
      <c r="E25" s="320" t="s">
        <v>218</v>
      </c>
      <c r="F25" s="330">
        <f>ROUND(9445.106,2)</f>
        <v>9445.11</v>
      </c>
      <c r="G25" s="322" t="s">
        <v>223</v>
      </c>
      <c r="H25" s="382">
        <f>'附表2-EF'!F22</f>
        <v>0.037</v>
      </c>
      <c r="I25" s="322" t="s">
        <v>224</v>
      </c>
      <c r="J25" s="324">
        <v>1</v>
      </c>
      <c r="K25" s="325"/>
      <c r="L25" s="318"/>
      <c r="M25" s="324"/>
      <c r="N25" s="325"/>
      <c r="O25" s="322"/>
      <c r="P25" s="324"/>
      <c r="Q25" s="326"/>
      <c r="R25" s="134"/>
      <c r="S25" s="368"/>
      <c r="T25" s="369"/>
      <c r="U25" s="325"/>
      <c r="V25" s="322"/>
      <c r="W25" s="328"/>
      <c r="X25" s="322"/>
      <c r="Y25" s="325"/>
      <c r="Z25" s="322"/>
      <c r="AA25" s="324"/>
      <c r="AB25" s="325"/>
      <c r="AC25" s="361"/>
      <c r="AD25" s="358"/>
      <c r="AE25" s="329">
        <f t="shared" si="16"/>
        <v>349.46907</v>
      </c>
      <c r="AF25" s="329">
        <f t="shared" si="17"/>
        <v>0</v>
      </c>
      <c r="AG25" s="329">
        <f t="shared" si="18"/>
        <v>0</v>
      </c>
      <c r="AH25" s="329">
        <f t="shared" si="19"/>
        <v>0</v>
      </c>
      <c r="AI25" s="329">
        <f t="shared" si="20"/>
        <v>0</v>
      </c>
      <c r="AJ25" s="329">
        <f t="shared" si="21"/>
        <v>0</v>
      </c>
      <c r="AK25" s="329">
        <f t="shared" si="22"/>
        <v>0</v>
      </c>
      <c r="AL25" s="329">
        <f t="shared" si="23"/>
        <v>349.46907</v>
      </c>
    </row>
    <row r="26" s="28" customFormat="1" ht="14.25" spans="1:38">
      <c r="A26" s="316">
        <v>22</v>
      </c>
      <c r="B26" s="380" t="s">
        <v>53</v>
      </c>
      <c r="C26" s="197" t="s">
        <v>269</v>
      </c>
      <c r="D26" s="146" t="s">
        <v>265</v>
      </c>
      <c r="E26" s="320" t="s">
        <v>218</v>
      </c>
      <c r="F26" s="330">
        <v>65858.929</v>
      </c>
      <c r="G26" s="322" t="s">
        <v>223</v>
      </c>
      <c r="H26" s="382">
        <f>'附表2-EF'!F23</f>
        <v>0.348</v>
      </c>
      <c r="I26" s="322" t="s">
        <v>224</v>
      </c>
      <c r="J26" s="324">
        <v>1</v>
      </c>
      <c r="K26" s="325"/>
      <c r="L26" s="318"/>
      <c r="M26" s="324"/>
      <c r="N26" s="325"/>
      <c r="O26" s="322"/>
      <c r="P26" s="324"/>
      <c r="Q26" s="326"/>
      <c r="R26" s="134"/>
      <c r="S26" s="368"/>
      <c r="T26" s="369"/>
      <c r="U26" s="325"/>
      <c r="V26" s="322"/>
      <c r="W26" s="328"/>
      <c r="X26" s="322"/>
      <c r="Y26" s="325"/>
      <c r="Z26" s="322"/>
      <c r="AA26" s="324"/>
      <c r="AB26" s="325"/>
      <c r="AC26" s="361"/>
      <c r="AD26" s="358"/>
      <c r="AE26" s="329">
        <f t="shared" si="16"/>
        <v>22918.907292</v>
      </c>
      <c r="AF26" s="329">
        <f t="shared" si="17"/>
        <v>0</v>
      </c>
      <c r="AG26" s="329">
        <f t="shared" si="18"/>
        <v>0</v>
      </c>
      <c r="AH26" s="329">
        <f t="shared" si="19"/>
        <v>0</v>
      </c>
      <c r="AI26" s="329">
        <f t="shared" si="20"/>
        <v>0</v>
      </c>
      <c r="AJ26" s="329">
        <f t="shared" si="21"/>
        <v>0</v>
      </c>
      <c r="AK26" s="329">
        <f t="shared" si="22"/>
        <v>0</v>
      </c>
      <c r="AL26" s="329">
        <f t="shared" si="23"/>
        <v>22918.907292</v>
      </c>
    </row>
    <row r="27" s="28" customFormat="1" ht="14.25" spans="1:38">
      <c r="A27" s="316">
        <v>23</v>
      </c>
      <c r="B27" s="380" t="s">
        <v>53</v>
      </c>
      <c r="C27" s="197" t="s">
        <v>270</v>
      </c>
      <c r="D27" s="146" t="s">
        <v>265</v>
      </c>
      <c r="E27" s="320" t="s">
        <v>218</v>
      </c>
      <c r="F27" s="330">
        <f>ROUND(10672.477,2)</f>
        <v>10672.48</v>
      </c>
      <c r="G27" s="322" t="s">
        <v>223</v>
      </c>
      <c r="H27" s="382">
        <f>'附表2-EF'!F25</f>
        <v>0.007</v>
      </c>
      <c r="I27" s="322" t="s">
        <v>224</v>
      </c>
      <c r="J27" s="324">
        <v>1</v>
      </c>
      <c r="K27" s="325"/>
      <c r="L27" s="318"/>
      <c r="M27" s="324"/>
      <c r="N27" s="325"/>
      <c r="O27" s="322"/>
      <c r="P27" s="324"/>
      <c r="Q27" s="326"/>
      <c r="R27" s="134"/>
      <c r="S27" s="368"/>
      <c r="T27" s="369"/>
      <c r="U27" s="325"/>
      <c r="V27" s="322"/>
      <c r="W27" s="328"/>
      <c r="X27" s="322"/>
      <c r="Y27" s="325"/>
      <c r="Z27" s="322"/>
      <c r="AA27" s="324"/>
      <c r="AB27" s="325"/>
      <c r="AC27" s="361"/>
      <c r="AD27" s="358"/>
      <c r="AE27" s="329">
        <f t="shared" si="16"/>
        <v>74.70736</v>
      </c>
      <c r="AF27" s="329">
        <f t="shared" si="17"/>
        <v>0</v>
      </c>
      <c r="AG27" s="329">
        <f t="shared" si="18"/>
        <v>0</v>
      </c>
      <c r="AH27" s="329">
        <f t="shared" si="19"/>
        <v>0</v>
      </c>
      <c r="AI27" s="329">
        <f t="shared" si="20"/>
        <v>0</v>
      </c>
      <c r="AJ27" s="329">
        <f t="shared" si="21"/>
        <v>0</v>
      </c>
      <c r="AK27" s="329">
        <f t="shared" si="22"/>
        <v>0</v>
      </c>
      <c r="AL27" s="329">
        <f t="shared" si="23"/>
        <v>74.70736</v>
      </c>
    </row>
    <row r="28" s="28" customFormat="1" ht="14.25" spans="1:38">
      <c r="A28" s="316">
        <v>24</v>
      </c>
      <c r="B28" s="380" t="s">
        <v>53</v>
      </c>
      <c r="C28" s="197" t="s">
        <v>271</v>
      </c>
      <c r="D28" s="146" t="s">
        <v>265</v>
      </c>
      <c r="E28" s="320" t="s">
        <v>218</v>
      </c>
      <c r="F28" s="330">
        <v>7945.164</v>
      </c>
      <c r="G28" s="322" t="s">
        <v>223</v>
      </c>
      <c r="H28" s="382">
        <f>'附表2-EF'!F24</f>
        <v>0.018</v>
      </c>
      <c r="I28" s="322" t="s">
        <v>224</v>
      </c>
      <c r="J28" s="324">
        <v>1</v>
      </c>
      <c r="K28" s="325"/>
      <c r="L28" s="318"/>
      <c r="M28" s="324"/>
      <c r="N28" s="325"/>
      <c r="O28" s="322"/>
      <c r="P28" s="324"/>
      <c r="Q28" s="326"/>
      <c r="R28" s="134"/>
      <c r="S28" s="368"/>
      <c r="T28" s="369"/>
      <c r="U28" s="325"/>
      <c r="V28" s="322"/>
      <c r="W28" s="328"/>
      <c r="X28" s="322"/>
      <c r="Y28" s="325"/>
      <c r="Z28" s="322"/>
      <c r="AA28" s="324"/>
      <c r="AB28" s="325"/>
      <c r="AC28" s="361"/>
      <c r="AD28" s="358"/>
      <c r="AE28" s="329">
        <f t="shared" si="16"/>
        <v>143.012952</v>
      </c>
      <c r="AF28" s="329">
        <f t="shared" si="17"/>
        <v>0</v>
      </c>
      <c r="AG28" s="329">
        <f t="shared" si="18"/>
        <v>0</v>
      </c>
      <c r="AH28" s="329">
        <f t="shared" si="19"/>
        <v>0</v>
      </c>
      <c r="AI28" s="329">
        <f t="shared" si="20"/>
        <v>0</v>
      </c>
      <c r="AJ28" s="329">
        <f t="shared" si="21"/>
        <v>0</v>
      </c>
      <c r="AK28" s="329">
        <f t="shared" si="22"/>
        <v>0</v>
      </c>
      <c r="AL28" s="329">
        <f t="shared" si="23"/>
        <v>143.012952</v>
      </c>
    </row>
    <row r="29" s="28" customFormat="1" ht="14.25" spans="1:38">
      <c r="A29" s="316">
        <v>25</v>
      </c>
      <c r="B29" s="353" t="s">
        <v>53</v>
      </c>
      <c r="C29" s="354" t="s">
        <v>272</v>
      </c>
      <c r="D29" s="383" t="s">
        <v>273</v>
      </c>
      <c r="E29" s="355" t="s">
        <v>218</v>
      </c>
      <c r="F29" s="356">
        <v>-4332821.94</v>
      </c>
      <c r="G29" s="357" t="s">
        <v>223</v>
      </c>
      <c r="H29" s="384">
        <f>'附表2-EF'!F28</f>
        <v>0.037</v>
      </c>
      <c r="I29" s="357" t="s">
        <v>224</v>
      </c>
      <c r="J29" s="358">
        <v>1</v>
      </c>
      <c r="K29" s="364"/>
      <c r="L29" s="359"/>
      <c r="M29" s="358"/>
      <c r="N29" s="364"/>
      <c r="O29" s="357"/>
      <c r="P29" s="358"/>
      <c r="Q29" s="360"/>
      <c r="R29" s="361"/>
      <c r="S29" s="362"/>
      <c r="T29" s="363"/>
      <c r="U29" s="364"/>
      <c r="V29" s="357"/>
      <c r="W29" s="365"/>
      <c r="X29" s="357"/>
      <c r="Y29" s="364"/>
      <c r="Z29" s="357"/>
      <c r="AA29" s="358"/>
      <c r="AB29" s="364"/>
      <c r="AC29" s="361"/>
      <c r="AD29" s="358"/>
      <c r="AE29" s="329">
        <f t="shared" si="16"/>
        <v>-160314.41178</v>
      </c>
      <c r="AF29" s="329">
        <f t="shared" si="17"/>
        <v>0</v>
      </c>
      <c r="AG29" s="329">
        <f t="shared" si="18"/>
        <v>0</v>
      </c>
      <c r="AH29" s="329">
        <f t="shared" si="19"/>
        <v>0</v>
      </c>
      <c r="AI29" s="329">
        <f t="shared" si="20"/>
        <v>0</v>
      </c>
      <c r="AJ29" s="329">
        <f t="shared" si="21"/>
        <v>0</v>
      </c>
      <c r="AK29" s="329">
        <f t="shared" si="22"/>
        <v>0</v>
      </c>
      <c r="AL29" s="366">
        <f t="shared" si="23"/>
        <v>-160314.41178</v>
      </c>
    </row>
    <row r="30" s="28" customFormat="1" ht="14.25" spans="1:38">
      <c r="A30" s="316">
        <v>26</v>
      </c>
      <c r="B30" s="353" t="s">
        <v>53</v>
      </c>
      <c r="C30" s="385" t="s">
        <v>274</v>
      </c>
      <c r="D30" s="354" t="s">
        <v>237</v>
      </c>
      <c r="E30" s="355" t="s">
        <v>218</v>
      </c>
      <c r="F30" s="386">
        <v>-19501.18</v>
      </c>
      <c r="G30" s="357" t="s">
        <v>223</v>
      </c>
      <c r="H30" s="387">
        <f>'附表2-EF'!F17</f>
        <v>3.382</v>
      </c>
      <c r="I30" s="357" t="s">
        <v>224</v>
      </c>
      <c r="J30" s="358">
        <v>1</v>
      </c>
      <c r="K30" s="364"/>
      <c r="L30" s="359"/>
      <c r="M30" s="358"/>
      <c r="N30" s="364"/>
      <c r="O30" s="357"/>
      <c r="P30" s="358"/>
      <c r="Q30" s="360"/>
      <c r="R30" s="361"/>
      <c r="S30" s="362"/>
      <c r="T30" s="363"/>
      <c r="U30" s="364"/>
      <c r="V30" s="357"/>
      <c r="W30" s="365"/>
      <c r="X30" s="357"/>
      <c r="Y30" s="364"/>
      <c r="Z30" s="357"/>
      <c r="AA30" s="358"/>
      <c r="AB30" s="364"/>
      <c r="AC30" s="361"/>
      <c r="AD30" s="358"/>
      <c r="AE30" s="329">
        <f t="shared" si="16"/>
        <v>-65952.99076</v>
      </c>
      <c r="AF30" s="329">
        <f t="shared" si="17"/>
        <v>0</v>
      </c>
      <c r="AG30" s="329">
        <f t="shared" si="18"/>
        <v>0</v>
      </c>
      <c r="AH30" s="329">
        <f t="shared" si="19"/>
        <v>0</v>
      </c>
      <c r="AI30" s="329">
        <f t="shared" si="20"/>
        <v>0</v>
      </c>
      <c r="AJ30" s="329">
        <f t="shared" si="21"/>
        <v>0</v>
      </c>
      <c r="AK30" s="329">
        <f t="shared" si="22"/>
        <v>0</v>
      </c>
      <c r="AL30" s="366">
        <f t="shared" si="23"/>
        <v>-65952.99076</v>
      </c>
    </row>
    <row r="31" s="28" customFormat="1" ht="14.25" spans="1:38">
      <c r="A31" s="316">
        <v>27</v>
      </c>
      <c r="B31" s="353" t="s">
        <v>53</v>
      </c>
      <c r="C31" s="385" t="s">
        <v>275</v>
      </c>
      <c r="D31" s="354" t="s">
        <v>276</v>
      </c>
      <c r="E31" s="355" t="s">
        <v>218</v>
      </c>
      <c r="F31" s="388">
        <v>-59054.1</v>
      </c>
      <c r="G31" s="357" t="s">
        <v>223</v>
      </c>
      <c r="H31" s="387">
        <f>'附表2-EF'!F18</f>
        <v>2.699</v>
      </c>
      <c r="I31" s="357" t="s">
        <v>224</v>
      </c>
      <c r="J31" s="358">
        <v>1</v>
      </c>
      <c r="K31" s="364"/>
      <c r="L31" s="359"/>
      <c r="M31" s="358"/>
      <c r="N31" s="364"/>
      <c r="O31" s="357"/>
      <c r="P31" s="358"/>
      <c r="Q31" s="360"/>
      <c r="R31" s="361"/>
      <c r="S31" s="362"/>
      <c r="T31" s="363"/>
      <c r="U31" s="364"/>
      <c r="V31" s="357"/>
      <c r="W31" s="365"/>
      <c r="X31" s="357"/>
      <c r="Y31" s="364"/>
      <c r="Z31" s="357"/>
      <c r="AA31" s="358"/>
      <c r="AB31" s="364"/>
      <c r="AC31" s="361"/>
      <c r="AD31" s="358"/>
      <c r="AE31" s="329">
        <f t="shared" ref="AE31" si="24">F31*H31*J31</f>
        <v>-159387.0159</v>
      </c>
      <c r="AF31" s="329">
        <f t="shared" ref="AF31" si="25">F31*K31*M31</f>
        <v>0</v>
      </c>
      <c r="AG31" s="329">
        <f t="shared" ref="AG31" si="26">F31*N31*P31</f>
        <v>0</v>
      </c>
      <c r="AH31" s="329">
        <f t="shared" ref="AH31" si="27">F31*Q31*S31</f>
        <v>0</v>
      </c>
      <c r="AI31" s="329">
        <f t="shared" ref="AI31" si="28">F31*U31*W31</f>
        <v>0</v>
      </c>
      <c r="AJ31" s="329">
        <f t="shared" ref="AJ31" si="29">F31*Y31*AA31</f>
        <v>0</v>
      </c>
      <c r="AK31" s="329">
        <f t="shared" ref="AK31" si="30">F31*AB31*AD31</f>
        <v>0</v>
      </c>
      <c r="AL31" s="366">
        <f t="shared" ref="AL31" si="31">SUM(AE31:AK31)</f>
        <v>-159387.0159</v>
      </c>
    </row>
    <row r="32" s="28" customFormat="1" ht="14.25" spans="1:38">
      <c r="A32" s="316">
        <v>28</v>
      </c>
      <c r="B32" s="389" t="s">
        <v>277</v>
      </c>
      <c r="C32" s="319" t="s">
        <v>278</v>
      </c>
      <c r="D32" s="146" t="s">
        <v>279</v>
      </c>
      <c r="E32" s="320" t="s">
        <v>280</v>
      </c>
      <c r="F32" s="390">
        <f>ROUND(1992878.77,2)</f>
        <v>1992878.77</v>
      </c>
      <c r="G32" s="322" t="s">
        <v>281</v>
      </c>
      <c r="H32" s="382">
        <f>'附表2-EF'!F41</f>
        <v>0.5366</v>
      </c>
      <c r="I32" s="322" t="s">
        <v>282</v>
      </c>
      <c r="J32" s="324">
        <v>1</v>
      </c>
      <c r="K32" s="325"/>
      <c r="L32" s="322"/>
      <c r="M32" s="324"/>
      <c r="N32" s="325"/>
      <c r="O32" s="322"/>
      <c r="P32" s="324"/>
      <c r="Q32" s="326"/>
      <c r="R32" s="134"/>
      <c r="S32" s="327"/>
      <c r="T32" s="134"/>
      <c r="U32" s="325"/>
      <c r="V32" s="322"/>
      <c r="W32" s="328"/>
      <c r="X32" s="322"/>
      <c r="Y32" s="325"/>
      <c r="Z32" s="322"/>
      <c r="AA32" s="324"/>
      <c r="AB32" s="325"/>
      <c r="AC32" s="361"/>
      <c r="AD32" s="358"/>
      <c r="AE32" s="329">
        <f t="shared" si="16"/>
        <v>1069378.747982</v>
      </c>
      <c r="AF32" s="329">
        <f t="shared" si="17"/>
        <v>0</v>
      </c>
      <c r="AG32" s="329">
        <f t="shared" si="18"/>
        <v>0</v>
      </c>
      <c r="AH32" s="329">
        <f t="shared" si="19"/>
        <v>0</v>
      </c>
      <c r="AI32" s="329">
        <f t="shared" si="20"/>
        <v>0</v>
      </c>
      <c r="AJ32" s="329">
        <f t="shared" si="21"/>
        <v>0</v>
      </c>
      <c r="AK32" s="329">
        <f t="shared" si="22"/>
        <v>0</v>
      </c>
      <c r="AL32" s="329">
        <f t="shared" si="23"/>
        <v>1069378.747982</v>
      </c>
    </row>
    <row r="33" s="28" customFormat="1" ht="14.25" spans="1:38">
      <c r="A33" s="316">
        <v>29</v>
      </c>
      <c r="B33" s="389" t="s">
        <v>277</v>
      </c>
      <c r="C33" s="319" t="s">
        <v>283</v>
      </c>
      <c r="D33" s="146" t="s">
        <v>279</v>
      </c>
      <c r="E33" s="320" t="s">
        <v>280</v>
      </c>
      <c r="F33" s="390">
        <f>ROUND(1992878.77-8759.35,2)</f>
        <v>1984119.42</v>
      </c>
      <c r="G33" s="322" t="s">
        <v>281</v>
      </c>
      <c r="H33" s="382">
        <f>'附表2-EF'!F42</f>
        <v>0.5856</v>
      </c>
      <c r="I33" s="322" t="s">
        <v>282</v>
      </c>
      <c r="J33" s="324">
        <v>1</v>
      </c>
      <c r="K33" s="325"/>
      <c r="L33" s="322"/>
      <c r="M33" s="324"/>
      <c r="N33" s="325"/>
      <c r="O33" s="322"/>
      <c r="P33" s="324"/>
      <c r="Q33" s="326"/>
      <c r="R33" s="134"/>
      <c r="S33" s="327"/>
      <c r="T33" s="134"/>
      <c r="U33" s="325"/>
      <c r="V33" s="322"/>
      <c r="W33" s="328"/>
      <c r="X33" s="322"/>
      <c r="Y33" s="325"/>
      <c r="Z33" s="322"/>
      <c r="AA33" s="324"/>
      <c r="AB33" s="325"/>
      <c r="AC33" s="361"/>
      <c r="AD33" s="358"/>
      <c r="AE33" s="329">
        <f t="shared" si="16"/>
        <v>1161900.332352</v>
      </c>
      <c r="AF33" s="329">
        <f t="shared" si="17"/>
        <v>0</v>
      </c>
      <c r="AG33" s="329">
        <f t="shared" si="18"/>
        <v>0</v>
      </c>
      <c r="AH33" s="329">
        <f t="shared" si="19"/>
        <v>0</v>
      </c>
      <c r="AI33" s="329">
        <f t="shared" si="20"/>
        <v>0</v>
      </c>
      <c r="AJ33" s="329">
        <f t="shared" si="21"/>
        <v>0</v>
      </c>
      <c r="AK33" s="329">
        <f t="shared" si="22"/>
        <v>0</v>
      </c>
      <c r="AL33" s="329">
        <f t="shared" si="23"/>
        <v>1161900.332352</v>
      </c>
    </row>
    <row r="34" s="25" customFormat="1" ht="14.25" spans="1:38">
      <c r="A34" s="316">
        <v>30</v>
      </c>
      <c r="B34" s="183" t="s">
        <v>68</v>
      </c>
      <c r="C34" s="197" t="s">
        <v>284</v>
      </c>
      <c r="D34" s="319" t="s">
        <v>285</v>
      </c>
      <c r="E34" s="320" t="s">
        <v>67</v>
      </c>
      <c r="F34" s="330">
        <f>ROUND(4538211.339,2)</f>
        <v>4538211.34</v>
      </c>
      <c r="G34" s="331" t="s">
        <v>223</v>
      </c>
      <c r="H34" s="391">
        <f>'附表2-EF'!G46</f>
        <v>0.098847</v>
      </c>
      <c r="I34" s="331" t="s">
        <v>224</v>
      </c>
      <c r="J34" s="332">
        <v>1</v>
      </c>
      <c r="K34" s="338"/>
      <c r="L34" s="333"/>
      <c r="M34" s="332"/>
      <c r="N34" s="338"/>
      <c r="O34" s="331"/>
      <c r="P34" s="332"/>
      <c r="Q34" s="334"/>
      <c r="R34" s="335"/>
      <c r="S34" s="336"/>
      <c r="T34" s="337"/>
      <c r="U34" s="338"/>
      <c r="V34" s="331"/>
      <c r="W34" s="339"/>
      <c r="X34" s="331"/>
      <c r="Y34" s="338"/>
      <c r="Z34" s="331"/>
      <c r="AA34" s="332"/>
      <c r="AB34" s="338"/>
      <c r="AC34" s="335"/>
      <c r="AD34" s="332"/>
      <c r="AE34" s="329">
        <f t="shared" si="16"/>
        <v>448588.57632498</v>
      </c>
      <c r="AF34" s="329">
        <f t="shared" si="17"/>
        <v>0</v>
      </c>
      <c r="AG34" s="329">
        <f t="shared" si="18"/>
        <v>0</v>
      </c>
      <c r="AH34" s="329">
        <f t="shared" si="19"/>
        <v>0</v>
      </c>
      <c r="AI34" s="329">
        <f t="shared" si="20"/>
        <v>0</v>
      </c>
      <c r="AJ34" s="329">
        <f t="shared" si="21"/>
        <v>0</v>
      </c>
      <c r="AK34" s="329">
        <f t="shared" si="22"/>
        <v>0</v>
      </c>
      <c r="AL34" s="329">
        <f t="shared" si="23"/>
        <v>448588.57632498</v>
      </c>
    </row>
    <row r="35" s="25" customFormat="1" ht="14.25" spans="1:38">
      <c r="A35" s="316">
        <v>31</v>
      </c>
      <c r="B35" s="183" t="s">
        <v>68</v>
      </c>
      <c r="C35" s="197" t="s">
        <v>286</v>
      </c>
      <c r="D35" s="319" t="s">
        <v>287</v>
      </c>
      <c r="E35" s="320" t="s">
        <v>67</v>
      </c>
      <c r="F35" s="330">
        <f>ROUND(611514.48,2)</f>
        <v>611514.48</v>
      </c>
      <c r="G35" s="331" t="s">
        <v>223</v>
      </c>
      <c r="H35" s="391">
        <f>'附表2-EF'!G47</f>
        <v>1.18966991668996</v>
      </c>
      <c r="I35" s="331" t="s">
        <v>224</v>
      </c>
      <c r="J35" s="332">
        <v>1</v>
      </c>
      <c r="K35" s="338"/>
      <c r="L35" s="333"/>
      <c r="M35" s="332"/>
      <c r="N35" s="338"/>
      <c r="O35" s="331"/>
      <c r="P35" s="332"/>
      <c r="Q35" s="334"/>
      <c r="R35" s="335"/>
      <c r="S35" s="336"/>
      <c r="T35" s="337"/>
      <c r="U35" s="338"/>
      <c r="V35" s="331"/>
      <c r="W35" s="339"/>
      <c r="X35" s="331"/>
      <c r="Y35" s="338"/>
      <c r="Z35" s="331"/>
      <c r="AA35" s="332"/>
      <c r="AB35" s="338"/>
      <c r="AC35" s="335"/>
      <c r="AD35" s="332"/>
      <c r="AE35" s="329">
        <f t="shared" ref="AE35:AE59" si="32">F35*H35*J35</f>
        <v>727500.380476304</v>
      </c>
      <c r="AF35" s="329">
        <f t="shared" ref="AF35:AF59" si="33">F35*K35*M35</f>
        <v>0</v>
      </c>
      <c r="AG35" s="329">
        <f t="shared" ref="AG35:AG59" si="34">F35*N35*P35</f>
        <v>0</v>
      </c>
      <c r="AH35" s="329">
        <f t="shared" ref="AH35:AH59" si="35">F35*Q35*S35</f>
        <v>0</v>
      </c>
      <c r="AI35" s="329">
        <f t="shared" ref="AI35:AI59" si="36">F35*U35*W35</f>
        <v>0</v>
      </c>
      <c r="AJ35" s="329">
        <f t="shared" ref="AJ35:AJ59" si="37">F35*Y35*AA35</f>
        <v>0</v>
      </c>
      <c r="AK35" s="329">
        <f t="shared" ref="AK35:AK59" si="38">F35*AB35*AD35</f>
        <v>0</v>
      </c>
      <c r="AL35" s="329">
        <f t="shared" ref="AL35:AL59" si="39">SUM(AE35:AK35)</f>
        <v>727500.380476304</v>
      </c>
    </row>
    <row r="36" s="25" customFormat="1" ht="14.25" spans="1:38">
      <c r="A36" s="316">
        <v>32</v>
      </c>
      <c r="B36" s="183" t="s">
        <v>68</v>
      </c>
      <c r="C36" s="197" t="s">
        <v>288</v>
      </c>
      <c r="D36" s="319" t="s">
        <v>289</v>
      </c>
      <c r="E36" s="320" t="s">
        <v>67</v>
      </c>
      <c r="F36" s="330">
        <f>F20</f>
        <v>19365.77</v>
      </c>
      <c r="G36" s="331" t="s">
        <v>223</v>
      </c>
      <c r="H36" s="391">
        <f>'附表2-EF'!G48</f>
        <v>0.0030299</v>
      </c>
      <c r="I36" s="331" t="s">
        <v>224</v>
      </c>
      <c r="J36" s="332">
        <v>1</v>
      </c>
      <c r="K36" s="338"/>
      <c r="L36" s="333"/>
      <c r="M36" s="332"/>
      <c r="N36" s="338"/>
      <c r="O36" s="331"/>
      <c r="P36" s="332"/>
      <c r="Q36" s="334"/>
      <c r="R36" s="335"/>
      <c r="S36" s="336"/>
      <c r="T36" s="337"/>
      <c r="U36" s="338"/>
      <c r="V36" s="331"/>
      <c r="W36" s="339"/>
      <c r="X36" s="331"/>
      <c r="Y36" s="338"/>
      <c r="Z36" s="331"/>
      <c r="AA36" s="332"/>
      <c r="AB36" s="338"/>
      <c r="AC36" s="335"/>
      <c r="AD36" s="332"/>
      <c r="AE36" s="329">
        <f t="shared" si="32"/>
        <v>58.676346523</v>
      </c>
      <c r="AF36" s="329">
        <f t="shared" si="33"/>
        <v>0</v>
      </c>
      <c r="AG36" s="329">
        <f t="shared" si="34"/>
        <v>0</v>
      </c>
      <c r="AH36" s="329">
        <f t="shared" si="35"/>
        <v>0</v>
      </c>
      <c r="AI36" s="329">
        <f t="shared" si="36"/>
        <v>0</v>
      </c>
      <c r="AJ36" s="329">
        <f t="shared" si="37"/>
        <v>0</v>
      </c>
      <c r="AK36" s="329">
        <f t="shared" si="38"/>
        <v>0</v>
      </c>
      <c r="AL36" s="329">
        <f t="shared" si="39"/>
        <v>58.676346523</v>
      </c>
    </row>
    <row r="37" s="25" customFormat="1" ht="14.25" spans="1:38">
      <c r="A37" s="316">
        <v>33</v>
      </c>
      <c r="B37" s="183" t="s">
        <v>68</v>
      </c>
      <c r="C37" s="197" t="s">
        <v>290</v>
      </c>
      <c r="D37" s="319" t="s">
        <v>287</v>
      </c>
      <c r="E37" s="320" t="s">
        <v>67</v>
      </c>
      <c r="F37" s="330">
        <f>F21</f>
        <v>356289.39</v>
      </c>
      <c r="G37" s="331" t="s">
        <v>223</v>
      </c>
      <c r="H37" s="391">
        <f>'附表2-EF'!G49</f>
        <v>0.13033</v>
      </c>
      <c r="I37" s="331" t="s">
        <v>224</v>
      </c>
      <c r="J37" s="332">
        <v>1</v>
      </c>
      <c r="K37" s="338"/>
      <c r="L37" s="333"/>
      <c r="M37" s="332"/>
      <c r="N37" s="338"/>
      <c r="O37" s="331"/>
      <c r="P37" s="332"/>
      <c r="Q37" s="334"/>
      <c r="R37" s="335"/>
      <c r="S37" s="336"/>
      <c r="T37" s="337"/>
      <c r="U37" s="338"/>
      <c r="V37" s="331"/>
      <c r="W37" s="339"/>
      <c r="X37" s="331"/>
      <c r="Y37" s="338"/>
      <c r="Z37" s="331"/>
      <c r="AA37" s="332"/>
      <c r="AB37" s="338"/>
      <c r="AC37" s="335"/>
      <c r="AD37" s="332"/>
      <c r="AE37" s="329">
        <f t="shared" si="32"/>
        <v>46435.1961987</v>
      </c>
      <c r="AF37" s="329">
        <f t="shared" si="33"/>
        <v>0</v>
      </c>
      <c r="AG37" s="329">
        <f t="shared" si="34"/>
        <v>0</v>
      </c>
      <c r="AH37" s="329">
        <f t="shared" si="35"/>
        <v>0</v>
      </c>
      <c r="AI37" s="329">
        <f t="shared" si="36"/>
        <v>0</v>
      </c>
      <c r="AJ37" s="329">
        <f t="shared" si="37"/>
        <v>0</v>
      </c>
      <c r="AK37" s="329">
        <f t="shared" si="38"/>
        <v>0</v>
      </c>
      <c r="AL37" s="329">
        <f t="shared" si="39"/>
        <v>46435.1961987</v>
      </c>
    </row>
    <row r="38" s="25" customFormat="1" ht="14.25" spans="1:38">
      <c r="A38" s="316">
        <v>34</v>
      </c>
      <c r="B38" s="183" t="s">
        <v>68</v>
      </c>
      <c r="C38" s="197" t="s">
        <v>291</v>
      </c>
      <c r="D38" s="319" t="s">
        <v>292</v>
      </c>
      <c r="E38" s="320" t="s">
        <v>67</v>
      </c>
      <c r="F38" s="330">
        <f>ROUND(2786.84,2)</f>
        <v>2786.84</v>
      </c>
      <c r="G38" s="331" t="s">
        <v>223</v>
      </c>
      <c r="H38" s="391">
        <f>H37</f>
        <v>0.13033</v>
      </c>
      <c r="I38" s="331" t="s">
        <v>224</v>
      </c>
      <c r="J38" s="332">
        <v>1</v>
      </c>
      <c r="K38" s="338"/>
      <c r="L38" s="333"/>
      <c r="M38" s="332"/>
      <c r="N38" s="338"/>
      <c r="O38" s="331"/>
      <c r="P38" s="332"/>
      <c r="Q38" s="334"/>
      <c r="R38" s="335"/>
      <c r="S38" s="336"/>
      <c r="T38" s="337"/>
      <c r="U38" s="338"/>
      <c r="V38" s="331"/>
      <c r="W38" s="339"/>
      <c r="X38" s="331"/>
      <c r="Y38" s="338"/>
      <c r="Z38" s="331"/>
      <c r="AA38" s="332"/>
      <c r="AB38" s="338"/>
      <c r="AC38" s="335"/>
      <c r="AD38" s="332"/>
      <c r="AE38" s="329">
        <f t="shared" si="32"/>
        <v>363.2088572</v>
      </c>
      <c r="AF38" s="329">
        <f t="shared" si="33"/>
        <v>0</v>
      </c>
      <c r="AG38" s="329">
        <f t="shared" si="34"/>
        <v>0</v>
      </c>
      <c r="AH38" s="329">
        <f t="shared" si="35"/>
        <v>0</v>
      </c>
      <c r="AI38" s="329">
        <f t="shared" si="36"/>
        <v>0</v>
      </c>
      <c r="AJ38" s="329">
        <f t="shared" si="37"/>
        <v>0</v>
      </c>
      <c r="AK38" s="329">
        <f t="shared" si="38"/>
        <v>0</v>
      </c>
      <c r="AL38" s="329">
        <f t="shared" si="39"/>
        <v>363.2088572</v>
      </c>
    </row>
    <row r="39" s="25" customFormat="1" ht="14.25" spans="1:38">
      <c r="A39" s="316">
        <v>35</v>
      </c>
      <c r="B39" s="183" t="s">
        <v>68</v>
      </c>
      <c r="C39" s="197" t="s">
        <v>293</v>
      </c>
      <c r="D39" s="319" t="s">
        <v>294</v>
      </c>
      <c r="E39" s="320" t="s">
        <v>67</v>
      </c>
      <c r="F39" s="330">
        <f>ROUND(685439.89,2)</f>
        <v>685439.89</v>
      </c>
      <c r="G39" s="331" t="s">
        <v>223</v>
      </c>
      <c r="H39" s="391">
        <f>'附表2-EF'!G50</f>
        <v>0.10446</v>
      </c>
      <c r="I39" s="331" t="s">
        <v>224</v>
      </c>
      <c r="J39" s="332">
        <v>1</v>
      </c>
      <c r="K39" s="338"/>
      <c r="L39" s="333"/>
      <c r="M39" s="332"/>
      <c r="N39" s="338"/>
      <c r="O39" s="331"/>
      <c r="P39" s="332"/>
      <c r="Q39" s="334"/>
      <c r="R39" s="335"/>
      <c r="S39" s="336"/>
      <c r="T39" s="337"/>
      <c r="U39" s="338"/>
      <c r="V39" s="331"/>
      <c r="W39" s="339"/>
      <c r="X39" s="331"/>
      <c r="Y39" s="338"/>
      <c r="Z39" s="331"/>
      <c r="AA39" s="332"/>
      <c r="AB39" s="338"/>
      <c r="AC39" s="335"/>
      <c r="AD39" s="332"/>
      <c r="AE39" s="329">
        <f t="shared" si="32"/>
        <v>71601.0509094</v>
      </c>
      <c r="AF39" s="329">
        <f t="shared" si="33"/>
        <v>0</v>
      </c>
      <c r="AG39" s="329">
        <f t="shared" si="34"/>
        <v>0</v>
      </c>
      <c r="AH39" s="329">
        <f t="shared" si="35"/>
        <v>0</v>
      </c>
      <c r="AI39" s="329">
        <f t="shared" si="36"/>
        <v>0</v>
      </c>
      <c r="AJ39" s="329">
        <f t="shared" si="37"/>
        <v>0</v>
      </c>
      <c r="AK39" s="329">
        <f t="shared" si="38"/>
        <v>0</v>
      </c>
      <c r="AL39" s="329">
        <f t="shared" si="39"/>
        <v>71601.0509094</v>
      </c>
    </row>
    <row r="40" s="25" customFormat="1" ht="14.25" spans="1:38">
      <c r="A40" s="316">
        <v>36</v>
      </c>
      <c r="B40" s="183" t="s">
        <v>68</v>
      </c>
      <c r="C40" s="197" t="s">
        <v>295</v>
      </c>
      <c r="D40" s="319" t="s">
        <v>292</v>
      </c>
      <c r="E40" s="320" t="s">
        <v>67</v>
      </c>
      <c r="F40" s="330">
        <f>F23</f>
        <v>1077722.6430978</v>
      </c>
      <c r="G40" s="331" t="s">
        <v>223</v>
      </c>
      <c r="H40" s="391">
        <f>'附表2-EF'!G51</f>
        <v>0.074179</v>
      </c>
      <c r="I40" s="331" t="s">
        <v>224</v>
      </c>
      <c r="J40" s="332">
        <v>1</v>
      </c>
      <c r="K40" s="338"/>
      <c r="L40" s="333"/>
      <c r="M40" s="332"/>
      <c r="N40" s="338"/>
      <c r="O40" s="331"/>
      <c r="P40" s="332"/>
      <c r="Q40" s="334"/>
      <c r="R40" s="335"/>
      <c r="S40" s="336"/>
      <c r="T40" s="337"/>
      <c r="U40" s="338"/>
      <c r="V40" s="331"/>
      <c r="W40" s="339"/>
      <c r="X40" s="331"/>
      <c r="Y40" s="338"/>
      <c r="Z40" s="331"/>
      <c r="AA40" s="332"/>
      <c r="AB40" s="338"/>
      <c r="AC40" s="335"/>
      <c r="AD40" s="332"/>
      <c r="AE40" s="329">
        <f t="shared" si="32"/>
        <v>79944.3879423517</v>
      </c>
      <c r="AF40" s="329">
        <f t="shared" si="33"/>
        <v>0</v>
      </c>
      <c r="AG40" s="329">
        <f t="shared" si="34"/>
        <v>0</v>
      </c>
      <c r="AH40" s="329">
        <f t="shared" si="35"/>
        <v>0</v>
      </c>
      <c r="AI40" s="329">
        <f t="shared" si="36"/>
        <v>0</v>
      </c>
      <c r="AJ40" s="329">
        <f t="shared" si="37"/>
        <v>0</v>
      </c>
      <c r="AK40" s="329">
        <f t="shared" si="38"/>
        <v>0</v>
      </c>
      <c r="AL40" s="329">
        <f t="shared" si="39"/>
        <v>79944.3879423517</v>
      </c>
    </row>
    <row r="41" s="25" customFormat="1" ht="14.25" spans="1:38">
      <c r="A41" s="316">
        <v>37</v>
      </c>
      <c r="B41" s="183" t="s">
        <v>68</v>
      </c>
      <c r="C41" s="197" t="s">
        <v>296</v>
      </c>
      <c r="D41" s="319" t="s">
        <v>292</v>
      </c>
      <c r="E41" s="320" t="s">
        <v>67</v>
      </c>
      <c r="F41" s="330">
        <f>ROUND(4473.457,2)</f>
        <v>4473.46</v>
      </c>
      <c r="G41" s="331" t="s">
        <v>223</v>
      </c>
      <c r="H41" s="391">
        <f>'附表2-EF'!G52</f>
        <v>8.43705144398335</v>
      </c>
      <c r="I41" s="331" t="s">
        <v>224</v>
      </c>
      <c r="J41" s="332">
        <v>1</v>
      </c>
      <c r="K41" s="338"/>
      <c r="L41" s="333"/>
      <c r="M41" s="332"/>
      <c r="N41" s="338"/>
      <c r="O41" s="331"/>
      <c r="P41" s="332"/>
      <c r="Q41" s="334"/>
      <c r="R41" s="335"/>
      <c r="S41" s="336"/>
      <c r="T41" s="337"/>
      <c r="U41" s="338"/>
      <c r="V41" s="331"/>
      <c r="W41" s="339"/>
      <c r="X41" s="331"/>
      <c r="Y41" s="338"/>
      <c r="Z41" s="331"/>
      <c r="AA41" s="332"/>
      <c r="AB41" s="338"/>
      <c r="AC41" s="335"/>
      <c r="AD41" s="332"/>
      <c r="AE41" s="329">
        <f t="shared" si="32"/>
        <v>37742.8121526018</v>
      </c>
      <c r="AF41" s="329">
        <f t="shared" si="33"/>
        <v>0</v>
      </c>
      <c r="AG41" s="329">
        <f t="shared" si="34"/>
        <v>0</v>
      </c>
      <c r="AH41" s="329">
        <f t="shared" si="35"/>
        <v>0</v>
      </c>
      <c r="AI41" s="329">
        <f t="shared" si="36"/>
        <v>0</v>
      </c>
      <c r="AJ41" s="329">
        <f t="shared" si="37"/>
        <v>0</v>
      </c>
      <c r="AK41" s="329">
        <f t="shared" si="38"/>
        <v>0</v>
      </c>
      <c r="AL41" s="329">
        <f t="shared" si="39"/>
        <v>37742.8121526018</v>
      </c>
    </row>
    <row r="42" s="25" customFormat="1" ht="14.25" spans="1:38">
      <c r="A42" s="316">
        <v>38</v>
      </c>
      <c r="B42" s="183" t="s">
        <v>68</v>
      </c>
      <c r="C42" s="197" t="s">
        <v>297</v>
      </c>
      <c r="D42" s="319" t="s">
        <v>292</v>
      </c>
      <c r="E42" s="320" t="s">
        <v>67</v>
      </c>
      <c r="F42" s="330">
        <f>ROUND(47651.68,2)</f>
        <v>47651.68</v>
      </c>
      <c r="G42" s="331" t="s">
        <v>223</v>
      </c>
      <c r="H42" s="391">
        <f>'附表2-EF'!G53</f>
        <v>2.9772</v>
      </c>
      <c r="I42" s="331" t="s">
        <v>224</v>
      </c>
      <c r="J42" s="332">
        <v>1</v>
      </c>
      <c r="K42" s="338"/>
      <c r="L42" s="333"/>
      <c r="M42" s="332"/>
      <c r="N42" s="338"/>
      <c r="O42" s="331"/>
      <c r="P42" s="332"/>
      <c r="Q42" s="334"/>
      <c r="R42" s="335"/>
      <c r="S42" s="336"/>
      <c r="T42" s="337"/>
      <c r="U42" s="338"/>
      <c r="V42" s="331"/>
      <c r="W42" s="339"/>
      <c r="X42" s="331"/>
      <c r="Y42" s="338"/>
      <c r="Z42" s="331"/>
      <c r="AA42" s="332"/>
      <c r="AB42" s="338"/>
      <c r="AC42" s="335"/>
      <c r="AD42" s="332"/>
      <c r="AE42" s="329">
        <f t="shared" si="32"/>
        <v>141868.581696</v>
      </c>
      <c r="AF42" s="329">
        <f t="shared" si="33"/>
        <v>0</v>
      </c>
      <c r="AG42" s="329">
        <f t="shared" si="34"/>
        <v>0</v>
      </c>
      <c r="AH42" s="329">
        <f t="shared" si="35"/>
        <v>0</v>
      </c>
      <c r="AI42" s="329">
        <f t="shared" si="36"/>
        <v>0</v>
      </c>
      <c r="AJ42" s="329">
        <f t="shared" si="37"/>
        <v>0</v>
      </c>
      <c r="AK42" s="329">
        <f t="shared" si="38"/>
        <v>0</v>
      </c>
      <c r="AL42" s="329">
        <f t="shared" si="39"/>
        <v>141868.581696</v>
      </c>
    </row>
    <row r="43" s="25" customFormat="1" ht="14.25" spans="1:38">
      <c r="A43" s="316">
        <v>39</v>
      </c>
      <c r="B43" s="183" t="s">
        <v>68</v>
      </c>
      <c r="C43" s="197" t="s">
        <v>298</v>
      </c>
      <c r="D43" s="319" t="s">
        <v>292</v>
      </c>
      <c r="E43" s="320" t="s">
        <v>67</v>
      </c>
      <c r="F43" s="330">
        <f>ROUND(9688.407,2)</f>
        <v>9688.41</v>
      </c>
      <c r="G43" s="331" t="s">
        <v>223</v>
      </c>
      <c r="H43" s="391">
        <f>'附表2-EF'!G54</f>
        <v>8.7547</v>
      </c>
      <c r="I43" s="331" t="s">
        <v>224</v>
      </c>
      <c r="J43" s="332">
        <v>1</v>
      </c>
      <c r="K43" s="338"/>
      <c r="L43" s="333"/>
      <c r="M43" s="332"/>
      <c r="N43" s="338"/>
      <c r="O43" s="331"/>
      <c r="P43" s="332"/>
      <c r="Q43" s="334"/>
      <c r="R43" s="335"/>
      <c r="S43" s="336"/>
      <c r="T43" s="337"/>
      <c r="U43" s="338"/>
      <c r="V43" s="331"/>
      <c r="W43" s="339"/>
      <c r="X43" s="331"/>
      <c r="Y43" s="338"/>
      <c r="Z43" s="331"/>
      <c r="AA43" s="332"/>
      <c r="AB43" s="338"/>
      <c r="AC43" s="335"/>
      <c r="AD43" s="332"/>
      <c r="AE43" s="329">
        <f t="shared" si="32"/>
        <v>84819.123027</v>
      </c>
      <c r="AF43" s="329">
        <f t="shared" si="33"/>
        <v>0</v>
      </c>
      <c r="AG43" s="329">
        <f t="shared" si="34"/>
        <v>0</v>
      </c>
      <c r="AH43" s="329">
        <f t="shared" si="35"/>
        <v>0</v>
      </c>
      <c r="AI43" s="329">
        <f t="shared" si="36"/>
        <v>0</v>
      </c>
      <c r="AJ43" s="329">
        <f t="shared" si="37"/>
        <v>0</v>
      </c>
      <c r="AK43" s="329">
        <f t="shared" si="38"/>
        <v>0</v>
      </c>
      <c r="AL43" s="329">
        <f t="shared" si="39"/>
        <v>84819.123027</v>
      </c>
    </row>
    <row r="44" s="25" customFormat="1" ht="14.25" spans="1:38">
      <c r="A44" s="316">
        <v>40</v>
      </c>
      <c r="B44" s="183" t="s">
        <v>68</v>
      </c>
      <c r="C44" s="197" t="s">
        <v>299</v>
      </c>
      <c r="D44" s="319" t="s">
        <v>292</v>
      </c>
      <c r="E44" s="320" t="s">
        <v>67</v>
      </c>
      <c r="F44" s="330">
        <f>ROUND(67771.928,2)</f>
        <v>67771.93</v>
      </c>
      <c r="G44" s="331" t="s">
        <v>223</v>
      </c>
      <c r="H44" s="391">
        <f>'附表2-EF'!G55</f>
        <v>5.0921</v>
      </c>
      <c r="I44" s="331" t="s">
        <v>224</v>
      </c>
      <c r="J44" s="332">
        <v>1</v>
      </c>
      <c r="K44" s="338"/>
      <c r="L44" s="333"/>
      <c r="M44" s="332"/>
      <c r="N44" s="338"/>
      <c r="O44" s="331"/>
      <c r="P44" s="332"/>
      <c r="Q44" s="334"/>
      <c r="R44" s="335"/>
      <c r="S44" s="336"/>
      <c r="T44" s="337"/>
      <c r="U44" s="338"/>
      <c r="V44" s="331"/>
      <c r="W44" s="339"/>
      <c r="X44" s="331"/>
      <c r="Y44" s="338"/>
      <c r="Z44" s="331"/>
      <c r="AA44" s="332"/>
      <c r="AB44" s="338"/>
      <c r="AC44" s="335"/>
      <c r="AD44" s="332"/>
      <c r="AE44" s="329">
        <f t="shared" si="32"/>
        <v>345101.444753</v>
      </c>
      <c r="AF44" s="329">
        <f t="shared" si="33"/>
        <v>0</v>
      </c>
      <c r="AG44" s="329">
        <f t="shared" si="34"/>
        <v>0</v>
      </c>
      <c r="AH44" s="329">
        <f t="shared" si="35"/>
        <v>0</v>
      </c>
      <c r="AI44" s="329">
        <f t="shared" si="36"/>
        <v>0</v>
      </c>
      <c r="AJ44" s="329">
        <f t="shared" si="37"/>
        <v>0</v>
      </c>
      <c r="AK44" s="329">
        <f t="shared" si="38"/>
        <v>0</v>
      </c>
      <c r="AL44" s="329">
        <f t="shared" si="39"/>
        <v>345101.444753</v>
      </c>
    </row>
    <row r="45" s="25" customFormat="1" ht="14.25" spans="1:38">
      <c r="A45" s="316">
        <v>41</v>
      </c>
      <c r="B45" s="183" t="s">
        <v>68</v>
      </c>
      <c r="C45" s="197" t="s">
        <v>300</v>
      </c>
      <c r="D45" s="319" t="s">
        <v>292</v>
      </c>
      <c r="E45" s="320" t="s">
        <v>67</v>
      </c>
      <c r="F45" s="330">
        <f>ROUND(3237.84,2)</f>
        <v>3237.84</v>
      </c>
      <c r="G45" s="331" t="s">
        <v>223</v>
      </c>
      <c r="H45" s="391">
        <f>'附表2-EF'!G56</f>
        <v>0.21158</v>
      </c>
      <c r="I45" s="331" t="s">
        <v>224</v>
      </c>
      <c r="J45" s="332">
        <v>1</v>
      </c>
      <c r="K45" s="338"/>
      <c r="L45" s="333"/>
      <c r="M45" s="332"/>
      <c r="N45" s="338"/>
      <c r="O45" s="331"/>
      <c r="P45" s="332"/>
      <c r="Q45" s="334"/>
      <c r="R45" s="335"/>
      <c r="S45" s="336"/>
      <c r="T45" s="337"/>
      <c r="U45" s="338"/>
      <c r="V45" s="331"/>
      <c r="W45" s="339"/>
      <c r="X45" s="331"/>
      <c r="Y45" s="338"/>
      <c r="Z45" s="331"/>
      <c r="AA45" s="332"/>
      <c r="AB45" s="338"/>
      <c r="AC45" s="335"/>
      <c r="AD45" s="332"/>
      <c r="AE45" s="329">
        <f t="shared" si="32"/>
        <v>685.0621872</v>
      </c>
      <c r="AF45" s="329">
        <f t="shared" si="33"/>
        <v>0</v>
      </c>
      <c r="AG45" s="329">
        <f t="shared" si="34"/>
        <v>0</v>
      </c>
      <c r="AH45" s="329">
        <f t="shared" si="35"/>
        <v>0</v>
      </c>
      <c r="AI45" s="329">
        <f t="shared" si="36"/>
        <v>0</v>
      </c>
      <c r="AJ45" s="329">
        <f t="shared" si="37"/>
        <v>0</v>
      </c>
      <c r="AK45" s="329">
        <f t="shared" si="38"/>
        <v>0</v>
      </c>
      <c r="AL45" s="329">
        <f t="shared" si="39"/>
        <v>685.0621872</v>
      </c>
    </row>
    <row r="46" s="25" customFormat="1" ht="14.25" spans="1:38">
      <c r="A46" s="316">
        <v>42</v>
      </c>
      <c r="B46" s="183" t="s">
        <v>68</v>
      </c>
      <c r="C46" s="197" t="s">
        <v>301</v>
      </c>
      <c r="D46" s="319" t="s">
        <v>292</v>
      </c>
      <c r="E46" s="320" t="s">
        <v>67</v>
      </c>
      <c r="F46" s="330">
        <f>ROUND(10209.54,2)</f>
        <v>10209.54</v>
      </c>
      <c r="G46" s="331" t="s">
        <v>223</v>
      </c>
      <c r="H46" s="391">
        <f>'附表2-EF'!G57</f>
        <v>10.145</v>
      </c>
      <c r="I46" s="331" t="s">
        <v>224</v>
      </c>
      <c r="J46" s="332">
        <v>1</v>
      </c>
      <c r="K46" s="338"/>
      <c r="L46" s="333"/>
      <c r="M46" s="332"/>
      <c r="N46" s="338"/>
      <c r="O46" s="331"/>
      <c r="P46" s="332"/>
      <c r="Q46" s="334"/>
      <c r="R46" s="335"/>
      <c r="S46" s="336"/>
      <c r="T46" s="337"/>
      <c r="U46" s="338"/>
      <c r="V46" s="331"/>
      <c r="W46" s="339"/>
      <c r="X46" s="331"/>
      <c r="Y46" s="338"/>
      <c r="Z46" s="331"/>
      <c r="AA46" s="332"/>
      <c r="AB46" s="338"/>
      <c r="AC46" s="335"/>
      <c r="AD46" s="332"/>
      <c r="AE46" s="329">
        <f t="shared" si="32"/>
        <v>103575.7833</v>
      </c>
      <c r="AF46" s="329">
        <f t="shared" si="33"/>
        <v>0</v>
      </c>
      <c r="AG46" s="329">
        <f t="shared" si="34"/>
        <v>0</v>
      </c>
      <c r="AH46" s="329">
        <f t="shared" si="35"/>
        <v>0</v>
      </c>
      <c r="AI46" s="329">
        <f t="shared" si="36"/>
        <v>0</v>
      </c>
      <c r="AJ46" s="329">
        <f t="shared" si="37"/>
        <v>0</v>
      </c>
      <c r="AK46" s="329">
        <f t="shared" si="38"/>
        <v>0</v>
      </c>
      <c r="AL46" s="329">
        <f t="shared" si="39"/>
        <v>103575.7833</v>
      </c>
    </row>
    <row r="47" s="25" customFormat="1" ht="14.25" spans="1:38">
      <c r="A47" s="316">
        <v>43</v>
      </c>
      <c r="B47" s="183" t="s">
        <v>68</v>
      </c>
      <c r="C47" s="197" t="s">
        <v>302</v>
      </c>
      <c r="D47" s="319" t="s">
        <v>292</v>
      </c>
      <c r="E47" s="320" t="s">
        <v>67</v>
      </c>
      <c r="F47" s="330">
        <f>ROUND(7772.398,2)</f>
        <v>7772.4</v>
      </c>
      <c r="G47" s="331" t="s">
        <v>223</v>
      </c>
      <c r="H47" s="391">
        <f>'附表2-EF'!G58</f>
        <v>8.5</v>
      </c>
      <c r="I47" s="331" t="s">
        <v>224</v>
      </c>
      <c r="J47" s="332">
        <v>1</v>
      </c>
      <c r="K47" s="338"/>
      <c r="L47" s="333"/>
      <c r="M47" s="332"/>
      <c r="N47" s="338"/>
      <c r="O47" s="331"/>
      <c r="P47" s="332"/>
      <c r="Q47" s="334"/>
      <c r="R47" s="335"/>
      <c r="S47" s="336"/>
      <c r="T47" s="337"/>
      <c r="U47" s="338"/>
      <c r="V47" s="331"/>
      <c r="W47" s="339"/>
      <c r="X47" s="331"/>
      <c r="Y47" s="338"/>
      <c r="Z47" s="331"/>
      <c r="AA47" s="332"/>
      <c r="AB47" s="338"/>
      <c r="AC47" s="335"/>
      <c r="AD47" s="332"/>
      <c r="AE47" s="329">
        <f t="shared" si="32"/>
        <v>66065.4</v>
      </c>
      <c r="AF47" s="329">
        <f t="shared" si="33"/>
        <v>0</v>
      </c>
      <c r="AG47" s="329">
        <f t="shared" si="34"/>
        <v>0</v>
      </c>
      <c r="AH47" s="329">
        <f t="shared" si="35"/>
        <v>0</v>
      </c>
      <c r="AI47" s="329">
        <f t="shared" si="36"/>
        <v>0</v>
      </c>
      <c r="AJ47" s="329">
        <f t="shared" si="37"/>
        <v>0</v>
      </c>
      <c r="AK47" s="329">
        <f t="shared" si="38"/>
        <v>0</v>
      </c>
      <c r="AL47" s="329">
        <f t="shared" si="39"/>
        <v>66065.4</v>
      </c>
    </row>
    <row r="48" s="25" customFormat="1" ht="14.25" spans="1:38">
      <c r="A48" s="316">
        <v>44</v>
      </c>
      <c r="B48" s="183" t="s">
        <v>68</v>
      </c>
      <c r="C48" s="197" t="s">
        <v>303</v>
      </c>
      <c r="D48" s="319" t="s">
        <v>292</v>
      </c>
      <c r="E48" s="320" t="s">
        <v>67</v>
      </c>
      <c r="F48" s="330">
        <f>ROUND(11018.506,2)</f>
        <v>11018.51</v>
      </c>
      <c r="G48" s="331" t="s">
        <v>223</v>
      </c>
      <c r="H48" s="391">
        <f>'附表2-EF'!G59</f>
        <v>5.73200823954465</v>
      </c>
      <c r="I48" s="331" t="s">
        <v>224</v>
      </c>
      <c r="J48" s="332">
        <v>1</v>
      </c>
      <c r="K48" s="338"/>
      <c r="L48" s="333"/>
      <c r="M48" s="332"/>
      <c r="N48" s="338"/>
      <c r="O48" s="331"/>
      <c r="P48" s="332"/>
      <c r="Q48" s="334"/>
      <c r="R48" s="335"/>
      <c r="S48" s="336"/>
      <c r="T48" s="337"/>
      <c r="U48" s="338"/>
      <c r="V48" s="331"/>
      <c r="W48" s="339"/>
      <c r="X48" s="331"/>
      <c r="Y48" s="338"/>
      <c r="Z48" s="331"/>
      <c r="AA48" s="332"/>
      <c r="AB48" s="338"/>
      <c r="AC48" s="335"/>
      <c r="AD48" s="332"/>
      <c r="AE48" s="329">
        <f t="shared" si="32"/>
        <v>63158.1901075051</v>
      </c>
      <c r="AF48" s="329">
        <f t="shared" si="33"/>
        <v>0</v>
      </c>
      <c r="AG48" s="329">
        <f t="shared" si="34"/>
        <v>0</v>
      </c>
      <c r="AH48" s="329">
        <f t="shared" si="35"/>
        <v>0</v>
      </c>
      <c r="AI48" s="329">
        <f t="shared" si="36"/>
        <v>0</v>
      </c>
      <c r="AJ48" s="329">
        <f t="shared" si="37"/>
        <v>0</v>
      </c>
      <c r="AK48" s="329">
        <f t="shared" si="38"/>
        <v>0</v>
      </c>
      <c r="AL48" s="329">
        <f t="shared" si="39"/>
        <v>63158.1901075051</v>
      </c>
    </row>
    <row r="49" s="25" customFormat="1" ht="14.25" spans="1:38">
      <c r="A49" s="316">
        <v>45</v>
      </c>
      <c r="B49" s="183" t="s">
        <v>68</v>
      </c>
      <c r="C49" s="197" t="s">
        <v>304</v>
      </c>
      <c r="D49" s="319" t="s">
        <v>292</v>
      </c>
      <c r="E49" s="320" t="s">
        <v>67</v>
      </c>
      <c r="F49" s="330">
        <f>ROUND(2841.662,2)</f>
        <v>2841.66</v>
      </c>
      <c r="G49" s="331" t="s">
        <v>223</v>
      </c>
      <c r="H49" s="391">
        <f>'附表2-EF'!G60</f>
        <v>22.2905608102976</v>
      </c>
      <c r="I49" s="331" t="s">
        <v>224</v>
      </c>
      <c r="J49" s="332">
        <v>1</v>
      </c>
      <c r="K49" s="338"/>
      <c r="L49" s="333"/>
      <c r="M49" s="332"/>
      <c r="N49" s="338"/>
      <c r="O49" s="331"/>
      <c r="P49" s="332"/>
      <c r="Q49" s="334"/>
      <c r="R49" s="335"/>
      <c r="S49" s="336"/>
      <c r="T49" s="337"/>
      <c r="U49" s="338"/>
      <c r="V49" s="331"/>
      <c r="W49" s="339"/>
      <c r="X49" s="331"/>
      <c r="Y49" s="338"/>
      <c r="Z49" s="331"/>
      <c r="AA49" s="332"/>
      <c r="AB49" s="338"/>
      <c r="AC49" s="335"/>
      <c r="AD49" s="332"/>
      <c r="AE49" s="329">
        <f t="shared" si="32"/>
        <v>63342.1950321903</v>
      </c>
      <c r="AF49" s="329">
        <f t="shared" si="33"/>
        <v>0</v>
      </c>
      <c r="AG49" s="329">
        <f t="shared" si="34"/>
        <v>0</v>
      </c>
      <c r="AH49" s="329">
        <f t="shared" si="35"/>
        <v>0</v>
      </c>
      <c r="AI49" s="329">
        <f t="shared" si="36"/>
        <v>0</v>
      </c>
      <c r="AJ49" s="329">
        <f t="shared" si="37"/>
        <v>0</v>
      </c>
      <c r="AK49" s="329">
        <f t="shared" si="38"/>
        <v>0</v>
      </c>
      <c r="AL49" s="329">
        <f t="shared" si="39"/>
        <v>63342.1950321903</v>
      </c>
    </row>
    <row r="50" s="25" customFormat="1" ht="14.25" spans="1:38">
      <c r="A50" s="316">
        <v>46</v>
      </c>
      <c r="B50" s="183" t="s">
        <v>68</v>
      </c>
      <c r="C50" s="197" t="s">
        <v>305</v>
      </c>
      <c r="D50" s="319" t="s">
        <v>292</v>
      </c>
      <c r="E50" s="320" t="s">
        <v>67</v>
      </c>
      <c r="F50" s="330">
        <v>10680.664</v>
      </c>
      <c r="G50" s="331" t="s">
        <v>223</v>
      </c>
      <c r="H50" s="391">
        <f>'附表2-EF'!G61</f>
        <v>1.66453351655996</v>
      </c>
      <c r="I50" s="331" t="s">
        <v>224</v>
      </c>
      <c r="J50" s="332">
        <v>1</v>
      </c>
      <c r="K50" s="338"/>
      <c r="L50" s="333"/>
      <c r="M50" s="332"/>
      <c r="N50" s="338"/>
      <c r="O50" s="331"/>
      <c r="P50" s="332"/>
      <c r="Q50" s="334"/>
      <c r="R50" s="335"/>
      <c r="S50" s="336"/>
      <c r="T50" s="337"/>
      <c r="U50" s="338"/>
      <c r="V50" s="331"/>
      <c r="W50" s="339"/>
      <c r="X50" s="331"/>
      <c r="Y50" s="338"/>
      <c r="Z50" s="331"/>
      <c r="AA50" s="332"/>
      <c r="AB50" s="338"/>
      <c r="AC50" s="335"/>
      <c r="AD50" s="332"/>
      <c r="AE50" s="329">
        <f t="shared" si="32"/>
        <v>17778.3232071154</v>
      </c>
      <c r="AF50" s="329">
        <f t="shared" si="33"/>
        <v>0</v>
      </c>
      <c r="AG50" s="329">
        <f t="shared" si="34"/>
        <v>0</v>
      </c>
      <c r="AH50" s="329">
        <f t="shared" si="35"/>
        <v>0</v>
      </c>
      <c r="AI50" s="329">
        <f t="shared" si="36"/>
        <v>0</v>
      </c>
      <c r="AJ50" s="329">
        <f t="shared" si="37"/>
        <v>0</v>
      </c>
      <c r="AK50" s="329">
        <f t="shared" si="38"/>
        <v>0</v>
      </c>
      <c r="AL50" s="329">
        <f t="shared" si="39"/>
        <v>17778.3232071154</v>
      </c>
    </row>
    <row r="51" s="25" customFormat="1" ht="14.25" spans="1:38">
      <c r="A51" s="316">
        <v>47</v>
      </c>
      <c r="B51" s="183" t="s">
        <v>68</v>
      </c>
      <c r="C51" s="197" t="s">
        <v>306</v>
      </c>
      <c r="D51" s="319" t="s">
        <v>307</v>
      </c>
      <c r="E51" s="320" t="s">
        <v>67</v>
      </c>
      <c r="F51" s="330">
        <f>ROUND(172683.992,2)</f>
        <v>172683.99</v>
      </c>
      <c r="G51" s="331" t="s">
        <v>223</v>
      </c>
      <c r="H51" s="391">
        <f>'附表2-EF'!G62</f>
        <v>0.00352310565774755</v>
      </c>
      <c r="I51" s="331" t="s">
        <v>224</v>
      </c>
      <c r="J51" s="332">
        <v>1</v>
      </c>
      <c r="K51" s="338"/>
      <c r="L51" s="333"/>
      <c r="M51" s="332"/>
      <c r="N51" s="338"/>
      <c r="O51" s="331"/>
      <c r="P51" s="332"/>
      <c r="Q51" s="334"/>
      <c r="R51" s="335"/>
      <c r="S51" s="336"/>
      <c r="T51" s="337"/>
      <c r="U51" s="338"/>
      <c r="V51" s="331"/>
      <c r="W51" s="339"/>
      <c r="X51" s="331"/>
      <c r="Y51" s="338"/>
      <c r="Z51" s="331"/>
      <c r="AA51" s="332"/>
      <c r="AB51" s="338"/>
      <c r="AC51" s="335"/>
      <c r="AD51" s="332"/>
      <c r="AE51" s="329">
        <f t="shared" si="32"/>
        <v>608.383942171421</v>
      </c>
      <c r="AF51" s="329">
        <f t="shared" si="33"/>
        <v>0</v>
      </c>
      <c r="AG51" s="329">
        <f t="shared" si="34"/>
        <v>0</v>
      </c>
      <c r="AH51" s="329">
        <f t="shared" si="35"/>
        <v>0</v>
      </c>
      <c r="AI51" s="329">
        <f t="shared" si="36"/>
        <v>0</v>
      </c>
      <c r="AJ51" s="329">
        <f t="shared" si="37"/>
        <v>0</v>
      </c>
      <c r="AK51" s="329">
        <f t="shared" si="38"/>
        <v>0</v>
      </c>
      <c r="AL51" s="329">
        <f t="shared" si="39"/>
        <v>608.383942171421</v>
      </c>
    </row>
    <row r="52" s="25" customFormat="1" ht="14.25" spans="1:38">
      <c r="A52" s="316">
        <v>48</v>
      </c>
      <c r="B52" s="183" t="s">
        <v>68</v>
      </c>
      <c r="C52" s="197" t="s">
        <v>308</v>
      </c>
      <c r="D52" s="319" t="s">
        <v>285</v>
      </c>
      <c r="E52" s="320" t="s">
        <v>67</v>
      </c>
      <c r="F52" s="330">
        <f>ROUND(3219.1+1277.04,2)</f>
        <v>4496.14</v>
      </c>
      <c r="G52" s="331" t="s">
        <v>223</v>
      </c>
      <c r="H52" s="391">
        <f>'附表2-EF'!G63</f>
        <v>5.4368447769784</v>
      </c>
      <c r="I52" s="331" t="s">
        <v>224</v>
      </c>
      <c r="J52" s="332">
        <v>1</v>
      </c>
      <c r="K52" s="338"/>
      <c r="L52" s="333"/>
      <c r="M52" s="332"/>
      <c r="N52" s="338"/>
      <c r="O52" s="331"/>
      <c r="P52" s="332"/>
      <c r="Q52" s="334"/>
      <c r="R52" s="335"/>
      <c r="S52" s="336"/>
      <c r="T52" s="337"/>
      <c r="U52" s="338"/>
      <c r="V52" s="331"/>
      <c r="W52" s="339"/>
      <c r="X52" s="331"/>
      <c r="Y52" s="338"/>
      <c r="Z52" s="331"/>
      <c r="AA52" s="332"/>
      <c r="AB52" s="338"/>
      <c r="AC52" s="335"/>
      <c r="AD52" s="332"/>
      <c r="AE52" s="329">
        <f t="shared" si="32"/>
        <v>24444.8152755637</v>
      </c>
      <c r="AF52" s="329">
        <f t="shared" si="33"/>
        <v>0</v>
      </c>
      <c r="AG52" s="329">
        <f t="shared" si="34"/>
        <v>0</v>
      </c>
      <c r="AH52" s="329">
        <f t="shared" si="35"/>
        <v>0</v>
      </c>
      <c r="AI52" s="329">
        <f t="shared" si="36"/>
        <v>0</v>
      </c>
      <c r="AJ52" s="329">
        <f t="shared" si="37"/>
        <v>0</v>
      </c>
      <c r="AK52" s="329">
        <f t="shared" si="38"/>
        <v>0</v>
      </c>
      <c r="AL52" s="329">
        <f t="shared" si="39"/>
        <v>24444.8152755637</v>
      </c>
    </row>
    <row r="53" s="25" customFormat="1" ht="14.25" spans="1:38">
      <c r="A53" s="316">
        <v>49</v>
      </c>
      <c r="B53" s="183" t="s">
        <v>68</v>
      </c>
      <c r="C53" s="197" t="s">
        <v>309</v>
      </c>
      <c r="D53" s="319" t="s">
        <v>310</v>
      </c>
      <c r="E53" s="320" t="s">
        <v>67</v>
      </c>
      <c r="F53" s="330">
        <v>6614.798</v>
      </c>
      <c r="G53" s="331" t="s">
        <v>223</v>
      </c>
      <c r="H53" s="391">
        <f>'附表2-EF'!G64</f>
        <v>7.2790711257224</v>
      </c>
      <c r="I53" s="331" t="s">
        <v>224</v>
      </c>
      <c r="J53" s="332">
        <v>1</v>
      </c>
      <c r="K53" s="338"/>
      <c r="L53" s="333"/>
      <c r="M53" s="332"/>
      <c r="N53" s="338"/>
      <c r="O53" s="331"/>
      <c r="P53" s="332"/>
      <c r="Q53" s="334"/>
      <c r="R53" s="335"/>
      <c r="S53" s="336"/>
      <c r="T53" s="337"/>
      <c r="U53" s="338"/>
      <c r="V53" s="331"/>
      <c r="W53" s="339"/>
      <c r="X53" s="331"/>
      <c r="Y53" s="338"/>
      <c r="Z53" s="331"/>
      <c r="AA53" s="332"/>
      <c r="AB53" s="338"/>
      <c r="AC53" s="335"/>
      <c r="AD53" s="332"/>
      <c r="AE53" s="329">
        <f t="shared" si="32"/>
        <v>48149.5851242863</v>
      </c>
      <c r="AF53" s="329">
        <f t="shared" si="33"/>
        <v>0</v>
      </c>
      <c r="AG53" s="329">
        <f t="shared" si="34"/>
        <v>0</v>
      </c>
      <c r="AH53" s="329">
        <f t="shared" si="35"/>
        <v>0</v>
      </c>
      <c r="AI53" s="329">
        <f t="shared" si="36"/>
        <v>0</v>
      </c>
      <c r="AJ53" s="329">
        <f t="shared" si="37"/>
        <v>0</v>
      </c>
      <c r="AK53" s="329">
        <f t="shared" si="38"/>
        <v>0</v>
      </c>
      <c r="AL53" s="329">
        <f t="shared" si="39"/>
        <v>48149.5851242863</v>
      </c>
    </row>
    <row r="54" s="25" customFormat="1" ht="14.25" spans="1:38">
      <c r="A54" s="316">
        <v>50</v>
      </c>
      <c r="B54" s="183" t="s">
        <v>68</v>
      </c>
      <c r="C54" s="197" t="s">
        <v>311</v>
      </c>
      <c r="D54" s="319" t="s">
        <v>310</v>
      </c>
      <c r="E54" s="320" t="s">
        <v>67</v>
      </c>
      <c r="F54" s="330">
        <v>11710.709</v>
      </c>
      <c r="G54" s="331" t="s">
        <v>223</v>
      </c>
      <c r="H54" s="391">
        <f>'附表2-EF'!G65</f>
        <v>26.3451883190215</v>
      </c>
      <c r="I54" s="331" t="s">
        <v>224</v>
      </c>
      <c r="J54" s="332">
        <v>1</v>
      </c>
      <c r="K54" s="338"/>
      <c r="L54" s="333"/>
      <c r="M54" s="332"/>
      <c r="N54" s="338"/>
      <c r="O54" s="331"/>
      <c r="P54" s="332"/>
      <c r="Q54" s="334"/>
      <c r="R54" s="335"/>
      <c r="S54" s="336"/>
      <c r="T54" s="337"/>
      <c r="U54" s="338"/>
      <c r="V54" s="331"/>
      <c r="W54" s="339"/>
      <c r="X54" s="331"/>
      <c r="Y54" s="338"/>
      <c r="Z54" s="331"/>
      <c r="AA54" s="332"/>
      <c r="AB54" s="338"/>
      <c r="AC54" s="335"/>
      <c r="AD54" s="332"/>
      <c r="AE54" s="329">
        <f t="shared" si="32"/>
        <v>308520.83395426</v>
      </c>
      <c r="AF54" s="329">
        <f t="shared" si="33"/>
        <v>0</v>
      </c>
      <c r="AG54" s="329">
        <f t="shared" si="34"/>
        <v>0</v>
      </c>
      <c r="AH54" s="329">
        <f t="shared" si="35"/>
        <v>0</v>
      </c>
      <c r="AI54" s="329">
        <f t="shared" si="36"/>
        <v>0</v>
      </c>
      <c r="AJ54" s="329">
        <f t="shared" si="37"/>
        <v>0</v>
      </c>
      <c r="AK54" s="329">
        <f t="shared" si="38"/>
        <v>0</v>
      </c>
      <c r="AL54" s="329">
        <f t="shared" si="39"/>
        <v>308520.83395426</v>
      </c>
    </row>
    <row r="55" s="25" customFormat="1" ht="14.25" spans="1:38">
      <c r="A55" s="316">
        <v>51</v>
      </c>
      <c r="B55" s="183" t="s">
        <v>68</v>
      </c>
      <c r="C55" s="197" t="s">
        <v>312</v>
      </c>
      <c r="D55" s="319" t="s">
        <v>313</v>
      </c>
      <c r="E55" s="320" t="s">
        <v>67</v>
      </c>
      <c r="F55" s="330">
        <f>ROUND(16162.1742168567,2)</f>
        <v>16162.17</v>
      </c>
      <c r="G55" s="331" t="s">
        <v>314</v>
      </c>
      <c r="H55" s="391">
        <f>'附表2-EF'!G66</f>
        <v>0.000343</v>
      </c>
      <c r="I55" s="331" t="s">
        <v>315</v>
      </c>
      <c r="J55" s="332">
        <v>1</v>
      </c>
      <c r="K55" s="338"/>
      <c r="L55" s="333"/>
      <c r="M55" s="332"/>
      <c r="N55" s="338"/>
      <c r="O55" s="331"/>
      <c r="P55" s="332"/>
      <c r="Q55" s="334"/>
      <c r="R55" s="335"/>
      <c r="S55" s="336"/>
      <c r="T55" s="337"/>
      <c r="U55" s="338"/>
      <c r="V55" s="331"/>
      <c r="W55" s="339"/>
      <c r="X55" s="331"/>
      <c r="Y55" s="338"/>
      <c r="Z55" s="331"/>
      <c r="AA55" s="332"/>
      <c r="AB55" s="338"/>
      <c r="AC55" s="335"/>
      <c r="AD55" s="332"/>
      <c r="AE55" s="329">
        <f t="shared" si="32"/>
        <v>5.54362431</v>
      </c>
      <c r="AF55" s="329">
        <f t="shared" si="33"/>
        <v>0</v>
      </c>
      <c r="AG55" s="329">
        <f t="shared" si="34"/>
        <v>0</v>
      </c>
      <c r="AH55" s="329">
        <f t="shared" si="35"/>
        <v>0</v>
      </c>
      <c r="AI55" s="329">
        <f t="shared" si="36"/>
        <v>0</v>
      </c>
      <c r="AJ55" s="329">
        <f t="shared" si="37"/>
        <v>0</v>
      </c>
      <c r="AK55" s="329">
        <f t="shared" si="38"/>
        <v>0</v>
      </c>
      <c r="AL55" s="329">
        <f t="shared" si="39"/>
        <v>5.54362431</v>
      </c>
    </row>
    <row r="56" s="25" customFormat="1" ht="14.25" spans="1:38">
      <c r="A56" s="316">
        <v>52</v>
      </c>
      <c r="B56" s="183" t="s">
        <v>68</v>
      </c>
      <c r="C56" s="197" t="s">
        <v>316</v>
      </c>
      <c r="D56" s="319" t="s">
        <v>313</v>
      </c>
      <c r="E56" s="320" t="s">
        <v>67</v>
      </c>
      <c r="F56" s="330">
        <f>ROUND(177487.755162724,2)</f>
        <v>177487.76</v>
      </c>
      <c r="G56" s="331" t="s">
        <v>314</v>
      </c>
      <c r="H56" s="391">
        <f>'附表2-EF'!G67</f>
        <v>0.000265</v>
      </c>
      <c r="I56" s="331" t="s">
        <v>315</v>
      </c>
      <c r="J56" s="332">
        <v>1</v>
      </c>
      <c r="K56" s="338"/>
      <c r="L56" s="333"/>
      <c r="M56" s="332"/>
      <c r="N56" s="338"/>
      <c r="O56" s="331"/>
      <c r="P56" s="332"/>
      <c r="Q56" s="334"/>
      <c r="R56" s="335"/>
      <c r="S56" s="336"/>
      <c r="T56" s="337"/>
      <c r="U56" s="338"/>
      <c r="V56" s="331"/>
      <c r="W56" s="339"/>
      <c r="X56" s="331"/>
      <c r="Y56" s="338"/>
      <c r="Z56" s="331"/>
      <c r="AA56" s="332"/>
      <c r="AB56" s="338"/>
      <c r="AC56" s="335"/>
      <c r="AD56" s="332"/>
      <c r="AE56" s="329">
        <f t="shared" si="32"/>
        <v>47.0342564</v>
      </c>
      <c r="AF56" s="329">
        <f t="shared" si="33"/>
        <v>0</v>
      </c>
      <c r="AG56" s="329">
        <f t="shared" si="34"/>
        <v>0</v>
      </c>
      <c r="AH56" s="329">
        <f t="shared" si="35"/>
        <v>0</v>
      </c>
      <c r="AI56" s="329">
        <f t="shared" si="36"/>
        <v>0</v>
      </c>
      <c r="AJ56" s="329">
        <f t="shared" si="37"/>
        <v>0</v>
      </c>
      <c r="AK56" s="329">
        <f t="shared" si="38"/>
        <v>0</v>
      </c>
      <c r="AL56" s="329">
        <f t="shared" si="39"/>
        <v>47.0342564</v>
      </c>
    </row>
    <row r="57" s="25" customFormat="1" ht="14.25" spans="1:38">
      <c r="A57" s="316">
        <v>53</v>
      </c>
      <c r="B57" s="183" t="s">
        <v>68</v>
      </c>
      <c r="C57" s="197" t="s">
        <v>317</v>
      </c>
      <c r="D57" s="319" t="s">
        <v>318</v>
      </c>
      <c r="E57" s="320" t="s">
        <v>67</v>
      </c>
      <c r="F57" s="330">
        <f>ROUND(23278634,2)</f>
        <v>23278634</v>
      </c>
      <c r="G57" s="331" t="s">
        <v>223</v>
      </c>
      <c r="H57" s="391">
        <f>'附表2-EF'!G68</f>
        <v>0.00127846980434508</v>
      </c>
      <c r="I57" s="331" t="s">
        <v>224</v>
      </c>
      <c r="J57" s="332">
        <v>1</v>
      </c>
      <c r="K57" s="338"/>
      <c r="L57" s="333"/>
      <c r="M57" s="332"/>
      <c r="N57" s="338"/>
      <c r="O57" s="331"/>
      <c r="P57" s="332"/>
      <c r="Q57" s="334"/>
      <c r="R57" s="335"/>
      <c r="S57" s="336"/>
      <c r="T57" s="337"/>
      <c r="U57" s="338"/>
      <c r="V57" s="331"/>
      <c r="W57" s="339"/>
      <c r="X57" s="331"/>
      <c r="Y57" s="338"/>
      <c r="Z57" s="331"/>
      <c r="AA57" s="332"/>
      <c r="AB57" s="338"/>
      <c r="AC57" s="335"/>
      <c r="AD57" s="332"/>
      <c r="AE57" s="329">
        <f t="shared" si="32"/>
        <v>29761.0306554007</v>
      </c>
      <c r="AF57" s="329">
        <f t="shared" si="33"/>
        <v>0</v>
      </c>
      <c r="AG57" s="329">
        <f t="shared" si="34"/>
        <v>0</v>
      </c>
      <c r="AH57" s="329">
        <f t="shared" si="35"/>
        <v>0</v>
      </c>
      <c r="AI57" s="329">
        <f t="shared" si="36"/>
        <v>0</v>
      </c>
      <c r="AJ57" s="329">
        <f t="shared" si="37"/>
        <v>0</v>
      </c>
      <c r="AK57" s="329">
        <f t="shared" si="38"/>
        <v>0</v>
      </c>
      <c r="AL57" s="329">
        <f t="shared" si="39"/>
        <v>29761.0306554007</v>
      </c>
    </row>
    <row r="58" s="25" customFormat="1" ht="24" spans="1:38">
      <c r="A58" s="316">
        <v>54</v>
      </c>
      <c r="B58" s="183" t="s">
        <v>319</v>
      </c>
      <c r="C58" s="392" t="s">
        <v>320</v>
      </c>
      <c r="D58" s="319" t="s">
        <v>321</v>
      </c>
      <c r="E58" s="320" t="s">
        <v>93</v>
      </c>
      <c r="F58" s="340">
        <f>ROUND(137337.400573884,2)</f>
        <v>137337.4</v>
      </c>
      <c r="G58" s="331" t="s">
        <v>314</v>
      </c>
      <c r="H58" s="391">
        <f>'附表2-EF'!F73</f>
        <v>0.000108</v>
      </c>
      <c r="I58" s="331" t="s">
        <v>315</v>
      </c>
      <c r="J58" s="332">
        <v>1</v>
      </c>
      <c r="K58" s="338"/>
      <c r="L58" s="333"/>
      <c r="M58" s="332"/>
      <c r="N58" s="338"/>
      <c r="O58" s="331"/>
      <c r="P58" s="332"/>
      <c r="Q58" s="334"/>
      <c r="R58" s="335"/>
      <c r="S58" s="336"/>
      <c r="T58" s="337"/>
      <c r="U58" s="338"/>
      <c r="V58" s="331"/>
      <c r="W58" s="339"/>
      <c r="X58" s="331"/>
      <c r="Y58" s="338"/>
      <c r="Z58" s="331"/>
      <c r="AA58" s="332"/>
      <c r="AB58" s="338"/>
      <c r="AC58" s="335"/>
      <c r="AD58" s="332"/>
      <c r="AE58" s="329">
        <f t="shared" si="32"/>
        <v>14.8324392</v>
      </c>
      <c r="AF58" s="329">
        <f t="shared" si="33"/>
        <v>0</v>
      </c>
      <c r="AG58" s="329">
        <f t="shared" si="34"/>
        <v>0</v>
      </c>
      <c r="AH58" s="329">
        <f t="shared" si="35"/>
        <v>0</v>
      </c>
      <c r="AI58" s="329">
        <f t="shared" si="36"/>
        <v>0</v>
      </c>
      <c r="AJ58" s="329">
        <f t="shared" si="37"/>
        <v>0</v>
      </c>
      <c r="AK58" s="329">
        <f t="shared" si="38"/>
        <v>0</v>
      </c>
      <c r="AL58" s="329">
        <f t="shared" si="39"/>
        <v>14.8324392</v>
      </c>
    </row>
    <row r="59" s="25" customFormat="1" ht="14.25" spans="1:38">
      <c r="A59" s="316">
        <v>55</v>
      </c>
      <c r="B59" s="183" t="s">
        <v>319</v>
      </c>
      <c r="C59" s="197" t="s">
        <v>322</v>
      </c>
      <c r="D59" s="319" t="s">
        <v>321</v>
      </c>
      <c r="E59" s="320" t="s">
        <v>93</v>
      </c>
      <c r="F59" s="340">
        <f>ROUND(65311.0316528152,2)</f>
        <v>65311.03</v>
      </c>
      <c r="G59" s="331" t="s">
        <v>314</v>
      </c>
      <c r="H59" s="391">
        <f>'附表2-EF'!F74</f>
        <v>5.8e-5</v>
      </c>
      <c r="I59" s="331" t="s">
        <v>315</v>
      </c>
      <c r="J59" s="332">
        <v>1</v>
      </c>
      <c r="K59" s="338"/>
      <c r="L59" s="333"/>
      <c r="M59" s="332"/>
      <c r="N59" s="338"/>
      <c r="O59" s="331"/>
      <c r="P59" s="332"/>
      <c r="Q59" s="334"/>
      <c r="R59" s="335"/>
      <c r="S59" s="336"/>
      <c r="T59" s="337"/>
      <c r="U59" s="338"/>
      <c r="V59" s="331"/>
      <c r="W59" s="339"/>
      <c r="X59" s="331"/>
      <c r="Y59" s="338"/>
      <c r="Z59" s="331"/>
      <c r="AA59" s="332"/>
      <c r="AB59" s="338"/>
      <c r="AC59" s="335"/>
      <c r="AD59" s="332"/>
      <c r="AE59" s="329">
        <f t="shared" si="32"/>
        <v>3.78803974</v>
      </c>
      <c r="AF59" s="329">
        <f t="shared" si="33"/>
        <v>0</v>
      </c>
      <c r="AG59" s="329">
        <f t="shared" si="34"/>
        <v>0</v>
      </c>
      <c r="AH59" s="329">
        <f t="shared" si="35"/>
        <v>0</v>
      </c>
      <c r="AI59" s="329">
        <f t="shared" si="36"/>
        <v>0</v>
      </c>
      <c r="AJ59" s="329">
        <f t="shared" si="37"/>
        <v>0</v>
      </c>
      <c r="AK59" s="329">
        <f t="shared" si="38"/>
        <v>0</v>
      </c>
      <c r="AL59" s="329">
        <f t="shared" si="39"/>
        <v>3.78803974</v>
      </c>
    </row>
    <row r="60" s="25" customFormat="1" ht="14.25" spans="1:38">
      <c r="A60" s="316">
        <v>56</v>
      </c>
      <c r="B60" s="183" t="s">
        <v>319</v>
      </c>
      <c r="C60" s="197" t="s">
        <v>323</v>
      </c>
      <c r="D60" s="319" t="s">
        <v>324</v>
      </c>
      <c r="E60" s="320" t="s">
        <v>93</v>
      </c>
      <c r="F60" s="340">
        <f>ROUND(869121.797178157,2)</f>
        <v>869121.8</v>
      </c>
      <c r="G60" s="331" t="s">
        <v>314</v>
      </c>
      <c r="H60" s="391">
        <f>'附表2-EF'!F75</f>
        <v>0.000249</v>
      </c>
      <c r="I60" s="331" t="s">
        <v>315</v>
      </c>
      <c r="J60" s="332">
        <v>1</v>
      </c>
      <c r="K60" s="338"/>
      <c r="L60" s="333"/>
      <c r="M60" s="332"/>
      <c r="N60" s="338"/>
      <c r="O60" s="331"/>
      <c r="P60" s="332"/>
      <c r="Q60" s="334"/>
      <c r="R60" s="335"/>
      <c r="S60" s="336"/>
      <c r="T60" s="337"/>
      <c r="U60" s="338"/>
      <c r="V60" s="331"/>
      <c r="W60" s="339"/>
      <c r="X60" s="331"/>
      <c r="Y60" s="338"/>
      <c r="Z60" s="331"/>
      <c r="AA60" s="332"/>
      <c r="AB60" s="338"/>
      <c r="AC60" s="335"/>
      <c r="AD60" s="332"/>
      <c r="AE60" s="329">
        <f t="shared" ref="AE60:AE73" si="40">F60*H60*J60</f>
        <v>216.4113282</v>
      </c>
      <c r="AF60" s="329">
        <f t="shared" ref="AF60:AF77" si="41">F60*K60*M60</f>
        <v>0</v>
      </c>
      <c r="AG60" s="329">
        <f t="shared" ref="AG60:AG77" si="42">F60*N60*P60</f>
        <v>0</v>
      </c>
      <c r="AH60" s="329">
        <f t="shared" ref="AH60:AH77" si="43">F60*Q60*S60</f>
        <v>0</v>
      </c>
      <c r="AI60" s="329">
        <f t="shared" ref="AI60:AI77" si="44">F60*U60*W60</f>
        <v>0</v>
      </c>
      <c r="AJ60" s="329">
        <f t="shared" ref="AJ60:AJ77" si="45">F60*Y60*AA60</f>
        <v>0</v>
      </c>
      <c r="AK60" s="329">
        <f t="shared" ref="AK60:AK77" si="46">F60*AB60*AD60</f>
        <v>0</v>
      </c>
      <c r="AL60" s="329">
        <f t="shared" ref="AL60:AL77" si="47">SUM(AE60:AK60)</f>
        <v>216.4113282</v>
      </c>
    </row>
    <row r="61" s="25" customFormat="1" ht="14.25" spans="1:38">
      <c r="A61" s="316">
        <v>57</v>
      </c>
      <c r="B61" s="183" t="s">
        <v>319</v>
      </c>
      <c r="C61" s="197" t="s">
        <v>325</v>
      </c>
      <c r="D61" s="319" t="s">
        <v>324</v>
      </c>
      <c r="E61" s="320" t="s">
        <v>93</v>
      </c>
      <c r="F61" s="340">
        <f>ROUND(6234953.43066562,2)</f>
        <v>6234953.43</v>
      </c>
      <c r="G61" s="331" t="s">
        <v>314</v>
      </c>
      <c r="H61" s="391">
        <f>'附表2-EF'!F76</f>
        <v>0.000185</v>
      </c>
      <c r="I61" s="331" t="s">
        <v>315</v>
      </c>
      <c r="J61" s="332">
        <v>1</v>
      </c>
      <c r="K61" s="338"/>
      <c r="L61" s="333"/>
      <c r="M61" s="332"/>
      <c r="N61" s="338"/>
      <c r="O61" s="331"/>
      <c r="P61" s="332"/>
      <c r="Q61" s="334"/>
      <c r="R61" s="335"/>
      <c r="S61" s="336"/>
      <c r="T61" s="337"/>
      <c r="U61" s="338"/>
      <c r="V61" s="331"/>
      <c r="W61" s="339"/>
      <c r="X61" s="331"/>
      <c r="Y61" s="338"/>
      <c r="Z61" s="331"/>
      <c r="AA61" s="332"/>
      <c r="AB61" s="338"/>
      <c r="AC61" s="335"/>
      <c r="AD61" s="332"/>
      <c r="AE61" s="329">
        <f t="shared" si="40"/>
        <v>1153.46638455</v>
      </c>
      <c r="AF61" s="329">
        <f t="shared" si="41"/>
        <v>0</v>
      </c>
      <c r="AG61" s="329">
        <f t="shared" si="42"/>
        <v>0</v>
      </c>
      <c r="AH61" s="329">
        <f t="shared" si="43"/>
        <v>0</v>
      </c>
      <c r="AI61" s="329">
        <f t="shared" si="44"/>
        <v>0</v>
      </c>
      <c r="AJ61" s="329">
        <f t="shared" si="45"/>
        <v>0</v>
      </c>
      <c r="AK61" s="329">
        <f t="shared" si="46"/>
        <v>0</v>
      </c>
      <c r="AL61" s="329">
        <f t="shared" si="47"/>
        <v>1153.46638455</v>
      </c>
    </row>
    <row r="62" s="25" customFormat="1" ht="14.25" spans="1:38">
      <c r="A62" s="316">
        <v>58</v>
      </c>
      <c r="B62" s="183" t="s">
        <v>319</v>
      </c>
      <c r="C62" s="197" t="s">
        <v>326</v>
      </c>
      <c r="D62" s="319" t="s">
        <v>324</v>
      </c>
      <c r="E62" s="320" t="s">
        <v>93</v>
      </c>
      <c r="F62" s="340">
        <f>ROUND(560965.846478643,2)</f>
        <v>560965.85</v>
      </c>
      <c r="G62" s="331" t="s">
        <v>314</v>
      </c>
      <c r="H62" s="391">
        <f>'附表2-EF'!F77</f>
        <v>7.9e-5</v>
      </c>
      <c r="I62" s="331" t="s">
        <v>315</v>
      </c>
      <c r="J62" s="332">
        <v>1</v>
      </c>
      <c r="K62" s="338"/>
      <c r="L62" s="333"/>
      <c r="M62" s="332"/>
      <c r="N62" s="338"/>
      <c r="O62" s="331"/>
      <c r="P62" s="332"/>
      <c r="Q62" s="334"/>
      <c r="R62" s="335"/>
      <c r="S62" s="336"/>
      <c r="T62" s="337"/>
      <c r="U62" s="338"/>
      <c r="V62" s="331"/>
      <c r="W62" s="339"/>
      <c r="X62" s="331"/>
      <c r="Y62" s="338"/>
      <c r="Z62" s="331"/>
      <c r="AA62" s="332"/>
      <c r="AB62" s="338"/>
      <c r="AC62" s="335"/>
      <c r="AD62" s="332"/>
      <c r="AE62" s="329">
        <f t="shared" ref="AE62:AE63" si="48">F62*H62*J62</f>
        <v>44.31630215</v>
      </c>
      <c r="AF62" s="329">
        <f t="shared" ref="AF62:AF63" si="49">F62*K62*M62</f>
        <v>0</v>
      </c>
      <c r="AG62" s="329">
        <f t="shared" ref="AG62:AG63" si="50">F62*N62*P62</f>
        <v>0</v>
      </c>
      <c r="AH62" s="329">
        <f t="shared" ref="AH62:AH63" si="51">F62*Q62*S62</f>
        <v>0</v>
      </c>
      <c r="AI62" s="329">
        <f t="shared" ref="AI62:AI63" si="52">F62*U62*W62</f>
        <v>0</v>
      </c>
      <c r="AJ62" s="329">
        <f t="shared" ref="AJ62:AJ63" si="53">F62*Y62*AA62</f>
        <v>0</v>
      </c>
      <c r="AK62" s="329">
        <f t="shared" ref="AK62:AK63" si="54">F62*AB62*AD62</f>
        <v>0</v>
      </c>
      <c r="AL62" s="329">
        <f t="shared" ref="AL62:AL63" si="55">SUM(AE62:AK62)</f>
        <v>44.31630215</v>
      </c>
    </row>
    <row r="63" s="25" customFormat="1" ht="14.25" spans="1:38">
      <c r="A63" s="316">
        <v>59</v>
      </c>
      <c r="B63" s="183" t="s">
        <v>319</v>
      </c>
      <c r="C63" s="197" t="s">
        <v>327</v>
      </c>
      <c r="D63" s="319" t="s">
        <v>324</v>
      </c>
      <c r="E63" s="320" t="s">
        <v>93</v>
      </c>
      <c r="F63" s="340">
        <f>ROUND(631698.520688066,2)</f>
        <v>631698.52</v>
      </c>
      <c r="G63" s="331" t="s">
        <v>314</v>
      </c>
      <c r="H63" s="391">
        <f>'附表2-EF'!F78</f>
        <v>8.9e-5</v>
      </c>
      <c r="I63" s="331" t="s">
        <v>315</v>
      </c>
      <c r="J63" s="332">
        <v>1</v>
      </c>
      <c r="K63" s="338"/>
      <c r="L63" s="333"/>
      <c r="M63" s="332"/>
      <c r="N63" s="338"/>
      <c r="O63" s="331"/>
      <c r="P63" s="332"/>
      <c r="Q63" s="334"/>
      <c r="R63" s="335"/>
      <c r="S63" s="336"/>
      <c r="T63" s="337"/>
      <c r="U63" s="338"/>
      <c r="V63" s="331"/>
      <c r="W63" s="339"/>
      <c r="X63" s="331"/>
      <c r="Y63" s="338"/>
      <c r="Z63" s="331"/>
      <c r="AA63" s="332"/>
      <c r="AB63" s="338"/>
      <c r="AC63" s="335"/>
      <c r="AD63" s="332"/>
      <c r="AE63" s="329">
        <f t="shared" si="48"/>
        <v>56.22116828</v>
      </c>
      <c r="AF63" s="329">
        <f t="shared" si="49"/>
        <v>0</v>
      </c>
      <c r="AG63" s="329">
        <f t="shared" si="50"/>
        <v>0</v>
      </c>
      <c r="AH63" s="329">
        <f t="shared" si="51"/>
        <v>0</v>
      </c>
      <c r="AI63" s="329">
        <f t="shared" si="52"/>
        <v>0</v>
      </c>
      <c r="AJ63" s="329">
        <f t="shared" si="53"/>
        <v>0</v>
      </c>
      <c r="AK63" s="329">
        <f t="shared" si="54"/>
        <v>0</v>
      </c>
      <c r="AL63" s="329">
        <f t="shared" si="55"/>
        <v>56.22116828</v>
      </c>
    </row>
    <row r="64" s="25" customFormat="1" ht="14.25" spans="1:38">
      <c r="A64" s="316">
        <v>60</v>
      </c>
      <c r="B64" s="183" t="s">
        <v>319</v>
      </c>
      <c r="C64" s="197" t="s">
        <v>328</v>
      </c>
      <c r="D64" s="319" t="s">
        <v>324</v>
      </c>
      <c r="E64" s="320" t="s">
        <v>93</v>
      </c>
      <c r="F64" s="340">
        <f>ROUND(168918.914378317,2)</f>
        <v>168918.91</v>
      </c>
      <c r="G64" s="331" t="s">
        <v>314</v>
      </c>
      <c r="H64" s="391">
        <f>'附表2-EF'!F79</f>
        <v>0.000209</v>
      </c>
      <c r="I64" s="331" t="s">
        <v>315</v>
      </c>
      <c r="J64" s="332">
        <v>1</v>
      </c>
      <c r="K64" s="338"/>
      <c r="L64" s="333"/>
      <c r="M64" s="332"/>
      <c r="N64" s="338"/>
      <c r="O64" s="331"/>
      <c r="P64" s="332"/>
      <c r="Q64" s="334"/>
      <c r="R64" s="335"/>
      <c r="S64" s="336"/>
      <c r="T64" s="337"/>
      <c r="U64" s="338"/>
      <c r="V64" s="331"/>
      <c r="W64" s="339"/>
      <c r="X64" s="331"/>
      <c r="Y64" s="338"/>
      <c r="Z64" s="331"/>
      <c r="AA64" s="332"/>
      <c r="AB64" s="338"/>
      <c r="AC64" s="335"/>
      <c r="AD64" s="332"/>
      <c r="AE64" s="329">
        <f t="shared" ref="AE64:AE66" si="56">F64*H64*J64</f>
        <v>35.30405219</v>
      </c>
      <c r="AF64" s="329">
        <f t="shared" ref="AF64:AF66" si="57">F64*K64*M64</f>
        <v>0</v>
      </c>
      <c r="AG64" s="329">
        <f t="shared" ref="AG64:AG66" si="58">F64*N64*P64</f>
        <v>0</v>
      </c>
      <c r="AH64" s="329">
        <f t="shared" ref="AH64:AH66" si="59">F64*Q64*S64</f>
        <v>0</v>
      </c>
      <c r="AI64" s="329">
        <f t="shared" ref="AI64:AI66" si="60">F64*U64*W64</f>
        <v>0</v>
      </c>
      <c r="AJ64" s="329">
        <f t="shared" ref="AJ64:AJ66" si="61">F64*Y64*AA64</f>
        <v>0</v>
      </c>
      <c r="AK64" s="329">
        <f t="shared" ref="AK64:AK66" si="62">F64*AB64*AD64</f>
        <v>0</v>
      </c>
      <c r="AL64" s="329">
        <f t="shared" ref="AL64:AL66" si="63">SUM(AE64:AK64)</f>
        <v>35.30405219</v>
      </c>
    </row>
    <row r="65" s="25" customFormat="1" ht="14.25" spans="1:38">
      <c r="A65" s="316">
        <v>61</v>
      </c>
      <c r="B65" s="183" t="s">
        <v>319</v>
      </c>
      <c r="C65" s="197" t="s">
        <v>329</v>
      </c>
      <c r="D65" s="319" t="s">
        <v>324</v>
      </c>
      <c r="E65" s="320" t="s">
        <v>93</v>
      </c>
      <c r="F65" s="340">
        <f>ROUND(1937496.9491979,2)</f>
        <v>1937496.95</v>
      </c>
      <c r="G65" s="331" t="s">
        <v>314</v>
      </c>
      <c r="H65" s="391">
        <f>'附表2-EF'!F80</f>
        <v>0.000223</v>
      </c>
      <c r="I65" s="331" t="s">
        <v>315</v>
      </c>
      <c r="J65" s="332">
        <v>1</v>
      </c>
      <c r="K65" s="338"/>
      <c r="L65" s="333"/>
      <c r="M65" s="332"/>
      <c r="N65" s="338"/>
      <c r="O65" s="331"/>
      <c r="P65" s="332"/>
      <c r="Q65" s="334"/>
      <c r="R65" s="335"/>
      <c r="S65" s="336"/>
      <c r="T65" s="337"/>
      <c r="U65" s="338"/>
      <c r="V65" s="331"/>
      <c r="W65" s="339"/>
      <c r="X65" s="331"/>
      <c r="Y65" s="338"/>
      <c r="Z65" s="331"/>
      <c r="AA65" s="332"/>
      <c r="AB65" s="338"/>
      <c r="AC65" s="335"/>
      <c r="AD65" s="332"/>
      <c r="AE65" s="329">
        <f t="shared" si="56"/>
        <v>432.06181985</v>
      </c>
      <c r="AF65" s="329">
        <f t="shared" si="57"/>
        <v>0</v>
      </c>
      <c r="AG65" s="329">
        <f t="shared" si="58"/>
        <v>0</v>
      </c>
      <c r="AH65" s="329">
        <f t="shared" si="59"/>
        <v>0</v>
      </c>
      <c r="AI65" s="329">
        <f t="shared" si="60"/>
        <v>0</v>
      </c>
      <c r="AJ65" s="329">
        <f t="shared" si="61"/>
        <v>0</v>
      </c>
      <c r="AK65" s="329">
        <f t="shared" si="62"/>
        <v>0</v>
      </c>
      <c r="AL65" s="329">
        <f t="shared" si="63"/>
        <v>432.06181985</v>
      </c>
    </row>
    <row r="66" s="25" customFormat="1" ht="14.25" spans="1:38">
      <c r="A66" s="316">
        <v>62</v>
      </c>
      <c r="B66" s="183" t="s">
        <v>319</v>
      </c>
      <c r="C66" s="197" t="s">
        <v>330</v>
      </c>
      <c r="D66" s="319" t="s">
        <v>324</v>
      </c>
      <c r="E66" s="320" t="s">
        <v>93</v>
      </c>
      <c r="F66" s="340">
        <f>ROUND(177532.576084209,2)</f>
        <v>177532.58</v>
      </c>
      <c r="G66" s="331" t="s">
        <v>314</v>
      </c>
      <c r="H66" s="391">
        <f>'附表2-EF'!F81</f>
        <v>6.3e-5</v>
      </c>
      <c r="I66" s="331" t="s">
        <v>315</v>
      </c>
      <c r="J66" s="332">
        <v>1</v>
      </c>
      <c r="K66" s="338"/>
      <c r="L66" s="333"/>
      <c r="M66" s="332"/>
      <c r="N66" s="338"/>
      <c r="O66" s="331"/>
      <c r="P66" s="332"/>
      <c r="Q66" s="334"/>
      <c r="R66" s="335"/>
      <c r="S66" s="336"/>
      <c r="T66" s="337"/>
      <c r="U66" s="338"/>
      <c r="V66" s="331"/>
      <c r="W66" s="339"/>
      <c r="X66" s="331"/>
      <c r="Y66" s="338"/>
      <c r="Z66" s="331"/>
      <c r="AA66" s="332"/>
      <c r="AB66" s="338"/>
      <c r="AC66" s="335"/>
      <c r="AD66" s="332"/>
      <c r="AE66" s="329">
        <f t="shared" si="56"/>
        <v>11.18455254</v>
      </c>
      <c r="AF66" s="329">
        <f t="shared" si="57"/>
        <v>0</v>
      </c>
      <c r="AG66" s="329">
        <f t="shared" si="58"/>
        <v>0</v>
      </c>
      <c r="AH66" s="329">
        <f t="shared" si="59"/>
        <v>0</v>
      </c>
      <c r="AI66" s="329">
        <f t="shared" si="60"/>
        <v>0</v>
      </c>
      <c r="AJ66" s="329">
        <f t="shared" si="61"/>
        <v>0</v>
      </c>
      <c r="AK66" s="329">
        <f t="shared" si="62"/>
        <v>0</v>
      </c>
      <c r="AL66" s="329">
        <f t="shared" si="63"/>
        <v>11.18455254</v>
      </c>
    </row>
    <row r="67" s="25" customFormat="1" ht="14.25" spans="1:38">
      <c r="A67" s="316">
        <v>63</v>
      </c>
      <c r="B67" s="183" t="s">
        <v>319</v>
      </c>
      <c r="C67" s="197" t="s">
        <v>331</v>
      </c>
      <c r="D67" s="319" t="s">
        <v>324</v>
      </c>
      <c r="E67" s="320" t="s">
        <v>93</v>
      </c>
      <c r="F67" s="340">
        <f>ROUND(4336501.56405644,2)</f>
        <v>4336501.56</v>
      </c>
      <c r="G67" s="331" t="s">
        <v>314</v>
      </c>
      <c r="H67" s="391">
        <f>'附表2-EF'!F82</f>
        <v>0.000128</v>
      </c>
      <c r="I67" s="331" t="s">
        <v>315</v>
      </c>
      <c r="J67" s="332">
        <v>1</v>
      </c>
      <c r="K67" s="338"/>
      <c r="L67" s="333"/>
      <c r="M67" s="332"/>
      <c r="N67" s="338"/>
      <c r="O67" s="331"/>
      <c r="P67" s="332"/>
      <c r="Q67" s="334"/>
      <c r="R67" s="335"/>
      <c r="S67" s="336"/>
      <c r="T67" s="337"/>
      <c r="U67" s="338"/>
      <c r="V67" s="331"/>
      <c r="W67" s="339"/>
      <c r="X67" s="331"/>
      <c r="Y67" s="338"/>
      <c r="Z67" s="331"/>
      <c r="AA67" s="332"/>
      <c r="AB67" s="338"/>
      <c r="AC67" s="335"/>
      <c r="AD67" s="332"/>
      <c r="AE67" s="329">
        <f t="shared" si="40"/>
        <v>555.07219968</v>
      </c>
      <c r="AF67" s="329">
        <f t="shared" si="41"/>
        <v>0</v>
      </c>
      <c r="AG67" s="329">
        <f t="shared" si="42"/>
        <v>0</v>
      </c>
      <c r="AH67" s="329">
        <f t="shared" si="43"/>
        <v>0</v>
      </c>
      <c r="AI67" s="329">
        <f t="shared" si="44"/>
        <v>0</v>
      </c>
      <c r="AJ67" s="329">
        <f t="shared" si="45"/>
        <v>0</v>
      </c>
      <c r="AK67" s="329">
        <f t="shared" si="46"/>
        <v>0</v>
      </c>
      <c r="AL67" s="329">
        <f t="shared" si="47"/>
        <v>555.07219968</v>
      </c>
    </row>
    <row r="68" s="25" customFormat="1" ht="14.25" spans="1:38">
      <c r="A68" s="316">
        <v>64</v>
      </c>
      <c r="B68" s="183" t="s">
        <v>319</v>
      </c>
      <c r="C68" s="197" t="s">
        <v>332</v>
      </c>
      <c r="D68" s="319" t="s">
        <v>324</v>
      </c>
      <c r="E68" s="320" t="s">
        <v>93</v>
      </c>
      <c r="F68" s="340">
        <f>ROUND(270792923.38651,2)</f>
        <v>270792923.39</v>
      </c>
      <c r="G68" s="331" t="s">
        <v>314</v>
      </c>
      <c r="H68" s="391">
        <f>'附表2-EF'!F83</f>
        <v>0.000182</v>
      </c>
      <c r="I68" s="331" t="s">
        <v>315</v>
      </c>
      <c r="J68" s="332">
        <v>1</v>
      </c>
      <c r="K68" s="338"/>
      <c r="L68" s="333"/>
      <c r="M68" s="332"/>
      <c r="N68" s="338"/>
      <c r="O68" s="331"/>
      <c r="P68" s="332"/>
      <c r="Q68" s="334"/>
      <c r="R68" s="335"/>
      <c r="S68" s="336"/>
      <c r="T68" s="337"/>
      <c r="U68" s="338"/>
      <c r="V68" s="331"/>
      <c r="W68" s="339"/>
      <c r="X68" s="331"/>
      <c r="Y68" s="338"/>
      <c r="Z68" s="331"/>
      <c r="AA68" s="332"/>
      <c r="AB68" s="338"/>
      <c r="AC68" s="335"/>
      <c r="AD68" s="332"/>
      <c r="AE68" s="329">
        <f t="shared" si="40"/>
        <v>49284.31205698</v>
      </c>
      <c r="AF68" s="329">
        <f t="shared" si="41"/>
        <v>0</v>
      </c>
      <c r="AG68" s="329">
        <f t="shared" si="42"/>
        <v>0</v>
      </c>
      <c r="AH68" s="329">
        <f t="shared" si="43"/>
        <v>0</v>
      </c>
      <c r="AI68" s="329">
        <f t="shared" si="44"/>
        <v>0</v>
      </c>
      <c r="AJ68" s="329">
        <f t="shared" si="45"/>
        <v>0</v>
      </c>
      <c r="AK68" s="329">
        <f t="shared" si="46"/>
        <v>0</v>
      </c>
      <c r="AL68" s="329">
        <f t="shared" si="47"/>
        <v>49284.31205698</v>
      </c>
    </row>
    <row r="69" s="28" customFormat="1" ht="24" spans="1:38">
      <c r="A69" s="316">
        <v>65</v>
      </c>
      <c r="B69" s="183" t="s">
        <v>333</v>
      </c>
      <c r="C69" s="393" t="s">
        <v>334</v>
      </c>
      <c r="D69" s="319" t="s">
        <v>222</v>
      </c>
      <c r="E69" s="320" t="s">
        <v>105</v>
      </c>
      <c r="F69" s="321">
        <f>F6</f>
        <v>9.39</v>
      </c>
      <c r="G69" s="331" t="s">
        <v>223</v>
      </c>
      <c r="H69" s="391">
        <f>'附表2-EF'!G87</f>
        <v>1.00622556403449</v>
      </c>
      <c r="I69" s="331" t="s">
        <v>224</v>
      </c>
      <c r="J69" s="324">
        <v>1</v>
      </c>
      <c r="K69" s="325"/>
      <c r="L69" s="322"/>
      <c r="M69" s="324"/>
      <c r="N69" s="325"/>
      <c r="O69" s="322"/>
      <c r="P69" s="324"/>
      <c r="Q69" s="326"/>
      <c r="R69" s="134"/>
      <c r="S69" s="327"/>
      <c r="T69" s="134"/>
      <c r="U69" s="325"/>
      <c r="V69" s="322"/>
      <c r="W69" s="328"/>
      <c r="X69" s="322"/>
      <c r="Y69" s="325"/>
      <c r="Z69" s="322"/>
      <c r="AA69" s="324"/>
      <c r="AB69" s="325"/>
      <c r="AC69" s="361"/>
      <c r="AD69" s="358"/>
      <c r="AE69" s="329">
        <f t="shared" si="40"/>
        <v>9.44845804628386</v>
      </c>
      <c r="AF69" s="329">
        <f t="shared" si="41"/>
        <v>0</v>
      </c>
      <c r="AG69" s="329">
        <f t="shared" si="42"/>
        <v>0</v>
      </c>
      <c r="AH69" s="329">
        <f t="shared" si="43"/>
        <v>0</v>
      </c>
      <c r="AI69" s="329">
        <f t="shared" si="44"/>
        <v>0</v>
      </c>
      <c r="AJ69" s="329">
        <f t="shared" si="45"/>
        <v>0</v>
      </c>
      <c r="AK69" s="329">
        <f t="shared" si="46"/>
        <v>0</v>
      </c>
      <c r="AL69" s="329">
        <f t="shared" si="47"/>
        <v>9.44845804628386</v>
      </c>
    </row>
    <row r="70" s="25" customFormat="1" ht="24" spans="1:38">
      <c r="A70" s="316">
        <v>66</v>
      </c>
      <c r="B70" s="183" t="s">
        <v>333</v>
      </c>
      <c r="C70" s="197" t="s">
        <v>335</v>
      </c>
      <c r="D70" s="319" t="s">
        <v>336</v>
      </c>
      <c r="E70" s="320" t="s">
        <v>105</v>
      </c>
      <c r="F70" s="330">
        <f>F9</f>
        <v>1946577.05</v>
      </c>
      <c r="G70" s="331" t="s">
        <v>223</v>
      </c>
      <c r="H70" s="391">
        <f>'附表2-EF'!G88</f>
        <v>0.57555</v>
      </c>
      <c r="I70" s="331" t="s">
        <v>224</v>
      </c>
      <c r="J70" s="332">
        <v>1</v>
      </c>
      <c r="K70" s="338"/>
      <c r="L70" s="333"/>
      <c r="M70" s="332"/>
      <c r="N70" s="338"/>
      <c r="O70" s="331"/>
      <c r="P70" s="332"/>
      <c r="Q70" s="334"/>
      <c r="R70" s="335"/>
      <c r="S70" s="336"/>
      <c r="T70" s="337"/>
      <c r="U70" s="338"/>
      <c r="V70" s="331"/>
      <c r="W70" s="339"/>
      <c r="X70" s="331"/>
      <c r="Y70" s="338"/>
      <c r="Z70" s="331"/>
      <c r="AA70" s="332"/>
      <c r="AB70" s="338"/>
      <c r="AC70" s="335"/>
      <c r="AD70" s="332"/>
      <c r="AE70" s="329">
        <f t="shared" si="40"/>
        <v>1120352.4211275</v>
      </c>
      <c r="AF70" s="329">
        <f t="shared" si="41"/>
        <v>0</v>
      </c>
      <c r="AG70" s="329">
        <f t="shared" si="42"/>
        <v>0</v>
      </c>
      <c r="AH70" s="329">
        <f t="shared" si="43"/>
        <v>0</v>
      </c>
      <c r="AI70" s="329">
        <f t="shared" si="44"/>
        <v>0</v>
      </c>
      <c r="AJ70" s="329">
        <f t="shared" si="45"/>
        <v>0</v>
      </c>
      <c r="AK70" s="329">
        <f t="shared" si="46"/>
        <v>0</v>
      </c>
      <c r="AL70" s="329">
        <f t="shared" si="47"/>
        <v>1120352.4211275</v>
      </c>
    </row>
    <row r="71" s="25" customFormat="1" ht="24" spans="1:38">
      <c r="A71" s="316">
        <v>67</v>
      </c>
      <c r="B71" s="183" t="s">
        <v>333</v>
      </c>
      <c r="C71" s="197" t="s">
        <v>337</v>
      </c>
      <c r="D71" s="319" t="s">
        <v>324</v>
      </c>
      <c r="E71" s="320" t="s">
        <v>105</v>
      </c>
      <c r="F71" s="330">
        <f>F13</f>
        <v>1403.87</v>
      </c>
      <c r="G71" s="331" t="s">
        <v>223</v>
      </c>
      <c r="H71" s="391">
        <f>'附表2-EF'!G89</f>
        <v>0.84212</v>
      </c>
      <c r="I71" s="331" t="s">
        <v>224</v>
      </c>
      <c r="J71" s="332">
        <v>1</v>
      </c>
      <c r="K71" s="338"/>
      <c r="L71" s="333"/>
      <c r="M71" s="332"/>
      <c r="N71" s="338"/>
      <c r="O71" s="331"/>
      <c r="P71" s="332"/>
      <c r="Q71" s="334"/>
      <c r="R71" s="335"/>
      <c r="S71" s="336"/>
      <c r="T71" s="337"/>
      <c r="U71" s="338"/>
      <c r="V71" s="331"/>
      <c r="W71" s="339"/>
      <c r="X71" s="331"/>
      <c r="Y71" s="338"/>
      <c r="Z71" s="331"/>
      <c r="AA71" s="332"/>
      <c r="AB71" s="338"/>
      <c r="AC71" s="335"/>
      <c r="AD71" s="332"/>
      <c r="AE71" s="329">
        <f t="shared" si="40"/>
        <v>1182.2270044</v>
      </c>
      <c r="AF71" s="329">
        <f t="shared" si="41"/>
        <v>0</v>
      </c>
      <c r="AG71" s="329">
        <f t="shared" si="42"/>
        <v>0</v>
      </c>
      <c r="AH71" s="329">
        <f t="shared" si="43"/>
        <v>0</v>
      </c>
      <c r="AI71" s="329">
        <f t="shared" si="44"/>
        <v>0</v>
      </c>
      <c r="AJ71" s="329">
        <f t="shared" si="45"/>
        <v>0</v>
      </c>
      <c r="AK71" s="329">
        <f t="shared" si="46"/>
        <v>0</v>
      </c>
      <c r="AL71" s="329">
        <f t="shared" si="47"/>
        <v>1182.2270044</v>
      </c>
    </row>
    <row r="72" s="25" customFormat="1" ht="24" spans="1:38">
      <c r="A72" s="316">
        <v>68</v>
      </c>
      <c r="B72" s="183" t="s">
        <v>333</v>
      </c>
      <c r="C72" s="197" t="s">
        <v>338</v>
      </c>
      <c r="D72" s="319" t="s">
        <v>339</v>
      </c>
      <c r="E72" s="320" t="s">
        <v>105</v>
      </c>
      <c r="F72" s="330">
        <f>F14</f>
        <v>49.06</v>
      </c>
      <c r="G72" s="331" t="s">
        <v>223</v>
      </c>
      <c r="H72" s="391">
        <f>'附表2-EF'!G90</f>
        <v>0.987330305224408</v>
      </c>
      <c r="I72" s="331" t="s">
        <v>224</v>
      </c>
      <c r="J72" s="332">
        <v>1</v>
      </c>
      <c r="K72" s="338"/>
      <c r="L72" s="333"/>
      <c r="M72" s="332"/>
      <c r="N72" s="338"/>
      <c r="O72" s="331"/>
      <c r="P72" s="332"/>
      <c r="Q72" s="334"/>
      <c r="R72" s="335"/>
      <c r="S72" s="336"/>
      <c r="T72" s="337"/>
      <c r="U72" s="338"/>
      <c r="V72" s="331"/>
      <c r="W72" s="339"/>
      <c r="X72" s="331"/>
      <c r="Y72" s="338"/>
      <c r="Z72" s="331"/>
      <c r="AA72" s="332"/>
      <c r="AB72" s="338"/>
      <c r="AC72" s="335"/>
      <c r="AD72" s="332"/>
      <c r="AE72" s="329">
        <f t="shared" si="40"/>
        <v>48.4384247743095</v>
      </c>
      <c r="AF72" s="329">
        <f t="shared" si="41"/>
        <v>0</v>
      </c>
      <c r="AG72" s="329">
        <f t="shared" si="42"/>
        <v>0</v>
      </c>
      <c r="AH72" s="329">
        <f t="shared" si="43"/>
        <v>0</v>
      </c>
      <c r="AI72" s="329">
        <f t="shared" si="44"/>
        <v>0</v>
      </c>
      <c r="AJ72" s="329">
        <f t="shared" si="45"/>
        <v>0</v>
      </c>
      <c r="AK72" s="329">
        <f t="shared" si="46"/>
        <v>0</v>
      </c>
      <c r="AL72" s="329">
        <f t="shared" si="47"/>
        <v>48.4384247743095</v>
      </c>
    </row>
    <row r="73" s="25" customFormat="1" ht="24" spans="1:38">
      <c r="A73" s="316">
        <v>69</v>
      </c>
      <c r="B73" s="183" t="s">
        <v>333</v>
      </c>
      <c r="C73" s="197" t="s">
        <v>340</v>
      </c>
      <c r="D73" s="319" t="s">
        <v>235</v>
      </c>
      <c r="E73" s="320" t="s">
        <v>105</v>
      </c>
      <c r="F73" s="330">
        <f>F10</f>
        <v>145430.2</v>
      </c>
      <c r="G73" s="331" t="s">
        <v>223</v>
      </c>
      <c r="H73" s="391">
        <f>'附表2-EF'!G91</f>
        <v>1.2676</v>
      </c>
      <c r="I73" s="331" t="s">
        <v>224</v>
      </c>
      <c r="J73" s="332">
        <v>1</v>
      </c>
      <c r="K73" s="338"/>
      <c r="L73" s="333"/>
      <c r="M73" s="332"/>
      <c r="N73" s="338"/>
      <c r="O73" s="331"/>
      <c r="P73" s="332"/>
      <c r="Q73" s="334"/>
      <c r="R73" s="335"/>
      <c r="S73" s="336"/>
      <c r="T73" s="337"/>
      <c r="U73" s="338"/>
      <c r="V73" s="331"/>
      <c r="W73" s="339"/>
      <c r="X73" s="331"/>
      <c r="Y73" s="338"/>
      <c r="Z73" s="331"/>
      <c r="AA73" s="332"/>
      <c r="AB73" s="338"/>
      <c r="AC73" s="335"/>
      <c r="AD73" s="332"/>
      <c r="AE73" s="329">
        <f t="shared" si="40"/>
        <v>184347.32152</v>
      </c>
      <c r="AF73" s="329">
        <f t="shared" si="41"/>
        <v>0</v>
      </c>
      <c r="AG73" s="329">
        <f t="shared" si="42"/>
        <v>0</v>
      </c>
      <c r="AH73" s="329">
        <f t="shared" si="43"/>
        <v>0</v>
      </c>
      <c r="AI73" s="329">
        <f t="shared" si="44"/>
        <v>0</v>
      </c>
      <c r="AJ73" s="329">
        <f t="shared" si="45"/>
        <v>0</v>
      </c>
      <c r="AK73" s="329">
        <f t="shared" si="46"/>
        <v>0</v>
      </c>
      <c r="AL73" s="329">
        <f t="shared" si="47"/>
        <v>184347.32152</v>
      </c>
    </row>
    <row r="74" s="25" customFormat="1" ht="24" spans="1:38">
      <c r="A74" s="316">
        <v>70</v>
      </c>
      <c r="B74" s="183" t="s">
        <v>333</v>
      </c>
      <c r="C74" s="197" t="s">
        <v>341</v>
      </c>
      <c r="D74" s="319" t="s">
        <v>235</v>
      </c>
      <c r="E74" s="320" t="s">
        <v>105</v>
      </c>
      <c r="F74" s="330">
        <f>F11</f>
        <v>120570.5</v>
      </c>
      <c r="G74" s="331" t="s">
        <v>223</v>
      </c>
      <c r="H74" s="391">
        <f>'附表2-EF'!G92</f>
        <v>1.2676</v>
      </c>
      <c r="I74" s="331" t="s">
        <v>224</v>
      </c>
      <c r="J74" s="332">
        <v>1</v>
      </c>
      <c r="K74" s="338"/>
      <c r="L74" s="333"/>
      <c r="M74" s="332"/>
      <c r="N74" s="338"/>
      <c r="O74" s="331"/>
      <c r="P74" s="332"/>
      <c r="Q74" s="334"/>
      <c r="R74" s="335"/>
      <c r="S74" s="336"/>
      <c r="T74" s="337"/>
      <c r="U74" s="338"/>
      <c r="V74" s="331"/>
      <c r="W74" s="339"/>
      <c r="X74" s="331"/>
      <c r="Y74" s="338"/>
      <c r="Z74" s="331"/>
      <c r="AA74" s="332"/>
      <c r="AB74" s="338"/>
      <c r="AC74" s="335"/>
      <c r="AD74" s="332"/>
      <c r="AE74" s="329">
        <f t="shared" ref="AE74:AE86" si="64">F74*H74*J74</f>
        <v>152835.1658</v>
      </c>
      <c r="AF74" s="329">
        <f t="shared" si="41"/>
        <v>0</v>
      </c>
      <c r="AG74" s="329">
        <f t="shared" si="42"/>
        <v>0</v>
      </c>
      <c r="AH74" s="329">
        <f t="shared" si="43"/>
        <v>0</v>
      </c>
      <c r="AI74" s="329">
        <f t="shared" si="44"/>
        <v>0</v>
      </c>
      <c r="AJ74" s="329">
        <f t="shared" si="45"/>
        <v>0</v>
      </c>
      <c r="AK74" s="329">
        <f t="shared" si="46"/>
        <v>0</v>
      </c>
      <c r="AL74" s="329">
        <f t="shared" si="47"/>
        <v>152835.1658</v>
      </c>
    </row>
    <row r="75" s="25" customFormat="1" ht="24" spans="1:38">
      <c r="A75" s="316">
        <v>71</v>
      </c>
      <c r="B75" s="183" t="s">
        <v>333</v>
      </c>
      <c r="C75" s="197" t="s">
        <v>342</v>
      </c>
      <c r="D75" s="319" t="s">
        <v>233</v>
      </c>
      <c r="E75" s="320" t="s">
        <v>105</v>
      </c>
      <c r="F75" s="330">
        <f>F7</f>
        <v>399079.16</v>
      </c>
      <c r="G75" s="331" t="s">
        <v>223</v>
      </c>
      <c r="H75" s="391">
        <f>'附表2-EF'!G93</f>
        <v>0.57555</v>
      </c>
      <c r="I75" s="331" t="s">
        <v>224</v>
      </c>
      <c r="J75" s="332">
        <v>1</v>
      </c>
      <c r="K75" s="338"/>
      <c r="L75" s="333"/>
      <c r="M75" s="332"/>
      <c r="N75" s="338"/>
      <c r="O75" s="331"/>
      <c r="P75" s="332"/>
      <c r="Q75" s="334"/>
      <c r="R75" s="335"/>
      <c r="S75" s="336"/>
      <c r="T75" s="337"/>
      <c r="U75" s="338"/>
      <c r="V75" s="331"/>
      <c r="W75" s="339"/>
      <c r="X75" s="331"/>
      <c r="Y75" s="338"/>
      <c r="Z75" s="331"/>
      <c r="AA75" s="332"/>
      <c r="AB75" s="338"/>
      <c r="AC75" s="335"/>
      <c r="AD75" s="332"/>
      <c r="AE75" s="329">
        <f t="shared" si="64"/>
        <v>229690.010538</v>
      </c>
      <c r="AF75" s="329">
        <f t="shared" si="41"/>
        <v>0</v>
      </c>
      <c r="AG75" s="329">
        <f t="shared" si="42"/>
        <v>0</v>
      </c>
      <c r="AH75" s="329">
        <f t="shared" si="43"/>
        <v>0</v>
      </c>
      <c r="AI75" s="329">
        <f t="shared" si="44"/>
        <v>0</v>
      </c>
      <c r="AJ75" s="329">
        <f t="shared" si="45"/>
        <v>0</v>
      </c>
      <c r="AK75" s="329">
        <f t="shared" si="46"/>
        <v>0</v>
      </c>
      <c r="AL75" s="329">
        <f t="shared" si="47"/>
        <v>229690.010538</v>
      </c>
    </row>
    <row r="76" s="25" customFormat="1" ht="24" spans="1:38">
      <c r="A76" s="316">
        <v>72</v>
      </c>
      <c r="B76" s="183" t="s">
        <v>333</v>
      </c>
      <c r="C76" s="197" t="s">
        <v>343</v>
      </c>
      <c r="D76" s="319" t="s">
        <v>235</v>
      </c>
      <c r="E76" s="320" t="s">
        <v>105</v>
      </c>
      <c r="F76" s="330">
        <f>F8</f>
        <v>260530.34</v>
      </c>
      <c r="G76" s="331" t="s">
        <v>223</v>
      </c>
      <c r="H76" s="391">
        <f>'附表2-EF'!G94</f>
        <v>0.57555</v>
      </c>
      <c r="I76" s="331" t="s">
        <v>224</v>
      </c>
      <c r="J76" s="332">
        <v>1</v>
      </c>
      <c r="K76" s="338"/>
      <c r="L76" s="333"/>
      <c r="M76" s="332"/>
      <c r="N76" s="338"/>
      <c r="O76" s="331"/>
      <c r="P76" s="332"/>
      <c r="Q76" s="334"/>
      <c r="R76" s="335"/>
      <c r="S76" s="336"/>
      <c r="T76" s="337"/>
      <c r="U76" s="338"/>
      <c r="V76" s="331"/>
      <c r="W76" s="339"/>
      <c r="X76" s="331"/>
      <c r="Y76" s="338"/>
      <c r="Z76" s="331"/>
      <c r="AA76" s="332"/>
      <c r="AB76" s="338"/>
      <c r="AC76" s="335"/>
      <c r="AD76" s="332"/>
      <c r="AE76" s="329">
        <f t="shared" si="64"/>
        <v>149948.237187</v>
      </c>
      <c r="AF76" s="329">
        <f t="shared" si="41"/>
        <v>0</v>
      </c>
      <c r="AG76" s="329">
        <f t="shared" si="42"/>
        <v>0</v>
      </c>
      <c r="AH76" s="329">
        <f t="shared" si="43"/>
        <v>0</v>
      </c>
      <c r="AI76" s="329">
        <f t="shared" si="44"/>
        <v>0</v>
      </c>
      <c r="AJ76" s="329">
        <f t="shared" si="45"/>
        <v>0</v>
      </c>
      <c r="AK76" s="329">
        <f t="shared" si="46"/>
        <v>0</v>
      </c>
      <c r="AL76" s="329">
        <f t="shared" si="47"/>
        <v>149948.237187</v>
      </c>
    </row>
    <row r="77" s="25" customFormat="1" ht="24" spans="1:38">
      <c r="A77" s="316">
        <v>73</v>
      </c>
      <c r="B77" s="183" t="s">
        <v>333</v>
      </c>
      <c r="C77" s="197" t="s">
        <v>344</v>
      </c>
      <c r="D77" s="319" t="s">
        <v>345</v>
      </c>
      <c r="E77" s="320" t="s">
        <v>105</v>
      </c>
      <c r="F77" s="330">
        <f>F5</f>
        <v>1796.49</v>
      </c>
      <c r="G77" s="331" t="s">
        <v>219</v>
      </c>
      <c r="H77" s="391">
        <f>'附表2-EF'!G95</f>
        <v>6.19</v>
      </c>
      <c r="I77" s="331" t="s">
        <v>224</v>
      </c>
      <c r="J77" s="332">
        <v>1</v>
      </c>
      <c r="K77" s="338"/>
      <c r="L77" s="333"/>
      <c r="M77" s="332"/>
      <c r="N77" s="338"/>
      <c r="O77" s="331"/>
      <c r="P77" s="332"/>
      <c r="Q77" s="334"/>
      <c r="R77" s="335"/>
      <c r="S77" s="336"/>
      <c r="T77" s="337"/>
      <c r="U77" s="338"/>
      <c r="V77" s="331"/>
      <c r="W77" s="339"/>
      <c r="X77" s="331"/>
      <c r="Y77" s="338"/>
      <c r="Z77" s="331"/>
      <c r="AA77" s="332"/>
      <c r="AB77" s="338"/>
      <c r="AC77" s="335"/>
      <c r="AD77" s="332"/>
      <c r="AE77" s="329">
        <f t="shared" si="64"/>
        <v>11120.2731</v>
      </c>
      <c r="AF77" s="329">
        <f t="shared" si="41"/>
        <v>0</v>
      </c>
      <c r="AG77" s="329">
        <f t="shared" si="42"/>
        <v>0</v>
      </c>
      <c r="AH77" s="329">
        <f t="shared" si="43"/>
        <v>0</v>
      </c>
      <c r="AI77" s="329">
        <f t="shared" si="44"/>
        <v>0</v>
      </c>
      <c r="AJ77" s="329">
        <f t="shared" si="45"/>
        <v>0</v>
      </c>
      <c r="AK77" s="329">
        <f t="shared" si="46"/>
        <v>0</v>
      </c>
      <c r="AL77" s="329">
        <f t="shared" si="47"/>
        <v>11120.2731</v>
      </c>
    </row>
    <row r="78" s="25" customFormat="1" ht="24" spans="1:38">
      <c r="A78" s="316">
        <v>74</v>
      </c>
      <c r="B78" s="183" t="s">
        <v>333</v>
      </c>
      <c r="C78" s="197" t="s">
        <v>346</v>
      </c>
      <c r="D78" s="319" t="s">
        <v>324</v>
      </c>
      <c r="E78" s="320" t="s">
        <v>105</v>
      </c>
      <c r="F78" s="340">
        <f>F32</f>
        <v>1992878.77</v>
      </c>
      <c r="G78" s="322" t="s">
        <v>281</v>
      </c>
      <c r="H78" s="391">
        <f>'附表2-EF'!G96</f>
        <v>0.0839000000000001</v>
      </c>
      <c r="I78" s="322" t="s">
        <v>282</v>
      </c>
      <c r="J78" s="332">
        <v>1</v>
      </c>
      <c r="K78" s="338"/>
      <c r="L78" s="333"/>
      <c r="M78" s="332"/>
      <c r="N78" s="338"/>
      <c r="O78" s="331"/>
      <c r="P78" s="332"/>
      <c r="Q78" s="334"/>
      <c r="R78" s="335"/>
      <c r="S78" s="336"/>
      <c r="T78" s="337"/>
      <c r="U78" s="338"/>
      <c r="V78" s="331"/>
      <c r="W78" s="339"/>
      <c r="X78" s="331"/>
      <c r="Y78" s="338"/>
      <c r="Z78" s="331"/>
      <c r="AA78" s="332"/>
      <c r="AB78" s="338"/>
      <c r="AC78" s="335"/>
      <c r="AD78" s="332"/>
      <c r="AE78" s="329">
        <f t="shared" si="64"/>
        <v>167202.528803</v>
      </c>
      <c r="AF78" s="329">
        <f t="shared" ref="AF78:AF103" si="65">F78*K78*M78</f>
        <v>0</v>
      </c>
      <c r="AG78" s="329">
        <f t="shared" ref="AG78:AG103" si="66">F78*N78*P78</f>
        <v>0</v>
      </c>
      <c r="AH78" s="329">
        <f t="shared" ref="AH78:AH103" si="67">F78*Q78*S78</f>
        <v>0</v>
      </c>
      <c r="AI78" s="329">
        <f t="shared" ref="AI78:AI103" si="68">F78*U78*W78</f>
        <v>0</v>
      </c>
      <c r="AJ78" s="329">
        <f t="shared" ref="AJ78:AJ103" si="69">F78*Y78*AA78</f>
        <v>0</v>
      </c>
      <c r="AK78" s="329">
        <f t="shared" ref="AK78:AK103" si="70">F78*AB78*AD78</f>
        <v>0</v>
      </c>
      <c r="AL78" s="329">
        <f t="shared" ref="AL78:AL103" si="71">SUM(AE78:AK78)</f>
        <v>167202.528803</v>
      </c>
    </row>
    <row r="79" s="25" customFormat="1" ht="14.25" spans="1:38">
      <c r="A79" s="316">
        <v>75</v>
      </c>
      <c r="B79" s="183" t="s">
        <v>347</v>
      </c>
      <c r="C79" s="197" t="s">
        <v>348</v>
      </c>
      <c r="D79" s="319" t="s">
        <v>310</v>
      </c>
      <c r="E79" s="320" t="s">
        <v>116</v>
      </c>
      <c r="F79" s="330">
        <v>4937773501.3</v>
      </c>
      <c r="G79" s="331" t="s">
        <v>349</v>
      </c>
      <c r="H79" s="391">
        <f>'附表2-EF'!G100</f>
        <v>5.19685581e-5</v>
      </c>
      <c r="I79" s="331" t="str">
        <f>'附表2-EF'!H100</f>
        <v>tCO2-Eq/tkm</v>
      </c>
      <c r="J79" s="332">
        <v>1</v>
      </c>
      <c r="K79" s="338"/>
      <c r="L79" s="333"/>
      <c r="M79" s="332"/>
      <c r="N79" s="338"/>
      <c r="O79" s="331"/>
      <c r="P79" s="332"/>
      <c r="Q79" s="334"/>
      <c r="R79" s="335"/>
      <c r="S79" s="336"/>
      <c r="T79" s="337"/>
      <c r="U79" s="338"/>
      <c r="V79" s="331"/>
      <c r="W79" s="339"/>
      <c r="X79" s="331"/>
      <c r="Y79" s="338"/>
      <c r="Z79" s="331"/>
      <c r="AA79" s="332"/>
      <c r="AB79" s="338"/>
      <c r="AC79" s="335"/>
      <c r="AD79" s="332"/>
      <c r="AE79" s="329">
        <f t="shared" si="64"/>
        <v>256608.969086949</v>
      </c>
      <c r="AF79" s="329">
        <f t="shared" si="65"/>
        <v>0</v>
      </c>
      <c r="AG79" s="329">
        <f t="shared" si="66"/>
        <v>0</v>
      </c>
      <c r="AH79" s="329">
        <f t="shared" si="67"/>
        <v>0</v>
      </c>
      <c r="AI79" s="329">
        <f t="shared" si="68"/>
        <v>0</v>
      </c>
      <c r="AJ79" s="329">
        <f t="shared" si="69"/>
        <v>0</v>
      </c>
      <c r="AK79" s="329">
        <f t="shared" si="70"/>
        <v>0</v>
      </c>
      <c r="AL79" s="329">
        <f t="shared" si="71"/>
        <v>256608.969086949</v>
      </c>
    </row>
    <row r="80" s="25" customFormat="1" ht="14.25" spans="1:38">
      <c r="A80" s="316">
        <v>76</v>
      </c>
      <c r="B80" s="183" t="s">
        <v>347</v>
      </c>
      <c r="C80" s="197" t="s">
        <v>350</v>
      </c>
      <c r="D80" s="319" t="s">
        <v>310</v>
      </c>
      <c r="E80" s="320" t="s">
        <v>116</v>
      </c>
      <c r="F80" s="330">
        <v>303695957.78</v>
      </c>
      <c r="G80" s="331" t="s">
        <v>349</v>
      </c>
      <c r="H80" s="391">
        <f>'附表2-EF'!G101</f>
        <v>0.0001519628783</v>
      </c>
      <c r="I80" s="331" t="str">
        <f>'附表2-EF'!H101</f>
        <v>tCO2-Eq/tkm</v>
      </c>
      <c r="J80" s="332">
        <v>1</v>
      </c>
      <c r="K80" s="338"/>
      <c r="L80" s="333"/>
      <c r="M80" s="332"/>
      <c r="N80" s="338"/>
      <c r="O80" s="331"/>
      <c r="P80" s="332"/>
      <c r="Q80" s="334"/>
      <c r="R80" s="335"/>
      <c r="S80" s="336"/>
      <c r="T80" s="337"/>
      <c r="U80" s="338"/>
      <c r="V80" s="331"/>
      <c r="W80" s="339"/>
      <c r="X80" s="331"/>
      <c r="Y80" s="338"/>
      <c r="Z80" s="331"/>
      <c r="AA80" s="332"/>
      <c r="AB80" s="338"/>
      <c r="AC80" s="335"/>
      <c r="AD80" s="332"/>
      <c r="AE80" s="329">
        <f t="shared" si="64"/>
        <v>46150.5118723241</v>
      </c>
      <c r="AF80" s="329">
        <f t="shared" si="65"/>
        <v>0</v>
      </c>
      <c r="AG80" s="329">
        <f t="shared" si="66"/>
        <v>0</v>
      </c>
      <c r="AH80" s="329">
        <f t="shared" si="67"/>
        <v>0</v>
      </c>
      <c r="AI80" s="329">
        <f t="shared" si="68"/>
        <v>0</v>
      </c>
      <c r="AJ80" s="329">
        <f t="shared" si="69"/>
        <v>0</v>
      </c>
      <c r="AK80" s="329">
        <f t="shared" si="70"/>
        <v>0</v>
      </c>
      <c r="AL80" s="329">
        <f t="shared" si="71"/>
        <v>46150.5118723241</v>
      </c>
    </row>
    <row r="81" s="25" customFormat="1" ht="14.25" spans="1:38">
      <c r="A81" s="316">
        <v>77</v>
      </c>
      <c r="B81" s="183" t="s">
        <v>347</v>
      </c>
      <c r="C81" s="197" t="s">
        <v>351</v>
      </c>
      <c r="D81" s="319" t="s">
        <v>310</v>
      </c>
      <c r="E81" s="320" t="s">
        <v>116</v>
      </c>
      <c r="F81" s="330">
        <v>1226509412.23</v>
      </c>
      <c r="G81" s="331" t="s">
        <v>349</v>
      </c>
      <c r="H81" s="391">
        <f>'附表2-EF'!G102</f>
        <v>4.8531850728158e-5</v>
      </c>
      <c r="I81" s="331" t="str">
        <f>'附表2-EF'!H102</f>
        <v>tCO2-Eq/tkm</v>
      </c>
      <c r="J81" s="332">
        <v>1</v>
      </c>
      <c r="K81" s="338"/>
      <c r="L81" s="333"/>
      <c r="M81" s="332"/>
      <c r="N81" s="338"/>
      <c r="O81" s="331"/>
      <c r="P81" s="332"/>
      <c r="Q81" s="334"/>
      <c r="R81" s="335"/>
      <c r="S81" s="336"/>
      <c r="T81" s="337"/>
      <c r="U81" s="338"/>
      <c r="V81" s="331"/>
      <c r="W81" s="339"/>
      <c r="X81" s="331"/>
      <c r="Y81" s="338"/>
      <c r="Z81" s="331"/>
      <c r="AA81" s="332"/>
      <c r="AB81" s="338"/>
      <c r="AC81" s="335"/>
      <c r="AD81" s="332"/>
      <c r="AE81" s="329">
        <f t="shared" si="64"/>
        <v>59524.7717110272</v>
      </c>
      <c r="AF81" s="329">
        <f t="shared" si="65"/>
        <v>0</v>
      </c>
      <c r="AG81" s="329">
        <f t="shared" si="66"/>
        <v>0</v>
      </c>
      <c r="AH81" s="329">
        <f t="shared" si="67"/>
        <v>0</v>
      </c>
      <c r="AI81" s="329">
        <f t="shared" si="68"/>
        <v>0</v>
      </c>
      <c r="AJ81" s="329">
        <f t="shared" si="69"/>
        <v>0</v>
      </c>
      <c r="AK81" s="329">
        <f t="shared" si="70"/>
        <v>0</v>
      </c>
      <c r="AL81" s="329">
        <f t="shared" si="71"/>
        <v>59524.7717110272</v>
      </c>
    </row>
    <row r="82" s="25" customFormat="1" ht="14.25" spans="1:38">
      <c r="A82" s="316">
        <v>78</v>
      </c>
      <c r="B82" s="183" t="s">
        <v>352</v>
      </c>
      <c r="C82" s="197" t="s">
        <v>353</v>
      </c>
      <c r="D82" s="319" t="s">
        <v>354</v>
      </c>
      <c r="E82" s="320" t="s">
        <v>120</v>
      </c>
      <c r="F82" s="330">
        <f>ROUND(205.51+2404.65,2)</f>
        <v>2610.16</v>
      </c>
      <c r="G82" s="331" t="s">
        <v>223</v>
      </c>
      <c r="H82" s="391">
        <f>'附表2-EF'!G106</f>
        <v>0.371334297395441</v>
      </c>
      <c r="I82" s="331" t="s">
        <v>224</v>
      </c>
      <c r="J82" s="332">
        <v>1</v>
      </c>
      <c r="K82" s="338"/>
      <c r="L82" s="333"/>
      <c r="M82" s="332"/>
      <c r="N82" s="338"/>
      <c r="O82" s="331"/>
      <c r="P82" s="332"/>
      <c r="Q82" s="334"/>
      <c r="R82" s="335"/>
      <c r="S82" s="336"/>
      <c r="T82" s="337"/>
      <c r="U82" s="338"/>
      <c r="V82" s="331"/>
      <c r="W82" s="339"/>
      <c r="X82" s="331"/>
      <c r="Y82" s="338"/>
      <c r="Z82" s="331"/>
      <c r="AA82" s="332"/>
      <c r="AB82" s="338"/>
      <c r="AC82" s="335"/>
      <c r="AD82" s="332"/>
      <c r="AE82" s="329">
        <f t="shared" si="64"/>
        <v>969.241929689684</v>
      </c>
      <c r="AF82" s="329">
        <f t="shared" si="65"/>
        <v>0</v>
      </c>
      <c r="AG82" s="329">
        <f t="shared" si="66"/>
        <v>0</v>
      </c>
      <c r="AH82" s="329">
        <f t="shared" si="67"/>
        <v>0</v>
      </c>
      <c r="AI82" s="329">
        <f t="shared" si="68"/>
        <v>0</v>
      </c>
      <c r="AJ82" s="329">
        <f t="shared" si="69"/>
        <v>0</v>
      </c>
      <c r="AK82" s="329">
        <f t="shared" si="70"/>
        <v>0</v>
      </c>
      <c r="AL82" s="329">
        <f t="shared" si="71"/>
        <v>969.241929689684</v>
      </c>
    </row>
    <row r="83" s="25" customFormat="1" ht="14.25" spans="1:38">
      <c r="A83" s="316">
        <v>79</v>
      </c>
      <c r="B83" s="183" t="s">
        <v>352</v>
      </c>
      <c r="C83" s="197" t="s">
        <v>355</v>
      </c>
      <c r="D83" s="319" t="s">
        <v>310</v>
      </c>
      <c r="E83" s="320" t="s">
        <v>120</v>
      </c>
      <c r="F83" s="330">
        <f>ROUND(36.746,2)</f>
        <v>36.75</v>
      </c>
      <c r="G83" s="331" t="s">
        <v>223</v>
      </c>
      <c r="H83" s="391">
        <f>'附表2-EF'!G107</f>
        <v>2.84905702232274</v>
      </c>
      <c r="I83" s="331" t="s">
        <v>224</v>
      </c>
      <c r="J83" s="332">
        <v>1</v>
      </c>
      <c r="K83" s="338"/>
      <c r="L83" s="333"/>
      <c r="M83" s="332"/>
      <c r="N83" s="338"/>
      <c r="O83" s="331"/>
      <c r="P83" s="332"/>
      <c r="Q83" s="334"/>
      <c r="R83" s="335"/>
      <c r="S83" s="336"/>
      <c r="T83" s="337"/>
      <c r="U83" s="338"/>
      <c r="V83" s="331"/>
      <c r="W83" s="339"/>
      <c r="X83" s="331"/>
      <c r="Y83" s="338"/>
      <c r="Z83" s="331"/>
      <c r="AA83" s="332"/>
      <c r="AB83" s="338"/>
      <c r="AC83" s="335"/>
      <c r="AD83" s="332"/>
      <c r="AE83" s="329">
        <f t="shared" si="64"/>
        <v>104.702845570361</v>
      </c>
      <c r="AF83" s="329">
        <f t="shared" si="65"/>
        <v>0</v>
      </c>
      <c r="AG83" s="329">
        <f t="shared" si="66"/>
        <v>0</v>
      </c>
      <c r="AH83" s="329">
        <f t="shared" si="67"/>
        <v>0</v>
      </c>
      <c r="AI83" s="329">
        <f t="shared" si="68"/>
        <v>0</v>
      </c>
      <c r="AJ83" s="329">
        <f t="shared" si="69"/>
        <v>0</v>
      </c>
      <c r="AK83" s="329">
        <f t="shared" si="70"/>
        <v>0</v>
      </c>
      <c r="AL83" s="329">
        <f t="shared" si="71"/>
        <v>104.702845570361</v>
      </c>
    </row>
    <row r="84" s="25" customFormat="1" ht="14.25" spans="1:38">
      <c r="A84" s="316">
        <v>80</v>
      </c>
      <c r="B84" s="183" t="s">
        <v>352</v>
      </c>
      <c r="C84" s="197" t="s">
        <v>356</v>
      </c>
      <c r="D84" s="319" t="s">
        <v>310</v>
      </c>
      <c r="E84" s="320" t="s">
        <v>120</v>
      </c>
      <c r="F84" s="330">
        <v>229.5</v>
      </c>
      <c r="G84" s="331" t="s">
        <v>223</v>
      </c>
      <c r="H84" s="391">
        <f>'附表2-EF'!G108</f>
        <v>2.84905702232274</v>
      </c>
      <c r="I84" s="331" t="s">
        <v>224</v>
      </c>
      <c r="J84" s="332">
        <v>1</v>
      </c>
      <c r="K84" s="338"/>
      <c r="L84" s="333"/>
      <c r="M84" s="332"/>
      <c r="N84" s="338"/>
      <c r="O84" s="331"/>
      <c r="P84" s="332"/>
      <c r="Q84" s="334"/>
      <c r="R84" s="335"/>
      <c r="S84" s="336"/>
      <c r="T84" s="337"/>
      <c r="U84" s="338"/>
      <c r="V84" s="331"/>
      <c r="W84" s="339"/>
      <c r="X84" s="331"/>
      <c r="Y84" s="338"/>
      <c r="Z84" s="331"/>
      <c r="AA84" s="332"/>
      <c r="AB84" s="338"/>
      <c r="AC84" s="335"/>
      <c r="AD84" s="332"/>
      <c r="AE84" s="329">
        <f t="shared" si="64"/>
        <v>653.858586623069</v>
      </c>
      <c r="AF84" s="329">
        <f t="shared" si="65"/>
        <v>0</v>
      </c>
      <c r="AG84" s="329">
        <f t="shared" si="66"/>
        <v>0</v>
      </c>
      <c r="AH84" s="329">
        <f t="shared" si="67"/>
        <v>0</v>
      </c>
      <c r="AI84" s="329">
        <f t="shared" si="68"/>
        <v>0</v>
      </c>
      <c r="AJ84" s="329">
        <f t="shared" si="69"/>
        <v>0</v>
      </c>
      <c r="AK84" s="329">
        <f t="shared" si="70"/>
        <v>0</v>
      </c>
      <c r="AL84" s="329">
        <f t="shared" si="71"/>
        <v>653.858586623069</v>
      </c>
    </row>
    <row r="85" s="28" customFormat="1" ht="14.25" spans="1:38">
      <c r="A85" s="316">
        <v>81</v>
      </c>
      <c r="B85" s="183" t="s">
        <v>352</v>
      </c>
      <c r="C85" s="342" t="s">
        <v>275</v>
      </c>
      <c r="D85" s="354" t="s">
        <v>310</v>
      </c>
      <c r="E85" s="320" t="s">
        <v>120</v>
      </c>
      <c r="F85" s="321">
        <v>57478.34</v>
      </c>
      <c r="G85" s="322" t="s">
        <v>223</v>
      </c>
      <c r="H85" s="391">
        <f>'附表2-EF'!G109</f>
        <v>2.52371246502696</v>
      </c>
      <c r="I85" s="322" t="s">
        <v>224</v>
      </c>
      <c r="J85" s="332">
        <v>1</v>
      </c>
      <c r="K85" s="364"/>
      <c r="L85" s="359"/>
      <c r="M85" s="358"/>
      <c r="N85" s="364"/>
      <c r="O85" s="357"/>
      <c r="P85" s="358"/>
      <c r="Q85" s="360"/>
      <c r="R85" s="361"/>
      <c r="S85" s="362"/>
      <c r="T85" s="363"/>
      <c r="U85" s="364"/>
      <c r="V85" s="357"/>
      <c r="W85" s="365"/>
      <c r="X85" s="357"/>
      <c r="Y85" s="364"/>
      <c r="Z85" s="357"/>
      <c r="AA85" s="358"/>
      <c r="AB85" s="364"/>
      <c r="AC85" s="361"/>
      <c r="AD85" s="358"/>
      <c r="AE85" s="329">
        <f t="shared" si="64"/>
        <v>145058.803127058</v>
      </c>
      <c r="AF85" s="329">
        <f t="shared" si="65"/>
        <v>0</v>
      </c>
      <c r="AG85" s="329">
        <f t="shared" si="66"/>
        <v>0</v>
      </c>
      <c r="AH85" s="329">
        <f t="shared" si="67"/>
        <v>0</v>
      </c>
      <c r="AI85" s="329">
        <f t="shared" si="68"/>
        <v>0</v>
      </c>
      <c r="AJ85" s="329">
        <f t="shared" si="69"/>
        <v>0</v>
      </c>
      <c r="AK85" s="329">
        <f t="shared" si="70"/>
        <v>0</v>
      </c>
      <c r="AL85" s="329">
        <f t="shared" si="71"/>
        <v>145058.803127058</v>
      </c>
    </row>
    <row r="86" s="25" customFormat="1" ht="14.25" spans="1:38">
      <c r="A86" s="316">
        <v>82</v>
      </c>
      <c r="B86" s="183" t="s">
        <v>352</v>
      </c>
      <c r="C86" s="197" t="s">
        <v>357</v>
      </c>
      <c r="D86" s="319" t="s">
        <v>310</v>
      </c>
      <c r="E86" s="320" t="s">
        <v>120</v>
      </c>
      <c r="F86" s="330">
        <v>5589690.04</v>
      </c>
      <c r="G86" s="331" t="s">
        <v>349</v>
      </c>
      <c r="H86" s="391">
        <f>'附表2-EF'!G101</f>
        <v>0.0001519628783</v>
      </c>
      <c r="I86" s="331" t="str">
        <f>'附表2-EF'!H93</f>
        <v>tCO2/t</v>
      </c>
      <c r="J86" s="332">
        <v>1</v>
      </c>
      <c r="K86" s="338"/>
      <c r="L86" s="333"/>
      <c r="M86" s="332"/>
      <c r="N86" s="338"/>
      <c r="O86" s="331"/>
      <c r="P86" s="332"/>
      <c r="Q86" s="334"/>
      <c r="R86" s="335"/>
      <c r="S86" s="336"/>
      <c r="T86" s="337"/>
      <c r="U86" s="338"/>
      <c r="V86" s="331"/>
      <c r="W86" s="339"/>
      <c r="X86" s="331"/>
      <c r="Y86" s="338"/>
      <c r="Z86" s="331"/>
      <c r="AA86" s="332"/>
      <c r="AB86" s="338"/>
      <c r="AC86" s="335"/>
      <c r="AD86" s="332"/>
      <c r="AE86" s="329">
        <f t="shared" si="64"/>
        <v>849.425387283242</v>
      </c>
      <c r="AF86" s="329">
        <f t="shared" si="65"/>
        <v>0</v>
      </c>
      <c r="AG86" s="329">
        <f t="shared" si="66"/>
        <v>0</v>
      </c>
      <c r="AH86" s="329">
        <f t="shared" si="67"/>
        <v>0</v>
      </c>
      <c r="AI86" s="329">
        <f t="shared" si="68"/>
        <v>0</v>
      </c>
      <c r="AJ86" s="329">
        <f t="shared" si="69"/>
        <v>0</v>
      </c>
      <c r="AK86" s="329">
        <f t="shared" si="70"/>
        <v>0</v>
      </c>
      <c r="AL86" s="329">
        <f t="shared" si="71"/>
        <v>849.425387283242</v>
      </c>
    </row>
    <row r="87" s="25" customFormat="1" ht="14.25" spans="1:38">
      <c r="A87" s="316">
        <v>83</v>
      </c>
      <c r="B87" s="183" t="s">
        <v>358</v>
      </c>
      <c r="C87" s="197" t="s">
        <v>359</v>
      </c>
      <c r="D87" s="319" t="s">
        <v>310</v>
      </c>
      <c r="E87" s="320" t="s">
        <v>126</v>
      </c>
      <c r="F87" s="330">
        <f>ROUND(3901916.53046595,2)</f>
        <v>3901916.53</v>
      </c>
      <c r="G87" s="331" t="s">
        <v>360</v>
      </c>
      <c r="H87" s="391">
        <f>'附表2-EF'!G113</f>
        <v>0.084</v>
      </c>
      <c r="I87" s="331" t="str">
        <f>'附表2-EF'!H113</f>
        <v>kgCO2/passenger*km</v>
      </c>
      <c r="J87" s="332">
        <v>1</v>
      </c>
      <c r="K87" s="338"/>
      <c r="L87" s="333"/>
      <c r="M87" s="332"/>
      <c r="N87" s="338"/>
      <c r="O87" s="331"/>
      <c r="P87" s="332"/>
      <c r="Q87" s="334"/>
      <c r="R87" s="335"/>
      <c r="S87" s="336"/>
      <c r="T87" s="337"/>
      <c r="U87" s="338"/>
      <c r="V87" s="331"/>
      <c r="W87" s="339"/>
      <c r="X87" s="331"/>
      <c r="Y87" s="338"/>
      <c r="Z87" s="331"/>
      <c r="AA87" s="332"/>
      <c r="AB87" s="338"/>
      <c r="AC87" s="335"/>
      <c r="AD87" s="332"/>
      <c r="AE87" s="329">
        <f t="shared" ref="AE87:AE93" si="72">F87*H87*J87/1000</f>
        <v>327.76098852</v>
      </c>
      <c r="AF87" s="329">
        <f t="shared" si="65"/>
        <v>0</v>
      </c>
      <c r="AG87" s="329">
        <f t="shared" si="66"/>
        <v>0</v>
      </c>
      <c r="AH87" s="329">
        <f t="shared" si="67"/>
        <v>0</v>
      </c>
      <c r="AI87" s="329">
        <f t="shared" si="68"/>
        <v>0</v>
      </c>
      <c r="AJ87" s="329">
        <f t="shared" si="69"/>
        <v>0</v>
      </c>
      <c r="AK87" s="329">
        <f t="shared" si="70"/>
        <v>0</v>
      </c>
      <c r="AL87" s="329">
        <f t="shared" si="71"/>
        <v>327.76098852</v>
      </c>
    </row>
    <row r="88" s="25" customFormat="1" ht="14.25" spans="1:38">
      <c r="A88" s="316">
        <v>84</v>
      </c>
      <c r="B88" s="183" t="s">
        <v>358</v>
      </c>
      <c r="C88" s="197" t="s">
        <v>351</v>
      </c>
      <c r="D88" s="319" t="s">
        <v>310</v>
      </c>
      <c r="E88" s="320" t="s">
        <v>126</v>
      </c>
      <c r="F88" s="330">
        <f>ROUND(8277796.53044579,2)</f>
        <v>8277796.53</v>
      </c>
      <c r="G88" s="331" t="s">
        <v>360</v>
      </c>
      <c r="H88" s="391">
        <f>'附表2-EF'!G114</f>
        <v>0.0748735443024091</v>
      </c>
      <c r="I88" s="331" t="str">
        <f>'附表2-EF'!H114</f>
        <v>kgCO2/passenger*km</v>
      </c>
      <c r="J88" s="332">
        <v>1</v>
      </c>
      <c r="K88" s="338"/>
      <c r="L88" s="333"/>
      <c r="M88" s="332"/>
      <c r="N88" s="338"/>
      <c r="O88" s="331"/>
      <c r="P88" s="332"/>
      <c r="Q88" s="334"/>
      <c r="R88" s="335"/>
      <c r="S88" s="336"/>
      <c r="T88" s="337"/>
      <c r="U88" s="338"/>
      <c r="V88" s="331"/>
      <c r="W88" s="339"/>
      <c r="X88" s="331"/>
      <c r="Y88" s="338"/>
      <c r="Z88" s="331"/>
      <c r="AA88" s="332"/>
      <c r="AB88" s="338"/>
      <c r="AC88" s="335"/>
      <c r="AD88" s="332"/>
      <c r="AE88" s="329">
        <f t="shared" si="72"/>
        <v>619.787965215283</v>
      </c>
      <c r="AF88" s="329">
        <f t="shared" si="65"/>
        <v>0</v>
      </c>
      <c r="AG88" s="329">
        <f t="shared" si="66"/>
        <v>0</v>
      </c>
      <c r="AH88" s="329">
        <f t="shared" si="67"/>
        <v>0</v>
      </c>
      <c r="AI88" s="329">
        <f t="shared" si="68"/>
        <v>0</v>
      </c>
      <c r="AJ88" s="329">
        <f t="shared" si="69"/>
        <v>0</v>
      </c>
      <c r="AK88" s="329">
        <f t="shared" si="70"/>
        <v>0</v>
      </c>
      <c r="AL88" s="329">
        <f t="shared" si="71"/>
        <v>619.787965215283</v>
      </c>
    </row>
    <row r="89" s="25" customFormat="1" ht="14.25" spans="1:38">
      <c r="A89" s="316">
        <v>85</v>
      </c>
      <c r="B89" s="183" t="s">
        <v>358</v>
      </c>
      <c r="C89" s="197" t="s">
        <v>361</v>
      </c>
      <c r="D89" s="319" t="s">
        <v>310</v>
      </c>
      <c r="E89" s="320" t="s">
        <v>126</v>
      </c>
      <c r="F89" s="330">
        <f>ROUND(13507,2)</f>
        <v>13507</v>
      </c>
      <c r="G89" s="331" t="s">
        <v>362</v>
      </c>
      <c r="H89" s="391">
        <f>'附表2-EF'!G115</f>
        <v>0.0535</v>
      </c>
      <c r="I89" s="331" t="s">
        <v>363</v>
      </c>
      <c r="J89" s="332">
        <v>1</v>
      </c>
      <c r="K89" s="338"/>
      <c r="L89" s="333"/>
      <c r="M89" s="332"/>
      <c r="N89" s="338"/>
      <c r="O89" s="331"/>
      <c r="P89" s="332"/>
      <c r="Q89" s="334"/>
      <c r="R89" s="335"/>
      <c r="S89" s="336"/>
      <c r="T89" s="337"/>
      <c r="U89" s="338"/>
      <c r="V89" s="331"/>
      <c r="W89" s="339"/>
      <c r="X89" s="331"/>
      <c r="Y89" s="338"/>
      <c r="Z89" s="331"/>
      <c r="AA89" s="332"/>
      <c r="AB89" s="338"/>
      <c r="AC89" s="335"/>
      <c r="AD89" s="332"/>
      <c r="AE89" s="329">
        <f>F89*H89*J89</f>
        <v>722.6245</v>
      </c>
      <c r="AF89" s="329">
        <f t="shared" si="65"/>
        <v>0</v>
      </c>
      <c r="AG89" s="329">
        <f t="shared" si="66"/>
        <v>0</v>
      </c>
      <c r="AH89" s="329">
        <f t="shared" si="67"/>
        <v>0</v>
      </c>
      <c r="AI89" s="329">
        <f t="shared" si="68"/>
        <v>0</v>
      </c>
      <c r="AJ89" s="329">
        <f t="shared" si="69"/>
        <v>0</v>
      </c>
      <c r="AK89" s="329">
        <f t="shared" si="70"/>
        <v>0</v>
      </c>
      <c r="AL89" s="329">
        <f t="shared" si="71"/>
        <v>722.6245</v>
      </c>
    </row>
    <row r="90" s="25" customFormat="1" ht="14.25" spans="1:38">
      <c r="A90" s="316">
        <v>86</v>
      </c>
      <c r="B90" s="183" t="s">
        <v>364</v>
      </c>
      <c r="C90" s="197" t="s">
        <v>365</v>
      </c>
      <c r="D90" s="146" t="s">
        <v>310</v>
      </c>
      <c r="E90" s="320" t="s">
        <v>130</v>
      </c>
      <c r="F90" s="340">
        <f>ROUND(12637097,2)</f>
        <v>12637097</v>
      </c>
      <c r="G90" s="331" t="s">
        <v>360</v>
      </c>
      <c r="H90" s="391">
        <f>'附表2-EF'!G119</f>
        <v>0.0088</v>
      </c>
      <c r="I90" s="331" t="str">
        <f>'附表2-EF'!H119</f>
        <v>kgCO2/passenger*km</v>
      </c>
      <c r="J90" s="332">
        <v>1</v>
      </c>
      <c r="K90" s="338"/>
      <c r="L90" s="333"/>
      <c r="M90" s="332"/>
      <c r="N90" s="338"/>
      <c r="O90" s="331"/>
      <c r="P90" s="332"/>
      <c r="Q90" s="334"/>
      <c r="R90" s="335"/>
      <c r="S90" s="336"/>
      <c r="T90" s="337"/>
      <c r="U90" s="338"/>
      <c r="V90" s="331"/>
      <c r="W90" s="339"/>
      <c r="X90" s="331"/>
      <c r="Y90" s="338"/>
      <c r="Z90" s="331"/>
      <c r="AA90" s="332"/>
      <c r="AB90" s="338"/>
      <c r="AC90" s="335"/>
      <c r="AD90" s="332"/>
      <c r="AE90" s="329">
        <f t="shared" si="72"/>
        <v>111.2064536</v>
      </c>
      <c r="AF90" s="329">
        <f t="shared" si="65"/>
        <v>0</v>
      </c>
      <c r="AG90" s="329">
        <f t="shared" si="66"/>
        <v>0</v>
      </c>
      <c r="AH90" s="329">
        <f t="shared" si="67"/>
        <v>0</v>
      </c>
      <c r="AI90" s="329">
        <f t="shared" si="68"/>
        <v>0</v>
      </c>
      <c r="AJ90" s="329">
        <f t="shared" si="69"/>
        <v>0</v>
      </c>
      <c r="AK90" s="329">
        <f t="shared" si="70"/>
        <v>0</v>
      </c>
      <c r="AL90" s="329">
        <f t="shared" si="71"/>
        <v>111.2064536</v>
      </c>
    </row>
    <row r="91" s="25" customFormat="1" ht="14.25" spans="1:38">
      <c r="A91" s="316">
        <v>87</v>
      </c>
      <c r="B91" s="183" t="s">
        <v>364</v>
      </c>
      <c r="C91" s="197" t="s">
        <v>366</v>
      </c>
      <c r="D91" s="146" t="s">
        <v>310</v>
      </c>
      <c r="E91" s="320" t="s">
        <v>130</v>
      </c>
      <c r="F91" s="330">
        <f>ROUND(17561466,2)</f>
        <v>17561466</v>
      </c>
      <c r="G91" s="331" t="s">
        <v>360</v>
      </c>
      <c r="H91" s="391">
        <f>'附表2-EF'!G120</f>
        <v>0.0270202601041509</v>
      </c>
      <c r="I91" s="331" t="str">
        <f>'附表2-EF'!H120</f>
        <v>kgCO2/passenger*km</v>
      </c>
      <c r="J91" s="332">
        <v>1</v>
      </c>
      <c r="K91" s="338"/>
      <c r="L91" s="333"/>
      <c r="M91" s="332"/>
      <c r="N91" s="338"/>
      <c r="O91" s="331"/>
      <c r="P91" s="332"/>
      <c r="Q91" s="334"/>
      <c r="R91" s="335"/>
      <c r="S91" s="336"/>
      <c r="T91" s="337"/>
      <c r="U91" s="338"/>
      <c r="V91" s="331"/>
      <c r="W91" s="339"/>
      <c r="X91" s="331"/>
      <c r="Y91" s="338"/>
      <c r="Z91" s="331"/>
      <c r="AA91" s="332"/>
      <c r="AB91" s="338"/>
      <c r="AC91" s="335"/>
      <c r="AD91" s="332"/>
      <c r="AE91" s="329">
        <f t="shared" si="72"/>
        <v>474.515379130203</v>
      </c>
      <c r="AF91" s="329">
        <f t="shared" si="65"/>
        <v>0</v>
      </c>
      <c r="AG91" s="329">
        <f t="shared" si="66"/>
        <v>0</v>
      </c>
      <c r="AH91" s="329">
        <f t="shared" si="67"/>
        <v>0</v>
      </c>
      <c r="AI91" s="329">
        <f t="shared" si="68"/>
        <v>0</v>
      </c>
      <c r="AJ91" s="329">
        <f t="shared" si="69"/>
        <v>0</v>
      </c>
      <c r="AK91" s="329">
        <f t="shared" si="70"/>
        <v>0</v>
      </c>
      <c r="AL91" s="329">
        <f t="shared" si="71"/>
        <v>474.515379130203</v>
      </c>
    </row>
    <row r="92" s="25" customFormat="1" ht="14.25" spans="1:38">
      <c r="A92" s="316">
        <v>88</v>
      </c>
      <c r="B92" s="183" t="s">
        <v>364</v>
      </c>
      <c r="C92" s="197" t="s">
        <v>367</v>
      </c>
      <c r="D92" s="146" t="s">
        <v>310</v>
      </c>
      <c r="E92" s="320" t="s">
        <v>130</v>
      </c>
      <c r="F92" s="330">
        <f>ROUND(31405120,2)</f>
        <v>31405120</v>
      </c>
      <c r="G92" s="331" t="s">
        <v>368</v>
      </c>
      <c r="H92" s="391">
        <f>'附表2-EF'!G121</f>
        <v>0.371427615693275</v>
      </c>
      <c r="I92" s="331" t="str">
        <f>'附表2-EF'!H121</f>
        <v>kgCO2/km</v>
      </c>
      <c r="J92" s="332">
        <v>1</v>
      </c>
      <c r="K92" s="338"/>
      <c r="L92" s="333"/>
      <c r="M92" s="332"/>
      <c r="N92" s="338"/>
      <c r="O92" s="331"/>
      <c r="P92" s="332"/>
      <c r="Q92" s="334"/>
      <c r="R92" s="335"/>
      <c r="S92" s="336"/>
      <c r="T92" s="337"/>
      <c r="U92" s="338"/>
      <c r="V92" s="331"/>
      <c r="W92" s="339"/>
      <c r="X92" s="331"/>
      <c r="Y92" s="338"/>
      <c r="Z92" s="331"/>
      <c r="AA92" s="332"/>
      <c r="AB92" s="338"/>
      <c r="AC92" s="335"/>
      <c r="AD92" s="332"/>
      <c r="AE92" s="329">
        <f t="shared" si="72"/>
        <v>11664.7288421612</v>
      </c>
      <c r="AF92" s="329">
        <f t="shared" si="65"/>
        <v>0</v>
      </c>
      <c r="AG92" s="329">
        <f t="shared" si="66"/>
        <v>0</v>
      </c>
      <c r="AH92" s="329">
        <f t="shared" si="67"/>
        <v>0</v>
      </c>
      <c r="AI92" s="329">
        <f t="shared" si="68"/>
        <v>0</v>
      </c>
      <c r="AJ92" s="329">
        <f t="shared" si="69"/>
        <v>0</v>
      </c>
      <c r="AK92" s="329">
        <f t="shared" si="70"/>
        <v>0</v>
      </c>
      <c r="AL92" s="329">
        <f t="shared" si="71"/>
        <v>11664.7288421612</v>
      </c>
    </row>
    <row r="93" s="25" customFormat="1" ht="14.25" spans="1:38">
      <c r="A93" s="316">
        <v>89</v>
      </c>
      <c r="B93" s="183" t="s">
        <v>364</v>
      </c>
      <c r="C93" s="197" t="s">
        <v>369</v>
      </c>
      <c r="D93" s="146" t="s">
        <v>310</v>
      </c>
      <c r="E93" s="320" t="s">
        <v>130</v>
      </c>
      <c r="F93" s="330">
        <f>ROUND(2886500,2)</f>
        <v>2886500</v>
      </c>
      <c r="G93" s="331" t="s">
        <v>368</v>
      </c>
      <c r="H93" s="391">
        <f>'附表2-EF'!G122</f>
        <v>0.371427615693275</v>
      </c>
      <c r="I93" s="331" t="str">
        <f>'附表2-EF'!H122</f>
        <v>kgCO2/km</v>
      </c>
      <c r="J93" s="332">
        <v>1</v>
      </c>
      <c r="K93" s="338"/>
      <c r="L93" s="333"/>
      <c r="M93" s="332"/>
      <c r="N93" s="338"/>
      <c r="O93" s="331"/>
      <c r="P93" s="332"/>
      <c r="Q93" s="334"/>
      <c r="R93" s="335"/>
      <c r="S93" s="336"/>
      <c r="T93" s="337"/>
      <c r="U93" s="338"/>
      <c r="V93" s="331"/>
      <c r="W93" s="339"/>
      <c r="X93" s="331"/>
      <c r="Y93" s="338"/>
      <c r="Z93" s="331"/>
      <c r="AA93" s="332"/>
      <c r="AB93" s="338"/>
      <c r="AC93" s="335"/>
      <c r="AD93" s="332"/>
      <c r="AE93" s="329">
        <f t="shared" si="72"/>
        <v>1072.12581269864</v>
      </c>
      <c r="AF93" s="329">
        <f t="shared" si="65"/>
        <v>0</v>
      </c>
      <c r="AG93" s="329">
        <f t="shared" si="66"/>
        <v>0</v>
      </c>
      <c r="AH93" s="329">
        <f t="shared" si="67"/>
        <v>0</v>
      </c>
      <c r="AI93" s="329">
        <f t="shared" si="68"/>
        <v>0</v>
      </c>
      <c r="AJ93" s="329">
        <f t="shared" si="69"/>
        <v>0</v>
      </c>
      <c r="AK93" s="329">
        <f t="shared" si="70"/>
        <v>0</v>
      </c>
      <c r="AL93" s="329">
        <f t="shared" si="71"/>
        <v>1072.12581269864</v>
      </c>
    </row>
    <row r="94" s="25" customFormat="1" ht="14.25" spans="1:38">
      <c r="A94" s="316">
        <v>90</v>
      </c>
      <c r="B94" s="183" t="s">
        <v>370</v>
      </c>
      <c r="C94" s="197" t="s">
        <v>348</v>
      </c>
      <c r="D94" s="319" t="s">
        <v>310</v>
      </c>
      <c r="E94" s="320" t="s">
        <v>135</v>
      </c>
      <c r="F94" s="330">
        <v>1029048283.74</v>
      </c>
      <c r="G94" s="331" t="s">
        <v>349</v>
      </c>
      <c r="H94" s="391">
        <f>'附表2-EF'!G100</f>
        <v>5.19685581e-5</v>
      </c>
      <c r="I94" s="331" t="str">
        <f>'附表2-EF'!H100</f>
        <v>tCO2-Eq/tkm</v>
      </c>
      <c r="J94" s="332">
        <v>1</v>
      </c>
      <c r="K94" s="338"/>
      <c r="L94" s="333"/>
      <c r="M94" s="332"/>
      <c r="N94" s="338"/>
      <c r="O94" s="331"/>
      <c r="P94" s="332"/>
      <c r="Q94" s="334"/>
      <c r="R94" s="335"/>
      <c r="S94" s="336"/>
      <c r="T94" s="337"/>
      <c r="U94" s="338"/>
      <c r="V94" s="331"/>
      <c r="W94" s="339"/>
      <c r="X94" s="331"/>
      <c r="Y94" s="338"/>
      <c r="Z94" s="331"/>
      <c r="AA94" s="332"/>
      <c r="AB94" s="338"/>
      <c r="AC94" s="335"/>
      <c r="AD94" s="332"/>
      <c r="AE94" s="329">
        <f t="shared" ref="AE94:AE103" si="73">F94*H94*J94</f>
        <v>53478.1555212475</v>
      </c>
      <c r="AF94" s="329">
        <f t="shared" si="65"/>
        <v>0</v>
      </c>
      <c r="AG94" s="329">
        <f t="shared" si="66"/>
        <v>0</v>
      </c>
      <c r="AH94" s="329">
        <f t="shared" si="67"/>
        <v>0</v>
      </c>
      <c r="AI94" s="329">
        <f t="shared" si="68"/>
        <v>0</v>
      </c>
      <c r="AJ94" s="329">
        <f t="shared" si="69"/>
        <v>0</v>
      </c>
      <c r="AK94" s="329">
        <f t="shared" si="70"/>
        <v>0</v>
      </c>
      <c r="AL94" s="329">
        <f t="shared" si="71"/>
        <v>53478.1555212475</v>
      </c>
    </row>
    <row r="95" s="25" customFormat="1" ht="14.25" spans="1:38">
      <c r="A95" s="316">
        <v>91</v>
      </c>
      <c r="B95" s="183" t="s">
        <v>370</v>
      </c>
      <c r="C95" s="197" t="s">
        <v>350</v>
      </c>
      <c r="D95" s="319" t="s">
        <v>310</v>
      </c>
      <c r="E95" s="320" t="s">
        <v>135</v>
      </c>
      <c r="F95" s="330">
        <v>1369080976.66</v>
      </c>
      <c r="G95" s="331" t="s">
        <v>349</v>
      </c>
      <c r="H95" s="391">
        <f>'附表2-EF'!G101</f>
        <v>0.0001519628783</v>
      </c>
      <c r="I95" s="331" t="str">
        <f>'附表2-EF'!H101</f>
        <v>tCO2-Eq/tkm</v>
      </c>
      <c r="J95" s="332">
        <v>1</v>
      </c>
      <c r="K95" s="338"/>
      <c r="L95" s="333"/>
      <c r="M95" s="332"/>
      <c r="N95" s="338"/>
      <c r="O95" s="331"/>
      <c r="P95" s="332"/>
      <c r="Q95" s="334"/>
      <c r="R95" s="335"/>
      <c r="S95" s="336"/>
      <c r="T95" s="337"/>
      <c r="U95" s="338"/>
      <c r="V95" s="331"/>
      <c r="W95" s="339"/>
      <c r="X95" s="331"/>
      <c r="Y95" s="338"/>
      <c r="Z95" s="331"/>
      <c r="AA95" s="332"/>
      <c r="AB95" s="338"/>
      <c r="AC95" s="335"/>
      <c r="AD95" s="332"/>
      <c r="AE95" s="329">
        <f t="shared" si="73"/>
        <v>208049.485839029</v>
      </c>
      <c r="AF95" s="329">
        <f t="shared" si="65"/>
        <v>0</v>
      </c>
      <c r="AG95" s="329">
        <f t="shared" si="66"/>
        <v>0</v>
      </c>
      <c r="AH95" s="329">
        <f t="shared" si="67"/>
        <v>0</v>
      </c>
      <c r="AI95" s="329">
        <f t="shared" si="68"/>
        <v>0</v>
      </c>
      <c r="AJ95" s="329">
        <f t="shared" si="69"/>
        <v>0</v>
      </c>
      <c r="AK95" s="329">
        <f t="shared" si="70"/>
        <v>0</v>
      </c>
      <c r="AL95" s="329">
        <f t="shared" si="71"/>
        <v>208049.485839029</v>
      </c>
    </row>
    <row r="96" s="25" customFormat="1" ht="14.25" spans="1:38">
      <c r="A96" s="316">
        <v>92</v>
      </c>
      <c r="B96" s="183" t="s">
        <v>370</v>
      </c>
      <c r="C96" s="197" t="s">
        <v>351</v>
      </c>
      <c r="D96" s="319" t="s">
        <v>310</v>
      </c>
      <c r="E96" s="320" t="s">
        <v>135</v>
      </c>
      <c r="F96" s="330">
        <v>228437028.19</v>
      </c>
      <c r="G96" s="331" t="s">
        <v>349</v>
      </c>
      <c r="H96" s="391">
        <f>'附表2-EF'!G102</f>
        <v>4.8531850728158e-5</v>
      </c>
      <c r="I96" s="331" t="str">
        <f>'附表2-EF'!H102</f>
        <v>tCO2-Eq/tkm</v>
      </c>
      <c r="J96" s="332">
        <v>1</v>
      </c>
      <c r="K96" s="338"/>
      <c r="L96" s="333"/>
      <c r="M96" s="332"/>
      <c r="N96" s="338"/>
      <c r="O96" s="331"/>
      <c r="P96" s="332"/>
      <c r="Q96" s="334"/>
      <c r="R96" s="335"/>
      <c r="S96" s="336"/>
      <c r="T96" s="337"/>
      <c r="U96" s="338"/>
      <c r="V96" s="331"/>
      <c r="W96" s="339"/>
      <c r="X96" s="331"/>
      <c r="Y96" s="338"/>
      <c r="Z96" s="331"/>
      <c r="AA96" s="332"/>
      <c r="AB96" s="338"/>
      <c r="AC96" s="335"/>
      <c r="AD96" s="332"/>
      <c r="AE96" s="329">
        <f t="shared" si="73"/>
        <v>11086.4717529011</v>
      </c>
      <c r="AF96" s="329">
        <f t="shared" si="65"/>
        <v>0</v>
      </c>
      <c r="AG96" s="329">
        <f t="shared" si="66"/>
        <v>0</v>
      </c>
      <c r="AH96" s="329">
        <f t="shared" si="67"/>
        <v>0</v>
      </c>
      <c r="AI96" s="329">
        <f t="shared" si="68"/>
        <v>0</v>
      </c>
      <c r="AJ96" s="329">
        <f t="shared" si="69"/>
        <v>0</v>
      </c>
      <c r="AK96" s="329">
        <f t="shared" si="70"/>
        <v>0</v>
      </c>
      <c r="AL96" s="329">
        <f t="shared" si="71"/>
        <v>11086.4717529011</v>
      </c>
    </row>
    <row r="97" s="25" customFormat="1" ht="14.25" spans="1:38">
      <c r="A97" s="316">
        <v>93</v>
      </c>
      <c r="B97" s="183" t="s">
        <v>370</v>
      </c>
      <c r="C97" s="197" t="s">
        <v>371</v>
      </c>
      <c r="D97" s="319" t="s">
        <v>310</v>
      </c>
      <c r="E97" s="320" t="s">
        <v>135</v>
      </c>
      <c r="F97" s="330">
        <f>ROUND(12973524,2)</f>
        <v>12973524</v>
      </c>
      <c r="G97" s="331" t="s">
        <v>349</v>
      </c>
      <c r="H97" s="391">
        <f>'附表2-EF'!G101</f>
        <v>0.0001519628783</v>
      </c>
      <c r="I97" s="331" t="str">
        <f>'附表2-EF'!H101</f>
        <v>tCO2-Eq/tkm</v>
      </c>
      <c r="J97" s="332">
        <v>1</v>
      </c>
      <c r="K97" s="338"/>
      <c r="L97" s="333"/>
      <c r="M97" s="332"/>
      <c r="N97" s="338"/>
      <c r="O97" s="331"/>
      <c r="P97" s="332"/>
      <c r="Q97" s="334"/>
      <c r="R97" s="335"/>
      <c r="S97" s="336"/>
      <c r="T97" s="337"/>
      <c r="U97" s="338"/>
      <c r="V97" s="331"/>
      <c r="W97" s="339"/>
      <c r="X97" s="331"/>
      <c r="Y97" s="338"/>
      <c r="Z97" s="331"/>
      <c r="AA97" s="332"/>
      <c r="AB97" s="338"/>
      <c r="AC97" s="335"/>
      <c r="AD97" s="332"/>
      <c r="AE97" s="329">
        <f t="shared" si="73"/>
        <v>1971.49404873413</v>
      </c>
      <c r="AF97" s="329">
        <f t="shared" si="65"/>
        <v>0</v>
      </c>
      <c r="AG97" s="329">
        <f t="shared" si="66"/>
        <v>0</v>
      </c>
      <c r="AH97" s="329">
        <f t="shared" si="67"/>
        <v>0</v>
      </c>
      <c r="AI97" s="329">
        <f t="shared" si="68"/>
        <v>0</v>
      </c>
      <c r="AJ97" s="329">
        <f t="shared" si="69"/>
        <v>0</v>
      </c>
      <c r="AK97" s="329">
        <f t="shared" si="70"/>
        <v>0</v>
      </c>
      <c r="AL97" s="329">
        <f t="shared" si="71"/>
        <v>1971.49404873413</v>
      </c>
    </row>
    <row r="98" s="25" customFormat="1" ht="14.25" spans="1:38">
      <c r="A98" s="316">
        <v>94</v>
      </c>
      <c r="B98" s="183" t="s">
        <v>372</v>
      </c>
      <c r="C98" s="197" t="s">
        <v>373</v>
      </c>
      <c r="D98" s="319" t="s">
        <v>374</v>
      </c>
      <c r="E98" s="320" t="s">
        <v>140</v>
      </c>
      <c r="F98" s="330">
        <f>ROUND(149966,2)</f>
        <v>149966</v>
      </c>
      <c r="G98" s="331" t="s">
        <v>223</v>
      </c>
      <c r="H98" s="391">
        <f>'附表2-EF'!F126</f>
        <v>0.755342287055146</v>
      </c>
      <c r="I98" s="331" t="str">
        <f>'附表2-EF'!G126</f>
        <v>kgCO2/kg</v>
      </c>
      <c r="J98" s="332">
        <v>1</v>
      </c>
      <c r="K98" s="338"/>
      <c r="L98" s="333"/>
      <c r="M98" s="332"/>
      <c r="N98" s="338"/>
      <c r="O98" s="331"/>
      <c r="P98" s="332"/>
      <c r="Q98" s="334"/>
      <c r="R98" s="335"/>
      <c r="S98" s="336"/>
      <c r="T98" s="337"/>
      <c r="U98" s="338"/>
      <c r="V98" s="331"/>
      <c r="W98" s="339"/>
      <c r="X98" s="331"/>
      <c r="Y98" s="338"/>
      <c r="Z98" s="331"/>
      <c r="AA98" s="332"/>
      <c r="AB98" s="338"/>
      <c r="AC98" s="335"/>
      <c r="AD98" s="332"/>
      <c r="AE98" s="329">
        <f t="shared" si="73"/>
        <v>113275.661420512</v>
      </c>
      <c r="AF98" s="329">
        <f t="shared" si="65"/>
        <v>0</v>
      </c>
      <c r="AG98" s="329">
        <f t="shared" si="66"/>
        <v>0</v>
      </c>
      <c r="AH98" s="329">
        <f t="shared" si="67"/>
        <v>0</v>
      </c>
      <c r="AI98" s="329">
        <f t="shared" si="68"/>
        <v>0</v>
      </c>
      <c r="AJ98" s="329">
        <f t="shared" si="69"/>
        <v>0</v>
      </c>
      <c r="AK98" s="329">
        <f t="shared" si="70"/>
        <v>0</v>
      </c>
      <c r="AL98" s="329">
        <f t="shared" si="71"/>
        <v>113275.661420512</v>
      </c>
    </row>
    <row r="99" s="25" customFormat="1" ht="14.25" spans="1:38">
      <c r="A99" s="316">
        <v>95</v>
      </c>
      <c r="B99" s="183" t="s">
        <v>372</v>
      </c>
      <c r="C99" s="197" t="s">
        <v>375</v>
      </c>
      <c r="D99" s="319" t="s">
        <v>374</v>
      </c>
      <c r="E99" s="320" t="s">
        <v>140</v>
      </c>
      <c r="F99" s="330">
        <f>ROUND(2033971,2)</f>
        <v>2033971</v>
      </c>
      <c r="G99" s="331" t="s">
        <v>223</v>
      </c>
      <c r="H99" s="391">
        <f>'附表2-EF'!F127</f>
        <v>0.667263802180997</v>
      </c>
      <c r="I99" s="331" t="str">
        <f>'附表2-EF'!G127</f>
        <v>kgCO2/kg</v>
      </c>
      <c r="J99" s="332">
        <v>1</v>
      </c>
      <c r="K99" s="338"/>
      <c r="L99" s="333"/>
      <c r="M99" s="332"/>
      <c r="N99" s="338"/>
      <c r="O99" s="331"/>
      <c r="P99" s="332"/>
      <c r="Q99" s="334"/>
      <c r="R99" s="335"/>
      <c r="S99" s="336"/>
      <c r="T99" s="337"/>
      <c r="U99" s="338"/>
      <c r="V99" s="331"/>
      <c r="W99" s="339"/>
      <c r="X99" s="331"/>
      <c r="Y99" s="338"/>
      <c r="Z99" s="331"/>
      <c r="AA99" s="332"/>
      <c r="AB99" s="338"/>
      <c r="AC99" s="335"/>
      <c r="AD99" s="332"/>
      <c r="AE99" s="329">
        <f t="shared" si="73"/>
        <v>1357195.22298588</v>
      </c>
      <c r="AF99" s="329">
        <f t="shared" si="65"/>
        <v>0</v>
      </c>
      <c r="AG99" s="329">
        <f t="shared" si="66"/>
        <v>0</v>
      </c>
      <c r="AH99" s="329">
        <f t="shared" si="67"/>
        <v>0</v>
      </c>
      <c r="AI99" s="329">
        <f t="shared" si="68"/>
        <v>0</v>
      </c>
      <c r="AJ99" s="329">
        <f t="shared" si="69"/>
        <v>0</v>
      </c>
      <c r="AK99" s="329">
        <f t="shared" si="70"/>
        <v>0</v>
      </c>
      <c r="AL99" s="329">
        <f t="shared" si="71"/>
        <v>1357195.22298588</v>
      </c>
    </row>
    <row r="100" s="25" customFormat="1" ht="14.25" spans="1:38">
      <c r="A100" s="316">
        <v>96</v>
      </c>
      <c r="B100" s="183" t="s">
        <v>372</v>
      </c>
      <c r="C100" s="197" t="s">
        <v>376</v>
      </c>
      <c r="D100" s="319" t="s">
        <v>374</v>
      </c>
      <c r="E100" s="320" t="s">
        <v>140</v>
      </c>
      <c r="F100" s="330">
        <f>ROUND(760435.743,2)</f>
        <v>760435.74</v>
      </c>
      <c r="G100" s="331" t="s">
        <v>223</v>
      </c>
      <c r="H100" s="391">
        <f>'附表2-EF'!F128</f>
        <v>0.0950117634499582</v>
      </c>
      <c r="I100" s="331" t="str">
        <f>'附表2-EF'!G128</f>
        <v>kgCO2/kg</v>
      </c>
      <c r="J100" s="332">
        <v>1</v>
      </c>
      <c r="K100" s="338"/>
      <c r="L100" s="333"/>
      <c r="M100" s="332"/>
      <c r="N100" s="338"/>
      <c r="O100" s="331"/>
      <c r="P100" s="332"/>
      <c r="Q100" s="334"/>
      <c r="R100" s="335"/>
      <c r="S100" s="336"/>
      <c r="T100" s="337"/>
      <c r="U100" s="338"/>
      <c r="V100" s="331"/>
      <c r="W100" s="339"/>
      <c r="X100" s="331"/>
      <c r="Y100" s="338"/>
      <c r="Z100" s="331"/>
      <c r="AA100" s="332"/>
      <c r="AB100" s="338"/>
      <c r="AC100" s="335"/>
      <c r="AD100" s="332"/>
      <c r="AE100" s="329">
        <f t="shared" si="73"/>
        <v>72250.3406477739</v>
      </c>
      <c r="AF100" s="329">
        <f t="shared" si="65"/>
        <v>0</v>
      </c>
      <c r="AG100" s="329">
        <f t="shared" si="66"/>
        <v>0</v>
      </c>
      <c r="AH100" s="329">
        <f t="shared" si="67"/>
        <v>0</v>
      </c>
      <c r="AI100" s="329">
        <f t="shared" si="68"/>
        <v>0</v>
      </c>
      <c r="AJ100" s="329">
        <f t="shared" si="69"/>
        <v>0</v>
      </c>
      <c r="AK100" s="329">
        <f t="shared" si="70"/>
        <v>0</v>
      </c>
      <c r="AL100" s="329">
        <f t="shared" si="71"/>
        <v>72250.3406477739</v>
      </c>
    </row>
    <row r="101" s="25" customFormat="1" ht="14.25" spans="1:38">
      <c r="A101" s="316">
        <v>97</v>
      </c>
      <c r="B101" s="183" t="s">
        <v>372</v>
      </c>
      <c r="C101" s="197" t="s">
        <v>377</v>
      </c>
      <c r="D101" s="319" t="s">
        <v>374</v>
      </c>
      <c r="E101" s="320" t="s">
        <v>140</v>
      </c>
      <c r="F101" s="330">
        <f>ROUND(702589.8685,2)</f>
        <v>702589.87</v>
      </c>
      <c r="G101" s="331" t="s">
        <v>223</v>
      </c>
      <c r="H101" s="391">
        <f>'附表2-EF'!F129</f>
        <v>0.290210182841612</v>
      </c>
      <c r="I101" s="331" t="str">
        <f>'附表2-EF'!G128</f>
        <v>kgCO2/kg</v>
      </c>
      <c r="J101" s="332">
        <v>1</v>
      </c>
      <c r="K101" s="338"/>
      <c r="L101" s="333"/>
      <c r="M101" s="332"/>
      <c r="N101" s="338"/>
      <c r="O101" s="331"/>
      <c r="P101" s="332"/>
      <c r="Q101" s="334"/>
      <c r="R101" s="335"/>
      <c r="S101" s="336"/>
      <c r="T101" s="337"/>
      <c r="U101" s="338"/>
      <c r="V101" s="331"/>
      <c r="W101" s="339"/>
      <c r="X101" s="331"/>
      <c r="Y101" s="338"/>
      <c r="Z101" s="331"/>
      <c r="AA101" s="332"/>
      <c r="AB101" s="338"/>
      <c r="AC101" s="335"/>
      <c r="AD101" s="332"/>
      <c r="AE101" s="329">
        <f t="shared" si="73"/>
        <v>203898.734635364</v>
      </c>
      <c r="AF101" s="329">
        <f t="shared" si="65"/>
        <v>0</v>
      </c>
      <c r="AG101" s="329">
        <f t="shared" si="66"/>
        <v>0</v>
      </c>
      <c r="AH101" s="329">
        <f t="shared" si="67"/>
        <v>0</v>
      </c>
      <c r="AI101" s="329">
        <f t="shared" si="68"/>
        <v>0</v>
      </c>
      <c r="AJ101" s="329">
        <f t="shared" si="69"/>
        <v>0</v>
      </c>
      <c r="AK101" s="329">
        <f t="shared" si="70"/>
        <v>0</v>
      </c>
      <c r="AL101" s="329">
        <f t="shared" si="71"/>
        <v>203898.734635364</v>
      </c>
    </row>
    <row r="102" s="25" customFormat="1" ht="14.25" spans="1:38">
      <c r="A102" s="316">
        <v>98</v>
      </c>
      <c r="B102" s="183" t="s">
        <v>378</v>
      </c>
      <c r="C102" s="394" t="s">
        <v>379</v>
      </c>
      <c r="D102" s="319" t="s">
        <v>374</v>
      </c>
      <c r="E102" s="320" t="s">
        <v>380</v>
      </c>
      <c r="F102" s="330">
        <f>ROUND(500.973085,2)</f>
        <v>500.97</v>
      </c>
      <c r="G102" s="322" t="s">
        <v>219</v>
      </c>
      <c r="H102" s="391">
        <f>'附表2-EF'!L11</f>
        <v>7.641926424</v>
      </c>
      <c r="I102" s="331" t="s">
        <v>220</v>
      </c>
      <c r="J102" s="332">
        <v>1</v>
      </c>
      <c r="K102" s="338">
        <f>'附表2-EF'!M11</f>
        <v>0.00017211546</v>
      </c>
      <c r="L102" s="333"/>
      <c r="M102" s="332">
        <f>'附表1-GWP TABLE'!E4</f>
        <v>27.9</v>
      </c>
      <c r="N102" s="338">
        <f>'附表2-EF'!N11</f>
        <v>1.7211546e-5</v>
      </c>
      <c r="O102" s="331"/>
      <c r="P102" s="332">
        <f>'附表1-GWP TABLE'!E5</f>
        <v>273</v>
      </c>
      <c r="Q102" s="334"/>
      <c r="R102" s="335"/>
      <c r="S102" s="336"/>
      <c r="T102" s="337"/>
      <c r="U102" s="338"/>
      <c r="V102" s="331"/>
      <c r="W102" s="339"/>
      <c r="X102" s="331"/>
      <c r="Y102" s="338"/>
      <c r="Z102" s="331"/>
      <c r="AA102" s="332"/>
      <c r="AB102" s="338"/>
      <c r="AC102" s="335"/>
      <c r="AD102" s="332"/>
      <c r="AE102" s="329">
        <f t="shared" ref="AE102" si="74">F102*H102*J102</f>
        <v>3828.37588063128</v>
      </c>
      <c r="AF102" s="329">
        <f t="shared" ref="AF102" si="75">F102*K102*M102</f>
        <v>2.40566862769398</v>
      </c>
      <c r="AG102" s="329">
        <f t="shared" ref="AG102" si="76">F102*N102*P102</f>
        <v>2.35393381849626</v>
      </c>
      <c r="AH102" s="329">
        <f t="shared" ref="AH102" si="77">F102*Q102*S102</f>
        <v>0</v>
      </c>
      <c r="AI102" s="329">
        <f t="shared" ref="AI102" si="78">F102*U102*W102</f>
        <v>0</v>
      </c>
      <c r="AJ102" s="329">
        <f t="shared" ref="AJ102" si="79">F102*Y102*AA102</f>
        <v>0</v>
      </c>
      <c r="AK102" s="329">
        <f t="shared" ref="AK102" si="80">F102*AB102*AD102</f>
        <v>0</v>
      </c>
      <c r="AL102" s="329">
        <f t="shared" ref="AL102" si="81">SUM(AE102:AK102)</f>
        <v>3833.13548307747</v>
      </c>
    </row>
    <row r="103" s="25" customFormat="1" spans="1:38">
      <c r="A103" s="316">
        <v>99</v>
      </c>
      <c r="B103" s="183" t="s">
        <v>381</v>
      </c>
      <c r="C103" s="197" t="s">
        <v>382</v>
      </c>
      <c r="D103" s="319" t="s">
        <v>374</v>
      </c>
      <c r="E103" s="320" t="s">
        <v>145</v>
      </c>
      <c r="F103" s="330">
        <f>ROUND(SUM(F98:F101)*(2.56-2.14)/2.56,2)</f>
        <v>598329.8</v>
      </c>
      <c r="G103" s="331" t="s">
        <v>223</v>
      </c>
      <c r="H103" s="391">
        <f>'附表2-EF'!G138</f>
        <v>0.00626301240484585</v>
      </c>
      <c r="I103" s="331" t="str">
        <f>'附表2-EF'!H138</f>
        <v>kgCO2/kg</v>
      </c>
      <c r="J103" s="332">
        <v>1</v>
      </c>
      <c r="K103" s="338"/>
      <c r="L103" s="333"/>
      <c r="M103" s="332"/>
      <c r="N103" s="338"/>
      <c r="O103" s="331"/>
      <c r="P103" s="332"/>
      <c r="Q103" s="334"/>
      <c r="R103" s="335"/>
      <c r="S103" s="336"/>
      <c r="T103" s="337"/>
      <c r="U103" s="338"/>
      <c r="V103" s="331"/>
      <c r="W103" s="339"/>
      <c r="X103" s="331"/>
      <c r="Y103" s="338"/>
      <c r="Z103" s="331"/>
      <c r="AA103" s="332"/>
      <c r="AB103" s="338"/>
      <c r="AC103" s="335"/>
      <c r="AD103" s="332"/>
      <c r="AE103" s="395">
        <f t="shared" si="73"/>
        <v>3747.34695958894</v>
      </c>
      <c r="AF103" s="395">
        <f t="shared" si="65"/>
        <v>0</v>
      </c>
      <c r="AG103" s="395">
        <f t="shared" si="66"/>
        <v>0</v>
      </c>
      <c r="AH103" s="395">
        <f t="shared" si="67"/>
        <v>0</v>
      </c>
      <c r="AI103" s="395">
        <f t="shared" si="68"/>
        <v>0</v>
      </c>
      <c r="AJ103" s="395">
        <f t="shared" si="69"/>
        <v>0</v>
      </c>
      <c r="AK103" s="395">
        <f t="shared" si="70"/>
        <v>0</v>
      </c>
      <c r="AL103" s="395">
        <f t="shared" si="71"/>
        <v>3747.34695958894</v>
      </c>
    </row>
    <row r="104" s="29" customFormat="1" ht="14.65" customHeight="1" spans="1:38">
      <c r="A104" s="396" t="s">
        <v>383</v>
      </c>
      <c r="B104" s="397" t="s">
        <v>384</v>
      </c>
      <c r="C104" s="397"/>
      <c r="D104" s="397"/>
      <c r="E104" s="398" t="s">
        <v>385</v>
      </c>
      <c r="F104" s="399"/>
      <c r="G104" s="400"/>
      <c r="H104" s="401"/>
      <c r="I104" s="400"/>
      <c r="J104" s="402"/>
      <c r="K104" s="403"/>
      <c r="L104" s="400"/>
      <c r="M104" s="402"/>
      <c r="N104" s="403"/>
      <c r="O104" s="400"/>
      <c r="P104" s="402"/>
      <c r="Q104" s="403"/>
      <c r="R104" s="400"/>
      <c r="S104" s="74"/>
      <c r="T104" s="400"/>
      <c r="U104" s="403"/>
      <c r="V104" s="400"/>
      <c r="W104" s="74"/>
      <c r="X104" s="400"/>
      <c r="Y104" s="403"/>
      <c r="Z104" s="400"/>
      <c r="AA104" s="402"/>
      <c r="AB104" s="403"/>
      <c r="AC104" s="404" t="s">
        <v>386</v>
      </c>
      <c r="AD104" s="405"/>
      <c r="AE104" s="406">
        <f>SUM(AE5:AE32,AE34:AE103)</f>
        <v>15487862.0789469</v>
      </c>
      <c r="AF104" s="406">
        <f t="shared" ref="AF104:AL104" si="82">SUM(AF5:AF32,AF34:AF103)</f>
        <v>2572.08920348666</v>
      </c>
      <c r="AG104" s="406">
        <f t="shared" si="82"/>
        <v>30424.9692562055</v>
      </c>
      <c r="AH104" s="406">
        <f t="shared" si="82"/>
        <v>717.03</v>
      </c>
      <c r="AI104" s="406">
        <f t="shared" si="82"/>
        <v>0</v>
      </c>
      <c r="AJ104" s="406">
        <f t="shared" si="82"/>
        <v>2459.16</v>
      </c>
      <c r="AK104" s="406">
        <f t="shared" si="82"/>
        <v>0</v>
      </c>
      <c r="AL104" s="406">
        <f t="shared" si="82"/>
        <v>15524035.3274066</v>
      </c>
    </row>
    <row r="105" s="29" customFormat="1" ht="15.4" customHeight="1" spans="1:38">
      <c r="A105" s="396"/>
      <c r="B105" s="397" t="s">
        <v>387</v>
      </c>
      <c r="C105" s="397"/>
      <c r="D105" s="397"/>
      <c r="E105" s="407" t="s">
        <v>385</v>
      </c>
      <c r="F105" s="399"/>
      <c r="G105" s="400"/>
      <c r="H105" s="401"/>
      <c r="I105" s="400"/>
      <c r="J105" s="402"/>
      <c r="K105" s="403"/>
      <c r="L105" s="400"/>
      <c r="M105" s="402"/>
      <c r="N105" s="403"/>
      <c r="O105" s="400"/>
      <c r="P105" s="402"/>
      <c r="Q105" s="403"/>
      <c r="R105" s="400"/>
      <c r="S105" s="74"/>
      <c r="T105" s="400"/>
      <c r="U105" s="403"/>
      <c r="V105" s="400"/>
      <c r="W105" s="74"/>
      <c r="X105" s="400"/>
      <c r="Y105" s="403"/>
      <c r="Z105" s="400"/>
      <c r="AA105" s="402"/>
      <c r="AB105" s="403"/>
      <c r="AC105" s="404" t="s">
        <v>388</v>
      </c>
      <c r="AD105" s="405"/>
      <c r="AE105" s="406">
        <f>SUM(AE5:AE31,AE33:AE103)</f>
        <v>15580383.6633169</v>
      </c>
      <c r="AF105" s="406">
        <f t="shared" ref="AF105:AL105" si="83">SUM(AF5:AF31,AF33:AF103)</f>
        <v>2572.08920348666</v>
      </c>
      <c r="AG105" s="406">
        <f t="shared" si="83"/>
        <v>30424.9692562055</v>
      </c>
      <c r="AH105" s="406">
        <f t="shared" si="83"/>
        <v>717.03</v>
      </c>
      <c r="AI105" s="406">
        <f t="shared" si="83"/>
        <v>0</v>
      </c>
      <c r="AJ105" s="406">
        <f t="shared" si="83"/>
        <v>2459.16</v>
      </c>
      <c r="AK105" s="406">
        <f t="shared" si="83"/>
        <v>0</v>
      </c>
      <c r="AL105" s="406">
        <f t="shared" si="83"/>
        <v>15616556.9117766</v>
      </c>
    </row>
    <row r="106" s="29" customFormat="1" ht="14.25" spans="1:38">
      <c r="A106" s="402"/>
      <c r="B106" s="408"/>
      <c r="C106" s="212"/>
      <c r="D106" s="409"/>
      <c r="E106" s="409"/>
      <c r="F106" s="399"/>
      <c r="G106" s="400"/>
      <c r="H106" s="401"/>
      <c r="I106" s="400"/>
      <c r="J106" s="402"/>
      <c r="K106" s="403"/>
      <c r="L106" s="400"/>
      <c r="M106" s="402"/>
      <c r="N106" s="403"/>
      <c r="O106" s="400"/>
      <c r="P106" s="402"/>
      <c r="Q106" s="403"/>
      <c r="R106" s="400"/>
      <c r="S106" s="74"/>
      <c r="T106" s="400"/>
      <c r="U106" s="403"/>
      <c r="V106" s="400"/>
      <c r="W106" s="74"/>
      <c r="X106" s="400"/>
      <c r="Y106" s="403"/>
      <c r="Z106" s="400"/>
      <c r="AA106" s="402"/>
      <c r="AB106" s="403"/>
      <c r="AC106" s="410"/>
      <c r="AD106" s="402"/>
      <c r="AE106" s="411"/>
      <c r="AF106" s="412"/>
      <c r="AG106" s="412"/>
      <c r="AH106" s="412"/>
      <c r="AI106" s="412"/>
      <c r="AJ106" s="412"/>
      <c r="AK106" s="412"/>
      <c r="AL106" s="412"/>
    </row>
    <row r="107" s="29" customFormat="1" ht="14.25" spans="1:38">
      <c r="A107" s="402"/>
      <c r="B107" s="408"/>
      <c r="C107" s="409"/>
      <c r="D107" s="409"/>
      <c r="E107" s="409"/>
      <c r="F107" s="399"/>
      <c r="G107" s="400"/>
      <c r="H107" s="401"/>
      <c r="I107" s="400"/>
      <c r="J107" s="402"/>
      <c r="K107" s="403"/>
      <c r="L107" s="400"/>
      <c r="M107" s="402"/>
      <c r="N107" s="403"/>
      <c r="O107" s="400"/>
      <c r="P107" s="402"/>
      <c r="Q107" s="403"/>
      <c r="R107" s="400"/>
      <c r="S107" s="74"/>
      <c r="T107" s="400"/>
      <c r="U107" s="403"/>
      <c r="V107" s="400"/>
      <c r="W107" s="74"/>
      <c r="X107" s="400"/>
      <c r="Y107" s="403"/>
      <c r="Z107" s="400"/>
      <c r="AA107" s="402"/>
      <c r="AB107" s="403"/>
      <c r="AC107" s="410"/>
      <c r="AD107" s="402"/>
      <c r="AE107" s="412"/>
      <c r="AF107" s="412"/>
      <c r="AG107" s="412"/>
      <c r="AH107" s="412"/>
      <c r="AI107" s="412"/>
      <c r="AJ107" s="412"/>
      <c r="AK107" s="412"/>
      <c r="AL107" s="412"/>
    </row>
    <row r="108" ht="18" customHeight="1" spans="1:38">
      <c r="A108" s="413" t="s">
        <v>389</v>
      </c>
      <c r="B108" s="414"/>
      <c r="C108" s="414"/>
      <c r="D108" s="414"/>
      <c r="E108" s="414"/>
      <c r="F108" s="414"/>
      <c r="G108" s="414"/>
      <c r="H108" s="414"/>
      <c r="I108" s="415"/>
      <c r="K108" s="403"/>
      <c r="L108" s="400"/>
      <c r="AF108" s="416"/>
      <c r="AG108" s="416"/>
      <c r="AH108" s="416"/>
      <c r="AI108" s="416"/>
      <c r="AJ108" s="416"/>
      <c r="AK108" s="416"/>
      <c r="AL108" s="417"/>
    </row>
    <row r="109" ht="18" customHeight="1" spans="1:38">
      <c r="A109" s="418" t="s">
        <v>214</v>
      </c>
      <c r="B109" s="419" t="str">
        <f>H3</f>
        <v>CO2</v>
      </c>
      <c r="C109" s="419" t="str">
        <f>K3</f>
        <v>CH4</v>
      </c>
      <c r="D109" s="419" t="str">
        <f>N3</f>
        <v>N2O</v>
      </c>
      <c r="E109" s="419" t="str">
        <f>Q3</f>
        <v>HFCs</v>
      </c>
      <c r="F109" s="419" t="str">
        <f>U3</f>
        <v>PFCs</v>
      </c>
      <c r="G109" s="419" t="str">
        <f>Y3</f>
        <v>SF6</v>
      </c>
      <c r="H109" s="419" t="str">
        <f>AB3</f>
        <v>NF3</v>
      </c>
      <c r="I109" s="419" t="s">
        <v>390</v>
      </c>
      <c r="K109" s="403"/>
      <c r="L109" s="400"/>
      <c r="AL109" s="420"/>
    </row>
    <row r="110" ht="18" customHeight="1" spans="1:38">
      <c r="A110" s="421" t="s">
        <v>391</v>
      </c>
      <c r="B110" s="422">
        <f>SUM(AE5:AE31)</f>
        <v>7086080.34512885</v>
      </c>
      <c r="C110" s="422">
        <f t="shared" ref="C110:H110" si="84">SUM(AF5:AF31)</f>
        <v>2569.68353485897</v>
      </c>
      <c r="D110" s="422">
        <f t="shared" si="84"/>
        <v>30422.615322387</v>
      </c>
      <c r="E110" s="422">
        <f t="shared" si="84"/>
        <v>717.03</v>
      </c>
      <c r="F110" s="422">
        <f t="shared" si="84"/>
        <v>0</v>
      </c>
      <c r="G110" s="422">
        <f t="shared" si="84"/>
        <v>2459.16</v>
      </c>
      <c r="H110" s="422">
        <f t="shared" si="84"/>
        <v>0</v>
      </c>
      <c r="I110" s="422">
        <f>SUM(B110:H110)</f>
        <v>7122248.8339861</v>
      </c>
      <c r="K110" s="403"/>
      <c r="L110" s="400"/>
      <c r="AL110" s="420"/>
    </row>
    <row r="111" ht="18" customHeight="1" spans="1:38">
      <c r="K111" s="403"/>
      <c r="L111" s="400"/>
      <c r="AL111" s="420"/>
    </row>
    <row r="112" ht="18" customHeight="1" spans="1:38">
      <c r="A112" s="423" t="s">
        <v>392</v>
      </c>
      <c r="B112" s="424"/>
      <c r="C112" s="424"/>
      <c r="D112" s="424"/>
      <c r="K112" s="403"/>
      <c r="L112" s="400"/>
    </row>
    <row r="113" ht="18" customHeight="1" spans="1:10">
      <c r="A113" s="418" t="s">
        <v>214</v>
      </c>
      <c r="B113" s="425" t="s">
        <v>393</v>
      </c>
      <c r="C113" s="419" t="s">
        <v>203</v>
      </c>
      <c r="D113" s="419" t="s">
        <v>390</v>
      </c>
    </row>
    <row r="114" ht="18" customHeight="1" spans="1:10">
      <c r="A114" s="426" t="s">
        <v>394</v>
      </c>
      <c r="B114" s="427" t="s">
        <v>395</v>
      </c>
      <c r="C114" s="427">
        <f>AL32</f>
        <v>1069378.747982</v>
      </c>
      <c r="D114" s="427">
        <f>SUM(C114)</f>
        <v>1069378.747982</v>
      </c>
      <c r="E114" s="422" t="s">
        <v>396</v>
      </c>
      <c r="I114" s="428"/>
      <c r="J114" s="429"/>
    </row>
    <row r="115" ht="18" customHeight="1" spans="1:10">
      <c r="A115" s="426" t="s">
        <v>394</v>
      </c>
      <c r="B115" s="427" t="s">
        <v>395</v>
      </c>
      <c r="C115" s="427">
        <f>AL33</f>
        <v>1161900.332352</v>
      </c>
      <c r="D115" s="427">
        <f>SUM(C115)</f>
        <v>1161900.332352</v>
      </c>
      <c r="E115" s="422" t="s">
        <v>397</v>
      </c>
      <c r="H115" s="299"/>
      <c r="I115" s="430"/>
    </row>
    <row r="116" ht="18" customHeight="1" spans="1:10">
      <c r="H116" s="299"/>
    </row>
    <row r="117" ht="18" customHeight="1" spans="1:10">
      <c r="A117" s="431" t="s">
        <v>398</v>
      </c>
      <c r="B117" s="432"/>
      <c r="C117" s="432"/>
      <c r="D117" s="433"/>
      <c r="E117" s="434"/>
    </row>
    <row r="118" ht="18" customHeight="1" spans="1:10">
      <c r="A118" s="431" t="s">
        <v>399</v>
      </c>
      <c r="B118" s="432"/>
      <c r="C118" s="432"/>
      <c r="D118" s="433"/>
      <c r="E118" s="434"/>
    </row>
    <row r="119" ht="18" customHeight="1" spans="1:10">
      <c r="A119" s="435" t="s">
        <v>214</v>
      </c>
      <c r="B119" s="436" t="s">
        <v>203</v>
      </c>
      <c r="C119" s="436" t="s">
        <v>390</v>
      </c>
      <c r="D119" s="433"/>
      <c r="E119" s="434"/>
    </row>
    <row r="120" ht="18" customHeight="1" spans="1:10">
      <c r="A120" s="437" t="s">
        <v>394</v>
      </c>
      <c r="B120" s="438">
        <f>SUM(AE34:AE57)</f>
        <v>2710165.61935046</v>
      </c>
      <c r="C120" s="438">
        <f>SUM(B120)</f>
        <v>2710165.61935046</v>
      </c>
      <c r="D120" s="433"/>
      <c r="E120" s="434"/>
    </row>
    <row r="121" ht="18" customHeight="1" spans="1:10">
      <c r="A121" s="439"/>
      <c r="B121" s="433"/>
      <c r="C121" s="433"/>
      <c r="D121" s="433"/>
      <c r="E121" s="434"/>
    </row>
    <row r="122" ht="18" customHeight="1" spans="1:10">
      <c r="A122" s="431" t="s">
        <v>400</v>
      </c>
      <c r="B122" s="432"/>
      <c r="C122" s="432"/>
      <c r="D122" s="440"/>
      <c r="E122" s="434"/>
    </row>
    <row r="123" ht="18" customHeight="1" spans="1:10">
      <c r="A123" s="435" t="s">
        <v>214</v>
      </c>
      <c r="B123" s="436" t="s">
        <v>203</v>
      </c>
      <c r="C123" s="436" t="s">
        <v>390</v>
      </c>
      <c r="D123" s="433"/>
      <c r="E123" s="434"/>
    </row>
    <row r="124" ht="18" customHeight="1" spans="1:10">
      <c r="A124" s="437" t="s">
        <v>394</v>
      </c>
      <c r="B124" s="438">
        <f>SUM(AE58:AE68)</f>
        <v>51806.97034336</v>
      </c>
      <c r="C124" s="438">
        <f>B124</f>
        <v>51806.97034336</v>
      </c>
      <c r="D124" s="433"/>
      <c r="E124" s="434"/>
    </row>
    <row r="125" ht="18" customHeight="1" spans="1:10">
      <c r="A125" s="439"/>
      <c r="B125" s="433"/>
      <c r="C125" s="433"/>
      <c r="D125" s="433"/>
      <c r="E125" s="434"/>
    </row>
    <row r="126" ht="18" customHeight="1" spans="1:10">
      <c r="A126" s="431" t="s">
        <v>401</v>
      </c>
      <c r="B126" s="432"/>
      <c r="C126" s="432"/>
      <c r="D126" s="440"/>
      <c r="E126" s="434"/>
    </row>
    <row r="127" ht="18" customHeight="1" spans="1:10">
      <c r="A127" s="435" t="s">
        <v>214</v>
      </c>
      <c r="B127" s="436" t="s">
        <v>203</v>
      </c>
      <c r="C127" s="436" t="s">
        <v>390</v>
      </c>
      <c r="D127" s="433"/>
      <c r="E127" s="434"/>
    </row>
    <row r="128" ht="18" customHeight="1" spans="1:10">
      <c r="A128" s="437" t="s">
        <v>394</v>
      </c>
      <c r="B128" s="438">
        <f>SUM(AE69:AE78)</f>
        <v>2016736.07196272</v>
      </c>
      <c r="C128" s="438">
        <f>B128</f>
        <v>2016736.07196272</v>
      </c>
      <c r="D128" s="433"/>
      <c r="E128" s="434"/>
    </row>
    <row r="129" ht="18" customHeight="1" spans="1:5">
      <c r="A129" s="439"/>
      <c r="B129" s="433"/>
      <c r="C129" s="433"/>
      <c r="D129" s="433"/>
      <c r="E129" s="434"/>
    </row>
    <row r="130" ht="18" customHeight="1" spans="1:5">
      <c r="A130" s="431" t="s">
        <v>402</v>
      </c>
      <c r="B130" s="432"/>
      <c r="C130" s="432"/>
      <c r="D130" s="433"/>
      <c r="E130" s="434"/>
    </row>
    <row r="131" ht="18" customHeight="1" spans="1:5">
      <c r="A131" s="435" t="s">
        <v>214</v>
      </c>
      <c r="B131" s="436" t="s">
        <v>203</v>
      </c>
      <c r="C131" s="436" t="s">
        <v>390</v>
      </c>
      <c r="D131" s="433"/>
      <c r="E131" s="434"/>
    </row>
    <row r="132" ht="18" customHeight="1" spans="1:5">
      <c r="A132" s="437" t="s">
        <v>394</v>
      </c>
      <c r="B132" s="438">
        <f>SUM(AE79:AE81)</f>
        <v>362284.252670301</v>
      </c>
      <c r="C132" s="438">
        <f>SUM(B132)</f>
        <v>362284.252670301</v>
      </c>
      <c r="D132" s="433"/>
      <c r="E132" s="434"/>
    </row>
    <row r="133" ht="18" customHeight="1" spans="1:5">
      <c r="A133" s="439"/>
      <c r="B133" s="433"/>
      <c r="C133" s="433"/>
      <c r="D133" s="433"/>
      <c r="E133" s="434"/>
    </row>
    <row r="134" ht="18" customHeight="1" spans="1:5">
      <c r="A134" s="431" t="s">
        <v>403</v>
      </c>
      <c r="B134" s="432"/>
      <c r="C134" s="432"/>
      <c r="D134" s="433"/>
      <c r="E134" s="434"/>
    </row>
    <row r="135" ht="18" customHeight="1" spans="1:5">
      <c r="A135" s="435" t="s">
        <v>214</v>
      </c>
      <c r="B135" s="436" t="s">
        <v>203</v>
      </c>
      <c r="C135" s="436" t="s">
        <v>390</v>
      </c>
      <c r="D135" s="433"/>
      <c r="E135" s="434"/>
    </row>
    <row r="136" ht="18" customHeight="1" spans="1:5">
      <c r="A136" s="426" t="s">
        <v>394</v>
      </c>
      <c r="B136" s="427">
        <f>SUM(AE82:AE86)</f>
        <v>147636.031876224</v>
      </c>
      <c r="C136" s="427">
        <f>SUM(B136)</f>
        <v>147636.031876224</v>
      </c>
      <c r="D136" s="433"/>
      <c r="E136" s="434"/>
    </row>
    <row r="137" ht="18" customHeight="1" spans="1:5">
      <c r="D137" s="433"/>
      <c r="E137" s="434"/>
    </row>
    <row r="138" spans="1:5">
      <c r="A138" s="431" t="s">
        <v>404</v>
      </c>
      <c r="B138" s="432"/>
      <c r="C138" s="432"/>
    </row>
    <row r="139" ht="15.75" spans="1:5">
      <c r="A139" s="435" t="s">
        <v>214</v>
      </c>
      <c r="B139" s="436" t="s">
        <v>203</v>
      </c>
      <c r="C139" s="436" t="s">
        <v>390</v>
      </c>
    </row>
    <row r="140" spans="1:5">
      <c r="A140" s="426" t="s">
        <v>394</v>
      </c>
      <c r="B140" s="427">
        <f>SUM(AE87:AE89)</f>
        <v>1670.17345373528</v>
      </c>
      <c r="C140" s="427">
        <f>SUM(B140)</f>
        <v>1670.17345373528</v>
      </c>
    </row>
    <row r="142" spans="1:5">
      <c r="A142" s="431" t="s">
        <v>405</v>
      </c>
      <c r="B142" s="432"/>
      <c r="C142" s="432"/>
    </row>
    <row r="143" ht="15.75" spans="1:5">
      <c r="A143" s="435" t="s">
        <v>214</v>
      </c>
      <c r="B143" s="436" t="s">
        <v>203</v>
      </c>
      <c r="C143" s="436" t="s">
        <v>390</v>
      </c>
    </row>
    <row r="144" spans="1:5">
      <c r="A144" s="426" t="s">
        <v>394</v>
      </c>
      <c r="B144" s="427">
        <f>SUM(AE90:AE93)</f>
        <v>13322.57648759</v>
      </c>
      <c r="C144" s="427">
        <f>SUM(B144)</f>
        <v>13322.57648759</v>
      </c>
    </row>
    <row r="145" spans="1:9">
      <c r="A145" s="441"/>
      <c r="B145" s="434"/>
      <c r="C145" s="434"/>
    </row>
    <row r="146" spans="1:9">
      <c r="A146" s="431" t="s">
        <v>406</v>
      </c>
      <c r="B146" s="432"/>
      <c r="C146" s="432"/>
      <c r="D146" s="442" t="s">
        <v>407</v>
      </c>
    </row>
    <row r="147" ht="15.75" spans="1:9">
      <c r="A147" s="435" t="s">
        <v>214</v>
      </c>
      <c r="B147" s="436" t="s">
        <v>203</v>
      </c>
      <c r="C147" s="436" t="s">
        <v>390</v>
      </c>
    </row>
    <row r="148" spans="1:9">
      <c r="A148" s="426" t="s">
        <v>394</v>
      </c>
      <c r="B148" s="427"/>
      <c r="C148" s="427"/>
    </row>
    <row r="150" spans="1:9">
      <c r="A150" s="431" t="s">
        <v>408</v>
      </c>
      <c r="B150" s="432"/>
      <c r="C150" s="432"/>
    </row>
    <row r="151" ht="15.75" spans="1:9">
      <c r="A151" s="435" t="s">
        <v>214</v>
      </c>
      <c r="B151" s="436" t="s">
        <v>203</v>
      </c>
      <c r="C151" s="436" t="s">
        <v>390</v>
      </c>
    </row>
    <row r="152" spans="1:9">
      <c r="A152" s="426" t="s">
        <v>394</v>
      </c>
      <c r="B152" s="427">
        <f>SUM(AE94:AE97)</f>
        <v>274585.607161911</v>
      </c>
      <c r="C152" s="427">
        <f>SUM(B152)</f>
        <v>274585.607161911</v>
      </c>
    </row>
    <row r="154" spans="1:9">
      <c r="A154" s="431" t="s">
        <v>409</v>
      </c>
      <c r="B154" s="432"/>
      <c r="C154" s="432"/>
    </row>
    <row r="155" ht="15.75" spans="1:9">
      <c r="A155" s="435" t="s">
        <v>214</v>
      </c>
      <c r="B155" s="436" t="s">
        <v>203</v>
      </c>
      <c r="C155" s="436" t="s">
        <v>390</v>
      </c>
    </row>
    <row r="156" spans="1:9">
      <c r="A156" s="426" t="s">
        <v>394</v>
      </c>
      <c r="B156" s="427">
        <f>SUM(AE98:AE101)</f>
        <v>1746619.95968953</v>
      </c>
      <c r="C156" s="427">
        <f>SUM(B156)</f>
        <v>1746619.95968953</v>
      </c>
    </row>
    <row r="157" spans="1:9">
      <c r="A157" s="441"/>
      <c r="B157" s="434"/>
      <c r="C157" s="434"/>
    </row>
    <row r="158" ht="15.75" customHeight="1" spans="1:9">
      <c r="A158" s="443" t="s">
        <v>410</v>
      </c>
      <c r="B158" s="444"/>
      <c r="C158" s="444"/>
      <c r="D158" s="444"/>
      <c r="E158" s="444"/>
      <c r="F158" s="444"/>
      <c r="G158" s="444"/>
      <c r="H158" s="444"/>
      <c r="I158" s="445"/>
    </row>
    <row r="159" ht="15.75" spans="1:9">
      <c r="A159" s="436" t="s">
        <v>214</v>
      </c>
      <c r="B159" s="436" t="str">
        <f>H3</f>
        <v>CO2</v>
      </c>
      <c r="C159" s="436">
        <f t="shared" ref="C159:H159" si="85">I3</f>
        <v>0</v>
      </c>
      <c r="D159" s="436">
        <f t="shared" si="85"/>
        <v>0</v>
      </c>
      <c r="E159" s="436" t="str">
        <f t="shared" si="85"/>
        <v>CH4</v>
      </c>
      <c r="F159" s="436">
        <f t="shared" si="85"/>
        <v>0</v>
      </c>
      <c r="G159" s="436">
        <f t="shared" si="85"/>
        <v>0</v>
      </c>
      <c r="H159" s="436" t="str">
        <f t="shared" si="85"/>
        <v>N2O</v>
      </c>
      <c r="I159" s="436" t="s">
        <v>390</v>
      </c>
    </row>
    <row r="160" customHeight="1" spans="1:9">
      <c r="A160" s="421" t="s">
        <v>391</v>
      </c>
      <c r="B160" s="427">
        <f>AE102</f>
        <v>3828.37588063128</v>
      </c>
      <c r="C160" s="427">
        <f t="shared" ref="C160:H160" si="86">AF102</f>
        <v>2.40566862769398</v>
      </c>
      <c r="D160" s="427">
        <f t="shared" si="86"/>
        <v>2.35393381849626</v>
      </c>
      <c r="E160" s="427">
        <f t="shared" si="86"/>
        <v>0</v>
      </c>
      <c r="F160" s="427">
        <f t="shared" si="86"/>
        <v>0</v>
      </c>
      <c r="G160" s="427">
        <f t="shared" si="86"/>
        <v>0</v>
      </c>
      <c r="H160" s="427">
        <f t="shared" si="86"/>
        <v>0</v>
      </c>
      <c r="I160" s="427">
        <f>SUM(B160:H160)</f>
        <v>3833.13548307747</v>
      </c>
    </row>
    <row r="161" spans="1:4">
      <c r="A161" s="441"/>
      <c r="B161" s="434"/>
      <c r="C161" s="434"/>
    </row>
    <row r="162" spans="1:4">
      <c r="A162" s="431" t="s">
        <v>411</v>
      </c>
      <c r="B162" s="432"/>
      <c r="C162" s="432"/>
      <c r="D162" s="442"/>
    </row>
    <row r="163" ht="15.75" spans="1:4">
      <c r="A163" s="435" t="s">
        <v>214</v>
      </c>
      <c r="B163" s="436" t="s">
        <v>203</v>
      </c>
      <c r="C163" s="436" t="s">
        <v>390</v>
      </c>
    </row>
    <row r="164" spans="1:4">
      <c r="A164" s="426" t="s">
        <v>394</v>
      </c>
      <c r="B164" s="427">
        <f>AL103</f>
        <v>3747.34695958894</v>
      </c>
      <c r="C164" s="427">
        <f>B164</f>
        <v>3747.34695958894</v>
      </c>
    </row>
    <row r="165" spans="1:4">
      <c r="A165" s="441"/>
      <c r="B165" s="434"/>
      <c r="C165" s="434"/>
    </row>
    <row r="166" spans="1:4">
      <c r="A166" s="431" t="s">
        <v>412</v>
      </c>
      <c r="B166" s="432"/>
      <c r="C166" s="432"/>
      <c r="D166" s="442" t="s">
        <v>413</v>
      </c>
    </row>
    <row r="167" ht="15.75" spans="1:4">
      <c r="A167" s="435" t="s">
        <v>214</v>
      </c>
      <c r="B167" s="436" t="s">
        <v>203</v>
      </c>
      <c r="C167" s="436" t="s">
        <v>390</v>
      </c>
    </row>
    <row r="168" spans="1:4">
      <c r="A168" s="426" t="s">
        <v>394</v>
      </c>
      <c r="B168" s="427"/>
      <c r="C168" s="427"/>
    </row>
    <row r="169" spans="1:4">
      <c r="A169" s="441"/>
      <c r="B169" s="434"/>
      <c r="C169" s="434"/>
    </row>
    <row r="170" spans="1:4">
      <c r="A170" s="431" t="s">
        <v>414</v>
      </c>
      <c r="B170" s="432"/>
      <c r="C170" s="432"/>
      <c r="D170" s="442" t="s">
        <v>415</v>
      </c>
    </row>
    <row r="171" ht="15.75" spans="1:4">
      <c r="A171" s="435" t="s">
        <v>214</v>
      </c>
      <c r="B171" s="436" t="s">
        <v>203</v>
      </c>
      <c r="C171" s="436" t="s">
        <v>390</v>
      </c>
    </row>
    <row r="172" spans="1:4">
      <c r="A172" s="426" t="s">
        <v>394</v>
      </c>
      <c r="B172" s="427"/>
      <c r="C172" s="427"/>
    </row>
    <row r="173" spans="1:4">
      <c r="A173" s="441"/>
      <c r="B173" s="434"/>
      <c r="C173" s="434"/>
    </row>
    <row r="174" spans="1:4">
      <c r="A174" s="431" t="s">
        <v>416</v>
      </c>
      <c r="B174" s="432"/>
      <c r="C174" s="432"/>
      <c r="D174" s="442" t="s">
        <v>417</v>
      </c>
    </row>
    <row r="175" ht="15.75" spans="1:4">
      <c r="A175" s="435" t="s">
        <v>214</v>
      </c>
      <c r="B175" s="436" t="s">
        <v>203</v>
      </c>
      <c r="C175" s="436" t="s">
        <v>390</v>
      </c>
    </row>
    <row r="176" spans="1:4">
      <c r="A176" s="426" t="s">
        <v>394</v>
      </c>
      <c r="B176" s="427"/>
      <c r="C176" s="427"/>
    </row>
    <row r="178" ht="15.75" spans="1:6">
      <c r="A178" s="435" t="s">
        <v>214</v>
      </c>
      <c r="B178" s="446" t="s">
        <v>218</v>
      </c>
      <c r="C178" s="446" t="s">
        <v>280</v>
      </c>
      <c r="D178" s="446" t="s">
        <v>418</v>
      </c>
      <c r="E178" s="446" t="s">
        <v>390</v>
      </c>
      <c r="F178" s="447"/>
    </row>
    <row r="179" spans="1:6">
      <c r="A179" s="437" t="s">
        <v>419</v>
      </c>
      <c r="B179" s="438">
        <f>I110</f>
        <v>7122248.8339861</v>
      </c>
      <c r="C179" s="438">
        <f>D114</f>
        <v>1069378.747982</v>
      </c>
      <c r="D179" s="438">
        <f>C120+C124+C128+C132+C136+C140+C144+C152+C156+C164+I160</f>
        <v>7332407.74543851</v>
      </c>
      <c r="E179" s="422">
        <f>SUM(B179:D179)</f>
        <v>15524035.3274066</v>
      </c>
      <c r="F179" s="447" t="s">
        <v>396</v>
      </c>
    </row>
    <row r="180" spans="1:6">
      <c r="A180" s="437" t="s">
        <v>420</v>
      </c>
      <c r="B180" s="448">
        <f>B179/$E$179</f>
        <v>0.4587884969195</v>
      </c>
      <c r="C180" s="448">
        <f>C179/$E$179</f>
        <v>0.0688853590853459</v>
      </c>
      <c r="D180" s="448">
        <f>D179/$E$179</f>
        <v>0.472326143995154</v>
      </c>
      <c r="E180" s="449">
        <f>SUM(B180:D180)</f>
        <v>1</v>
      </c>
    </row>
    <row r="182" ht="15.75" spans="1:6">
      <c r="A182" s="435" t="s">
        <v>214</v>
      </c>
      <c r="B182" s="446" t="s">
        <v>218</v>
      </c>
      <c r="C182" s="446" t="s">
        <v>280</v>
      </c>
      <c r="D182" s="446" t="s">
        <v>418</v>
      </c>
      <c r="E182" s="446" t="s">
        <v>390</v>
      </c>
    </row>
    <row r="183" spans="1:6">
      <c r="A183" s="437" t="s">
        <v>419</v>
      </c>
      <c r="B183" s="438">
        <f>B179</f>
        <v>7122248.8339861</v>
      </c>
      <c r="C183" s="438">
        <f>D115</f>
        <v>1161900.332352</v>
      </c>
      <c r="D183" s="438">
        <f>D179</f>
        <v>7332407.74543851</v>
      </c>
      <c r="E183" s="422">
        <f>SUM(B183:D183)</f>
        <v>15616556.9117766</v>
      </c>
      <c r="F183" s="447" t="s">
        <v>397</v>
      </c>
    </row>
    <row r="184" spans="1:6">
      <c r="A184" s="437" t="s">
        <v>420</v>
      </c>
      <c r="B184" s="448">
        <f>B183/$E$183</f>
        <v>0.45607036648489</v>
      </c>
      <c r="C184" s="448">
        <f>C183/$E$183</f>
        <v>0.0744018248654926</v>
      </c>
      <c r="D184" s="448">
        <f>D183/$E$183</f>
        <v>0.469527808649617</v>
      </c>
      <c r="E184" s="449">
        <f>SUM(B184:D184)</f>
        <v>1</v>
      </c>
    </row>
  </sheetData>
  <mergeCells count="40">
    <mergeCell ref="A1:P1"/>
    <mergeCell ref="H2:AD2"/>
    <mergeCell ref="AE2:AL2"/>
    <mergeCell ref="H3:J3"/>
    <mergeCell ref="K3:M3"/>
    <mergeCell ref="N3:P3"/>
    <mergeCell ref="Q3:T3"/>
    <mergeCell ref="U3:X3"/>
    <mergeCell ref="Y3:AA3"/>
    <mergeCell ref="AB3:AD3"/>
    <mergeCell ref="AE4:AL4"/>
    <mergeCell ref="B104:D104"/>
    <mergeCell ref="AC104:AD104"/>
    <mergeCell ref="B105:D105"/>
    <mergeCell ref="AC105:AD105"/>
    <mergeCell ref="A108:I108"/>
    <mergeCell ref="A112:D112"/>
    <mergeCell ref="A117:C117"/>
    <mergeCell ref="A118:C118"/>
    <mergeCell ref="A122:C122"/>
    <mergeCell ref="A126:C126"/>
    <mergeCell ref="A130:C130"/>
    <mergeCell ref="A134:C134"/>
    <mergeCell ref="A138:C138"/>
    <mergeCell ref="A142:C142"/>
    <mergeCell ref="A146:C146"/>
    <mergeCell ref="A150:C150"/>
    <mergeCell ref="A154:C154"/>
    <mergeCell ref="A158:I158"/>
    <mergeCell ref="A162:C162"/>
    <mergeCell ref="A166:C166"/>
    <mergeCell ref="A170:C170"/>
    <mergeCell ref="A174:C174"/>
    <mergeCell ref="A2:A4"/>
    <mergeCell ref="A104:A105"/>
    <mergeCell ref="B2:B4"/>
    <mergeCell ref="C2:C4"/>
    <mergeCell ref="D2:D4"/>
    <mergeCell ref="E2:E4"/>
    <mergeCell ref="F2:G3"/>
  </mergeCells>
  <printOptions horizontalCentered="1"/>
  <pageMargins left="0" right="0" top="0.708661417322835" bottom="0.511811023622047" header="0.393700787401575" footer="0.354330708661417"/>
  <pageSetup paperSize="9" scale="64" fitToWidth="3" orientation="landscape"/>
  <headerFooter alignWithMargins="0">
    <oddFooter>&amp;L文件名称：温室气体盘查表V1.0_20111226</oddFooter>
  </headerFooter>
  <colBreaks count="1" manualBreakCount="1">
    <brk id="30" max="53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M119"/>
  <sheetViews>
    <sheetView showOutlineSymbols="0" zoomScale="85" zoomScaleNormal="85" workbookViewId="0">
      <selection activeCell="E26" sqref="E26"/>
    </sheetView>
  </sheetViews>
  <sheetFormatPr defaultColWidth="8.75" defaultRowHeight="14.25"/>
  <cols>
    <col min="1" max="1" width="9" customWidth="1"/>
    <col min="2" max="2" width="18.25" customWidth="1"/>
    <col min="3" max="3" width="19.25" customWidth="1"/>
    <col min="4" max="4" width="18.625" customWidth="1"/>
    <col min="5" max="5" width="20" customWidth="1"/>
    <col min="6" max="6" width="31.75" customWidth="1"/>
    <col min="7" max="7" width="14.625" customWidth="1"/>
    <col min="8" max="8" width="9.5" customWidth="1"/>
    <col min="9" max="9" width="10.75" customWidth="1"/>
    <col min="10" max="10" width="11.5" customWidth="1"/>
    <col min="11" max="11" width="21.75" customWidth="1"/>
    <col min="12" max="13" width="14.25" customWidth="1"/>
    <col min="14" max="14" width="10.375" customWidth="1"/>
  </cols>
  <sheetData>
    <row r="1" ht="28.9" customHeight="1" spans="1:13">
      <c r="A1" s="284" t="s">
        <v>421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</row>
    <row r="2" s="283" customFormat="1" ht="38.65" customHeight="1" spans="1:13">
      <c r="A2" s="285" t="s">
        <v>422</v>
      </c>
      <c r="B2" s="285" t="s">
        <v>423</v>
      </c>
      <c r="C2" s="285" t="s">
        <v>424</v>
      </c>
      <c r="D2" s="285" t="s">
        <v>425</v>
      </c>
      <c r="E2" s="285" t="s">
        <v>426</v>
      </c>
      <c r="F2" s="285" t="s">
        <v>427</v>
      </c>
      <c r="G2" s="286" t="s">
        <v>428</v>
      </c>
      <c r="H2" s="286" t="s">
        <v>429</v>
      </c>
      <c r="I2" s="286" t="s">
        <v>430</v>
      </c>
      <c r="J2" s="287" t="s">
        <v>431</v>
      </c>
      <c r="K2" s="286" t="s">
        <v>432</v>
      </c>
      <c r="L2" s="286" t="s">
        <v>433</v>
      </c>
      <c r="M2" s="288" t="s">
        <v>434</v>
      </c>
    </row>
    <row r="3" spans="1:13">
      <c r="A3" s="289">
        <v>1</v>
      </c>
      <c r="B3" s="290" t="str">
        <f>表1温室气体盘查表!C5</f>
        <v>天然气燃烧</v>
      </c>
      <c r="C3" s="290" t="str">
        <f>表1温室气体盘查表!D5</f>
        <v>热处理炉（加热炉）</v>
      </c>
      <c r="D3" s="291" t="s">
        <v>435</v>
      </c>
      <c r="E3" s="291" t="s">
        <v>436</v>
      </c>
      <c r="F3" s="291" t="s">
        <v>437</v>
      </c>
      <c r="G3" s="292">
        <f t="shared" ref="G3" si="0">IF(D3="自动连续量测",6,IF(D3="定期量测/抄表/铭牌",3,1))</f>
        <v>6</v>
      </c>
      <c r="H3" s="293">
        <f t="shared" ref="H3" si="1">IF(E3="量测/质量平衡排放因子",6,IF(E3="制程/设备排放因子",5,IF(E3="制造商提供的排放因子",4,IF(E3="区域排放因子",3,IF(E3="国家排放因子",2,1)))))</f>
        <v>1</v>
      </c>
      <c r="I3" s="292">
        <f t="shared" ref="I3" si="2">IF(F3="校准且合格",6,IF(F3="未校准",1,3))</f>
        <v>6</v>
      </c>
      <c r="J3" s="294">
        <f t="shared" ref="J3" si="3">AVERAGE(G3:I3)</f>
        <v>4.33333333333333</v>
      </c>
      <c r="K3" s="295">
        <f>表1温室气体盘查表!AL5</f>
        <v>38881.7260826929</v>
      </c>
      <c r="L3" s="296">
        <f t="shared" ref="L3:L34" si="4">K3/$K$101</f>
        <v>0.00250461463547754</v>
      </c>
      <c r="M3" s="297">
        <f>J3*L3</f>
        <v>0.0108533300870693</v>
      </c>
    </row>
    <row r="4" spans="1:13">
      <c r="A4" s="289">
        <v>2</v>
      </c>
      <c r="B4" s="290" t="str">
        <f>表1温室气体盘查表!C6</f>
        <v>液化石油气燃烧</v>
      </c>
      <c r="C4" s="290" t="str">
        <f>表1温室气体盘查表!D6</f>
        <v>冶钢宾馆</v>
      </c>
      <c r="D4" s="291" t="s">
        <v>438</v>
      </c>
      <c r="E4" s="291" t="s">
        <v>436</v>
      </c>
      <c r="F4" s="291" t="s">
        <v>437</v>
      </c>
      <c r="G4" s="292">
        <f t="shared" ref="G4:G66" si="5">IF(D4="自动连续量测",6,IF(D4="定期量测/抄表/铭牌",3,1))</f>
        <v>3</v>
      </c>
      <c r="H4" s="293">
        <f t="shared" ref="H4:H66" si="6">IF(E4="量测/质量平衡排放因子",6,IF(E4="制程/设备排放因子",5,IF(E4="制造商提供的排放因子",4,IF(E4="区域排放因子",3,IF(E4="国家排放因子",2,1)))))</f>
        <v>1</v>
      </c>
      <c r="I4" s="292">
        <f t="shared" ref="I4:I66" si="7">IF(F4="校准且合格",6,IF(F4="未校准",1,3))</f>
        <v>6</v>
      </c>
      <c r="J4" s="294">
        <f t="shared" ref="J4:J66" si="8">AVERAGE(G4:I4)</f>
        <v>3.33333333333333</v>
      </c>
      <c r="K4" s="295">
        <f>表1温室气体盘查表!AL6</f>
        <v>29.1623679258778</v>
      </c>
      <c r="L4" s="296">
        <f t="shared" si="4"/>
        <v>1.87853011867305e-6</v>
      </c>
      <c r="M4" s="297">
        <f t="shared" ref="M4:M66" si="9">J4*L4</f>
        <v>6.26176706224351e-6</v>
      </c>
    </row>
    <row r="5" spans="1:13">
      <c r="A5" s="289">
        <v>3</v>
      </c>
      <c r="B5" s="290" t="str">
        <f>表1温室气体盘查表!C7</f>
        <v>烟煤燃烧</v>
      </c>
      <c r="C5" s="290" t="str">
        <f>表1温室气体盘查表!D7</f>
        <v>高炉</v>
      </c>
      <c r="D5" s="291" t="s">
        <v>435</v>
      </c>
      <c r="E5" s="291" t="s">
        <v>436</v>
      </c>
      <c r="F5" s="291" t="s">
        <v>437</v>
      </c>
      <c r="G5" s="292">
        <f t="shared" si="5"/>
        <v>6</v>
      </c>
      <c r="H5" s="293">
        <f t="shared" si="6"/>
        <v>1</v>
      </c>
      <c r="I5" s="292">
        <f t="shared" si="7"/>
        <v>6</v>
      </c>
      <c r="J5" s="294">
        <f t="shared" si="8"/>
        <v>4.33333333333333</v>
      </c>
      <c r="K5" s="295">
        <f>表1温室气体盘查表!AL7</f>
        <v>925941.318843156</v>
      </c>
      <c r="L5" s="296">
        <f t="shared" si="4"/>
        <v>0.0596456590902284</v>
      </c>
      <c r="M5" s="297">
        <f t="shared" si="9"/>
        <v>0.258464522724323</v>
      </c>
    </row>
    <row r="6" spans="1:13">
      <c r="A6" s="289">
        <v>4</v>
      </c>
      <c r="B6" s="290" t="str">
        <f>表1温室气体盘查表!C8</f>
        <v>无烟煤燃烧</v>
      </c>
      <c r="C6" s="290" t="str">
        <f>表1温室气体盘查表!D8</f>
        <v>高炉、烧结</v>
      </c>
      <c r="D6" s="291" t="s">
        <v>435</v>
      </c>
      <c r="E6" s="291" t="s">
        <v>436</v>
      </c>
      <c r="F6" s="291" t="s">
        <v>437</v>
      </c>
      <c r="G6" s="292">
        <f t="shared" si="5"/>
        <v>6</v>
      </c>
      <c r="H6" s="293">
        <f t="shared" si="6"/>
        <v>1</v>
      </c>
      <c r="I6" s="292">
        <f t="shared" si="7"/>
        <v>6</v>
      </c>
      <c r="J6" s="294">
        <f t="shared" si="8"/>
        <v>4.33333333333333</v>
      </c>
      <c r="K6" s="295">
        <f>表1温室气体盘查表!AL8</f>
        <v>637282.392059932</v>
      </c>
      <c r="L6" s="296">
        <f t="shared" si="4"/>
        <v>0.0410513361132884</v>
      </c>
      <c r="M6" s="297">
        <f t="shared" si="9"/>
        <v>0.177889123157583</v>
      </c>
    </row>
    <row r="7" spans="1:13">
      <c r="A7" s="289">
        <v>5</v>
      </c>
      <c r="B7" s="290" t="str">
        <f>表1温室气体盘查表!C9</f>
        <v>洗精煤燃烧</v>
      </c>
      <c r="C7" s="290" t="str">
        <f>表1温室气体盘查表!D9</f>
        <v>焦炉</v>
      </c>
      <c r="D7" s="291" t="s">
        <v>435</v>
      </c>
      <c r="E7" s="291" t="s">
        <v>436</v>
      </c>
      <c r="F7" s="291" t="s">
        <v>437</v>
      </c>
      <c r="G7" s="292">
        <f t="shared" si="5"/>
        <v>6</v>
      </c>
      <c r="H7" s="293">
        <f t="shared" si="6"/>
        <v>1</v>
      </c>
      <c r="I7" s="292">
        <f t="shared" si="7"/>
        <v>6</v>
      </c>
      <c r="J7" s="294">
        <f t="shared" si="8"/>
        <v>4.33333333333333</v>
      </c>
      <c r="K7" s="295">
        <f>表1温室气体盘查表!AL9</f>
        <v>4824841.57343012</v>
      </c>
      <c r="L7" s="296">
        <f t="shared" si="4"/>
        <v>0.310798157287893</v>
      </c>
      <c r="M7" s="297">
        <f t="shared" si="9"/>
        <v>1.3467920149142</v>
      </c>
    </row>
    <row r="8" spans="1:13">
      <c r="A8" s="289">
        <v>6</v>
      </c>
      <c r="B8" s="290" t="str">
        <f>表1温室气体盘查表!C10</f>
        <v>焦炭燃烧</v>
      </c>
      <c r="C8" s="290" t="str">
        <f>表1温室气体盘查表!D10</f>
        <v>高炉</v>
      </c>
      <c r="D8" s="291" t="s">
        <v>435</v>
      </c>
      <c r="E8" s="291" t="s">
        <v>436</v>
      </c>
      <c r="F8" s="291" t="s">
        <v>437</v>
      </c>
      <c r="G8" s="292">
        <f t="shared" si="5"/>
        <v>6</v>
      </c>
      <c r="H8" s="293">
        <f t="shared" si="6"/>
        <v>1</v>
      </c>
      <c r="I8" s="292">
        <f t="shared" si="7"/>
        <v>6</v>
      </c>
      <c r="J8" s="294">
        <f t="shared" si="8"/>
        <v>4.33333333333333</v>
      </c>
      <c r="K8" s="295">
        <f>表1温室气体盘查表!AL10</f>
        <v>439843.844348532</v>
      </c>
      <c r="L8" s="296">
        <f t="shared" si="4"/>
        <v>0.0283330870532109</v>
      </c>
      <c r="M8" s="297">
        <f t="shared" si="9"/>
        <v>0.122776710563914</v>
      </c>
    </row>
    <row r="9" spans="1:13">
      <c r="A9" s="289">
        <v>7</v>
      </c>
      <c r="B9" s="290" t="str">
        <f>表1温室气体盘查表!C11</f>
        <v>焦屑燃烧</v>
      </c>
      <c r="C9" s="290" t="str">
        <f>表1温室气体盘查表!D11</f>
        <v>烧结、高炉</v>
      </c>
      <c r="D9" s="291" t="s">
        <v>435</v>
      </c>
      <c r="E9" s="291" t="s">
        <v>436</v>
      </c>
      <c r="F9" s="291" t="s">
        <v>437</v>
      </c>
      <c r="G9" s="292">
        <f t="shared" si="5"/>
        <v>6</v>
      </c>
      <c r="H9" s="293">
        <f t="shared" si="6"/>
        <v>1</v>
      </c>
      <c r="I9" s="292">
        <f t="shared" si="7"/>
        <v>6</v>
      </c>
      <c r="J9" s="294">
        <f t="shared" si="8"/>
        <v>4.33333333333333</v>
      </c>
      <c r="K9" s="295">
        <f>表1温室气体盘查表!AL11</f>
        <v>364657.356140779</v>
      </c>
      <c r="L9" s="296">
        <f t="shared" si="4"/>
        <v>0.0234898561134425</v>
      </c>
      <c r="M9" s="297">
        <f t="shared" si="9"/>
        <v>0.101789376491584</v>
      </c>
    </row>
    <row r="10" spans="1:13">
      <c r="A10" s="289">
        <v>8</v>
      </c>
      <c r="B10" s="290" t="str">
        <f>表1温室气体盘查表!C12</f>
        <v>焦炉煤气燃烧</v>
      </c>
      <c r="C10" s="290" t="str">
        <f>表1温室气体盘查表!D12</f>
        <v>外售</v>
      </c>
      <c r="D10" s="291" t="s">
        <v>435</v>
      </c>
      <c r="E10" s="291" t="s">
        <v>436</v>
      </c>
      <c r="F10" s="291" t="s">
        <v>437</v>
      </c>
      <c r="G10" s="292">
        <f t="shared" si="5"/>
        <v>6</v>
      </c>
      <c r="H10" s="293">
        <f t="shared" si="6"/>
        <v>1</v>
      </c>
      <c r="I10" s="292">
        <f t="shared" si="7"/>
        <v>6</v>
      </c>
      <c r="J10" s="294">
        <f t="shared" si="8"/>
        <v>4.33333333333333</v>
      </c>
      <c r="K10" s="295">
        <f>表1温室气体盘查表!AL12</f>
        <v>-3833.13548307747</v>
      </c>
      <c r="L10" s="296">
        <f t="shared" si="4"/>
        <v>-0.000246916178830793</v>
      </c>
      <c r="M10" s="297">
        <f t="shared" si="9"/>
        <v>-0.00106997010826677</v>
      </c>
    </row>
    <row r="11" spans="1:13">
      <c r="A11" s="289">
        <v>9</v>
      </c>
      <c r="B11" s="290" t="str">
        <f>表1温室气体盘查表!C13</f>
        <v>0#柴油燃烧</v>
      </c>
      <c r="C11" s="290" t="str">
        <f>表1温室气体盘查表!D13</f>
        <v>场内运输</v>
      </c>
      <c r="D11" s="291" t="s">
        <v>438</v>
      </c>
      <c r="E11" s="291" t="s">
        <v>436</v>
      </c>
      <c r="F11" s="291" t="s">
        <v>439</v>
      </c>
      <c r="G11" s="292">
        <f t="shared" si="5"/>
        <v>3</v>
      </c>
      <c r="H11" s="293">
        <f t="shared" si="6"/>
        <v>1</v>
      </c>
      <c r="I11" s="292">
        <f t="shared" si="7"/>
        <v>3</v>
      </c>
      <c r="J11" s="294">
        <f t="shared" si="8"/>
        <v>2.33333333333333</v>
      </c>
      <c r="K11" s="295">
        <f>表1温室气体盘查表!AL13</f>
        <v>4417.07259862728</v>
      </c>
      <c r="L11" s="296">
        <f t="shared" si="4"/>
        <v>0.000284531212759433</v>
      </c>
      <c r="M11" s="297">
        <f t="shared" si="9"/>
        <v>0.000663906163105343</v>
      </c>
    </row>
    <row r="12" spans="1:13">
      <c r="A12" s="289">
        <v>10</v>
      </c>
      <c r="B12" s="290" t="str">
        <f>表1温室气体盘查表!C14</f>
        <v>92#汽油燃烧</v>
      </c>
      <c r="C12" s="290" t="str">
        <f>表1温室气体盘查表!D14</f>
        <v>公务车</v>
      </c>
      <c r="D12" s="291" t="s">
        <v>438</v>
      </c>
      <c r="E12" s="291" t="s">
        <v>436</v>
      </c>
      <c r="F12" s="291" t="s">
        <v>439</v>
      </c>
      <c r="G12" s="292">
        <f t="shared" si="5"/>
        <v>3</v>
      </c>
      <c r="H12" s="293">
        <f t="shared" si="6"/>
        <v>1</v>
      </c>
      <c r="I12" s="292">
        <f t="shared" si="7"/>
        <v>3</v>
      </c>
      <c r="J12" s="294">
        <f t="shared" si="8"/>
        <v>2.33333333333333</v>
      </c>
      <c r="K12" s="295">
        <f>表1温室气体盘查表!AL14</f>
        <v>149.470123787754</v>
      </c>
      <c r="L12" s="296">
        <f t="shared" si="4"/>
        <v>9.62830350713483e-6</v>
      </c>
      <c r="M12" s="297">
        <f t="shared" si="9"/>
        <v>2.24660415166479e-5</v>
      </c>
    </row>
    <row r="13" ht="18" customHeight="1" spans="1:13">
      <c r="A13" s="289">
        <v>11</v>
      </c>
      <c r="B13" s="290" t="str">
        <f>表1温室气体盘查表!C15</f>
        <v>制冷剂逸散（R32）</v>
      </c>
      <c r="C13" s="290" t="str">
        <f>表1温室气体盘查表!D15</f>
        <v>分体式空调</v>
      </c>
      <c r="D13" s="291" t="s">
        <v>438</v>
      </c>
      <c r="E13" s="291" t="s">
        <v>440</v>
      </c>
      <c r="F13" s="291" t="s">
        <v>437</v>
      </c>
      <c r="G13" s="292">
        <f t="shared" si="5"/>
        <v>3</v>
      </c>
      <c r="H13" s="293">
        <f t="shared" si="6"/>
        <v>2</v>
      </c>
      <c r="I13" s="292">
        <f t="shared" si="7"/>
        <v>6</v>
      </c>
      <c r="J13" s="294">
        <f t="shared" si="8"/>
        <v>3.66666666666667</v>
      </c>
      <c r="K13" s="295">
        <f>表1温室气体盘查表!AL15</f>
        <v>717.03</v>
      </c>
      <c r="L13" s="296">
        <f t="shared" si="4"/>
        <v>4.61883772406865e-5</v>
      </c>
      <c r="M13" s="297">
        <f t="shared" si="9"/>
        <v>0.00016935738321585</v>
      </c>
    </row>
    <row r="14" ht="18" customHeight="1" spans="1:13">
      <c r="A14" s="289">
        <v>12</v>
      </c>
      <c r="B14" s="290" t="str">
        <f>表1温室气体盘查表!C16</f>
        <v>CO2逸散</v>
      </c>
      <c r="C14" s="290" t="str">
        <f>表1温室气体盘查表!D16</f>
        <v>二氧化碳灭火器</v>
      </c>
      <c r="D14" s="291" t="s">
        <v>438</v>
      </c>
      <c r="E14" s="291" t="s">
        <v>440</v>
      </c>
      <c r="F14" s="291" t="s">
        <v>437</v>
      </c>
      <c r="G14" s="292">
        <f t="shared" si="5"/>
        <v>3</v>
      </c>
      <c r="H14" s="293">
        <f t="shared" si="6"/>
        <v>2</v>
      </c>
      <c r="I14" s="292">
        <f t="shared" si="7"/>
        <v>6</v>
      </c>
      <c r="J14" s="294">
        <f t="shared" si="8"/>
        <v>3.66666666666667</v>
      </c>
      <c r="K14" s="295">
        <f>表1温室气体盘查表!AL16</f>
        <v>0.66</v>
      </c>
      <c r="L14" s="296">
        <f t="shared" si="4"/>
        <v>4.25147190199198e-8</v>
      </c>
      <c r="M14" s="297">
        <f t="shared" si="9"/>
        <v>1.55887303073039e-7</v>
      </c>
    </row>
    <row r="15" ht="18" customHeight="1" spans="1:13">
      <c r="A15" s="289">
        <v>13</v>
      </c>
      <c r="B15" s="290" t="str">
        <f>表1温室气体盘查表!C17</f>
        <v>CH4逸散</v>
      </c>
      <c r="C15" s="290" t="str">
        <f>表1温室气体盘查表!D17</f>
        <v>化粪池</v>
      </c>
      <c r="D15" s="291" t="s">
        <v>438</v>
      </c>
      <c r="E15" s="291" t="s">
        <v>436</v>
      </c>
      <c r="F15" s="291" t="s">
        <v>437</v>
      </c>
      <c r="G15" s="292">
        <f t="shared" si="5"/>
        <v>3</v>
      </c>
      <c r="H15" s="293">
        <f t="shared" si="6"/>
        <v>1</v>
      </c>
      <c r="I15" s="292">
        <f t="shared" si="7"/>
        <v>6</v>
      </c>
      <c r="J15" s="294">
        <f t="shared" si="8"/>
        <v>3.33333333333333</v>
      </c>
      <c r="K15" s="295">
        <f>表1温室气体盘查表!AL17</f>
        <v>112.29192</v>
      </c>
      <c r="L15" s="296">
        <f t="shared" si="4"/>
        <v>7.2334233742535e-6</v>
      </c>
      <c r="M15" s="297">
        <f t="shared" si="9"/>
        <v>2.41114112475117e-5</v>
      </c>
    </row>
    <row r="16" ht="18" customHeight="1" spans="1:13">
      <c r="A16" s="289">
        <v>14</v>
      </c>
      <c r="B16" s="290" t="str">
        <f>表1温室气体盘查表!C18</f>
        <v>CH4逸散</v>
      </c>
      <c r="C16" s="290" t="str">
        <f>表1温室气体盘查表!D18</f>
        <v>耗氧池</v>
      </c>
      <c r="D16" s="291" t="s">
        <v>438</v>
      </c>
      <c r="E16" s="291" t="s">
        <v>440</v>
      </c>
      <c r="F16" s="291" t="s">
        <v>437</v>
      </c>
      <c r="G16" s="292">
        <f t="shared" si="5"/>
        <v>3</v>
      </c>
      <c r="H16" s="293">
        <f t="shared" si="6"/>
        <v>2</v>
      </c>
      <c r="I16" s="292">
        <f t="shared" si="7"/>
        <v>6</v>
      </c>
      <c r="J16" s="294">
        <f t="shared" si="8"/>
        <v>3.66666666666667</v>
      </c>
      <c r="K16" s="295">
        <f>表1温室气体盘查表!AL18</f>
        <v>365.580675</v>
      </c>
      <c r="L16" s="296">
        <f t="shared" si="4"/>
        <v>2.35493328435418e-5</v>
      </c>
      <c r="M16" s="297">
        <f t="shared" si="9"/>
        <v>8.63475537596534e-5</v>
      </c>
    </row>
    <row r="17" ht="18" customHeight="1" spans="1:13">
      <c r="A17" s="289">
        <v>15</v>
      </c>
      <c r="B17" s="290" t="str">
        <f>表1温室气体盘查表!C19</f>
        <v>SF6逸散</v>
      </c>
      <c r="C17" s="290" t="str">
        <f>表1温室气体盘查表!D19</f>
        <v>高压开关</v>
      </c>
      <c r="D17" s="291" t="s">
        <v>438</v>
      </c>
      <c r="E17" s="291" t="s">
        <v>440</v>
      </c>
      <c r="F17" s="291" t="s">
        <v>437</v>
      </c>
      <c r="G17" s="292">
        <f t="shared" si="5"/>
        <v>3</v>
      </c>
      <c r="H17" s="293">
        <f t="shared" si="6"/>
        <v>2</v>
      </c>
      <c r="I17" s="292">
        <f t="shared" si="7"/>
        <v>6</v>
      </c>
      <c r="J17" s="294">
        <f t="shared" si="8"/>
        <v>3.66666666666667</v>
      </c>
      <c r="K17" s="295">
        <f>表1温室气体盘查表!AL19</f>
        <v>2459.16</v>
      </c>
      <c r="L17" s="296">
        <f t="shared" si="4"/>
        <v>0.000158409843068221</v>
      </c>
      <c r="M17" s="297">
        <f t="shared" si="9"/>
        <v>0.000580836091250144</v>
      </c>
    </row>
    <row r="18" ht="17.65" customHeight="1" spans="1:13">
      <c r="A18" s="289">
        <v>16</v>
      </c>
      <c r="B18" s="290" t="str">
        <f>表1温室气体盘查表!C20</f>
        <v>石灰石</v>
      </c>
      <c r="C18" s="290" t="str">
        <f>表1温室气体盘查表!D20</f>
        <v>石灰窑</v>
      </c>
      <c r="D18" s="291" t="s">
        <v>438</v>
      </c>
      <c r="E18" s="291" t="s">
        <v>440</v>
      </c>
      <c r="F18" s="291" t="s">
        <v>437</v>
      </c>
      <c r="G18" s="292">
        <f t="shared" si="5"/>
        <v>3</v>
      </c>
      <c r="H18" s="293">
        <f t="shared" si="6"/>
        <v>2</v>
      </c>
      <c r="I18" s="292">
        <f t="shared" si="7"/>
        <v>6</v>
      </c>
      <c r="J18" s="294">
        <f t="shared" si="8"/>
        <v>3.66666666666667</v>
      </c>
      <c r="K18" s="295">
        <f>表1温室气体盘查表!AL20</f>
        <v>8520.9388</v>
      </c>
      <c r="L18" s="296">
        <f t="shared" si="4"/>
        <v>0.000548886846769594</v>
      </c>
      <c r="M18" s="297">
        <f t="shared" si="9"/>
        <v>0.00201258510482185</v>
      </c>
    </row>
    <row r="19" ht="18" customHeight="1" spans="1:13">
      <c r="A19" s="289">
        <v>17</v>
      </c>
      <c r="B19" s="290" t="str">
        <f>表1温室气体盘查表!C21</f>
        <v>白云石</v>
      </c>
      <c r="C19" s="290" t="str">
        <f>表1温室气体盘查表!D21</f>
        <v>高炉</v>
      </c>
      <c r="D19" s="291" t="s">
        <v>438</v>
      </c>
      <c r="E19" s="291" t="s">
        <v>440</v>
      </c>
      <c r="F19" s="291" t="s">
        <v>437</v>
      </c>
      <c r="G19" s="292">
        <f t="shared" si="5"/>
        <v>3</v>
      </c>
      <c r="H19" s="293">
        <f t="shared" si="6"/>
        <v>2</v>
      </c>
      <c r="I19" s="292">
        <f t="shared" si="7"/>
        <v>6</v>
      </c>
      <c r="J19" s="294">
        <f t="shared" si="8"/>
        <v>3.66666666666667</v>
      </c>
      <c r="K19" s="295">
        <f>表1温室气体盘查表!AL21</f>
        <v>169593.74964</v>
      </c>
      <c r="L19" s="296">
        <f t="shared" si="4"/>
        <v>0.0109245918386049</v>
      </c>
      <c r="M19" s="297">
        <f t="shared" si="9"/>
        <v>0.0400568367415512</v>
      </c>
    </row>
    <row r="20" ht="18" customHeight="1" spans="1:13">
      <c r="A20" s="289">
        <v>18</v>
      </c>
      <c r="B20" s="290" t="str">
        <f>表1温室气体盘查表!C22</f>
        <v>电极</v>
      </c>
      <c r="C20" s="290" t="str">
        <f>表1温室气体盘查表!D22</f>
        <v>炼钢</v>
      </c>
      <c r="D20" s="291" t="s">
        <v>438</v>
      </c>
      <c r="E20" s="291" t="s">
        <v>436</v>
      </c>
      <c r="F20" s="291" t="s">
        <v>437</v>
      </c>
      <c r="G20" s="292">
        <f t="shared" si="5"/>
        <v>3</v>
      </c>
      <c r="H20" s="293">
        <f t="shared" si="6"/>
        <v>1</v>
      </c>
      <c r="I20" s="292">
        <f t="shared" si="7"/>
        <v>6</v>
      </c>
      <c r="J20" s="294">
        <f t="shared" si="8"/>
        <v>3.33333333333333</v>
      </c>
      <c r="K20" s="295">
        <f>表1温室气体盘查表!AL22</f>
        <v>17447.12541</v>
      </c>
      <c r="L20" s="296">
        <f t="shared" si="4"/>
        <v>0.00112387823410826</v>
      </c>
      <c r="M20" s="297">
        <f t="shared" si="9"/>
        <v>0.00374626078036087</v>
      </c>
    </row>
    <row r="21" ht="18" customHeight="1" spans="1:13">
      <c r="A21" s="289">
        <v>19</v>
      </c>
      <c r="B21" s="290" t="str">
        <f>表1温室气体盘查表!C23</f>
        <v>废钢</v>
      </c>
      <c r="C21" s="290" t="str">
        <f>表1温室气体盘查表!D23</f>
        <v>炼钢</v>
      </c>
      <c r="D21" s="291" t="s">
        <v>438</v>
      </c>
      <c r="E21" s="291" t="s">
        <v>440</v>
      </c>
      <c r="F21" s="291" t="s">
        <v>437</v>
      </c>
      <c r="G21" s="292">
        <f t="shared" si="5"/>
        <v>3</v>
      </c>
      <c r="H21" s="293">
        <f t="shared" si="6"/>
        <v>2</v>
      </c>
      <c r="I21" s="292">
        <f t="shared" si="7"/>
        <v>6</v>
      </c>
      <c r="J21" s="294">
        <f t="shared" si="8"/>
        <v>3.66666666666667</v>
      </c>
      <c r="K21" s="295">
        <f>表1温室气体盘查表!AL23</f>
        <v>39875.7377946186</v>
      </c>
      <c r="L21" s="296">
        <f t="shared" si="4"/>
        <v>0.0025686451334094</v>
      </c>
      <c r="M21" s="297">
        <f t="shared" si="9"/>
        <v>0.0094183654891678</v>
      </c>
    </row>
    <row r="22" ht="18" customHeight="1" spans="1:13">
      <c r="A22" s="289">
        <v>20</v>
      </c>
      <c r="B22" s="290" t="str">
        <f>表1温室气体盘查表!C24</f>
        <v>锰铁</v>
      </c>
      <c r="C22" s="290" t="str">
        <f>表1温室气体盘查表!D24</f>
        <v>炼钢</v>
      </c>
      <c r="D22" s="291" t="s">
        <v>438</v>
      </c>
      <c r="E22" s="291" t="s">
        <v>440</v>
      </c>
      <c r="F22" s="291" t="s">
        <v>437</v>
      </c>
      <c r="G22" s="292">
        <f t="shared" si="5"/>
        <v>3</v>
      </c>
      <c r="H22" s="293">
        <f t="shared" si="6"/>
        <v>2</v>
      </c>
      <c r="I22" s="292">
        <f t="shared" si="7"/>
        <v>6</v>
      </c>
      <c r="J22" s="294">
        <f t="shared" si="8"/>
        <v>3.66666666666667</v>
      </c>
      <c r="K22" s="295">
        <f>表1温室气体盘查表!AL24</f>
        <v>13114.101</v>
      </c>
      <c r="L22" s="296">
        <f t="shared" si="4"/>
        <v>0.000844761089717953</v>
      </c>
      <c r="M22" s="297">
        <f t="shared" si="9"/>
        <v>0.00309745732896583</v>
      </c>
    </row>
    <row r="23" ht="18" customHeight="1" spans="1:13">
      <c r="A23" s="289">
        <v>21</v>
      </c>
      <c r="B23" s="290" t="str">
        <f>表1温室气体盘查表!C25</f>
        <v>镍铁</v>
      </c>
      <c r="C23" s="290" t="str">
        <f>表1温室气体盘查表!D25</f>
        <v>炼钢</v>
      </c>
      <c r="D23" s="291" t="s">
        <v>438</v>
      </c>
      <c r="E23" s="291" t="s">
        <v>440</v>
      </c>
      <c r="F23" s="291" t="s">
        <v>437</v>
      </c>
      <c r="G23" s="292">
        <f t="shared" si="5"/>
        <v>3</v>
      </c>
      <c r="H23" s="293">
        <f t="shared" si="6"/>
        <v>2</v>
      </c>
      <c r="I23" s="292">
        <f t="shared" si="7"/>
        <v>6</v>
      </c>
      <c r="J23" s="294">
        <f t="shared" si="8"/>
        <v>3.66666666666667</v>
      </c>
      <c r="K23" s="295">
        <f>表1温室气体盘查表!AL25</f>
        <v>349.46907</v>
      </c>
      <c r="L23" s="296">
        <f t="shared" si="4"/>
        <v>2.25114838139434e-5</v>
      </c>
      <c r="M23" s="297">
        <f t="shared" si="9"/>
        <v>8.25421073177926e-5</v>
      </c>
    </row>
    <row r="24" ht="18" customHeight="1" spans="1:13">
      <c r="A24" s="289">
        <v>22</v>
      </c>
      <c r="B24" s="290" t="str">
        <f>表1温室气体盘查表!C26</f>
        <v>铬铁</v>
      </c>
      <c r="C24" s="290" t="str">
        <f>表1温室气体盘查表!D26</f>
        <v>炼钢</v>
      </c>
      <c r="D24" s="291" t="s">
        <v>438</v>
      </c>
      <c r="E24" s="291" t="s">
        <v>440</v>
      </c>
      <c r="F24" s="291" t="s">
        <v>437</v>
      </c>
      <c r="G24" s="292">
        <f t="shared" si="5"/>
        <v>3</v>
      </c>
      <c r="H24" s="293">
        <f t="shared" si="6"/>
        <v>2</v>
      </c>
      <c r="I24" s="292">
        <f t="shared" si="7"/>
        <v>6</v>
      </c>
      <c r="J24" s="294">
        <f t="shared" si="8"/>
        <v>3.66666666666667</v>
      </c>
      <c r="K24" s="295">
        <f>表1温室气体盘查表!AL26</f>
        <v>22918.907292</v>
      </c>
      <c r="L24" s="296">
        <f t="shared" si="4"/>
        <v>0.00147634985418632</v>
      </c>
      <c r="M24" s="297">
        <f t="shared" si="9"/>
        <v>0.00541328279868317</v>
      </c>
    </row>
    <row r="25" ht="18" customHeight="1" spans="1:13">
      <c r="A25" s="289">
        <v>23</v>
      </c>
      <c r="B25" s="290" t="str">
        <f>表1温室气体盘查表!C27</f>
        <v>硅铁</v>
      </c>
      <c r="C25" s="290" t="str">
        <f>表1温室气体盘查表!D27</f>
        <v>炼钢</v>
      </c>
      <c r="D25" s="291" t="s">
        <v>438</v>
      </c>
      <c r="E25" s="291" t="s">
        <v>440</v>
      </c>
      <c r="F25" s="291" t="s">
        <v>437</v>
      </c>
      <c r="G25" s="292">
        <f t="shared" si="5"/>
        <v>3</v>
      </c>
      <c r="H25" s="293">
        <f t="shared" si="6"/>
        <v>2</v>
      </c>
      <c r="I25" s="292">
        <f t="shared" si="7"/>
        <v>6</v>
      </c>
      <c r="J25" s="294">
        <f t="shared" si="8"/>
        <v>3.66666666666667</v>
      </c>
      <c r="K25" s="295">
        <f>表1温室气体盘查表!AL27</f>
        <v>74.70736</v>
      </c>
      <c r="L25" s="296">
        <f t="shared" si="4"/>
        <v>4.81236730169696e-6</v>
      </c>
      <c r="M25" s="297">
        <f t="shared" si="9"/>
        <v>1.76453467728889e-5</v>
      </c>
    </row>
    <row r="26" ht="18" customHeight="1" spans="1:13">
      <c r="A26" s="289">
        <v>24</v>
      </c>
      <c r="B26" s="290" t="str">
        <f>表1温室气体盘查表!C28</f>
        <v>钼铁</v>
      </c>
      <c r="C26" s="290" t="str">
        <f>表1温室气体盘查表!D28</f>
        <v>炼钢</v>
      </c>
      <c r="D26" s="291" t="s">
        <v>438</v>
      </c>
      <c r="E26" s="291" t="s">
        <v>440</v>
      </c>
      <c r="F26" s="291" t="s">
        <v>437</v>
      </c>
      <c r="G26" s="292">
        <f t="shared" si="5"/>
        <v>3</v>
      </c>
      <c r="H26" s="293">
        <f t="shared" si="6"/>
        <v>2</v>
      </c>
      <c r="I26" s="292">
        <f t="shared" si="7"/>
        <v>6</v>
      </c>
      <c r="J26" s="294">
        <f t="shared" si="8"/>
        <v>3.66666666666667</v>
      </c>
      <c r="K26" s="295">
        <f>表1温室气体盘查表!AL28</f>
        <v>143.012952</v>
      </c>
      <c r="L26" s="296">
        <f t="shared" si="4"/>
        <v>9.2123567734686e-6</v>
      </c>
      <c r="M26" s="297">
        <f t="shared" si="9"/>
        <v>3.37786415027182e-5</v>
      </c>
    </row>
    <row r="27" ht="18" customHeight="1" spans="1:13">
      <c r="A27" s="289">
        <v>25</v>
      </c>
      <c r="B27" s="290" t="str">
        <f>表1温室气体盘查表!C29</f>
        <v>钢坯</v>
      </c>
      <c r="C27" s="290" t="str">
        <f>表1温室气体盘查表!D29</f>
        <v>固碳产品</v>
      </c>
      <c r="D27" s="291" t="s">
        <v>438</v>
      </c>
      <c r="E27" s="291" t="s">
        <v>440</v>
      </c>
      <c r="F27" s="291" t="s">
        <v>437</v>
      </c>
      <c r="G27" s="292">
        <f t="shared" si="5"/>
        <v>3</v>
      </c>
      <c r="H27" s="293">
        <f t="shared" si="6"/>
        <v>2</v>
      </c>
      <c r="I27" s="292">
        <f t="shared" si="7"/>
        <v>6</v>
      </c>
      <c r="J27" s="294">
        <f t="shared" si="8"/>
        <v>3.66666666666667</v>
      </c>
      <c r="K27" s="295">
        <f>表1温室气体盘查表!AL29</f>
        <v>-160314.41178</v>
      </c>
      <c r="L27" s="296">
        <f t="shared" si="4"/>
        <v>-0.0103268517752582</v>
      </c>
      <c r="M27" s="297">
        <f t="shared" si="9"/>
        <v>-0.0378651231759468</v>
      </c>
    </row>
    <row r="28" ht="18" customHeight="1" spans="1:13">
      <c r="A28" s="289">
        <v>26</v>
      </c>
      <c r="B28" s="290" t="str">
        <f>表1温室气体盘查表!C30</f>
        <v>粗苯</v>
      </c>
      <c r="C28" s="290" t="str">
        <f>表1温室气体盘查表!D30</f>
        <v>外售</v>
      </c>
      <c r="D28" s="291" t="s">
        <v>438</v>
      </c>
      <c r="E28" s="291" t="s">
        <v>440</v>
      </c>
      <c r="F28" s="291" t="s">
        <v>437</v>
      </c>
      <c r="G28" s="292">
        <f t="shared" si="5"/>
        <v>3</v>
      </c>
      <c r="H28" s="293">
        <f t="shared" si="6"/>
        <v>2</v>
      </c>
      <c r="I28" s="292">
        <f t="shared" si="7"/>
        <v>6</v>
      </c>
      <c r="J28" s="294">
        <f t="shared" si="8"/>
        <v>3.66666666666667</v>
      </c>
      <c r="K28" s="295">
        <f>表1温室气体盘查表!AL30</f>
        <v>-65952.99076</v>
      </c>
      <c r="L28" s="296">
        <f t="shared" si="4"/>
        <v>-0.00424844374346177</v>
      </c>
      <c r="M28" s="297">
        <f t="shared" si="9"/>
        <v>-0.0155776270593598</v>
      </c>
    </row>
    <row r="29" ht="18" customHeight="1" spans="1:13">
      <c r="A29" s="289">
        <v>27</v>
      </c>
      <c r="B29" s="290" t="str">
        <f>表1温室气体盘查表!C31</f>
        <v>煤焦油</v>
      </c>
      <c r="C29" s="290" t="str">
        <f>表1温室气体盘查表!D31</f>
        <v>危废处置</v>
      </c>
      <c r="D29" s="291" t="s">
        <v>438</v>
      </c>
      <c r="E29" s="291" t="s">
        <v>440</v>
      </c>
      <c r="F29" s="291" t="s">
        <v>437</v>
      </c>
      <c r="G29" s="292">
        <f t="shared" si="5"/>
        <v>3</v>
      </c>
      <c r="H29" s="293">
        <f t="shared" si="6"/>
        <v>2</v>
      </c>
      <c r="I29" s="292">
        <f t="shared" si="7"/>
        <v>6</v>
      </c>
      <c r="J29" s="294">
        <f t="shared" si="8"/>
        <v>3.66666666666667</v>
      </c>
      <c r="K29" s="295">
        <f>表1温室气体盘查表!AL31</f>
        <v>-159387.0159</v>
      </c>
      <c r="L29" s="296">
        <f t="shared" si="4"/>
        <v>-0.010267112418806</v>
      </c>
      <c r="M29" s="297">
        <f t="shared" si="9"/>
        <v>-0.0376460788689555</v>
      </c>
    </row>
    <row r="30" ht="18" customHeight="1" spans="1:13">
      <c r="A30" s="289">
        <v>28</v>
      </c>
      <c r="B30" s="290" t="str">
        <f>表1温室气体盘查表!C32</f>
        <v>外购电力（基于位置）</v>
      </c>
      <c r="C30" s="290" t="str">
        <f>表1温室气体盘查表!D32</f>
        <v>用电设备</v>
      </c>
      <c r="D30" s="291" t="s">
        <v>435</v>
      </c>
      <c r="E30" s="291" t="s">
        <v>440</v>
      </c>
      <c r="F30" s="291" t="s">
        <v>437</v>
      </c>
      <c r="G30" s="292">
        <f t="shared" si="5"/>
        <v>6</v>
      </c>
      <c r="H30" s="293">
        <f t="shared" si="6"/>
        <v>2</v>
      </c>
      <c r="I30" s="292">
        <f t="shared" si="7"/>
        <v>6</v>
      </c>
      <c r="J30" s="294">
        <f t="shared" si="8"/>
        <v>4.66666666666667</v>
      </c>
      <c r="K30" s="295">
        <f>表1温室气体盘查表!AL32</f>
        <v>1069378.747982</v>
      </c>
      <c r="L30" s="296">
        <f t="shared" si="4"/>
        <v>0.068885359085346</v>
      </c>
      <c r="M30" s="297">
        <f t="shared" si="9"/>
        <v>0.321465009064948</v>
      </c>
    </row>
    <row r="31" ht="18" customHeight="1" spans="1:13">
      <c r="A31" s="289">
        <v>29</v>
      </c>
      <c r="B31" s="290" t="str">
        <f>表1温室气体盘查表!C34</f>
        <v>铁矿石生产</v>
      </c>
      <c r="C31" s="290" t="str">
        <f>表1温室气体盘查表!D34</f>
        <v>烧结</v>
      </c>
      <c r="D31" s="291" t="s">
        <v>438</v>
      </c>
      <c r="E31" s="291" t="s">
        <v>440</v>
      </c>
      <c r="F31" s="291" t="s">
        <v>437</v>
      </c>
      <c r="G31" s="292">
        <f t="shared" si="5"/>
        <v>3</v>
      </c>
      <c r="H31" s="293">
        <f t="shared" si="6"/>
        <v>2</v>
      </c>
      <c r="I31" s="292">
        <f t="shared" si="7"/>
        <v>6</v>
      </c>
      <c r="J31" s="294">
        <f t="shared" si="8"/>
        <v>3.66666666666667</v>
      </c>
      <c r="K31" s="295">
        <f>表1温室气体盘查表!AL34</f>
        <v>448588.57632498</v>
      </c>
      <c r="L31" s="296">
        <f t="shared" si="4"/>
        <v>0.0288963898151551</v>
      </c>
      <c r="M31" s="297">
        <f t="shared" si="9"/>
        <v>0.105953429322235</v>
      </c>
    </row>
    <row r="32" ht="18" customHeight="1" spans="1:13">
      <c r="A32" s="289">
        <v>30</v>
      </c>
      <c r="B32" s="290" t="str">
        <f>表1温室气体盘查表!C35</f>
        <v>生石灰生产</v>
      </c>
      <c r="C32" s="290" t="str">
        <f>表1温室气体盘查表!D35</f>
        <v>烧结、转炉、电炉</v>
      </c>
      <c r="D32" s="291" t="s">
        <v>438</v>
      </c>
      <c r="E32" s="291" t="s">
        <v>436</v>
      </c>
      <c r="F32" s="291" t="s">
        <v>437</v>
      </c>
      <c r="G32" s="292">
        <f t="shared" si="5"/>
        <v>3</v>
      </c>
      <c r="H32" s="293">
        <f t="shared" si="6"/>
        <v>1</v>
      </c>
      <c r="I32" s="292">
        <f t="shared" si="7"/>
        <v>6</v>
      </c>
      <c r="J32" s="294">
        <f t="shared" si="8"/>
        <v>3.33333333333333</v>
      </c>
      <c r="K32" s="295">
        <f>表1温室气体盘查表!AL35</f>
        <v>727500.380476304</v>
      </c>
      <c r="L32" s="296">
        <f t="shared" si="4"/>
        <v>0.0468628397921739</v>
      </c>
      <c r="M32" s="297">
        <f t="shared" si="9"/>
        <v>0.156209465973913</v>
      </c>
    </row>
    <row r="33" ht="18" customHeight="1" spans="1:13">
      <c r="A33" s="289">
        <v>31</v>
      </c>
      <c r="B33" s="290" t="str">
        <f>表1温室气体盘查表!C36</f>
        <v>石灰石生产</v>
      </c>
      <c r="C33" s="290" t="str">
        <f>表1温室气体盘查表!D36</f>
        <v>转炉</v>
      </c>
      <c r="D33" s="291" t="s">
        <v>438</v>
      </c>
      <c r="E33" s="291" t="s">
        <v>436</v>
      </c>
      <c r="F33" s="291" t="s">
        <v>437</v>
      </c>
      <c r="G33" s="292">
        <f t="shared" si="5"/>
        <v>3</v>
      </c>
      <c r="H33" s="293">
        <f t="shared" si="6"/>
        <v>1</v>
      </c>
      <c r="I33" s="292">
        <f t="shared" si="7"/>
        <v>6</v>
      </c>
      <c r="J33" s="294">
        <f t="shared" si="8"/>
        <v>3.33333333333333</v>
      </c>
      <c r="K33" s="295">
        <f>表1温室气体盘查表!AL36</f>
        <v>58.676346523</v>
      </c>
      <c r="L33" s="296">
        <f t="shared" si="4"/>
        <v>3.77970967506181e-6</v>
      </c>
      <c r="M33" s="297">
        <f t="shared" si="9"/>
        <v>1.2599032250206e-5</v>
      </c>
    </row>
    <row r="34" ht="18" customHeight="1" spans="1:13">
      <c r="A34" s="289">
        <v>32</v>
      </c>
      <c r="B34" s="290" t="str">
        <f>表1温室气体盘查表!C37</f>
        <v>白云石生产</v>
      </c>
      <c r="C34" s="290" t="str">
        <f>表1温室气体盘查表!D37</f>
        <v>烧结、转炉、电炉</v>
      </c>
      <c r="D34" s="291" t="s">
        <v>438</v>
      </c>
      <c r="E34" s="291" t="s">
        <v>436</v>
      </c>
      <c r="F34" s="291" t="s">
        <v>437</v>
      </c>
      <c r="G34" s="292">
        <f t="shared" si="5"/>
        <v>3</v>
      </c>
      <c r="H34" s="293">
        <f t="shared" si="6"/>
        <v>1</v>
      </c>
      <c r="I34" s="292">
        <f t="shared" si="7"/>
        <v>6</v>
      </c>
      <c r="J34" s="294">
        <f t="shared" si="8"/>
        <v>3.33333333333333</v>
      </c>
      <c r="K34" s="295">
        <f>表1温室气体盘查表!AL37</f>
        <v>46435.1961987</v>
      </c>
      <c r="L34" s="296">
        <f t="shared" si="4"/>
        <v>0.00299118078639784</v>
      </c>
      <c r="M34" s="297">
        <f t="shared" si="9"/>
        <v>0.00997060262132615</v>
      </c>
    </row>
    <row r="35" ht="18" customHeight="1" spans="1:13">
      <c r="A35" s="289">
        <v>33</v>
      </c>
      <c r="B35" s="290" t="str">
        <f>表1温室气体盘查表!C38</f>
        <v>轻烧白云石生产</v>
      </c>
      <c r="C35" s="290" t="str">
        <f>表1温室气体盘查表!D38</f>
        <v>转炉、电炉</v>
      </c>
      <c r="D35" s="291" t="s">
        <v>438</v>
      </c>
      <c r="E35" s="291" t="s">
        <v>436</v>
      </c>
      <c r="F35" s="291" t="s">
        <v>437</v>
      </c>
      <c r="G35" s="292">
        <f t="shared" si="5"/>
        <v>3</v>
      </c>
      <c r="H35" s="293">
        <f t="shared" si="6"/>
        <v>1</v>
      </c>
      <c r="I35" s="292">
        <f t="shared" si="7"/>
        <v>6</v>
      </c>
      <c r="J35" s="294">
        <f t="shared" si="8"/>
        <v>3.33333333333333</v>
      </c>
      <c r="K35" s="295">
        <f>表1温室气体盘查表!AL38</f>
        <v>363.2088572</v>
      </c>
      <c r="L35" s="296">
        <f t="shared" ref="L35:L66" si="10">K35/$K$101</f>
        <v>2.3396549256673e-5</v>
      </c>
      <c r="M35" s="297">
        <f t="shared" si="9"/>
        <v>7.79884975222433e-5</v>
      </c>
    </row>
    <row r="36" ht="18" customHeight="1" spans="1:13">
      <c r="A36" s="289">
        <v>34</v>
      </c>
      <c r="B36" s="290" t="str">
        <f>表1温室气体盘查表!C39</f>
        <v>球团生产</v>
      </c>
      <c r="C36" s="290" t="str">
        <f>表1温室气体盘查表!D39</f>
        <v>高炉、转炉</v>
      </c>
      <c r="D36" s="291" t="s">
        <v>438</v>
      </c>
      <c r="E36" s="291" t="s">
        <v>436</v>
      </c>
      <c r="F36" s="291" t="s">
        <v>437</v>
      </c>
      <c r="G36" s="292">
        <f t="shared" si="5"/>
        <v>3</v>
      </c>
      <c r="H36" s="293">
        <f t="shared" si="6"/>
        <v>1</v>
      </c>
      <c r="I36" s="292">
        <f t="shared" si="7"/>
        <v>6</v>
      </c>
      <c r="J36" s="294">
        <f t="shared" si="8"/>
        <v>3.33333333333333</v>
      </c>
      <c r="K36" s="295">
        <f>表1温室气体盘查表!AL39</f>
        <v>71601.0509094</v>
      </c>
      <c r="L36" s="296">
        <f t="shared" si="10"/>
        <v>0.00461227054688502</v>
      </c>
      <c r="M36" s="297">
        <f t="shared" si="9"/>
        <v>0.0153742351562834</v>
      </c>
    </row>
    <row r="37" ht="18" customHeight="1" spans="1:13">
      <c r="A37" s="289">
        <v>35</v>
      </c>
      <c r="B37" s="290" t="str">
        <f>表1温室气体盘查表!C40</f>
        <v>废钢生产</v>
      </c>
      <c r="C37" s="290" t="str">
        <f>表1温室气体盘查表!D40</f>
        <v>转炉、电炉</v>
      </c>
      <c r="D37" s="291" t="s">
        <v>438</v>
      </c>
      <c r="E37" s="291" t="s">
        <v>436</v>
      </c>
      <c r="F37" s="291" t="s">
        <v>437</v>
      </c>
      <c r="G37" s="292">
        <f t="shared" si="5"/>
        <v>3</v>
      </c>
      <c r="H37" s="293">
        <f t="shared" si="6"/>
        <v>1</v>
      </c>
      <c r="I37" s="292">
        <f t="shared" si="7"/>
        <v>6</v>
      </c>
      <c r="J37" s="294">
        <f t="shared" si="8"/>
        <v>3.33333333333333</v>
      </c>
      <c r="K37" s="295">
        <f>表1温室气体盘查表!AL40</f>
        <v>79944.3879423517</v>
      </c>
      <c r="L37" s="296">
        <f t="shared" si="10"/>
        <v>0.00514971695543719</v>
      </c>
      <c r="M37" s="297">
        <f t="shared" si="9"/>
        <v>0.0171657231847906</v>
      </c>
    </row>
    <row r="38" ht="18" customHeight="1" spans="1:13">
      <c r="A38" s="289">
        <v>36</v>
      </c>
      <c r="B38" s="290" t="str">
        <f>表1温室气体盘查表!C41</f>
        <v>电极生产</v>
      </c>
      <c r="C38" s="290" t="str">
        <f>表1温室气体盘查表!D41</f>
        <v>转炉、电炉</v>
      </c>
      <c r="D38" s="291" t="s">
        <v>438</v>
      </c>
      <c r="E38" s="291" t="s">
        <v>436</v>
      </c>
      <c r="F38" s="291" t="s">
        <v>437</v>
      </c>
      <c r="G38" s="292">
        <f t="shared" si="5"/>
        <v>3</v>
      </c>
      <c r="H38" s="293">
        <f t="shared" si="6"/>
        <v>1</v>
      </c>
      <c r="I38" s="292">
        <f t="shared" si="7"/>
        <v>6</v>
      </c>
      <c r="J38" s="294">
        <f t="shared" si="8"/>
        <v>3.33333333333333</v>
      </c>
      <c r="K38" s="295">
        <f>表1温室气体盘查表!AL41</f>
        <v>37742.8121526018</v>
      </c>
      <c r="L38" s="296">
        <f t="shared" si="10"/>
        <v>0.00243125008134769</v>
      </c>
      <c r="M38" s="297">
        <f t="shared" si="9"/>
        <v>0.00810416693782564</v>
      </c>
    </row>
    <row r="39" ht="18" customHeight="1" spans="1:13">
      <c r="A39" s="289">
        <v>37</v>
      </c>
      <c r="B39" s="290" t="str">
        <f>表1温室气体盘查表!C42</f>
        <v>锰铁生产</v>
      </c>
      <c r="C39" s="290" t="str">
        <f>表1温室气体盘查表!D42</f>
        <v>转炉、电炉</v>
      </c>
      <c r="D39" s="291" t="s">
        <v>438</v>
      </c>
      <c r="E39" s="291" t="s">
        <v>436</v>
      </c>
      <c r="F39" s="291" t="s">
        <v>437</v>
      </c>
      <c r="G39" s="292">
        <f t="shared" si="5"/>
        <v>3</v>
      </c>
      <c r="H39" s="293">
        <f t="shared" si="6"/>
        <v>1</v>
      </c>
      <c r="I39" s="292">
        <f t="shared" si="7"/>
        <v>6</v>
      </c>
      <c r="J39" s="294">
        <f t="shared" si="8"/>
        <v>3.33333333333333</v>
      </c>
      <c r="K39" s="295">
        <f>表1温室气体盘查表!AL42</f>
        <v>141868.581696</v>
      </c>
      <c r="L39" s="296">
        <f t="shared" si="10"/>
        <v>0.00913864074024238</v>
      </c>
      <c r="M39" s="297">
        <f t="shared" si="9"/>
        <v>0.0304621358008079</v>
      </c>
    </row>
    <row r="40" ht="18" customHeight="1" spans="1:13">
      <c r="A40" s="289">
        <v>38</v>
      </c>
      <c r="B40" s="290" t="str">
        <f>表1温室气体盘查表!C43</f>
        <v>镍铁生产</v>
      </c>
      <c r="C40" s="290" t="str">
        <f>表1温室气体盘查表!D43</f>
        <v>转炉、电炉</v>
      </c>
      <c r="D40" s="291" t="s">
        <v>438</v>
      </c>
      <c r="E40" s="291" t="s">
        <v>436</v>
      </c>
      <c r="F40" s="291" t="s">
        <v>437</v>
      </c>
      <c r="G40" s="292">
        <f t="shared" si="5"/>
        <v>3</v>
      </c>
      <c r="H40" s="293">
        <f t="shared" si="6"/>
        <v>1</v>
      </c>
      <c r="I40" s="292">
        <f t="shared" si="7"/>
        <v>6</v>
      </c>
      <c r="J40" s="294">
        <f t="shared" si="8"/>
        <v>3.33333333333333</v>
      </c>
      <c r="K40" s="295">
        <f>表1温室气体盘查表!AL43</f>
        <v>84819.123027</v>
      </c>
      <c r="L40" s="296">
        <f t="shared" si="10"/>
        <v>0.00546372906516502</v>
      </c>
      <c r="M40" s="297">
        <f t="shared" si="9"/>
        <v>0.0182124302172167</v>
      </c>
    </row>
    <row r="41" ht="18" customHeight="1" spans="1:13">
      <c r="A41" s="289">
        <v>39</v>
      </c>
      <c r="B41" s="290" t="str">
        <f>表1温室气体盘查表!C44</f>
        <v>铬铁生产</v>
      </c>
      <c r="C41" s="290" t="str">
        <f>表1温室气体盘查表!D44</f>
        <v>转炉、电炉</v>
      </c>
      <c r="D41" s="291" t="s">
        <v>438</v>
      </c>
      <c r="E41" s="291" t="s">
        <v>436</v>
      </c>
      <c r="F41" s="291" t="s">
        <v>437</v>
      </c>
      <c r="G41" s="292">
        <f t="shared" si="5"/>
        <v>3</v>
      </c>
      <c r="H41" s="293">
        <f t="shared" si="6"/>
        <v>1</v>
      </c>
      <c r="I41" s="292">
        <f t="shared" si="7"/>
        <v>6</v>
      </c>
      <c r="J41" s="294">
        <f t="shared" si="8"/>
        <v>3.33333333333333</v>
      </c>
      <c r="K41" s="295">
        <f>表1温室气体盘查表!AL44</f>
        <v>345101.444753</v>
      </c>
      <c r="L41" s="296">
        <f t="shared" si="10"/>
        <v>0.0222301378137002</v>
      </c>
      <c r="M41" s="297">
        <f t="shared" si="9"/>
        <v>0.0741004593790008</v>
      </c>
    </row>
    <row r="42" ht="18" customHeight="1" spans="1:13">
      <c r="A42" s="289">
        <v>40</v>
      </c>
      <c r="B42" s="290" t="str">
        <f>表1温室气体盘查表!C45</f>
        <v>萤石生产</v>
      </c>
      <c r="C42" s="290" t="str">
        <f>表1温室气体盘查表!D45</f>
        <v>转炉、电炉</v>
      </c>
      <c r="D42" s="291" t="s">
        <v>438</v>
      </c>
      <c r="E42" s="291" t="s">
        <v>436</v>
      </c>
      <c r="F42" s="291" t="s">
        <v>437</v>
      </c>
      <c r="G42" s="292">
        <f t="shared" si="5"/>
        <v>3</v>
      </c>
      <c r="H42" s="293">
        <f t="shared" si="6"/>
        <v>1</v>
      </c>
      <c r="I42" s="292">
        <f t="shared" si="7"/>
        <v>6</v>
      </c>
      <c r="J42" s="294">
        <f t="shared" si="8"/>
        <v>3.33333333333333</v>
      </c>
      <c r="K42" s="295">
        <f>表1温室气体盘查表!AL45</f>
        <v>685.0621872</v>
      </c>
      <c r="L42" s="296">
        <f t="shared" si="10"/>
        <v>4.41291309090601e-5</v>
      </c>
      <c r="M42" s="297">
        <f t="shared" si="9"/>
        <v>0.0001470971030302</v>
      </c>
    </row>
    <row r="43" ht="18" customHeight="1" spans="1:13">
      <c r="A43" s="289">
        <v>41</v>
      </c>
      <c r="B43" s="290" t="str">
        <f>表1温室气体盘查表!C46</f>
        <v>硅铁生产</v>
      </c>
      <c r="C43" s="290" t="str">
        <f>表1温室气体盘查表!D46</f>
        <v>转炉、电炉</v>
      </c>
      <c r="D43" s="291" t="s">
        <v>438</v>
      </c>
      <c r="E43" s="291" t="s">
        <v>436</v>
      </c>
      <c r="F43" s="291" t="s">
        <v>437</v>
      </c>
      <c r="G43" s="292">
        <f t="shared" si="5"/>
        <v>3</v>
      </c>
      <c r="H43" s="293">
        <f t="shared" si="6"/>
        <v>1</v>
      </c>
      <c r="I43" s="292">
        <f t="shared" si="7"/>
        <v>6</v>
      </c>
      <c r="J43" s="294">
        <f t="shared" si="8"/>
        <v>3.33333333333333</v>
      </c>
      <c r="K43" s="295">
        <f>表1温室气体盘查表!AL46</f>
        <v>103575.7833</v>
      </c>
      <c r="L43" s="296">
        <f t="shared" si="10"/>
        <v>0.00667196261252667</v>
      </c>
      <c r="M43" s="297">
        <f t="shared" si="9"/>
        <v>0.0222398753750889</v>
      </c>
    </row>
    <row r="44" ht="18" customHeight="1" spans="1:13">
      <c r="A44" s="289">
        <v>42</v>
      </c>
      <c r="B44" s="290" t="str">
        <f>表1温室气体盘查表!C47</f>
        <v>钼铁生产</v>
      </c>
      <c r="C44" s="290" t="str">
        <f>表1温室气体盘查表!D47</f>
        <v>转炉、电炉</v>
      </c>
      <c r="D44" s="291" t="s">
        <v>438</v>
      </c>
      <c r="E44" s="291" t="s">
        <v>436</v>
      </c>
      <c r="F44" s="291" t="s">
        <v>437</v>
      </c>
      <c r="G44" s="292">
        <f t="shared" si="5"/>
        <v>3</v>
      </c>
      <c r="H44" s="293">
        <f t="shared" si="6"/>
        <v>1</v>
      </c>
      <c r="I44" s="292">
        <f t="shared" si="7"/>
        <v>6</v>
      </c>
      <c r="J44" s="294">
        <f t="shared" si="8"/>
        <v>3.33333333333333</v>
      </c>
      <c r="K44" s="295">
        <f>表1温室气体盘查表!AL47</f>
        <v>66065.4</v>
      </c>
      <c r="L44" s="296">
        <f t="shared" si="10"/>
        <v>0.00425568472414941</v>
      </c>
      <c r="M44" s="297">
        <f t="shared" si="9"/>
        <v>0.0141856157471647</v>
      </c>
    </row>
    <row r="45" ht="18" customHeight="1" spans="1:13">
      <c r="A45" s="289">
        <v>43</v>
      </c>
      <c r="B45" s="290" t="str">
        <f>表1温室气体盘查表!C48</f>
        <v>铝铁生产</v>
      </c>
      <c r="C45" s="290" t="str">
        <f>表1温室气体盘查表!D48</f>
        <v>转炉、电炉</v>
      </c>
      <c r="D45" s="291" t="s">
        <v>438</v>
      </c>
      <c r="E45" s="291" t="s">
        <v>440</v>
      </c>
      <c r="F45" s="291" t="s">
        <v>437</v>
      </c>
      <c r="G45" s="292">
        <f t="shared" si="5"/>
        <v>3</v>
      </c>
      <c r="H45" s="293">
        <f t="shared" si="6"/>
        <v>2</v>
      </c>
      <c r="I45" s="292">
        <f t="shared" si="7"/>
        <v>6</v>
      </c>
      <c r="J45" s="294">
        <f t="shared" si="8"/>
        <v>3.66666666666667</v>
      </c>
      <c r="K45" s="295">
        <f>表1温室气体盘查表!AL48</f>
        <v>63158.1901075051</v>
      </c>
      <c r="L45" s="296">
        <f t="shared" si="10"/>
        <v>0.00406841319125342</v>
      </c>
      <c r="M45" s="297">
        <f t="shared" si="9"/>
        <v>0.0149175150345959</v>
      </c>
    </row>
    <row r="46" ht="18" customHeight="1" spans="1:13">
      <c r="A46" s="289">
        <v>44</v>
      </c>
      <c r="B46" s="290" t="str">
        <f>表1温室气体盘查表!C49</f>
        <v>铝生产</v>
      </c>
      <c r="C46" s="290" t="str">
        <f>表1温室气体盘查表!D49</f>
        <v>转炉、电炉</v>
      </c>
      <c r="D46" s="291" t="s">
        <v>438</v>
      </c>
      <c r="E46" s="291" t="s">
        <v>436</v>
      </c>
      <c r="F46" s="291" t="s">
        <v>437</v>
      </c>
      <c r="G46" s="292">
        <f t="shared" si="5"/>
        <v>3</v>
      </c>
      <c r="H46" s="293">
        <f t="shared" si="6"/>
        <v>1</v>
      </c>
      <c r="I46" s="292">
        <f t="shared" si="7"/>
        <v>6</v>
      </c>
      <c r="J46" s="294">
        <f t="shared" si="8"/>
        <v>3.33333333333333</v>
      </c>
      <c r="K46" s="295">
        <f>表1温室气体盘查表!AL49</f>
        <v>63342.1950321903</v>
      </c>
      <c r="L46" s="296">
        <f t="shared" si="10"/>
        <v>0.00408026609681595</v>
      </c>
      <c r="M46" s="297">
        <f t="shared" si="9"/>
        <v>0.0136008869893865</v>
      </c>
    </row>
    <row r="47" ht="18" customHeight="1" spans="1:13">
      <c r="A47" s="289">
        <v>45</v>
      </c>
      <c r="B47" s="290" t="str">
        <f>表1温室气体盘查表!C50</f>
        <v>增碳剂生产</v>
      </c>
      <c r="C47" s="290" t="str">
        <f>表1温室气体盘查表!D50</f>
        <v>转炉、电炉</v>
      </c>
      <c r="D47" s="291" t="s">
        <v>438</v>
      </c>
      <c r="E47" s="291" t="s">
        <v>436</v>
      </c>
      <c r="F47" s="291" t="s">
        <v>437</v>
      </c>
      <c r="G47" s="292">
        <f t="shared" si="5"/>
        <v>3</v>
      </c>
      <c r="H47" s="293">
        <f t="shared" si="6"/>
        <v>1</v>
      </c>
      <c r="I47" s="292">
        <f t="shared" si="7"/>
        <v>6</v>
      </c>
      <c r="J47" s="294">
        <f t="shared" si="8"/>
        <v>3.33333333333333</v>
      </c>
      <c r="K47" s="295">
        <f>表1温室气体盘查表!AL50</f>
        <v>17778.3232071154</v>
      </c>
      <c r="L47" s="296">
        <f t="shared" si="10"/>
        <v>0.0011452127512058</v>
      </c>
      <c r="M47" s="297">
        <f t="shared" si="9"/>
        <v>0.00381737583735267</v>
      </c>
    </row>
    <row r="48" ht="18" customHeight="1" spans="1:13">
      <c r="A48" s="289">
        <v>46</v>
      </c>
      <c r="B48" s="290" t="str">
        <f>表1温室气体盘查表!C51</f>
        <v>铁鳞生产</v>
      </c>
      <c r="C48" s="290" t="str">
        <f>表1温室气体盘查表!D51</f>
        <v>炼钢</v>
      </c>
      <c r="D48" s="291" t="s">
        <v>438</v>
      </c>
      <c r="E48" s="291" t="s">
        <v>436</v>
      </c>
      <c r="F48" s="291" t="s">
        <v>437</v>
      </c>
      <c r="G48" s="292">
        <f t="shared" si="5"/>
        <v>3</v>
      </c>
      <c r="H48" s="293">
        <f t="shared" si="6"/>
        <v>1</v>
      </c>
      <c r="I48" s="292">
        <f t="shared" si="7"/>
        <v>6</v>
      </c>
      <c r="J48" s="294">
        <f t="shared" si="8"/>
        <v>3.33333333333333</v>
      </c>
      <c r="K48" s="295">
        <f>表1温室气体盘查表!AL51</f>
        <v>608.383942171421</v>
      </c>
      <c r="L48" s="296">
        <f t="shared" si="10"/>
        <v>3.91898066024986e-5</v>
      </c>
      <c r="M48" s="297">
        <f t="shared" si="9"/>
        <v>0.000130632688674995</v>
      </c>
    </row>
    <row r="49" ht="18" customHeight="1" spans="1:13">
      <c r="A49" s="289">
        <v>47</v>
      </c>
      <c r="B49" s="290" t="str">
        <f>表1温室气体盘查表!C52</f>
        <v>氨水生产</v>
      </c>
      <c r="C49" s="290" t="str">
        <f>表1温室气体盘查表!D52</f>
        <v>烧结</v>
      </c>
      <c r="D49" s="291" t="s">
        <v>438</v>
      </c>
      <c r="E49" s="291" t="s">
        <v>436</v>
      </c>
      <c r="F49" s="291" t="s">
        <v>437</v>
      </c>
      <c r="G49" s="292">
        <f t="shared" si="5"/>
        <v>3</v>
      </c>
      <c r="H49" s="293">
        <f t="shared" si="6"/>
        <v>1</v>
      </c>
      <c r="I49" s="292">
        <f t="shared" si="7"/>
        <v>6</v>
      </c>
      <c r="J49" s="294">
        <f t="shared" si="8"/>
        <v>3.33333333333333</v>
      </c>
      <c r="K49" s="295">
        <f>表1温室气体盘查表!AL52</f>
        <v>24444.8152755637</v>
      </c>
      <c r="L49" s="296">
        <f t="shared" si="10"/>
        <v>0.00157464311050672</v>
      </c>
      <c r="M49" s="297">
        <f t="shared" si="9"/>
        <v>0.00524881036835572</v>
      </c>
    </row>
    <row r="50" ht="18" customHeight="1" spans="1:13">
      <c r="A50" s="289">
        <v>48</v>
      </c>
      <c r="B50" s="290" t="str">
        <f>表1温室气体盘查表!C53</f>
        <v>碳化硅生产</v>
      </c>
      <c r="C50" s="290" t="str">
        <f>表1温室气体盘查表!D53</f>
        <v>-</v>
      </c>
      <c r="D50" s="291" t="s">
        <v>438</v>
      </c>
      <c r="E50" s="291" t="s">
        <v>436</v>
      </c>
      <c r="F50" s="291" t="s">
        <v>437</v>
      </c>
      <c r="G50" s="292">
        <f t="shared" si="5"/>
        <v>3</v>
      </c>
      <c r="H50" s="293">
        <f t="shared" si="6"/>
        <v>1</v>
      </c>
      <c r="I50" s="292">
        <f t="shared" si="7"/>
        <v>6</v>
      </c>
      <c r="J50" s="294">
        <f t="shared" si="8"/>
        <v>3.33333333333333</v>
      </c>
      <c r="K50" s="295">
        <f>表1温室气体盘查表!AL53</f>
        <v>48149.5851242863</v>
      </c>
      <c r="L50" s="296">
        <f t="shared" si="10"/>
        <v>0.00310161527649203</v>
      </c>
      <c r="M50" s="297">
        <f t="shared" si="9"/>
        <v>0.0103387175883068</v>
      </c>
    </row>
    <row r="51" ht="18" customHeight="1" spans="1:13">
      <c r="A51" s="289">
        <v>49</v>
      </c>
      <c r="B51" s="290" t="str">
        <f>表1温室气体盘查表!C54</f>
        <v>镁生产</v>
      </c>
      <c r="C51" s="290" t="str">
        <f>表1温室气体盘查表!D54</f>
        <v>-</v>
      </c>
      <c r="D51" s="291" t="s">
        <v>438</v>
      </c>
      <c r="E51" s="291" t="s">
        <v>436</v>
      </c>
      <c r="F51" s="291" t="s">
        <v>437</v>
      </c>
      <c r="G51" s="292">
        <f t="shared" si="5"/>
        <v>3</v>
      </c>
      <c r="H51" s="293">
        <f t="shared" si="6"/>
        <v>1</v>
      </c>
      <c r="I51" s="292">
        <f t="shared" si="7"/>
        <v>6</v>
      </c>
      <c r="J51" s="294">
        <f t="shared" si="8"/>
        <v>3.33333333333333</v>
      </c>
      <c r="K51" s="295">
        <f>表1温室气体盘查表!AL54</f>
        <v>308520.83395426</v>
      </c>
      <c r="L51" s="296">
        <f t="shared" si="10"/>
        <v>0.0198737523747829</v>
      </c>
      <c r="M51" s="297">
        <f t="shared" si="9"/>
        <v>0.0662458412492762</v>
      </c>
    </row>
    <row r="52" ht="18" customHeight="1" spans="1:13">
      <c r="A52" s="289">
        <v>50</v>
      </c>
      <c r="B52" s="290" t="str">
        <f>表1温室气体盘查表!C55</f>
        <v>所有其他纸制品加工制造</v>
      </c>
      <c r="C52" s="290" t="str">
        <f>表1温室气体盘查表!D55</f>
        <v>办公室</v>
      </c>
      <c r="D52" s="291" t="s">
        <v>438</v>
      </c>
      <c r="E52" s="291" t="s">
        <v>436</v>
      </c>
      <c r="F52" s="291" t="s">
        <v>439</v>
      </c>
      <c r="G52" s="292">
        <f t="shared" si="5"/>
        <v>3</v>
      </c>
      <c r="H52" s="293">
        <f t="shared" si="6"/>
        <v>1</v>
      </c>
      <c r="I52" s="292">
        <f t="shared" si="7"/>
        <v>3</v>
      </c>
      <c r="J52" s="294">
        <f t="shared" si="8"/>
        <v>2.33333333333333</v>
      </c>
      <c r="K52" s="295">
        <f>表1温室气体盘查表!AL55</f>
        <v>5.54362431</v>
      </c>
      <c r="L52" s="296">
        <f t="shared" si="10"/>
        <v>3.57099439229768e-7</v>
      </c>
      <c r="M52" s="297">
        <f t="shared" si="9"/>
        <v>8.33232024869458e-7</v>
      </c>
    </row>
    <row r="53" ht="18" customHeight="1" spans="1:13">
      <c r="A53" s="289">
        <v>51</v>
      </c>
      <c r="B53" s="290" t="str">
        <f>表1温室气体盘查表!C56</f>
        <v>办公用品(纸张除外)制造</v>
      </c>
      <c r="C53" s="290" t="str">
        <f>表1温室气体盘查表!D56</f>
        <v>办公室</v>
      </c>
      <c r="D53" s="291" t="s">
        <v>438</v>
      </c>
      <c r="E53" s="291" t="s">
        <v>436</v>
      </c>
      <c r="F53" s="291" t="s">
        <v>439</v>
      </c>
      <c r="G53" s="292">
        <f t="shared" si="5"/>
        <v>3</v>
      </c>
      <c r="H53" s="293">
        <f t="shared" si="6"/>
        <v>1</v>
      </c>
      <c r="I53" s="292">
        <f t="shared" si="7"/>
        <v>3</v>
      </c>
      <c r="J53" s="294">
        <f t="shared" si="8"/>
        <v>2.33333333333333</v>
      </c>
      <c r="K53" s="295">
        <f>表1温室气体盘查表!AL56</f>
        <v>47.0342564</v>
      </c>
      <c r="L53" s="296">
        <f t="shared" si="10"/>
        <v>3.02976999266191e-6</v>
      </c>
      <c r="M53" s="297">
        <f t="shared" si="9"/>
        <v>7.06946331621113e-6</v>
      </c>
    </row>
    <row r="54" ht="18" customHeight="1" spans="1:13">
      <c r="A54" s="289">
        <v>52</v>
      </c>
      <c r="B54" s="290" t="str">
        <f>表1温室气体盘查表!C57</f>
        <v>源水</v>
      </c>
      <c r="C54" s="290" t="str">
        <f>表1温室气体盘查表!D57</f>
        <v>水处理工序</v>
      </c>
      <c r="D54" s="291" t="s">
        <v>435</v>
      </c>
      <c r="E54" s="291" t="s">
        <v>436</v>
      </c>
      <c r="F54" s="291" t="s">
        <v>437</v>
      </c>
      <c r="G54" s="292">
        <f t="shared" si="5"/>
        <v>6</v>
      </c>
      <c r="H54" s="293">
        <f t="shared" si="6"/>
        <v>1</v>
      </c>
      <c r="I54" s="292">
        <f t="shared" si="7"/>
        <v>6</v>
      </c>
      <c r="J54" s="294">
        <f t="shared" si="8"/>
        <v>4.33333333333333</v>
      </c>
      <c r="K54" s="295">
        <f>表1温室气体盘查表!AL57</f>
        <v>29761.0306554007</v>
      </c>
      <c r="L54" s="296">
        <f t="shared" si="10"/>
        <v>0.00191709372129936</v>
      </c>
      <c r="M54" s="297">
        <f t="shared" si="9"/>
        <v>0.00830740612563058</v>
      </c>
    </row>
    <row r="55" ht="18" customHeight="1" spans="1:13">
      <c r="A55" s="289">
        <v>53</v>
      </c>
      <c r="B55" s="290" t="str">
        <f>表1温室气体盘查表!C58</f>
        <v>采购产品空调和暖空气加热设备和商业和工业制冷设备制造</v>
      </c>
      <c r="C55" s="290" t="str">
        <f>表1温室气体盘查表!D58</f>
        <v>办公室、各工序</v>
      </c>
      <c r="D55" s="298" t="s">
        <v>441</v>
      </c>
      <c r="E55" s="291" t="s">
        <v>436</v>
      </c>
      <c r="F55" s="291" t="s">
        <v>439</v>
      </c>
      <c r="G55" s="292">
        <f t="shared" si="5"/>
        <v>1</v>
      </c>
      <c r="H55" s="293">
        <f t="shared" si="6"/>
        <v>1</v>
      </c>
      <c r="I55" s="292">
        <f t="shared" si="7"/>
        <v>3</v>
      </c>
      <c r="J55" s="294">
        <f t="shared" si="8"/>
        <v>1.66666666666667</v>
      </c>
      <c r="K55" s="295">
        <f>表1温室气体盘查表!AL58</f>
        <v>14.8324392</v>
      </c>
      <c r="L55" s="296">
        <f t="shared" si="10"/>
        <v>9.55449977224309e-7</v>
      </c>
      <c r="M55" s="297">
        <f t="shared" si="9"/>
        <v>1.59241662870718e-6</v>
      </c>
    </row>
    <row r="56" ht="18" customHeight="1" spans="1:13">
      <c r="A56" s="289">
        <v>54</v>
      </c>
      <c r="B56" s="290" t="str">
        <f>表1温室气体盘查表!C59</f>
        <v>电子计算机制造</v>
      </c>
      <c r="C56" s="290" t="str">
        <f>表1温室气体盘查表!D59</f>
        <v>办公室、各工序</v>
      </c>
      <c r="D56" s="298" t="s">
        <v>441</v>
      </c>
      <c r="E56" s="291" t="s">
        <v>436</v>
      </c>
      <c r="F56" s="291" t="s">
        <v>439</v>
      </c>
      <c r="G56" s="292">
        <f t="shared" si="5"/>
        <v>1</v>
      </c>
      <c r="H56" s="293">
        <f t="shared" si="6"/>
        <v>1</v>
      </c>
      <c r="I56" s="292">
        <f t="shared" si="7"/>
        <v>3</v>
      </c>
      <c r="J56" s="294">
        <f t="shared" si="8"/>
        <v>1.66666666666667</v>
      </c>
      <c r="K56" s="295">
        <f>表1温室气体盘查表!AL59</f>
        <v>3.78803974</v>
      </c>
      <c r="L56" s="296">
        <f t="shared" si="10"/>
        <v>2.44011280579379e-7</v>
      </c>
      <c r="M56" s="297">
        <f t="shared" si="9"/>
        <v>4.06685467632298e-7</v>
      </c>
    </row>
    <row r="57" ht="18" customHeight="1" spans="1:13">
      <c r="A57" s="289">
        <v>55</v>
      </c>
      <c r="B57" s="290" t="str">
        <f>表1温室气体盘查表!C60</f>
        <v>焊接及焊接设备制造</v>
      </c>
      <c r="C57" s="290" t="str">
        <f>表1温室气体盘查表!D60</f>
        <v>各工序</v>
      </c>
      <c r="D57" s="298" t="s">
        <v>441</v>
      </c>
      <c r="E57" s="291" t="s">
        <v>436</v>
      </c>
      <c r="F57" s="291" t="s">
        <v>439</v>
      </c>
      <c r="G57" s="292">
        <f t="shared" si="5"/>
        <v>1</v>
      </c>
      <c r="H57" s="293">
        <f t="shared" si="6"/>
        <v>1</v>
      </c>
      <c r="I57" s="292">
        <f t="shared" si="7"/>
        <v>3</v>
      </c>
      <c r="J57" s="294">
        <f t="shared" si="8"/>
        <v>1.66666666666667</v>
      </c>
      <c r="K57" s="295">
        <f>表1温室气体盘查表!AL60</f>
        <v>216.4113282</v>
      </c>
      <c r="L57" s="296">
        <f t="shared" si="10"/>
        <v>1.39404042593192e-5</v>
      </c>
      <c r="M57" s="297">
        <f t="shared" si="9"/>
        <v>2.32340070988653e-5</v>
      </c>
    </row>
    <row r="58" ht="18" customHeight="1" spans="1:13">
      <c r="A58" s="289">
        <v>56</v>
      </c>
      <c r="B58" s="290" t="str">
        <f>表1温室气体盘查表!C61</f>
        <v>其他工业设备制造</v>
      </c>
      <c r="C58" s="290" t="str">
        <f>表1温室气体盘查表!D61</f>
        <v>各工序</v>
      </c>
      <c r="D58" s="298" t="s">
        <v>441</v>
      </c>
      <c r="E58" s="291" t="s">
        <v>436</v>
      </c>
      <c r="F58" s="291" t="s">
        <v>439</v>
      </c>
      <c r="G58" s="292">
        <f t="shared" si="5"/>
        <v>1</v>
      </c>
      <c r="H58" s="293">
        <f t="shared" si="6"/>
        <v>1</v>
      </c>
      <c r="I58" s="292">
        <f t="shared" si="7"/>
        <v>3</v>
      </c>
      <c r="J58" s="294">
        <f t="shared" si="8"/>
        <v>1.66666666666667</v>
      </c>
      <c r="K58" s="295">
        <f>表1温室气体盘查表!AL61</f>
        <v>1153.46638455</v>
      </c>
      <c r="L58" s="296">
        <f t="shared" si="10"/>
        <v>7.43019685425242e-5</v>
      </c>
      <c r="M58" s="297">
        <f t="shared" si="9"/>
        <v>0.00012383661423754</v>
      </c>
    </row>
    <row r="59" ht="18" customHeight="1" spans="1:13">
      <c r="A59" s="289">
        <v>57</v>
      </c>
      <c r="B59" s="290" t="str">
        <f>表1温室气体盘查表!C62</f>
        <v>测量和测试电力和电气信号的仪器制造</v>
      </c>
      <c r="C59" s="290" t="str">
        <f>表1温室气体盘查表!D62</f>
        <v>各工序</v>
      </c>
      <c r="D59" s="298" t="s">
        <v>441</v>
      </c>
      <c r="E59" s="291" t="s">
        <v>436</v>
      </c>
      <c r="F59" s="291" t="s">
        <v>439</v>
      </c>
      <c r="G59" s="292">
        <f t="shared" si="5"/>
        <v>1</v>
      </c>
      <c r="H59" s="293">
        <f t="shared" si="6"/>
        <v>1</v>
      </c>
      <c r="I59" s="292">
        <f t="shared" si="7"/>
        <v>3</v>
      </c>
      <c r="J59" s="294">
        <f t="shared" si="8"/>
        <v>1.66666666666667</v>
      </c>
      <c r="K59" s="295">
        <f>表1温室气体盘查表!AL62</f>
        <v>44.31630215</v>
      </c>
      <c r="L59" s="296">
        <f t="shared" si="10"/>
        <v>2.854689596832e-6</v>
      </c>
      <c r="M59" s="297">
        <f t="shared" si="9"/>
        <v>4.75781599471999e-6</v>
      </c>
    </row>
    <row r="60" ht="18" customHeight="1" spans="1:13">
      <c r="A60" s="289">
        <v>58</v>
      </c>
      <c r="B60" s="290" t="str">
        <f>表1温室气体盘查表!C63</f>
        <v>计算机系统设计服务</v>
      </c>
      <c r="C60" s="290" t="str">
        <f>表1温室气体盘查表!D63</f>
        <v>各工序</v>
      </c>
      <c r="D60" s="298" t="s">
        <v>441</v>
      </c>
      <c r="E60" s="291" t="s">
        <v>436</v>
      </c>
      <c r="F60" s="291" t="s">
        <v>439</v>
      </c>
      <c r="G60" s="292">
        <f t="shared" si="5"/>
        <v>1</v>
      </c>
      <c r="H60" s="293">
        <f t="shared" si="6"/>
        <v>1</v>
      </c>
      <c r="I60" s="292">
        <f t="shared" si="7"/>
        <v>3</v>
      </c>
      <c r="J60" s="294">
        <f t="shared" si="8"/>
        <v>1.66666666666667</v>
      </c>
      <c r="K60" s="295">
        <f>表1温室气体盘查表!AL63</f>
        <v>56.22116828</v>
      </c>
      <c r="L60" s="296">
        <f t="shared" si="10"/>
        <v>3.62155632181186e-6</v>
      </c>
      <c r="M60" s="297">
        <f t="shared" si="9"/>
        <v>6.03592720301976e-6</v>
      </c>
    </row>
    <row r="61" ht="18" customHeight="1" spans="1:13">
      <c r="A61" s="289">
        <v>59</v>
      </c>
      <c r="B61" s="290" t="str">
        <f>表1温室气体盘查表!C64</f>
        <v>机械动力传动设备制造</v>
      </c>
      <c r="C61" s="290" t="str">
        <f>表1温室气体盘查表!D64</f>
        <v>各工序</v>
      </c>
      <c r="D61" s="298" t="s">
        <v>441</v>
      </c>
      <c r="E61" s="291" t="s">
        <v>436</v>
      </c>
      <c r="F61" s="291" t="s">
        <v>439</v>
      </c>
      <c r="G61" s="292">
        <f t="shared" si="5"/>
        <v>1</v>
      </c>
      <c r="H61" s="293">
        <f t="shared" si="6"/>
        <v>1</v>
      </c>
      <c r="I61" s="292">
        <f t="shared" si="7"/>
        <v>3</v>
      </c>
      <c r="J61" s="294">
        <f t="shared" si="8"/>
        <v>1.66666666666667</v>
      </c>
      <c r="K61" s="295">
        <f>表1温室气体盘查表!AL64</f>
        <v>35.30405219</v>
      </c>
      <c r="L61" s="296">
        <f t="shared" si="10"/>
        <v>2.27415433200369e-6</v>
      </c>
      <c r="M61" s="297">
        <f t="shared" si="9"/>
        <v>3.79025722000615e-6</v>
      </c>
    </row>
    <row r="62" ht="18" customHeight="1" spans="1:13">
      <c r="A62" s="289">
        <v>60</v>
      </c>
      <c r="B62" s="290" t="str">
        <f>表1温室气体盘查表!C65</f>
        <v>测量、分配及其他泵类设备制造</v>
      </c>
      <c r="C62" s="290" t="str">
        <f>表1温室气体盘查表!D65</f>
        <v>各工序</v>
      </c>
      <c r="D62" s="298" t="s">
        <v>441</v>
      </c>
      <c r="E62" s="291" t="s">
        <v>436</v>
      </c>
      <c r="F62" s="291" t="s">
        <v>439</v>
      </c>
      <c r="G62" s="292">
        <f t="shared" si="5"/>
        <v>1</v>
      </c>
      <c r="H62" s="293">
        <f t="shared" si="6"/>
        <v>1</v>
      </c>
      <c r="I62" s="292">
        <f t="shared" si="7"/>
        <v>3</v>
      </c>
      <c r="J62" s="294">
        <f t="shared" si="8"/>
        <v>1.66666666666667</v>
      </c>
      <c r="K62" s="295">
        <f>表1温室气体盘查表!AL65</f>
        <v>432.06181985</v>
      </c>
      <c r="L62" s="296">
        <f t="shared" si="10"/>
        <v>2.78317982881181e-5</v>
      </c>
      <c r="M62" s="297">
        <f t="shared" si="9"/>
        <v>4.63863304801968e-5</v>
      </c>
    </row>
    <row r="63" ht="18" customHeight="1" spans="1:13">
      <c r="A63" s="289">
        <v>61</v>
      </c>
      <c r="B63" s="290" t="str">
        <f>表1温室气体盘查表!C66</f>
        <v>用于测量、显示和控制工业过程变量的仪器及相关产品制造</v>
      </c>
      <c r="C63" s="290" t="str">
        <f>表1温室气体盘查表!D66</f>
        <v>各工序</v>
      </c>
      <c r="D63" s="298" t="s">
        <v>441</v>
      </c>
      <c r="E63" s="291" t="s">
        <v>436</v>
      </c>
      <c r="F63" s="291" t="s">
        <v>439</v>
      </c>
      <c r="G63" s="292">
        <f t="shared" si="5"/>
        <v>1</v>
      </c>
      <c r="H63" s="293">
        <f t="shared" si="6"/>
        <v>1</v>
      </c>
      <c r="I63" s="292">
        <f t="shared" si="7"/>
        <v>3</v>
      </c>
      <c r="J63" s="294">
        <f t="shared" si="8"/>
        <v>1.66666666666667</v>
      </c>
      <c r="K63" s="295">
        <f>表1温室气体盘查表!AL66</f>
        <v>11.18455254</v>
      </c>
      <c r="L63" s="296">
        <f t="shared" si="10"/>
        <v>7.20466831214591e-7</v>
      </c>
      <c r="M63" s="297">
        <f t="shared" si="9"/>
        <v>1.20077805202432e-6</v>
      </c>
    </row>
    <row r="64" ht="18" customHeight="1" spans="1:13">
      <c r="A64" s="289">
        <v>62</v>
      </c>
      <c r="B64" s="290" t="str">
        <f>表1温室气体盘查表!C67</f>
        <v>所有其他杂项电气设备及元件制造</v>
      </c>
      <c r="C64" s="290" t="str">
        <f>表1温室气体盘查表!D67</f>
        <v>各工序</v>
      </c>
      <c r="D64" s="298" t="s">
        <v>441</v>
      </c>
      <c r="E64" s="291" t="s">
        <v>436</v>
      </c>
      <c r="F64" s="291" t="s">
        <v>439</v>
      </c>
      <c r="G64" s="292">
        <f t="shared" si="5"/>
        <v>1</v>
      </c>
      <c r="H64" s="293">
        <f t="shared" si="6"/>
        <v>1</v>
      </c>
      <c r="I64" s="292">
        <f t="shared" si="7"/>
        <v>3</v>
      </c>
      <c r="J64" s="294">
        <f t="shared" si="8"/>
        <v>1.66666666666667</v>
      </c>
      <c r="K64" s="295">
        <f>表1温室气体盘查表!AL67</f>
        <v>555.07219968</v>
      </c>
      <c r="L64" s="296">
        <f t="shared" si="10"/>
        <v>3.57556645532788e-5</v>
      </c>
      <c r="M64" s="297">
        <f t="shared" si="9"/>
        <v>5.95927742554647e-5</v>
      </c>
    </row>
    <row r="65" ht="18" customHeight="1" spans="1:13">
      <c r="A65" s="289">
        <v>63</v>
      </c>
      <c r="B65" s="290" t="str">
        <f>表1温室气体盘查表!C68</f>
        <v>所有其他杂项制造</v>
      </c>
      <c r="C65" s="290" t="str">
        <f>表1温室气体盘查表!D68</f>
        <v>各工序</v>
      </c>
      <c r="D65" s="298" t="s">
        <v>441</v>
      </c>
      <c r="E65" s="291" t="s">
        <v>436</v>
      </c>
      <c r="F65" s="291" t="s">
        <v>439</v>
      </c>
      <c r="G65" s="292">
        <f t="shared" si="5"/>
        <v>1</v>
      </c>
      <c r="H65" s="293">
        <f t="shared" si="6"/>
        <v>1</v>
      </c>
      <c r="I65" s="292">
        <f t="shared" si="7"/>
        <v>3</v>
      </c>
      <c r="J65" s="294">
        <f t="shared" si="8"/>
        <v>1.66666666666667</v>
      </c>
      <c r="K65" s="295">
        <f>表1温室气体盘查表!AL68</f>
        <v>49284.31205698</v>
      </c>
      <c r="L65" s="296">
        <f t="shared" si="10"/>
        <v>0.00317471011998871</v>
      </c>
      <c r="M65" s="297">
        <f t="shared" si="9"/>
        <v>0.00529118353331452</v>
      </c>
    </row>
    <row r="66" ht="18" customHeight="1" spans="1:13">
      <c r="A66" s="289">
        <v>64</v>
      </c>
      <c r="B66" s="290" t="str">
        <f>表1温室气体盘查表!C69</f>
        <v>液化石油气生产</v>
      </c>
      <c r="C66" s="290" t="str">
        <f>表1温室气体盘查表!D69</f>
        <v>冶钢宾馆</v>
      </c>
      <c r="D66" s="291" t="s">
        <v>438</v>
      </c>
      <c r="E66" s="291" t="s">
        <v>436</v>
      </c>
      <c r="F66" s="291" t="s">
        <v>437</v>
      </c>
      <c r="G66" s="292">
        <f t="shared" si="5"/>
        <v>3</v>
      </c>
      <c r="H66" s="293">
        <f t="shared" si="6"/>
        <v>1</v>
      </c>
      <c r="I66" s="292">
        <f t="shared" si="7"/>
        <v>6</v>
      </c>
      <c r="J66" s="294">
        <f t="shared" si="8"/>
        <v>3.33333333333333</v>
      </c>
      <c r="K66" s="295">
        <f>表1温室气体盘查表!AL69</f>
        <v>9.44845804628386</v>
      </c>
      <c r="L66" s="296">
        <f t="shared" si="10"/>
        <v>6.08634150014028e-7</v>
      </c>
      <c r="M66" s="297">
        <f t="shared" si="9"/>
        <v>2.02878050004676e-6</v>
      </c>
    </row>
    <row r="67" ht="18" customHeight="1" spans="1:13">
      <c r="A67" s="289">
        <v>65</v>
      </c>
      <c r="B67" s="290" t="str">
        <f>表1温室气体盘查表!C70</f>
        <v>洗精煤生产</v>
      </c>
      <c r="C67" s="290" t="str">
        <f>表1温室气体盘查表!D70</f>
        <v>焦化</v>
      </c>
      <c r="D67" s="291" t="s">
        <v>438</v>
      </c>
      <c r="E67" s="291" t="s">
        <v>436</v>
      </c>
      <c r="F67" s="291" t="s">
        <v>437</v>
      </c>
      <c r="G67" s="292">
        <f t="shared" ref="G67:G100" si="11">IF(D67="自动连续量测",6,IF(D67="定期量测/抄表/铭牌",3,1))</f>
        <v>3</v>
      </c>
      <c r="H67" s="293">
        <f t="shared" ref="H67:H100" si="12">IF(E67="量测/质量平衡排放因子",6,IF(E67="制程/设备排放因子",5,IF(E67="制造商提供的排放因子",4,IF(E67="区域排放因子",3,IF(E67="国家排放因子",2,1)))))</f>
        <v>1</v>
      </c>
      <c r="I67" s="292">
        <f t="shared" ref="I67:I100" si="13">IF(F67="校准且合格",6,IF(F67="未校准",1,3))</f>
        <v>6</v>
      </c>
      <c r="J67" s="294">
        <f t="shared" ref="J67:J100" si="14">AVERAGE(G67:I67)</f>
        <v>3.33333333333333</v>
      </c>
      <c r="K67" s="295">
        <f>表1温室气体盘查表!AL70</f>
        <v>1120352.4211275</v>
      </c>
      <c r="L67" s="296">
        <f t="shared" ref="L67:L98" si="15">K67/$K$101</f>
        <v>0.0721688914962462</v>
      </c>
      <c r="M67" s="297">
        <f t="shared" ref="M67:M98" si="16">J67*L67</f>
        <v>0.240562971654154</v>
      </c>
    </row>
    <row r="68" ht="18" customHeight="1" spans="1:13">
      <c r="A68" s="289">
        <v>66</v>
      </c>
      <c r="B68" s="290" t="str">
        <f>表1温室气体盘查表!C71</f>
        <v>柴油生产</v>
      </c>
      <c r="C68" s="290" t="str">
        <f>表1温室气体盘查表!D71</f>
        <v>各工序</v>
      </c>
      <c r="D68" s="291" t="s">
        <v>438</v>
      </c>
      <c r="E68" s="291" t="s">
        <v>436</v>
      </c>
      <c r="F68" s="291" t="s">
        <v>437</v>
      </c>
      <c r="G68" s="292">
        <f t="shared" si="11"/>
        <v>3</v>
      </c>
      <c r="H68" s="293">
        <f t="shared" si="12"/>
        <v>1</v>
      </c>
      <c r="I68" s="292">
        <f t="shared" si="13"/>
        <v>6</v>
      </c>
      <c r="J68" s="294">
        <f t="shared" si="14"/>
        <v>3.33333333333333</v>
      </c>
      <c r="K68" s="295">
        <f>表1温室气体盘查表!AL71</f>
        <v>1182.2270044</v>
      </c>
      <c r="L68" s="296">
        <f t="shared" si="15"/>
        <v>7.61546195603446e-5</v>
      </c>
      <c r="M68" s="297">
        <f t="shared" si="16"/>
        <v>0.000253848731867815</v>
      </c>
    </row>
    <row r="69" ht="18" customHeight="1" spans="1:13">
      <c r="A69" s="289">
        <v>67</v>
      </c>
      <c r="B69" s="290" t="str">
        <f>表1温室气体盘查表!C72</f>
        <v>汽油生产</v>
      </c>
      <c r="C69" s="290" t="str">
        <f>表1温室气体盘查表!D72</f>
        <v>车队</v>
      </c>
      <c r="D69" s="291" t="s">
        <v>438</v>
      </c>
      <c r="E69" s="291" t="s">
        <v>436</v>
      </c>
      <c r="F69" s="291" t="s">
        <v>437</v>
      </c>
      <c r="G69" s="292">
        <f t="shared" si="11"/>
        <v>3</v>
      </c>
      <c r="H69" s="293">
        <f t="shared" si="12"/>
        <v>1</v>
      </c>
      <c r="I69" s="292">
        <f t="shared" si="13"/>
        <v>6</v>
      </c>
      <c r="J69" s="294">
        <f t="shared" si="14"/>
        <v>3.33333333333333</v>
      </c>
      <c r="K69" s="295">
        <f>表1温室气体盘查表!AL72</f>
        <v>48.4384247743095</v>
      </c>
      <c r="L69" s="296">
        <f t="shared" si="15"/>
        <v>3.12022124098074e-6</v>
      </c>
      <c r="M69" s="297">
        <f t="shared" si="16"/>
        <v>1.04007374699358e-5</v>
      </c>
    </row>
    <row r="70" ht="18" customHeight="1" spans="1:13">
      <c r="A70" s="289">
        <v>68</v>
      </c>
      <c r="B70" s="290" t="str">
        <f>表1温室气体盘查表!C73</f>
        <v>焦炭生产</v>
      </c>
      <c r="C70" s="290" t="str">
        <f>表1温室气体盘查表!D73</f>
        <v>烧结、高炉</v>
      </c>
      <c r="D70" s="291" t="s">
        <v>438</v>
      </c>
      <c r="E70" s="291" t="s">
        <v>436</v>
      </c>
      <c r="F70" s="291" t="s">
        <v>437</v>
      </c>
      <c r="G70" s="292">
        <f t="shared" si="11"/>
        <v>3</v>
      </c>
      <c r="H70" s="293">
        <f t="shared" si="12"/>
        <v>1</v>
      </c>
      <c r="I70" s="292">
        <f t="shared" si="13"/>
        <v>6</v>
      </c>
      <c r="J70" s="294">
        <f t="shared" si="14"/>
        <v>3.33333333333333</v>
      </c>
      <c r="K70" s="295">
        <f>表1温室气体盘查表!AL73</f>
        <v>184347.32152</v>
      </c>
      <c r="L70" s="296">
        <f t="shared" si="15"/>
        <v>0.0118749614795418</v>
      </c>
      <c r="M70" s="297">
        <f t="shared" si="16"/>
        <v>0.0395832049318061</v>
      </c>
    </row>
    <row r="71" ht="18" customHeight="1" spans="1:13">
      <c r="A71" s="289">
        <v>69</v>
      </c>
      <c r="B71" s="290" t="str">
        <f>表1温室气体盘查表!C74</f>
        <v>焦屑生产</v>
      </c>
      <c r="C71" s="290" t="str">
        <f>表1温室气体盘查表!D74</f>
        <v>烧结、高炉</v>
      </c>
      <c r="D71" s="291" t="s">
        <v>438</v>
      </c>
      <c r="E71" s="291" t="s">
        <v>436</v>
      </c>
      <c r="F71" s="291" t="s">
        <v>437</v>
      </c>
      <c r="G71" s="292">
        <f t="shared" si="11"/>
        <v>3</v>
      </c>
      <c r="H71" s="293">
        <f t="shared" si="12"/>
        <v>1</v>
      </c>
      <c r="I71" s="292">
        <f t="shared" si="13"/>
        <v>6</v>
      </c>
      <c r="J71" s="294">
        <f t="shared" si="14"/>
        <v>3.33333333333333</v>
      </c>
      <c r="K71" s="295">
        <f>表1温室气体盘查表!AL74</f>
        <v>152835.1658</v>
      </c>
      <c r="L71" s="296">
        <f t="shared" si="15"/>
        <v>0.00984506686416644</v>
      </c>
      <c r="M71" s="297">
        <f t="shared" si="16"/>
        <v>0.0328168895472215</v>
      </c>
    </row>
    <row r="72" ht="18" customHeight="1" spans="1:13">
      <c r="A72" s="289">
        <v>70</v>
      </c>
      <c r="B72" s="290" t="str">
        <f>表1温室气体盘查表!C75</f>
        <v>烟煤生产</v>
      </c>
      <c r="C72" s="290" t="str">
        <f>表1温室气体盘查表!D75</f>
        <v>高炉</v>
      </c>
      <c r="D72" s="291" t="s">
        <v>438</v>
      </c>
      <c r="E72" s="291" t="s">
        <v>436</v>
      </c>
      <c r="F72" s="291" t="s">
        <v>437</v>
      </c>
      <c r="G72" s="292">
        <f t="shared" si="11"/>
        <v>3</v>
      </c>
      <c r="H72" s="293">
        <f t="shared" si="12"/>
        <v>1</v>
      </c>
      <c r="I72" s="292">
        <f t="shared" si="13"/>
        <v>6</v>
      </c>
      <c r="J72" s="294">
        <f t="shared" si="14"/>
        <v>3.33333333333333</v>
      </c>
      <c r="K72" s="295">
        <f>表1温室气体盘查表!AL75</f>
        <v>229690.010538</v>
      </c>
      <c r="L72" s="296">
        <f t="shared" si="15"/>
        <v>0.0147957670601598</v>
      </c>
      <c r="M72" s="297">
        <f t="shared" si="16"/>
        <v>0.0493192235338661</v>
      </c>
    </row>
    <row r="73" ht="18" customHeight="1" spans="1:13">
      <c r="A73" s="289">
        <v>71</v>
      </c>
      <c r="B73" s="290" t="str">
        <f>表1温室气体盘查表!C76</f>
        <v>无烟煤生产</v>
      </c>
      <c r="C73" s="290" t="str">
        <f>表1温室气体盘查表!D76</f>
        <v>烧结、高炉</v>
      </c>
      <c r="D73" s="291" t="s">
        <v>438</v>
      </c>
      <c r="E73" s="291" t="s">
        <v>436</v>
      </c>
      <c r="F73" s="291" t="s">
        <v>437</v>
      </c>
      <c r="G73" s="292">
        <f t="shared" si="11"/>
        <v>3</v>
      </c>
      <c r="H73" s="293">
        <f t="shared" si="12"/>
        <v>1</v>
      </c>
      <c r="I73" s="292">
        <f t="shared" si="13"/>
        <v>6</v>
      </c>
      <c r="J73" s="294">
        <f t="shared" si="14"/>
        <v>3.33333333333333</v>
      </c>
      <c r="K73" s="295">
        <f>表1温室气体盘查表!AL76</f>
        <v>149948.237187</v>
      </c>
      <c r="L73" s="296">
        <f t="shared" si="15"/>
        <v>0.00965910177505696</v>
      </c>
      <c r="M73" s="297">
        <f t="shared" si="16"/>
        <v>0.0321970059168565</v>
      </c>
    </row>
    <row r="74" ht="18" customHeight="1" spans="1:13">
      <c r="A74" s="289">
        <v>72</v>
      </c>
      <c r="B74" s="290" t="str">
        <f>表1温室气体盘查表!C77</f>
        <v>天然气生产</v>
      </c>
      <c r="C74" s="290" t="str">
        <f>表1温室气体盘查表!D77</f>
        <v>转炉、电炉、锻造、热处理</v>
      </c>
      <c r="D74" s="298" t="s">
        <v>435</v>
      </c>
      <c r="E74" s="291" t="s">
        <v>436</v>
      </c>
      <c r="F74" s="291" t="s">
        <v>437</v>
      </c>
      <c r="G74" s="292">
        <f t="shared" si="11"/>
        <v>6</v>
      </c>
      <c r="H74" s="293">
        <f t="shared" si="12"/>
        <v>1</v>
      </c>
      <c r="I74" s="292">
        <f t="shared" si="13"/>
        <v>6</v>
      </c>
      <c r="J74" s="294">
        <f t="shared" si="14"/>
        <v>4.33333333333333</v>
      </c>
      <c r="K74" s="295">
        <f>表1温室气体盘查表!AL77</f>
        <v>11120.2731</v>
      </c>
      <c r="L74" s="296">
        <f t="shared" si="15"/>
        <v>0.000716326191320109</v>
      </c>
      <c r="M74" s="297">
        <f t="shared" si="16"/>
        <v>0.00310408016238714</v>
      </c>
    </row>
    <row r="75" ht="18" customHeight="1" spans="1:13">
      <c r="A75" s="289">
        <v>73</v>
      </c>
      <c r="B75" s="290" t="str">
        <f>表1温室气体盘查表!C78</f>
        <v>外购电力上游排放</v>
      </c>
      <c r="C75" s="290" t="str">
        <f>表1温室气体盘查表!D78</f>
        <v>各工序</v>
      </c>
      <c r="D75" s="291" t="s">
        <v>435</v>
      </c>
      <c r="E75" s="291" t="s">
        <v>440</v>
      </c>
      <c r="F75" s="291" t="s">
        <v>437</v>
      </c>
      <c r="G75" s="292">
        <f t="shared" si="11"/>
        <v>6</v>
      </c>
      <c r="H75" s="293">
        <f t="shared" si="12"/>
        <v>2</v>
      </c>
      <c r="I75" s="292">
        <f t="shared" si="13"/>
        <v>6</v>
      </c>
      <c r="J75" s="294">
        <f t="shared" si="14"/>
        <v>4.66666666666667</v>
      </c>
      <c r="K75" s="295">
        <f>表1温室气体盘查表!AL78</f>
        <v>167202.528803</v>
      </c>
      <c r="L75" s="296">
        <f t="shared" si="15"/>
        <v>0.0107705583810297</v>
      </c>
      <c r="M75" s="297">
        <f t="shared" si="16"/>
        <v>0.0502626057781386</v>
      </c>
    </row>
    <row r="76" ht="18" customHeight="1" spans="1:13">
      <c r="A76" s="289">
        <v>74</v>
      </c>
      <c r="B76" s="290" t="str">
        <f>表1温室气体盘查表!C79</f>
        <v>船运</v>
      </c>
      <c r="C76" s="290" t="str">
        <f>表1温室气体盘查表!D79</f>
        <v>-</v>
      </c>
      <c r="D76" s="291" t="s">
        <v>441</v>
      </c>
      <c r="E76" s="291" t="s">
        <v>436</v>
      </c>
      <c r="F76" s="291" t="s">
        <v>439</v>
      </c>
      <c r="G76" s="292">
        <f t="shared" si="11"/>
        <v>1</v>
      </c>
      <c r="H76" s="293">
        <f t="shared" si="12"/>
        <v>1</v>
      </c>
      <c r="I76" s="292">
        <f t="shared" si="13"/>
        <v>3</v>
      </c>
      <c r="J76" s="294">
        <f t="shared" si="14"/>
        <v>1.66666666666667</v>
      </c>
      <c r="K76" s="295">
        <f>表1温室气体盘查表!AL79</f>
        <v>256608.969086949</v>
      </c>
      <c r="L76" s="296">
        <f t="shared" si="15"/>
        <v>0.0165297851798832</v>
      </c>
      <c r="M76" s="297">
        <f t="shared" si="16"/>
        <v>0.0275496419664721</v>
      </c>
    </row>
    <row r="77" ht="18" customHeight="1" spans="1:13">
      <c r="A77" s="289">
        <v>75</v>
      </c>
      <c r="B77" s="290" t="str">
        <f>表1温室气体盘查表!C80</f>
        <v>汽运</v>
      </c>
      <c r="C77" s="290" t="str">
        <f>表1温室气体盘查表!D80</f>
        <v>-</v>
      </c>
      <c r="D77" s="291" t="s">
        <v>441</v>
      </c>
      <c r="E77" s="291" t="s">
        <v>436</v>
      </c>
      <c r="F77" s="291" t="s">
        <v>439</v>
      </c>
      <c r="G77" s="292">
        <f t="shared" si="11"/>
        <v>1</v>
      </c>
      <c r="H77" s="293">
        <f t="shared" si="12"/>
        <v>1</v>
      </c>
      <c r="I77" s="292">
        <f t="shared" si="13"/>
        <v>3</v>
      </c>
      <c r="J77" s="294">
        <f t="shared" si="14"/>
        <v>1.66666666666667</v>
      </c>
      <c r="K77" s="295">
        <f>表1温室气体盘查表!AL80</f>
        <v>46150.5118723241</v>
      </c>
      <c r="L77" s="296">
        <f t="shared" si="15"/>
        <v>0.00297284249223838</v>
      </c>
      <c r="M77" s="297">
        <f t="shared" si="16"/>
        <v>0.00495473748706396</v>
      </c>
    </row>
    <row r="78" ht="18" customHeight="1" spans="1:13">
      <c r="A78" s="289">
        <v>76</v>
      </c>
      <c r="B78" s="290" t="str">
        <f>表1温室气体盘查表!C81</f>
        <v>铁路运输</v>
      </c>
      <c r="C78" s="290" t="str">
        <f>表1温室气体盘查表!D81</f>
        <v>-</v>
      </c>
      <c r="D78" s="291" t="s">
        <v>441</v>
      </c>
      <c r="E78" s="291" t="s">
        <v>436</v>
      </c>
      <c r="F78" s="291" t="s">
        <v>439</v>
      </c>
      <c r="G78" s="292">
        <f t="shared" si="11"/>
        <v>1</v>
      </c>
      <c r="H78" s="293">
        <f t="shared" si="12"/>
        <v>1</v>
      </c>
      <c r="I78" s="292">
        <f t="shared" si="13"/>
        <v>3</v>
      </c>
      <c r="J78" s="294">
        <f t="shared" si="14"/>
        <v>1.66666666666667</v>
      </c>
      <c r="K78" s="295">
        <f>表1温室气体盘查表!AL81</f>
        <v>59524.7717110272</v>
      </c>
      <c r="L78" s="296">
        <f t="shared" si="15"/>
        <v>0.00383436203639271</v>
      </c>
      <c r="M78" s="297">
        <f t="shared" si="16"/>
        <v>0.00639060339398785</v>
      </c>
    </row>
    <row r="79" ht="18" customHeight="1" spans="1:13">
      <c r="A79" s="289">
        <v>77</v>
      </c>
      <c r="B79" s="290" t="str">
        <f>表1温室气体盘查表!C82</f>
        <v>生活垃圾和厨余垃圾</v>
      </c>
      <c r="C79" s="290" t="str">
        <f>表1温室气体盘查表!D82</f>
        <v>垃圾站</v>
      </c>
      <c r="D79" s="298" t="s">
        <v>438</v>
      </c>
      <c r="E79" s="291" t="s">
        <v>436</v>
      </c>
      <c r="F79" s="291" t="s">
        <v>439</v>
      </c>
      <c r="G79" s="292">
        <f t="shared" si="11"/>
        <v>3</v>
      </c>
      <c r="H79" s="293">
        <f t="shared" si="12"/>
        <v>1</v>
      </c>
      <c r="I79" s="292">
        <f t="shared" si="13"/>
        <v>3</v>
      </c>
      <c r="J79" s="294">
        <f t="shared" si="14"/>
        <v>2.33333333333333</v>
      </c>
      <c r="K79" s="295">
        <f>表1温室气体盘查表!AL82</f>
        <v>969.241929689684</v>
      </c>
      <c r="L79" s="296">
        <f t="shared" si="15"/>
        <v>6.2434921671336e-5</v>
      </c>
      <c r="M79" s="297">
        <f t="shared" si="16"/>
        <v>0.000145681483899784</v>
      </c>
    </row>
    <row r="80" ht="18" customHeight="1" spans="1:13">
      <c r="A80" s="289">
        <v>78</v>
      </c>
      <c r="B80" s="290" t="str">
        <f>表1温室气体盘查表!C83</f>
        <v>废油</v>
      </c>
      <c r="C80" s="290" t="str">
        <f>表1温室气体盘查表!D83</f>
        <v>-</v>
      </c>
      <c r="D80" s="291" t="s">
        <v>438</v>
      </c>
      <c r="E80" s="291" t="s">
        <v>436</v>
      </c>
      <c r="F80" s="291" t="s">
        <v>439</v>
      </c>
      <c r="G80" s="292">
        <f t="shared" si="11"/>
        <v>3</v>
      </c>
      <c r="H80" s="293">
        <f t="shared" si="12"/>
        <v>1</v>
      </c>
      <c r="I80" s="292">
        <f t="shared" si="13"/>
        <v>3</v>
      </c>
      <c r="J80" s="294">
        <f t="shared" si="14"/>
        <v>2.33333333333333</v>
      </c>
      <c r="K80" s="295">
        <f>表1温室气体盘查表!AL83</f>
        <v>104.702845570361</v>
      </c>
      <c r="L80" s="296">
        <f t="shared" si="15"/>
        <v>6.74456372728778e-6</v>
      </c>
      <c r="M80" s="297">
        <f t="shared" si="16"/>
        <v>1.57373153636715e-5</v>
      </c>
    </row>
    <row r="81" ht="18" customHeight="1" spans="1:13">
      <c r="A81" s="289">
        <v>79</v>
      </c>
      <c r="B81" s="290" t="str">
        <f>表1温室气体盘查表!C84</f>
        <v>废油水</v>
      </c>
      <c r="C81" s="290" t="str">
        <f>表1温室气体盘查表!D84</f>
        <v>-</v>
      </c>
      <c r="D81" s="291" t="s">
        <v>438</v>
      </c>
      <c r="E81" s="291" t="s">
        <v>436</v>
      </c>
      <c r="F81" s="291" t="s">
        <v>439</v>
      </c>
      <c r="G81" s="292">
        <f t="shared" si="11"/>
        <v>3</v>
      </c>
      <c r="H81" s="293">
        <f t="shared" si="12"/>
        <v>1</v>
      </c>
      <c r="I81" s="292">
        <f t="shared" si="13"/>
        <v>3</v>
      </c>
      <c r="J81" s="294">
        <f t="shared" si="14"/>
        <v>2.33333333333333</v>
      </c>
      <c r="K81" s="295">
        <f>表1温室气体盘查表!AL84</f>
        <v>653.858586623069</v>
      </c>
      <c r="L81" s="296">
        <f t="shared" si="15"/>
        <v>4.21191122561237e-5</v>
      </c>
      <c r="M81" s="297">
        <f t="shared" si="16"/>
        <v>9.8277928597622e-5</v>
      </c>
    </row>
    <row r="82" ht="18" customHeight="1" spans="1:13">
      <c r="A82" s="289">
        <v>80</v>
      </c>
      <c r="B82" s="290" t="str">
        <f>表1温室气体盘查表!C85</f>
        <v>煤焦油</v>
      </c>
      <c r="C82" s="290" t="str">
        <f>表1温室气体盘查表!D85</f>
        <v>-</v>
      </c>
      <c r="D82" s="291" t="s">
        <v>438</v>
      </c>
      <c r="E82" s="291" t="s">
        <v>436</v>
      </c>
      <c r="F82" s="291" t="s">
        <v>439</v>
      </c>
      <c r="G82" s="292">
        <f t="shared" si="11"/>
        <v>3</v>
      </c>
      <c r="H82" s="293">
        <f t="shared" si="12"/>
        <v>1</v>
      </c>
      <c r="I82" s="292">
        <f t="shared" si="13"/>
        <v>3</v>
      </c>
      <c r="J82" s="294">
        <f t="shared" si="14"/>
        <v>2.33333333333333</v>
      </c>
      <c r="K82" s="295">
        <f>表1温室气体盘查表!AL85</f>
        <v>145058.803127058</v>
      </c>
      <c r="L82" s="296">
        <f t="shared" si="15"/>
        <v>0.00934414281259503</v>
      </c>
      <c r="M82" s="297">
        <f t="shared" si="16"/>
        <v>0.0218029998960551</v>
      </c>
    </row>
    <row r="83" ht="18" customHeight="1" spans="1:13">
      <c r="A83" s="289">
        <v>81</v>
      </c>
      <c r="B83" s="290" t="str">
        <f>表1温室气体盘查表!C86</f>
        <v>废弃物运输</v>
      </c>
      <c r="C83" s="290" t="str">
        <f>表1温室气体盘查表!D86</f>
        <v>-</v>
      </c>
      <c r="D83" s="291" t="s">
        <v>441</v>
      </c>
      <c r="E83" s="291" t="s">
        <v>436</v>
      </c>
      <c r="F83" s="291" t="s">
        <v>439</v>
      </c>
      <c r="G83" s="292">
        <f t="shared" si="11"/>
        <v>1</v>
      </c>
      <c r="H83" s="293">
        <f t="shared" si="12"/>
        <v>1</v>
      </c>
      <c r="I83" s="292">
        <f t="shared" si="13"/>
        <v>3</v>
      </c>
      <c r="J83" s="294">
        <f t="shared" si="14"/>
        <v>1.66666666666667</v>
      </c>
      <c r="K83" s="295">
        <f>表1温室气体盘查表!AL86</f>
        <v>849.425387283242</v>
      </c>
      <c r="L83" s="296">
        <f t="shared" si="15"/>
        <v>5.47167904071721e-5</v>
      </c>
      <c r="M83" s="297">
        <f t="shared" si="16"/>
        <v>9.11946506786202e-5</v>
      </c>
    </row>
    <row r="84" ht="18" customHeight="1" spans="1:13">
      <c r="A84" s="289">
        <v>82</v>
      </c>
      <c r="B84" s="290" t="str">
        <f>表1温室气体盘查表!C87</f>
        <v>航运</v>
      </c>
      <c r="C84" s="290" t="str">
        <f>表1温室气体盘查表!D87</f>
        <v>-</v>
      </c>
      <c r="D84" s="298" t="s">
        <v>441</v>
      </c>
      <c r="E84" s="291" t="s">
        <v>440</v>
      </c>
      <c r="F84" s="291" t="s">
        <v>439</v>
      </c>
      <c r="G84" s="292">
        <f t="shared" si="11"/>
        <v>1</v>
      </c>
      <c r="H84" s="293">
        <f t="shared" si="12"/>
        <v>2</v>
      </c>
      <c r="I84" s="292">
        <f t="shared" si="13"/>
        <v>3</v>
      </c>
      <c r="J84" s="294">
        <f t="shared" si="14"/>
        <v>2</v>
      </c>
      <c r="K84" s="295">
        <f>表1温室气体盘查表!AL87</f>
        <v>327.76098852</v>
      </c>
      <c r="L84" s="296">
        <f t="shared" si="15"/>
        <v>2.11131308069984e-5</v>
      </c>
      <c r="M84" s="297">
        <f t="shared" si="16"/>
        <v>4.22262616139968e-5</v>
      </c>
    </row>
    <row r="85" ht="18" customHeight="1" spans="1:13">
      <c r="A85" s="289">
        <v>83</v>
      </c>
      <c r="B85" s="290" t="str">
        <f>表1温室气体盘查表!C88</f>
        <v>铁路运输</v>
      </c>
      <c r="C85" s="290" t="str">
        <f>表1温室气体盘查表!D88</f>
        <v>-</v>
      </c>
      <c r="D85" s="298" t="s">
        <v>441</v>
      </c>
      <c r="E85" s="291" t="s">
        <v>436</v>
      </c>
      <c r="F85" s="291" t="s">
        <v>439</v>
      </c>
      <c r="G85" s="292">
        <f t="shared" si="11"/>
        <v>1</v>
      </c>
      <c r="H85" s="293">
        <f t="shared" si="12"/>
        <v>1</v>
      </c>
      <c r="I85" s="292">
        <f t="shared" si="13"/>
        <v>3</v>
      </c>
      <c r="J85" s="294">
        <f t="shared" si="14"/>
        <v>1.66666666666667</v>
      </c>
      <c r="K85" s="295">
        <f>表1温室气体盘查表!AL88</f>
        <v>619.787965215283</v>
      </c>
      <c r="L85" s="296">
        <f t="shared" si="15"/>
        <v>3.99244108985691e-5</v>
      </c>
      <c r="M85" s="297">
        <f t="shared" si="16"/>
        <v>6.65406848309484e-5</v>
      </c>
    </row>
    <row r="86" ht="18" customHeight="1" spans="1:13">
      <c r="A86" s="289">
        <v>84</v>
      </c>
      <c r="B86" s="290" t="str">
        <f>表1温室气体盘查表!C89</f>
        <v>员工差旅住宿</v>
      </c>
      <c r="C86" s="290" t="str">
        <f>表1温室气体盘查表!D89</f>
        <v>-</v>
      </c>
      <c r="D86" s="291" t="s">
        <v>441</v>
      </c>
      <c r="E86" s="291" t="s">
        <v>440</v>
      </c>
      <c r="F86" s="291" t="s">
        <v>439</v>
      </c>
      <c r="G86" s="292">
        <f t="shared" si="11"/>
        <v>1</v>
      </c>
      <c r="H86" s="293">
        <f t="shared" si="12"/>
        <v>2</v>
      </c>
      <c r="I86" s="292">
        <f t="shared" si="13"/>
        <v>3</v>
      </c>
      <c r="J86" s="294">
        <f t="shared" si="14"/>
        <v>2</v>
      </c>
      <c r="K86" s="295">
        <f>表1温室气体盘查表!AL89</f>
        <v>722.6245</v>
      </c>
      <c r="L86" s="296">
        <f t="shared" si="15"/>
        <v>4.65487539006212e-5</v>
      </c>
      <c r="M86" s="297">
        <f t="shared" si="16"/>
        <v>9.30975078012425e-5</v>
      </c>
    </row>
    <row r="87" ht="18" customHeight="1" spans="1:13">
      <c r="A87" s="289">
        <v>85</v>
      </c>
      <c r="B87" s="290" t="str">
        <f>表1温室气体盘查表!C90</f>
        <v>通勤车</v>
      </c>
      <c r="C87" s="290" t="str">
        <f>表1温室气体盘查表!D90</f>
        <v>-</v>
      </c>
      <c r="D87" s="298" t="s">
        <v>441</v>
      </c>
      <c r="E87" s="291" t="s">
        <v>440</v>
      </c>
      <c r="F87" s="291" t="s">
        <v>439</v>
      </c>
      <c r="G87" s="292">
        <f t="shared" si="11"/>
        <v>1</v>
      </c>
      <c r="H87" s="293">
        <f t="shared" si="12"/>
        <v>2</v>
      </c>
      <c r="I87" s="292">
        <f t="shared" si="13"/>
        <v>3</v>
      </c>
      <c r="J87" s="294">
        <f t="shared" si="14"/>
        <v>2</v>
      </c>
      <c r="K87" s="295">
        <f>表1温室气体盘查表!AL90</f>
        <v>111.2064536</v>
      </c>
      <c r="L87" s="296">
        <f t="shared" si="15"/>
        <v>7.16350170909962e-6</v>
      </c>
      <c r="M87" s="297">
        <f t="shared" si="16"/>
        <v>1.43270034181992e-5</v>
      </c>
    </row>
    <row r="88" ht="18" customHeight="1" spans="1:13">
      <c r="A88" s="289">
        <v>86</v>
      </c>
      <c r="B88" s="290" t="str">
        <f>表1温室气体盘查表!C91</f>
        <v>电动车</v>
      </c>
      <c r="C88" s="290" t="str">
        <f>表1温室气体盘查表!D91</f>
        <v>-</v>
      </c>
      <c r="D88" s="298" t="s">
        <v>441</v>
      </c>
      <c r="E88" s="291" t="s">
        <v>436</v>
      </c>
      <c r="F88" s="291" t="s">
        <v>439</v>
      </c>
      <c r="G88" s="292">
        <f t="shared" si="11"/>
        <v>1</v>
      </c>
      <c r="H88" s="293">
        <f t="shared" si="12"/>
        <v>1</v>
      </c>
      <c r="I88" s="292">
        <f t="shared" si="13"/>
        <v>3</v>
      </c>
      <c r="J88" s="294">
        <f t="shared" si="14"/>
        <v>1.66666666666667</v>
      </c>
      <c r="K88" s="295">
        <f>表1温室气体盘查表!AL91</f>
        <v>474.515379130203</v>
      </c>
      <c r="L88" s="296">
        <f t="shared" si="15"/>
        <v>3.05664969914413e-5</v>
      </c>
      <c r="M88" s="297">
        <f t="shared" si="16"/>
        <v>5.09441616524022e-5</v>
      </c>
    </row>
    <row r="89" ht="18" customHeight="1" spans="1:13">
      <c r="A89" s="289">
        <v>87</v>
      </c>
      <c r="B89" s="290" t="str">
        <f>表1温室气体盘查表!C92</f>
        <v>自驾油车</v>
      </c>
      <c r="C89" s="290" t="str">
        <f>表1温室气体盘查表!D92</f>
        <v>-</v>
      </c>
      <c r="D89" s="298" t="s">
        <v>441</v>
      </c>
      <c r="E89" s="291" t="s">
        <v>436</v>
      </c>
      <c r="F89" s="291" t="s">
        <v>439</v>
      </c>
      <c r="G89" s="292">
        <f t="shared" si="11"/>
        <v>1</v>
      </c>
      <c r="H89" s="293">
        <f t="shared" si="12"/>
        <v>1</v>
      </c>
      <c r="I89" s="292">
        <f t="shared" si="13"/>
        <v>3</v>
      </c>
      <c r="J89" s="294">
        <f t="shared" si="14"/>
        <v>1.66666666666667</v>
      </c>
      <c r="K89" s="295">
        <f>表1温室气体盘查表!AL92</f>
        <v>11664.7288421612</v>
      </c>
      <c r="L89" s="296">
        <f t="shared" si="15"/>
        <v>0.000751397983587935</v>
      </c>
      <c r="M89" s="297">
        <f t="shared" si="16"/>
        <v>0.00125232997264656</v>
      </c>
    </row>
    <row r="90" ht="18" customHeight="1" spans="1:13">
      <c r="A90" s="289">
        <v>88</v>
      </c>
      <c r="B90" s="290" t="str">
        <f>表1温室气体盘查表!C93</f>
        <v>自驾电车</v>
      </c>
      <c r="C90" s="290" t="str">
        <f>表1温室气体盘查表!D93</f>
        <v>-</v>
      </c>
      <c r="D90" s="298" t="s">
        <v>441</v>
      </c>
      <c r="E90" s="291" t="s">
        <v>436</v>
      </c>
      <c r="F90" s="291" t="s">
        <v>439</v>
      </c>
      <c r="G90" s="292">
        <f t="shared" si="11"/>
        <v>1</v>
      </c>
      <c r="H90" s="293">
        <f t="shared" si="12"/>
        <v>1</v>
      </c>
      <c r="I90" s="292">
        <f t="shared" si="13"/>
        <v>3</v>
      </c>
      <c r="J90" s="294">
        <f t="shared" si="14"/>
        <v>1.66666666666667</v>
      </c>
      <c r="K90" s="295">
        <f>表1温室气体盘查表!AL93</f>
        <v>1072.12581269864</v>
      </c>
      <c r="L90" s="296">
        <f t="shared" si="15"/>
        <v>6.90623146680087e-5</v>
      </c>
      <c r="M90" s="297">
        <f t="shared" si="16"/>
        <v>0.000115103857780015</v>
      </c>
    </row>
    <row r="91" ht="18" customHeight="1" spans="1:13">
      <c r="A91" s="289">
        <v>89</v>
      </c>
      <c r="B91" s="290" t="str">
        <f>表1温室气体盘查表!C94</f>
        <v>船运</v>
      </c>
      <c r="C91" s="290" t="str">
        <f>表1温室气体盘查表!D94</f>
        <v>-</v>
      </c>
      <c r="D91" s="298" t="s">
        <v>441</v>
      </c>
      <c r="E91" s="291" t="s">
        <v>436</v>
      </c>
      <c r="F91" s="291" t="s">
        <v>439</v>
      </c>
      <c r="G91" s="292">
        <f t="shared" si="11"/>
        <v>1</v>
      </c>
      <c r="H91" s="293">
        <f t="shared" si="12"/>
        <v>1</v>
      </c>
      <c r="I91" s="292">
        <f t="shared" si="13"/>
        <v>3</v>
      </c>
      <c r="J91" s="294">
        <f t="shared" si="14"/>
        <v>1.66666666666667</v>
      </c>
      <c r="K91" s="295">
        <f>表1温室气体盘查表!AL94</f>
        <v>53478.1555212475</v>
      </c>
      <c r="L91" s="296">
        <f t="shared" si="15"/>
        <v>0.00344486175104456</v>
      </c>
      <c r="M91" s="297">
        <f t="shared" si="16"/>
        <v>0.00574143625174093</v>
      </c>
    </row>
    <row r="92" ht="18" customHeight="1" spans="1:13">
      <c r="A92" s="289">
        <v>90</v>
      </c>
      <c r="B92" s="290" t="str">
        <f>表1温室气体盘查表!C95</f>
        <v>汽运</v>
      </c>
      <c r="C92" s="290" t="str">
        <f>表1温室气体盘查表!D95</f>
        <v>-</v>
      </c>
      <c r="D92" s="298" t="s">
        <v>441</v>
      </c>
      <c r="E92" s="291" t="s">
        <v>436</v>
      </c>
      <c r="F92" s="291" t="s">
        <v>439</v>
      </c>
      <c r="G92" s="292">
        <f t="shared" si="11"/>
        <v>1</v>
      </c>
      <c r="H92" s="293">
        <f t="shared" si="12"/>
        <v>1</v>
      </c>
      <c r="I92" s="292">
        <f t="shared" si="13"/>
        <v>3</v>
      </c>
      <c r="J92" s="294">
        <f t="shared" si="14"/>
        <v>1.66666666666667</v>
      </c>
      <c r="K92" s="295">
        <f>表1温室气体盘查表!AL95</f>
        <v>208049.485839029</v>
      </c>
      <c r="L92" s="296">
        <f t="shared" si="15"/>
        <v>0.0134017658070986</v>
      </c>
      <c r="M92" s="297">
        <f t="shared" si="16"/>
        <v>0.0223362763451644</v>
      </c>
    </row>
    <row r="93" ht="18" customHeight="1" spans="1:13">
      <c r="A93" s="289">
        <v>91</v>
      </c>
      <c r="B93" s="290" t="str">
        <f>表1温室气体盘查表!C96</f>
        <v>铁路运输</v>
      </c>
      <c r="C93" s="290" t="str">
        <f>表1温室气体盘查表!D96</f>
        <v>-</v>
      </c>
      <c r="D93" s="298" t="s">
        <v>441</v>
      </c>
      <c r="E93" s="291" t="s">
        <v>436</v>
      </c>
      <c r="F93" s="291" t="s">
        <v>439</v>
      </c>
      <c r="G93" s="292">
        <f t="shared" si="11"/>
        <v>1</v>
      </c>
      <c r="H93" s="293">
        <f t="shared" si="12"/>
        <v>1</v>
      </c>
      <c r="I93" s="292">
        <f t="shared" si="13"/>
        <v>3</v>
      </c>
      <c r="J93" s="294">
        <f t="shared" si="14"/>
        <v>1.66666666666667</v>
      </c>
      <c r="K93" s="295">
        <f>表1温室气体盘查表!AL96</f>
        <v>11086.4717529011</v>
      </c>
      <c r="L93" s="296">
        <f t="shared" si="15"/>
        <v>0.000714148835601315</v>
      </c>
      <c r="M93" s="297">
        <f t="shared" si="16"/>
        <v>0.00119024805933552</v>
      </c>
    </row>
    <row r="94" ht="18" customHeight="1" spans="1:13">
      <c r="A94" s="289">
        <v>92</v>
      </c>
      <c r="B94" s="290" t="str">
        <f>表1温室气体盘查表!C97</f>
        <v>汽运-副产品</v>
      </c>
      <c r="C94" s="290" t="str">
        <f>表1温室气体盘查表!D97</f>
        <v>-</v>
      </c>
      <c r="D94" s="298" t="s">
        <v>441</v>
      </c>
      <c r="E94" s="291" t="s">
        <v>436</v>
      </c>
      <c r="F94" s="291" t="s">
        <v>439</v>
      </c>
      <c r="G94" s="292">
        <f t="shared" si="11"/>
        <v>1</v>
      </c>
      <c r="H94" s="293">
        <f t="shared" si="12"/>
        <v>1</v>
      </c>
      <c r="I94" s="292">
        <f t="shared" si="13"/>
        <v>3</v>
      </c>
      <c r="J94" s="294">
        <f t="shared" si="14"/>
        <v>1.66666666666667</v>
      </c>
      <c r="K94" s="295">
        <f>表1温室气体盘查表!AL97</f>
        <v>1971.49404873413</v>
      </c>
      <c r="L94" s="296">
        <f t="shared" si="15"/>
        <v>0.000126996235653599</v>
      </c>
      <c r="M94" s="297">
        <f t="shared" si="16"/>
        <v>0.000211660392755999</v>
      </c>
    </row>
    <row r="95" ht="18" customHeight="1" spans="1:13">
      <c r="A95" s="289">
        <v>93</v>
      </c>
      <c r="B95" s="290" t="str">
        <f>表1温室气体盘查表!C98</f>
        <v>锻材加工</v>
      </c>
      <c r="C95" s="290" t="str">
        <f>表1温室气体盘查表!D98</f>
        <v>下游钢铁厂</v>
      </c>
      <c r="D95" s="291" t="s">
        <v>438</v>
      </c>
      <c r="E95" s="298" t="s">
        <v>441</v>
      </c>
      <c r="F95" s="291" t="s">
        <v>439</v>
      </c>
      <c r="G95" s="292">
        <f t="shared" si="11"/>
        <v>3</v>
      </c>
      <c r="H95" s="293">
        <f t="shared" si="12"/>
        <v>1</v>
      </c>
      <c r="I95" s="292">
        <f t="shared" si="13"/>
        <v>3</v>
      </c>
      <c r="J95" s="294">
        <f t="shared" si="14"/>
        <v>2.33333333333333</v>
      </c>
      <c r="K95" s="295">
        <f>表1温室气体盘查表!AL98</f>
        <v>113275.661420512</v>
      </c>
      <c r="L95" s="296">
        <f t="shared" si="15"/>
        <v>0.00729679229861914</v>
      </c>
      <c r="M95" s="297">
        <f t="shared" si="16"/>
        <v>0.017025848696778</v>
      </c>
    </row>
    <row r="96" ht="18" customHeight="1" spans="1:13">
      <c r="A96" s="289">
        <v>94</v>
      </c>
      <c r="B96" s="290" t="str">
        <f>表1温室气体盘查表!C99</f>
        <v>棒材加工</v>
      </c>
      <c r="C96" s="290" t="str">
        <f>表1温室气体盘查表!D99</f>
        <v>下游钢铁厂</v>
      </c>
      <c r="D96" s="291" t="s">
        <v>438</v>
      </c>
      <c r="E96" s="298" t="s">
        <v>441</v>
      </c>
      <c r="F96" s="291" t="s">
        <v>439</v>
      </c>
      <c r="G96" s="292">
        <f t="shared" si="11"/>
        <v>3</v>
      </c>
      <c r="H96" s="293">
        <f t="shared" si="12"/>
        <v>1</v>
      </c>
      <c r="I96" s="292">
        <f t="shared" si="13"/>
        <v>3</v>
      </c>
      <c r="J96" s="294">
        <f t="shared" si="14"/>
        <v>2.33333333333333</v>
      </c>
      <c r="K96" s="295">
        <f>表1温室气体盘查表!AL99</f>
        <v>1357195.22298588</v>
      </c>
      <c r="L96" s="296">
        <f t="shared" si="15"/>
        <v>0.0874254144854883</v>
      </c>
      <c r="M96" s="297">
        <f t="shared" si="16"/>
        <v>0.203992633799473</v>
      </c>
    </row>
    <row r="97" ht="18" customHeight="1" spans="1:13">
      <c r="A97" s="289">
        <v>95</v>
      </c>
      <c r="B97" s="290" t="str">
        <f>表1温室气体盘查表!C100</f>
        <v>钢管加工</v>
      </c>
      <c r="C97" s="290" t="str">
        <f>表1温室气体盘查表!D100</f>
        <v>下游钢铁厂</v>
      </c>
      <c r="D97" s="291" t="s">
        <v>438</v>
      </c>
      <c r="E97" s="298" t="s">
        <v>441</v>
      </c>
      <c r="F97" s="291" t="s">
        <v>439</v>
      </c>
      <c r="G97" s="292">
        <f t="shared" si="11"/>
        <v>3</v>
      </c>
      <c r="H97" s="293">
        <f t="shared" si="12"/>
        <v>1</v>
      </c>
      <c r="I97" s="292">
        <f t="shared" si="13"/>
        <v>3</v>
      </c>
      <c r="J97" s="294">
        <f t="shared" si="14"/>
        <v>2.33333333333333</v>
      </c>
      <c r="K97" s="295">
        <f>表1温室气体盘查表!AL100</f>
        <v>72250.3406477739</v>
      </c>
      <c r="L97" s="296">
        <f t="shared" si="15"/>
        <v>0.00465409535111151</v>
      </c>
      <c r="M97" s="297">
        <f t="shared" si="16"/>
        <v>0.0108595558192602</v>
      </c>
    </row>
    <row r="98" ht="18" customHeight="1" spans="1:13">
      <c r="A98" s="289">
        <v>96</v>
      </c>
      <c r="B98" s="290" t="str">
        <f>表1温室气体盘查表!C101</f>
        <v>钢坯加工</v>
      </c>
      <c r="C98" s="290" t="str">
        <f>表1温室气体盘查表!D101</f>
        <v>下游钢铁厂</v>
      </c>
      <c r="D98" s="291" t="s">
        <v>438</v>
      </c>
      <c r="E98" s="298" t="s">
        <v>441</v>
      </c>
      <c r="F98" s="291" t="s">
        <v>439</v>
      </c>
      <c r="G98" s="292">
        <f t="shared" si="11"/>
        <v>3</v>
      </c>
      <c r="H98" s="293">
        <f t="shared" si="12"/>
        <v>1</v>
      </c>
      <c r="I98" s="292">
        <f t="shared" si="13"/>
        <v>3</v>
      </c>
      <c r="J98" s="294">
        <f t="shared" si="14"/>
        <v>2.33333333333333</v>
      </c>
      <c r="K98" s="295">
        <f>表1温室气体盘查表!AL101</f>
        <v>203898.734635364</v>
      </c>
      <c r="L98" s="296">
        <f t="shared" si="15"/>
        <v>0.0131343900174844</v>
      </c>
      <c r="M98" s="297">
        <f t="shared" si="16"/>
        <v>0.0306469100407969</v>
      </c>
    </row>
    <row r="99" ht="18" customHeight="1" spans="1:13">
      <c r="A99" s="289">
        <v>97</v>
      </c>
      <c r="B99" s="290" t="str">
        <f>表1温室气体盘查表!C102</f>
        <v>外售焦炉煤气燃烧</v>
      </c>
      <c r="C99" s="290" t="str">
        <f>表1温室气体盘查表!D102</f>
        <v>下游钢铁厂</v>
      </c>
      <c r="D99" s="291" t="s">
        <v>435</v>
      </c>
      <c r="E99" s="291" t="s">
        <v>436</v>
      </c>
      <c r="F99" s="291" t="s">
        <v>437</v>
      </c>
      <c r="G99" s="292">
        <f t="shared" ref="G99" si="17">IF(D99="自动连续量测",6,IF(D99="定期量测/抄表/铭牌",3,1))</f>
        <v>6</v>
      </c>
      <c r="H99" s="293">
        <f t="shared" ref="H99" si="18">IF(E99="量测/质量平衡排放因子",6,IF(E99="制程/设备排放因子",5,IF(E99="制造商提供的排放因子",4,IF(E99="区域排放因子",3,IF(E99="国家排放因子",2,1)))))</f>
        <v>1</v>
      </c>
      <c r="I99" s="292">
        <f t="shared" ref="I99" si="19">IF(F99="校准且合格",6,IF(F99="未校准",1,3))</f>
        <v>6</v>
      </c>
      <c r="J99" s="294">
        <f t="shared" ref="J99" si="20">AVERAGE(G99:I99)</f>
        <v>4.33333333333333</v>
      </c>
      <c r="K99" s="295">
        <f>表1温室气体盘查表!AL102</f>
        <v>3833.13548307747</v>
      </c>
      <c r="L99" s="296">
        <f t="shared" ref="L99:L100" si="21">K99/$K$101</f>
        <v>0.000246916178830793</v>
      </c>
      <c r="M99" s="297">
        <f t="shared" ref="M99:M100" si="22">J99*L99</f>
        <v>0.00106997010826677</v>
      </c>
    </row>
    <row r="100" ht="18" customHeight="1" spans="1:13">
      <c r="A100" s="289">
        <v>98</v>
      </c>
      <c r="B100" s="290" t="str">
        <f>表1温室气体盘查表!C103</f>
        <v>产品报废</v>
      </c>
      <c r="C100" s="290" t="str">
        <f>表1温室气体盘查表!D103</f>
        <v>下游钢铁厂</v>
      </c>
      <c r="D100" s="291" t="s">
        <v>441</v>
      </c>
      <c r="E100" s="291" t="s">
        <v>436</v>
      </c>
      <c r="F100" s="291" t="s">
        <v>439</v>
      </c>
      <c r="G100" s="292">
        <f t="shared" si="11"/>
        <v>1</v>
      </c>
      <c r="H100" s="293">
        <f t="shared" si="12"/>
        <v>1</v>
      </c>
      <c r="I100" s="292">
        <f t="shared" si="13"/>
        <v>3</v>
      </c>
      <c r="J100" s="294">
        <f t="shared" si="14"/>
        <v>1.66666666666667</v>
      </c>
      <c r="K100" s="295">
        <f>表1温室气体盘查表!AL103</f>
        <v>3747.34695958894</v>
      </c>
      <c r="L100" s="296">
        <f t="shared" si="21"/>
        <v>0.000241390004631931</v>
      </c>
      <c r="M100" s="297">
        <f t="shared" si="22"/>
        <v>0.000402316674386551</v>
      </c>
    </row>
    <row r="101" ht="15.75" spans="1:13">
      <c r="A101" s="299"/>
      <c r="B101" s="299"/>
      <c r="C101" s="299"/>
      <c r="D101" s="299"/>
      <c r="E101" s="299"/>
      <c r="F101" s="299"/>
      <c r="G101" s="283"/>
      <c r="H101" s="283"/>
      <c r="I101" s="283"/>
      <c r="J101" s="283"/>
      <c r="K101" s="300">
        <f>SUM(K3:K100)</f>
        <v>15524035.3274066</v>
      </c>
      <c r="L101" s="301" t="s">
        <v>442</v>
      </c>
      <c r="M101" s="302">
        <f>SUM(M3:M100)</f>
        <v>3.71796897402812</v>
      </c>
    </row>
    <row r="102" ht="15.75" spans="1:13">
      <c r="A102" s="299"/>
      <c r="B102" s="299"/>
      <c r="C102" s="299"/>
      <c r="D102" s="299"/>
      <c r="E102" s="299"/>
      <c r="F102" s="299"/>
      <c r="G102" s="283"/>
      <c r="H102" s="283"/>
      <c r="I102" s="283"/>
      <c r="J102" s="283"/>
      <c r="K102" s="283"/>
      <c r="L102" s="303" t="s">
        <v>443</v>
      </c>
      <c r="M102" s="304" t="str">
        <f>IF(M101&lt;2,"差",IF(M101&lt;3,"一般",IF(M101&lt;4,"良",IF(M101&lt;5,"优","优+"))))</f>
        <v>良</v>
      </c>
    </row>
    <row r="103" ht="15.75" spans="1:13">
      <c r="A103" s="283"/>
      <c r="B103" s="283"/>
      <c r="C103" s="283"/>
      <c r="D103" s="283"/>
      <c r="E103" s="283"/>
      <c r="F103" s="283"/>
      <c r="G103" s="283"/>
      <c r="H103" s="283"/>
      <c r="I103" s="283"/>
      <c r="J103" s="305"/>
      <c r="K103" s="283"/>
      <c r="L103" s="283"/>
      <c r="M103" s="283"/>
    </row>
    <row r="104" ht="15" spans="1:13">
      <c r="A104" s="283"/>
      <c r="B104" s="283"/>
      <c r="C104" s="283"/>
      <c r="D104" s="283"/>
      <c r="E104" s="283"/>
      <c r="F104" s="283"/>
      <c r="G104" s="306"/>
      <c r="H104" s="283"/>
      <c r="I104" s="283"/>
      <c r="J104" s="283"/>
      <c r="K104" s="283"/>
      <c r="L104" s="283"/>
      <c r="M104" s="283"/>
    </row>
    <row r="105" ht="15" spans="1:13">
      <c r="A105" s="306"/>
      <c r="B105" s="283"/>
      <c r="C105" s="283"/>
      <c r="D105" s="283"/>
      <c r="E105" s="283"/>
      <c r="F105" s="283"/>
      <c r="G105" s="283"/>
      <c r="H105" s="283"/>
      <c r="I105" s="283"/>
      <c r="J105" s="305"/>
      <c r="K105" s="305"/>
      <c r="L105" s="283"/>
      <c r="M105" s="283"/>
    </row>
    <row r="106" ht="15" spans="1:13">
      <c r="A106" s="283" t="s">
        <v>444</v>
      </c>
      <c r="B106" s="283"/>
      <c r="C106" s="283"/>
      <c r="D106" s="283"/>
      <c r="E106" s="283"/>
      <c r="F106" s="283"/>
      <c r="G106" s="283"/>
      <c r="H106" s="283"/>
      <c r="I106" s="283"/>
      <c r="J106" s="305"/>
      <c r="K106" s="305"/>
      <c r="L106" s="283"/>
      <c r="M106" s="283"/>
    </row>
    <row r="107" ht="15" spans="1:13">
      <c r="A107" s="283" t="s">
        <v>444</v>
      </c>
      <c r="B107" s="283"/>
      <c r="C107" s="283"/>
      <c r="D107" s="283"/>
      <c r="E107" s="283"/>
      <c r="F107" s="283"/>
      <c r="G107" s="283"/>
      <c r="H107" s="283"/>
      <c r="I107" s="283"/>
      <c r="J107" s="305"/>
      <c r="K107" s="305"/>
      <c r="L107" s="283"/>
      <c r="M107" s="283"/>
    </row>
    <row r="108" ht="15" spans="1:13">
      <c r="A108" s="283" t="s">
        <v>444</v>
      </c>
      <c r="B108" s="283"/>
      <c r="C108" s="283"/>
      <c r="D108" s="283"/>
      <c r="E108" s="283"/>
      <c r="F108" s="283"/>
      <c r="G108" s="283"/>
      <c r="H108" s="283"/>
      <c r="I108" s="283"/>
      <c r="J108" s="305"/>
      <c r="K108" s="305"/>
      <c r="L108" s="283"/>
      <c r="M108" s="283"/>
    </row>
    <row r="109" ht="15" spans="1:13">
      <c r="A109" s="283" t="s">
        <v>444</v>
      </c>
      <c r="B109" s="283"/>
      <c r="C109" s="283"/>
      <c r="D109" s="283"/>
      <c r="E109" s="283"/>
      <c r="F109" s="283"/>
      <c r="G109" s="283"/>
      <c r="H109" s="283"/>
      <c r="I109" s="283"/>
      <c r="J109" s="305"/>
      <c r="K109" s="305"/>
      <c r="L109" s="283"/>
      <c r="M109" s="283"/>
    </row>
    <row r="110" ht="15" spans="1:13">
      <c r="A110" s="283"/>
      <c r="B110" s="283"/>
      <c r="C110" s="283"/>
      <c r="D110" s="283"/>
      <c r="E110" s="283"/>
      <c r="F110" s="283"/>
      <c r="G110" s="283"/>
      <c r="H110" s="283"/>
      <c r="I110" s="283"/>
      <c r="J110" s="283"/>
      <c r="K110" s="283"/>
      <c r="L110" s="283"/>
      <c r="M110" s="283"/>
    </row>
    <row r="111" ht="15.75" spans="1:13">
      <c r="A111" s="283"/>
      <c r="G111" s="283"/>
      <c r="H111" s="283"/>
      <c r="I111" s="283"/>
      <c r="J111" s="283"/>
      <c r="K111" s="283"/>
      <c r="L111" s="283"/>
      <c r="M111" s="283"/>
    </row>
    <row r="112" ht="15.75" spans="1:13">
      <c r="A112" s="307" t="s">
        <v>445</v>
      </c>
      <c r="B112" s="308" t="s">
        <v>446</v>
      </c>
      <c r="G112" s="283"/>
      <c r="H112" s="283"/>
      <c r="I112" s="283"/>
      <c r="J112" s="305"/>
      <c r="K112" s="283"/>
      <c r="L112" s="283"/>
      <c r="M112" s="283"/>
    </row>
    <row r="113" ht="15" spans="1:13">
      <c r="A113" s="309" t="s">
        <v>447</v>
      </c>
      <c r="B113" s="310" t="s">
        <v>448</v>
      </c>
      <c r="G113" s="283"/>
      <c r="H113" s="283"/>
      <c r="I113" s="283"/>
      <c r="J113" s="305"/>
      <c r="K113" s="283"/>
      <c r="L113" s="283"/>
      <c r="M113" s="283"/>
    </row>
    <row r="114" ht="15" spans="1:13">
      <c r="A114" s="309" t="s">
        <v>449</v>
      </c>
      <c r="B114" s="310" t="s">
        <v>450</v>
      </c>
      <c r="G114" s="283"/>
      <c r="H114" s="283"/>
      <c r="I114" s="283"/>
      <c r="J114" s="305"/>
      <c r="K114" s="283"/>
      <c r="L114" s="283"/>
      <c r="M114" s="283"/>
    </row>
    <row r="115" ht="15" spans="1:13">
      <c r="A115" s="309" t="s">
        <v>451</v>
      </c>
      <c r="B115" s="310" t="s">
        <v>452</v>
      </c>
      <c r="G115" s="283"/>
      <c r="H115" s="283"/>
      <c r="I115" s="283"/>
      <c r="J115" s="305"/>
      <c r="K115" s="283"/>
      <c r="L115" s="283"/>
      <c r="M115" s="283"/>
    </row>
    <row r="116" ht="15.75" spans="1:13">
      <c r="A116" s="311" t="s">
        <v>453</v>
      </c>
      <c r="B116" s="312" t="s">
        <v>454</v>
      </c>
      <c r="C116" s="283"/>
      <c r="D116" s="283"/>
      <c r="G116" s="283"/>
      <c r="H116" s="283"/>
      <c r="I116" s="283"/>
      <c r="J116" s="305"/>
      <c r="K116" s="283"/>
      <c r="L116" s="283"/>
      <c r="M116" s="283"/>
    </row>
    <row r="117" ht="15.75" spans="1:13">
      <c r="A117" s="283"/>
      <c r="B117" s="283"/>
      <c r="C117" s="283"/>
      <c r="D117" s="283"/>
      <c r="G117" s="283"/>
      <c r="H117" s="283"/>
      <c r="I117" s="283"/>
      <c r="J117" s="305"/>
      <c r="K117" s="283"/>
      <c r="L117" s="283"/>
      <c r="M117" s="283"/>
    </row>
    <row r="118" ht="15" spans="1:13">
      <c r="A118" s="283"/>
      <c r="B118" s="283"/>
      <c r="C118" s="283"/>
      <c r="D118" s="283"/>
      <c r="G118" s="283"/>
      <c r="H118" s="283"/>
      <c r="I118" s="283"/>
      <c r="J118" s="305"/>
      <c r="K118" s="283"/>
      <c r="L118" s="283"/>
      <c r="M118" s="283"/>
    </row>
    <row r="119" ht="15" spans="1:13">
      <c r="A119" s="283"/>
      <c r="B119" s="283"/>
      <c r="C119" s="283"/>
      <c r="D119" s="283"/>
      <c r="E119" s="283"/>
      <c r="F119" s="283"/>
      <c r="G119" s="283"/>
      <c r="H119" s="283"/>
      <c r="I119" s="283"/>
      <c r="J119" s="305"/>
      <c r="K119" s="283"/>
      <c r="L119" s="283"/>
      <c r="M119" s="283"/>
    </row>
  </sheetData>
  <mergeCells count="1">
    <mergeCell ref="A1:M1"/>
  </mergeCells>
  <dataValidations count="6">
    <dataValidation type="list" allowBlank="1" showInputMessage="1" showErrorMessage="1" sqref="E16 E18 E21 E25 E99 E3:E13 E32:E44 E46:E74 E76:E94">
      <formula1>"量测/质量平衡排放因子,制程/设备排放因子,制造商提供的排放因子,区域排放因子,国家排放因子,国际排放因子"</formula1>
    </dataValidation>
    <dataValidation type="list" allowBlank="1" showInputMessage="1" showErrorMessage="1" sqref="E17 E45 E75 E100 E22:E24 E26:E31">
      <formula1>"量测/质量平衡排放因子,制程/设备排放因子,制造商提供的排放因子,区域排放因子,国家排放因子"</formula1>
    </dataValidation>
    <dataValidation type="list" allowBlank="1" showInputMessage="1" showErrorMessage="1" sqref="D100 D13:D14 D18:D19 D55:D65 D76:D79 D83:D94 E95:E98">
      <formula1>"自动连续量测,定期量测/抄表/铭牌,自行推估"</formula1>
    </dataValidation>
    <dataValidation type="list" allowBlank="1" showInputMessage="1" showErrorMessage="1" sqref="D3:D12 D15:D17 D20:D54 D66:D75 D80:D82 D95:D99">
      <formula1>"自动连续量测,定期量测/抄表/铭牌"</formula1>
    </dataValidation>
    <dataValidation type="list" allowBlank="1" showInputMessage="1" showErrorMessage="1" sqref="E14:E15 E19:E20">
      <formula1>"量测/质量平衡排放因子,制程/设备排放因子,制造商提供的排放因子,区域排放因子,国家排放因子,国际排放因子,自行校准"</formula1>
    </dataValidation>
    <dataValidation type="list" allowBlank="1" showInputMessage="1" showErrorMessage="1" sqref="F3:F68 F70:F100">
      <formula1>"校准且合格,校准但不合格/未校准但数据可查证"</formula1>
    </dataValidation>
  </dataValidations>
  <pageMargins left="0.511811023622047" right="0.511811023622047" top="0.748031496062992" bottom="0.748031496062992" header="0.31496062992126" footer="0.31496062992126"/>
  <pageSetup paperSize="9" scale="60" fitToHeight="0" orientation="landscape"/>
  <headerFooter alignWithMargins="0">
    <oddFooter>&amp;CPage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M119"/>
  <sheetViews>
    <sheetView showOutlineSymbols="0" zoomScale="85" zoomScaleNormal="85" workbookViewId="0">
      <selection activeCell="C27" sqref="C27"/>
    </sheetView>
  </sheetViews>
  <sheetFormatPr defaultColWidth="8.75" defaultRowHeight="14.25"/>
  <cols>
    <col min="1" max="1" width="10.375" customWidth="1"/>
    <col min="2" max="2" width="28.75" customWidth="1"/>
    <col min="3" max="3" width="19.25" customWidth="1"/>
    <col min="4" max="4" width="18.625" customWidth="1"/>
    <col min="5" max="5" width="20" customWidth="1"/>
    <col min="6" max="6" width="31.75" customWidth="1"/>
    <col min="7" max="7" width="14.625" customWidth="1"/>
    <col min="8" max="8" width="9.5" customWidth="1"/>
    <col min="9" max="9" width="10.75" customWidth="1"/>
    <col min="10" max="10" width="11.5" customWidth="1"/>
    <col min="11" max="11" width="21.75" customWidth="1"/>
    <col min="12" max="13" width="14.25" customWidth="1"/>
    <col min="14" max="14" width="10.375" customWidth="1"/>
  </cols>
  <sheetData>
    <row r="1" ht="28.9" customHeight="1" spans="1:13">
      <c r="A1" s="284" t="s">
        <v>421</v>
      </c>
      <c r="B1" s="284"/>
      <c r="C1" s="284"/>
      <c r="D1" s="284"/>
      <c r="E1" s="284"/>
      <c r="F1" s="284"/>
      <c r="G1" s="284"/>
      <c r="H1" s="284"/>
      <c r="I1" s="284"/>
      <c r="J1" s="284"/>
      <c r="K1" s="284"/>
      <c r="L1" s="284"/>
      <c r="M1" s="284"/>
    </row>
    <row r="2" s="283" customFormat="1" ht="38.65" customHeight="1" spans="1:13">
      <c r="A2" s="285" t="s">
        <v>422</v>
      </c>
      <c r="B2" s="285" t="s">
        <v>423</v>
      </c>
      <c r="C2" s="285" t="s">
        <v>424</v>
      </c>
      <c r="D2" s="285" t="s">
        <v>425</v>
      </c>
      <c r="E2" s="285" t="s">
        <v>426</v>
      </c>
      <c r="F2" s="285" t="s">
        <v>427</v>
      </c>
      <c r="G2" s="286" t="s">
        <v>428</v>
      </c>
      <c r="H2" s="286" t="s">
        <v>429</v>
      </c>
      <c r="I2" s="286" t="s">
        <v>430</v>
      </c>
      <c r="J2" s="287" t="s">
        <v>431</v>
      </c>
      <c r="K2" s="286" t="s">
        <v>432</v>
      </c>
      <c r="L2" s="286" t="s">
        <v>433</v>
      </c>
      <c r="M2" s="288" t="s">
        <v>434</v>
      </c>
    </row>
    <row r="3" spans="1:13">
      <c r="A3" s="289">
        <v>1</v>
      </c>
      <c r="B3" s="290" t="str">
        <f>表1温室气体盘查表!C5</f>
        <v>天然气燃烧</v>
      </c>
      <c r="C3" s="290" t="str">
        <f>表1温室气体盘查表!D5</f>
        <v>热处理炉（加热炉）</v>
      </c>
      <c r="D3" s="291" t="s">
        <v>435</v>
      </c>
      <c r="E3" s="291" t="s">
        <v>436</v>
      </c>
      <c r="F3" s="291" t="s">
        <v>437</v>
      </c>
      <c r="G3" s="292">
        <f t="shared" ref="G3:G65" si="0">IF(D3="自动连续量测",6,IF(D3="定期量测/抄表/铭牌",3,1))</f>
        <v>6</v>
      </c>
      <c r="H3" s="293">
        <f t="shared" ref="H3:H65" si="1">IF(E3="量测/质量平衡排放因子",6,IF(E3="制程/设备排放因子",5,IF(E3="制造商提供的排放因子",4,IF(E3="区域排放因子",3,IF(E3="国家排放因子",2,1)))))</f>
        <v>1</v>
      </c>
      <c r="I3" s="292">
        <f t="shared" ref="I3:I65" si="2">IF(F3="校准且合格",6,IF(F3="未校准",1,3))</f>
        <v>6</v>
      </c>
      <c r="J3" s="294">
        <f t="shared" ref="J3:J65" si="3">AVERAGE(G3:I3)</f>
        <v>4.33333333333333</v>
      </c>
      <c r="K3" s="295">
        <f>表1温室气体盘查表!AL5</f>
        <v>38881.7260826929</v>
      </c>
      <c r="L3" s="296">
        <f t="shared" ref="L3:L34" si="4">K3/$K$101</f>
        <v>0.00248977583870436</v>
      </c>
      <c r="M3" s="297">
        <f>J3*L3</f>
        <v>0.0107890286343855</v>
      </c>
    </row>
    <row r="4" spans="1:13">
      <c r="A4" s="289">
        <v>2</v>
      </c>
      <c r="B4" s="290" t="str">
        <f>表1温室气体盘查表!C6</f>
        <v>液化石油气燃烧</v>
      </c>
      <c r="C4" s="290" t="str">
        <f>表1温室气体盘查表!D6</f>
        <v>冶钢宾馆</v>
      </c>
      <c r="D4" s="291" t="s">
        <v>438</v>
      </c>
      <c r="E4" s="291" t="s">
        <v>436</v>
      </c>
      <c r="F4" s="291" t="s">
        <v>437</v>
      </c>
      <c r="G4" s="292">
        <f t="shared" si="0"/>
        <v>3</v>
      </c>
      <c r="H4" s="293">
        <f t="shared" si="1"/>
        <v>1</v>
      </c>
      <c r="I4" s="292">
        <f t="shared" si="2"/>
        <v>6</v>
      </c>
      <c r="J4" s="294">
        <f t="shared" si="3"/>
        <v>3.33333333333333</v>
      </c>
      <c r="K4" s="295">
        <f>表1温室气体盘查表!AL6</f>
        <v>29.1623679258778</v>
      </c>
      <c r="L4" s="296">
        <f t="shared" si="4"/>
        <v>1.86740061145528e-6</v>
      </c>
      <c r="M4" s="297">
        <f t="shared" ref="M4:M66" si="5">J4*L4</f>
        <v>6.22466870485093e-6</v>
      </c>
    </row>
    <row r="5" spans="1:13">
      <c r="A5" s="289">
        <v>3</v>
      </c>
      <c r="B5" s="290" t="str">
        <f>表1温室气体盘查表!C7</f>
        <v>烟煤燃烧</v>
      </c>
      <c r="C5" s="290" t="str">
        <f>表1温室气体盘查表!D7</f>
        <v>高炉</v>
      </c>
      <c r="D5" s="291" t="s">
        <v>435</v>
      </c>
      <c r="E5" s="291" t="s">
        <v>436</v>
      </c>
      <c r="F5" s="291" t="s">
        <v>437</v>
      </c>
      <c r="G5" s="292">
        <f t="shared" si="0"/>
        <v>6</v>
      </c>
      <c r="H5" s="293">
        <f t="shared" si="1"/>
        <v>1</v>
      </c>
      <c r="I5" s="292">
        <f t="shared" si="2"/>
        <v>6</v>
      </c>
      <c r="J5" s="294">
        <f t="shared" si="3"/>
        <v>4.33333333333333</v>
      </c>
      <c r="K5" s="295">
        <f>表1温室气体盘查表!AL7</f>
        <v>925941.318843156</v>
      </c>
      <c r="L5" s="296">
        <f t="shared" si="4"/>
        <v>0.0592922834446878</v>
      </c>
      <c r="M5" s="297">
        <f t="shared" si="5"/>
        <v>0.256933228260314</v>
      </c>
    </row>
    <row r="6" spans="1:13">
      <c r="A6" s="289">
        <v>4</v>
      </c>
      <c r="B6" s="290" t="str">
        <f>表1温室气体盘查表!C8</f>
        <v>无烟煤燃烧</v>
      </c>
      <c r="C6" s="290" t="str">
        <f>表1温室气体盘查表!D8</f>
        <v>高炉、烧结</v>
      </c>
      <c r="D6" s="291" t="s">
        <v>435</v>
      </c>
      <c r="E6" s="291" t="s">
        <v>436</v>
      </c>
      <c r="F6" s="291" t="s">
        <v>437</v>
      </c>
      <c r="G6" s="292">
        <f t="shared" si="0"/>
        <v>6</v>
      </c>
      <c r="H6" s="293">
        <f t="shared" si="1"/>
        <v>1</v>
      </c>
      <c r="I6" s="292">
        <f t="shared" si="2"/>
        <v>6</v>
      </c>
      <c r="J6" s="294">
        <f t="shared" si="3"/>
        <v>4.33333333333333</v>
      </c>
      <c r="K6" s="295">
        <f>表1温室气体盘查表!AL8</f>
        <v>637282.392059932</v>
      </c>
      <c r="L6" s="296">
        <f t="shared" si="4"/>
        <v>0.0408081240737099</v>
      </c>
      <c r="M6" s="297">
        <f t="shared" si="5"/>
        <v>0.17683520431941</v>
      </c>
    </row>
    <row r="7" spans="1:13">
      <c r="A7" s="289">
        <v>5</v>
      </c>
      <c r="B7" s="290" t="str">
        <f>表1温室气体盘查表!C9</f>
        <v>洗精煤燃烧</v>
      </c>
      <c r="C7" s="290" t="str">
        <f>表1温室气体盘查表!D9</f>
        <v>焦炉</v>
      </c>
      <c r="D7" s="291" t="s">
        <v>435</v>
      </c>
      <c r="E7" s="291" t="s">
        <v>436</v>
      </c>
      <c r="F7" s="291" t="s">
        <v>437</v>
      </c>
      <c r="G7" s="292">
        <f t="shared" si="0"/>
        <v>6</v>
      </c>
      <c r="H7" s="293">
        <f t="shared" si="1"/>
        <v>1</v>
      </c>
      <c r="I7" s="292">
        <f t="shared" si="2"/>
        <v>6</v>
      </c>
      <c r="J7" s="294">
        <f t="shared" si="3"/>
        <v>4.33333333333333</v>
      </c>
      <c r="K7" s="295">
        <f>表1温室气体盘查表!AL9</f>
        <v>4824841.57343012</v>
      </c>
      <c r="L7" s="296">
        <f t="shared" si="4"/>
        <v>0.308956807873038</v>
      </c>
      <c r="M7" s="297">
        <f t="shared" si="5"/>
        <v>1.3388128341165</v>
      </c>
    </row>
    <row r="8" spans="1:13">
      <c r="A8" s="289">
        <v>6</v>
      </c>
      <c r="B8" s="290" t="str">
        <f>表1温室气体盘查表!C10</f>
        <v>焦炭燃烧</v>
      </c>
      <c r="C8" s="290" t="str">
        <f>表1温室气体盘查表!D10</f>
        <v>高炉</v>
      </c>
      <c r="D8" s="291" t="s">
        <v>435</v>
      </c>
      <c r="E8" s="291" t="s">
        <v>436</v>
      </c>
      <c r="F8" s="291" t="s">
        <v>437</v>
      </c>
      <c r="G8" s="292">
        <f t="shared" si="0"/>
        <v>6</v>
      </c>
      <c r="H8" s="293">
        <f t="shared" si="1"/>
        <v>1</v>
      </c>
      <c r="I8" s="292">
        <f t="shared" si="2"/>
        <v>6</v>
      </c>
      <c r="J8" s="294">
        <f t="shared" si="3"/>
        <v>4.33333333333333</v>
      </c>
      <c r="K8" s="295">
        <f>表1温室气体盘查表!AL10</f>
        <v>439843.844348532</v>
      </c>
      <c r="L8" s="296">
        <f t="shared" si="4"/>
        <v>0.0281652253331745</v>
      </c>
      <c r="M8" s="297">
        <f t="shared" si="5"/>
        <v>0.12204930977709</v>
      </c>
    </row>
    <row r="9" spans="1:13">
      <c r="A9" s="289">
        <v>7</v>
      </c>
      <c r="B9" s="290" t="str">
        <f>表1温室气体盘查表!C11</f>
        <v>焦屑燃烧</v>
      </c>
      <c r="C9" s="290" t="str">
        <f>表1温室气体盘查表!D11</f>
        <v>烧结、高炉</v>
      </c>
      <c r="D9" s="291" t="s">
        <v>435</v>
      </c>
      <c r="E9" s="291" t="s">
        <v>436</v>
      </c>
      <c r="F9" s="291" t="s">
        <v>437</v>
      </c>
      <c r="G9" s="292">
        <f t="shared" si="0"/>
        <v>6</v>
      </c>
      <c r="H9" s="293">
        <f t="shared" si="1"/>
        <v>1</v>
      </c>
      <c r="I9" s="292">
        <f t="shared" si="2"/>
        <v>6</v>
      </c>
      <c r="J9" s="294">
        <f t="shared" si="3"/>
        <v>4.33333333333333</v>
      </c>
      <c r="K9" s="295">
        <f>表1温室气体盘查表!AL11</f>
        <v>364657.356140779</v>
      </c>
      <c r="L9" s="296">
        <f t="shared" si="4"/>
        <v>0.0233506885160958</v>
      </c>
      <c r="M9" s="297">
        <f t="shared" si="5"/>
        <v>0.101186316903082</v>
      </c>
    </row>
    <row r="10" spans="1:13">
      <c r="A10" s="289">
        <v>8</v>
      </c>
      <c r="B10" s="290" t="str">
        <f>表1温室气体盘查表!C12</f>
        <v>焦炉煤气燃烧</v>
      </c>
      <c r="C10" s="290" t="str">
        <f>表1温室气体盘查表!D12</f>
        <v>外售</v>
      </c>
      <c r="D10" s="291" t="s">
        <v>435</v>
      </c>
      <c r="E10" s="291" t="s">
        <v>436</v>
      </c>
      <c r="F10" s="291" t="s">
        <v>437</v>
      </c>
      <c r="G10" s="292">
        <f t="shared" si="0"/>
        <v>6</v>
      </c>
      <c r="H10" s="293">
        <f t="shared" si="1"/>
        <v>1</v>
      </c>
      <c r="I10" s="292">
        <f t="shared" si="2"/>
        <v>6</v>
      </c>
      <c r="J10" s="294">
        <f t="shared" si="3"/>
        <v>4.33333333333333</v>
      </c>
      <c r="K10" s="295">
        <f>表1温室气体盘查表!AL12</f>
        <v>-3833.13548307747</v>
      </c>
      <c r="L10" s="296">
        <f t="shared" si="4"/>
        <v>-0.000245453303486306</v>
      </c>
      <c r="M10" s="297">
        <f t="shared" si="5"/>
        <v>-0.00106363098177399</v>
      </c>
    </row>
    <row r="11" spans="1:13">
      <c r="A11" s="289">
        <v>9</v>
      </c>
      <c r="B11" s="290" t="str">
        <f>表1温室气体盘查表!C13</f>
        <v>0#柴油燃烧</v>
      </c>
      <c r="C11" s="290" t="str">
        <f>表1温室气体盘查表!D13</f>
        <v>场内运输</v>
      </c>
      <c r="D11" s="291" t="s">
        <v>438</v>
      </c>
      <c r="E11" s="291" t="s">
        <v>436</v>
      </c>
      <c r="F11" s="291" t="s">
        <v>439</v>
      </c>
      <c r="G11" s="292">
        <f t="shared" si="0"/>
        <v>3</v>
      </c>
      <c r="H11" s="293">
        <f t="shared" si="1"/>
        <v>1</v>
      </c>
      <c r="I11" s="292">
        <f t="shared" si="2"/>
        <v>3</v>
      </c>
      <c r="J11" s="294">
        <f t="shared" si="3"/>
        <v>2.33333333333333</v>
      </c>
      <c r="K11" s="295">
        <f>表1温室气体盘查表!AL13</f>
        <v>4417.07259862728</v>
      </c>
      <c r="L11" s="296">
        <f t="shared" si="4"/>
        <v>0.000282845484032163</v>
      </c>
      <c r="M11" s="297">
        <f t="shared" si="5"/>
        <v>0.000659972796075047</v>
      </c>
    </row>
    <row r="12" spans="1:13">
      <c r="A12" s="289">
        <v>10</v>
      </c>
      <c r="B12" s="290" t="str">
        <f>表1温室气体盘查表!C14</f>
        <v>92#汽油燃烧</v>
      </c>
      <c r="C12" s="290" t="str">
        <f>表1温室气体盘查表!D14</f>
        <v>公务车</v>
      </c>
      <c r="D12" s="291" t="s">
        <v>438</v>
      </c>
      <c r="E12" s="291" t="s">
        <v>436</v>
      </c>
      <c r="F12" s="291" t="s">
        <v>439</v>
      </c>
      <c r="G12" s="292">
        <f t="shared" si="0"/>
        <v>3</v>
      </c>
      <c r="H12" s="293">
        <f t="shared" si="1"/>
        <v>1</v>
      </c>
      <c r="I12" s="292">
        <f t="shared" si="2"/>
        <v>3</v>
      </c>
      <c r="J12" s="294">
        <f t="shared" si="3"/>
        <v>2.33333333333333</v>
      </c>
      <c r="K12" s="295">
        <f>表1温室气体盘查表!AL14</f>
        <v>149.470123787754</v>
      </c>
      <c r="L12" s="296">
        <f t="shared" si="4"/>
        <v>9.57125982584785e-6</v>
      </c>
      <c r="M12" s="297">
        <f t="shared" si="5"/>
        <v>2.2332939593645e-5</v>
      </c>
    </row>
    <row r="13" ht="18" customHeight="1" spans="1:13">
      <c r="A13" s="289">
        <v>11</v>
      </c>
      <c r="B13" s="290" t="str">
        <f>表1温室气体盘查表!C15</f>
        <v>制冷剂逸散（R32）</v>
      </c>
      <c r="C13" s="290" t="str">
        <f>表1温室气体盘查表!D15</f>
        <v>分体式空调</v>
      </c>
      <c r="D13" s="291" t="s">
        <v>438</v>
      </c>
      <c r="E13" s="291" t="s">
        <v>440</v>
      </c>
      <c r="F13" s="291" t="s">
        <v>437</v>
      </c>
      <c r="G13" s="292">
        <f t="shared" si="0"/>
        <v>3</v>
      </c>
      <c r="H13" s="293">
        <f t="shared" si="1"/>
        <v>2</v>
      </c>
      <c r="I13" s="292">
        <f t="shared" si="2"/>
        <v>6</v>
      </c>
      <c r="J13" s="294">
        <f t="shared" si="3"/>
        <v>3.66666666666667</v>
      </c>
      <c r="K13" s="295">
        <f>表1温室气体盘查表!AL15</f>
        <v>717.03</v>
      </c>
      <c r="L13" s="296">
        <f t="shared" si="4"/>
        <v>4.59147303756362e-5</v>
      </c>
      <c r="M13" s="297">
        <f t="shared" si="5"/>
        <v>0.000168354011377333</v>
      </c>
    </row>
    <row r="14" ht="18" customHeight="1" spans="1:13">
      <c r="A14" s="289">
        <v>12</v>
      </c>
      <c r="B14" s="290" t="str">
        <f>表1温室气体盘查表!C16</f>
        <v>CO2逸散</v>
      </c>
      <c r="C14" s="290" t="str">
        <f>表1温室气体盘查表!D16</f>
        <v>二氧化碳灭火器</v>
      </c>
      <c r="D14" s="291" t="s">
        <v>438</v>
      </c>
      <c r="E14" s="291" t="s">
        <v>440</v>
      </c>
      <c r="F14" s="291" t="s">
        <v>437</v>
      </c>
      <c r="G14" s="292">
        <f t="shared" si="0"/>
        <v>3</v>
      </c>
      <c r="H14" s="293">
        <f t="shared" si="1"/>
        <v>2</v>
      </c>
      <c r="I14" s="292">
        <f t="shared" si="2"/>
        <v>6</v>
      </c>
      <c r="J14" s="294">
        <f t="shared" si="3"/>
        <v>3.66666666666667</v>
      </c>
      <c r="K14" s="295">
        <f>表1温室气体盘查表!AL16</f>
        <v>0.66</v>
      </c>
      <c r="L14" s="296">
        <f t="shared" si="4"/>
        <v>4.22628370471527e-8</v>
      </c>
      <c r="M14" s="297">
        <f t="shared" si="5"/>
        <v>1.5496373583956e-7</v>
      </c>
    </row>
    <row r="15" ht="18" customHeight="1" spans="1:13">
      <c r="A15" s="289">
        <v>13</v>
      </c>
      <c r="B15" s="290" t="str">
        <f>表1温室气体盘查表!C17</f>
        <v>CH4逸散</v>
      </c>
      <c r="C15" s="290" t="str">
        <f>表1温室气体盘查表!D17</f>
        <v>化粪池</v>
      </c>
      <c r="D15" s="291" t="s">
        <v>438</v>
      </c>
      <c r="E15" s="291" t="s">
        <v>436</v>
      </c>
      <c r="F15" s="291" t="s">
        <v>437</v>
      </c>
      <c r="G15" s="292">
        <f t="shared" si="0"/>
        <v>3</v>
      </c>
      <c r="H15" s="293">
        <f t="shared" si="1"/>
        <v>1</v>
      </c>
      <c r="I15" s="292">
        <f t="shared" si="2"/>
        <v>6</v>
      </c>
      <c r="J15" s="294">
        <f t="shared" si="3"/>
        <v>3.33333333333333</v>
      </c>
      <c r="K15" s="295">
        <f>表1温室气体盘查表!AL17</f>
        <v>112.29192</v>
      </c>
      <c r="L15" s="296">
        <f t="shared" si="4"/>
        <v>7.19056835859379e-6</v>
      </c>
      <c r="M15" s="297">
        <f t="shared" si="5"/>
        <v>2.39685611953126e-5</v>
      </c>
    </row>
    <row r="16" ht="18" customHeight="1" spans="1:13">
      <c r="A16" s="289">
        <v>14</v>
      </c>
      <c r="B16" s="290" t="str">
        <f>表1温室气体盘查表!C18</f>
        <v>CH4逸散</v>
      </c>
      <c r="C16" s="290" t="str">
        <f>表1温室气体盘查表!D18</f>
        <v>耗氧池</v>
      </c>
      <c r="D16" s="291" t="s">
        <v>438</v>
      </c>
      <c r="E16" s="291" t="s">
        <v>440</v>
      </c>
      <c r="F16" s="291" t="s">
        <v>437</v>
      </c>
      <c r="G16" s="292">
        <f t="shared" si="0"/>
        <v>3</v>
      </c>
      <c r="H16" s="293">
        <f t="shared" si="1"/>
        <v>2</v>
      </c>
      <c r="I16" s="292">
        <f t="shared" si="2"/>
        <v>6</v>
      </c>
      <c r="J16" s="294">
        <f t="shared" si="3"/>
        <v>3.66666666666667</v>
      </c>
      <c r="K16" s="295">
        <f>表1温室气体盘查表!AL18</f>
        <v>365.580675</v>
      </c>
      <c r="L16" s="296">
        <f t="shared" si="4"/>
        <v>2.34098128713834e-5</v>
      </c>
      <c r="M16" s="297">
        <f t="shared" si="5"/>
        <v>8.5835980528406e-5</v>
      </c>
    </row>
    <row r="17" ht="18" customHeight="1" spans="1:13">
      <c r="A17" s="289">
        <v>15</v>
      </c>
      <c r="B17" s="290" t="str">
        <f>表1温室气体盘查表!C19</f>
        <v>SF6逸散</v>
      </c>
      <c r="C17" s="290" t="str">
        <f>表1温室气体盘查表!D19</f>
        <v>高压开关</v>
      </c>
      <c r="D17" s="291" t="s">
        <v>438</v>
      </c>
      <c r="E17" s="291" t="s">
        <v>440</v>
      </c>
      <c r="F17" s="291" t="s">
        <v>437</v>
      </c>
      <c r="G17" s="292">
        <f t="shared" si="0"/>
        <v>3</v>
      </c>
      <c r="H17" s="293">
        <f t="shared" si="1"/>
        <v>2</v>
      </c>
      <c r="I17" s="292">
        <f t="shared" si="2"/>
        <v>6</v>
      </c>
      <c r="J17" s="294">
        <f t="shared" si="3"/>
        <v>3.66666666666667</v>
      </c>
      <c r="K17" s="295">
        <f>表1温室气体盘查表!AL19</f>
        <v>2459.16</v>
      </c>
      <c r="L17" s="296">
        <f t="shared" si="4"/>
        <v>0.000157471330837691</v>
      </c>
      <c r="M17" s="297">
        <f t="shared" si="5"/>
        <v>0.000577394879738199</v>
      </c>
    </row>
    <row r="18" ht="17.65" customHeight="1" spans="1:13">
      <c r="A18" s="289">
        <v>16</v>
      </c>
      <c r="B18" s="290" t="str">
        <f>表1温室气体盘查表!C20</f>
        <v>石灰石</v>
      </c>
      <c r="C18" s="290" t="str">
        <f>表1温室气体盘查表!D20</f>
        <v>石灰窑</v>
      </c>
      <c r="D18" s="291" t="s">
        <v>438</v>
      </c>
      <c r="E18" s="291" t="s">
        <v>440</v>
      </c>
      <c r="F18" s="291" t="s">
        <v>437</v>
      </c>
      <c r="G18" s="292">
        <f t="shared" si="0"/>
        <v>3</v>
      </c>
      <c r="H18" s="293">
        <f t="shared" si="1"/>
        <v>2</v>
      </c>
      <c r="I18" s="292">
        <f t="shared" si="2"/>
        <v>6</v>
      </c>
      <c r="J18" s="294">
        <f t="shared" si="3"/>
        <v>3.66666666666667</v>
      </c>
      <c r="K18" s="295">
        <f>表1温室气体盘查表!AL20</f>
        <v>8520.9388</v>
      </c>
      <c r="L18" s="296">
        <f t="shared" si="4"/>
        <v>0.000545634921201758</v>
      </c>
      <c r="M18" s="297">
        <f t="shared" si="5"/>
        <v>0.00200066137773978</v>
      </c>
    </row>
    <row r="19" ht="18" customHeight="1" spans="1:13">
      <c r="A19" s="289">
        <v>17</v>
      </c>
      <c r="B19" s="290" t="str">
        <f>表1温室气体盘查表!C21</f>
        <v>白云石</v>
      </c>
      <c r="C19" s="290" t="str">
        <f>表1温室气体盘查表!D21</f>
        <v>高炉</v>
      </c>
      <c r="D19" s="291" t="s">
        <v>438</v>
      </c>
      <c r="E19" s="291" t="s">
        <v>440</v>
      </c>
      <c r="F19" s="291" t="s">
        <v>437</v>
      </c>
      <c r="G19" s="292">
        <f t="shared" si="0"/>
        <v>3</v>
      </c>
      <c r="H19" s="293">
        <f t="shared" si="1"/>
        <v>2</v>
      </c>
      <c r="I19" s="292">
        <f t="shared" si="2"/>
        <v>6</v>
      </c>
      <c r="J19" s="294">
        <f t="shared" si="3"/>
        <v>3.66666666666667</v>
      </c>
      <c r="K19" s="295">
        <f>表1温室气体盘查表!AL21</f>
        <v>169593.74964</v>
      </c>
      <c r="L19" s="296">
        <f t="shared" si="4"/>
        <v>0.0108598681897741</v>
      </c>
      <c r="M19" s="297">
        <f t="shared" si="5"/>
        <v>0.0398195166958385</v>
      </c>
    </row>
    <row r="20" ht="18" customHeight="1" spans="1:13">
      <c r="A20" s="289">
        <v>18</v>
      </c>
      <c r="B20" s="290" t="str">
        <f>表1温室气体盘查表!C22</f>
        <v>电极</v>
      </c>
      <c r="C20" s="290" t="str">
        <f>表1温室气体盘查表!D22</f>
        <v>炼钢</v>
      </c>
      <c r="D20" s="291" t="s">
        <v>438</v>
      </c>
      <c r="E20" s="291" t="s">
        <v>436</v>
      </c>
      <c r="F20" s="291" t="s">
        <v>437</v>
      </c>
      <c r="G20" s="292">
        <f t="shared" si="0"/>
        <v>3</v>
      </c>
      <c r="H20" s="293">
        <f t="shared" si="1"/>
        <v>1</v>
      </c>
      <c r="I20" s="292">
        <f t="shared" si="2"/>
        <v>6</v>
      </c>
      <c r="J20" s="294">
        <f t="shared" si="3"/>
        <v>3.33333333333333</v>
      </c>
      <c r="K20" s="295">
        <f>表1温室气体盘查表!AL22</f>
        <v>17447.12541</v>
      </c>
      <c r="L20" s="296">
        <f t="shared" si="4"/>
        <v>0.00111721972446071</v>
      </c>
      <c r="M20" s="297">
        <f t="shared" si="5"/>
        <v>0.00372406574820236</v>
      </c>
    </row>
    <row r="21" ht="18" customHeight="1" spans="1:13">
      <c r="A21" s="289">
        <v>19</v>
      </c>
      <c r="B21" s="290" t="str">
        <f>表1温室气体盘查表!C23</f>
        <v>废钢</v>
      </c>
      <c r="C21" s="290" t="str">
        <f>表1温室气体盘查表!D23</f>
        <v>炼钢</v>
      </c>
      <c r="D21" s="291" t="s">
        <v>438</v>
      </c>
      <c r="E21" s="291" t="s">
        <v>440</v>
      </c>
      <c r="F21" s="291" t="s">
        <v>437</v>
      </c>
      <c r="G21" s="292">
        <f t="shared" si="0"/>
        <v>3</v>
      </c>
      <c r="H21" s="293">
        <f t="shared" si="1"/>
        <v>2</v>
      </c>
      <c r="I21" s="292">
        <f t="shared" si="2"/>
        <v>6</v>
      </c>
      <c r="J21" s="294">
        <f t="shared" si="3"/>
        <v>3.66666666666667</v>
      </c>
      <c r="K21" s="295">
        <f>表1温室气体盘查表!AL23</f>
        <v>39875.7377946186</v>
      </c>
      <c r="L21" s="296">
        <f t="shared" si="4"/>
        <v>0.00255342698264993</v>
      </c>
      <c r="M21" s="297">
        <f t="shared" si="5"/>
        <v>0.00936256560304973</v>
      </c>
    </row>
    <row r="22" ht="18" customHeight="1" spans="1:13">
      <c r="A22" s="289">
        <v>20</v>
      </c>
      <c r="B22" s="290" t="str">
        <f>表1温室气体盘查表!C24</f>
        <v>锰铁</v>
      </c>
      <c r="C22" s="290" t="str">
        <f>表1温室气体盘查表!D24</f>
        <v>炼钢</v>
      </c>
      <c r="D22" s="291" t="s">
        <v>438</v>
      </c>
      <c r="E22" s="291" t="s">
        <v>440</v>
      </c>
      <c r="F22" s="291" t="s">
        <v>437</v>
      </c>
      <c r="G22" s="292">
        <f t="shared" si="0"/>
        <v>3</v>
      </c>
      <c r="H22" s="293">
        <f t="shared" si="1"/>
        <v>2</v>
      </c>
      <c r="I22" s="292">
        <f t="shared" si="2"/>
        <v>6</v>
      </c>
      <c r="J22" s="294">
        <f t="shared" si="3"/>
        <v>3.66666666666667</v>
      </c>
      <c r="K22" s="295">
        <f>表1温室气体盘查表!AL24</f>
        <v>13114.101</v>
      </c>
      <c r="L22" s="296">
        <f t="shared" si="4"/>
        <v>0.000839756232701366</v>
      </c>
      <c r="M22" s="297">
        <f t="shared" si="5"/>
        <v>0.00307910618657168</v>
      </c>
    </row>
    <row r="23" ht="18" customHeight="1" spans="1:13">
      <c r="A23" s="289">
        <v>21</v>
      </c>
      <c r="B23" s="290" t="str">
        <f>表1温室气体盘查表!C25</f>
        <v>镍铁</v>
      </c>
      <c r="C23" s="290" t="str">
        <f>表1温室气体盘查表!D25</f>
        <v>炼钢</v>
      </c>
      <c r="D23" s="291" t="s">
        <v>438</v>
      </c>
      <c r="E23" s="291" t="s">
        <v>440</v>
      </c>
      <c r="F23" s="291" t="s">
        <v>437</v>
      </c>
      <c r="G23" s="292">
        <f t="shared" si="0"/>
        <v>3</v>
      </c>
      <c r="H23" s="293">
        <f t="shared" si="1"/>
        <v>2</v>
      </c>
      <c r="I23" s="292">
        <f t="shared" si="2"/>
        <v>6</v>
      </c>
      <c r="J23" s="294">
        <f t="shared" si="3"/>
        <v>3.66666666666667</v>
      </c>
      <c r="K23" s="295">
        <f>表1温室气体盘查表!AL25</f>
        <v>349.46907</v>
      </c>
      <c r="L23" s="296">
        <f t="shared" si="4"/>
        <v>2.23781126642879e-5</v>
      </c>
      <c r="M23" s="297">
        <f t="shared" si="5"/>
        <v>8.20530797690555e-5</v>
      </c>
    </row>
    <row r="24" ht="18" customHeight="1" spans="1:13">
      <c r="A24" s="289">
        <v>22</v>
      </c>
      <c r="B24" s="290" t="str">
        <f>表1温室气体盘查表!C26</f>
        <v>铬铁</v>
      </c>
      <c r="C24" s="290" t="str">
        <f>表1温室气体盘查表!D26</f>
        <v>炼钢</v>
      </c>
      <c r="D24" s="291" t="s">
        <v>438</v>
      </c>
      <c r="E24" s="291" t="s">
        <v>440</v>
      </c>
      <c r="F24" s="291" t="s">
        <v>437</v>
      </c>
      <c r="G24" s="292">
        <f t="shared" si="0"/>
        <v>3</v>
      </c>
      <c r="H24" s="293">
        <f t="shared" si="1"/>
        <v>2</v>
      </c>
      <c r="I24" s="292">
        <f t="shared" si="2"/>
        <v>6</v>
      </c>
      <c r="J24" s="294">
        <f t="shared" si="3"/>
        <v>3.66666666666667</v>
      </c>
      <c r="K24" s="295">
        <f>表1温室气体盘查表!AL26</f>
        <v>22918.907292</v>
      </c>
      <c r="L24" s="296">
        <f t="shared" si="4"/>
        <v>0.00146760309724333</v>
      </c>
      <c r="M24" s="297">
        <f t="shared" si="5"/>
        <v>0.00538121135655886</v>
      </c>
    </row>
    <row r="25" ht="18" customHeight="1" spans="1:13">
      <c r="A25" s="289">
        <v>23</v>
      </c>
      <c r="B25" s="290" t="str">
        <f>表1温室气体盘查表!C27</f>
        <v>硅铁</v>
      </c>
      <c r="C25" s="290" t="str">
        <f>表1温室气体盘查表!D27</f>
        <v>炼钢</v>
      </c>
      <c r="D25" s="291" t="s">
        <v>438</v>
      </c>
      <c r="E25" s="291" t="s">
        <v>440</v>
      </c>
      <c r="F25" s="291" t="s">
        <v>437</v>
      </c>
      <c r="G25" s="292">
        <f t="shared" si="0"/>
        <v>3</v>
      </c>
      <c r="H25" s="293">
        <f t="shared" si="1"/>
        <v>2</v>
      </c>
      <c r="I25" s="292">
        <f t="shared" si="2"/>
        <v>6</v>
      </c>
      <c r="J25" s="294">
        <f t="shared" si="3"/>
        <v>3.66666666666667</v>
      </c>
      <c r="K25" s="295">
        <f>表1温室气体盘查表!AL27</f>
        <v>74.70736</v>
      </c>
      <c r="L25" s="296">
        <f t="shared" si="4"/>
        <v>4.78385603318632e-6</v>
      </c>
      <c r="M25" s="297">
        <f t="shared" si="5"/>
        <v>1.75408054550165e-5</v>
      </c>
    </row>
    <row r="26" ht="18" customHeight="1" spans="1:13">
      <c r="A26" s="289">
        <v>24</v>
      </c>
      <c r="B26" s="290" t="str">
        <f>表1温室气体盘查表!C28</f>
        <v>钼铁</v>
      </c>
      <c r="C26" s="290" t="str">
        <f>表1温室气体盘查表!D28</f>
        <v>炼钢</v>
      </c>
      <c r="D26" s="291" t="s">
        <v>438</v>
      </c>
      <c r="E26" s="291" t="s">
        <v>440</v>
      </c>
      <c r="F26" s="291" t="s">
        <v>437</v>
      </c>
      <c r="G26" s="292">
        <f t="shared" si="0"/>
        <v>3</v>
      </c>
      <c r="H26" s="293">
        <f t="shared" si="1"/>
        <v>2</v>
      </c>
      <c r="I26" s="292">
        <f t="shared" si="2"/>
        <v>6</v>
      </c>
      <c r="J26" s="294">
        <f t="shared" si="3"/>
        <v>3.66666666666667</v>
      </c>
      <c r="K26" s="295">
        <f>表1温室气体盘查表!AL28</f>
        <v>143.012952</v>
      </c>
      <c r="L26" s="296">
        <f t="shared" si="4"/>
        <v>9.15777740304282e-6</v>
      </c>
      <c r="M26" s="297">
        <f t="shared" si="5"/>
        <v>3.35785171444903e-5</v>
      </c>
    </row>
    <row r="27" ht="18" customHeight="1" spans="1:13">
      <c r="A27" s="289">
        <v>25</v>
      </c>
      <c r="B27" s="290" t="str">
        <f>表1温室气体盘查表!C29</f>
        <v>钢坯</v>
      </c>
      <c r="C27" s="290" t="str">
        <f>表1温室气体盘查表!D29</f>
        <v>固碳产品</v>
      </c>
      <c r="D27" s="291" t="s">
        <v>438</v>
      </c>
      <c r="E27" s="291" t="s">
        <v>440</v>
      </c>
      <c r="F27" s="291" t="s">
        <v>437</v>
      </c>
      <c r="G27" s="292">
        <f t="shared" si="0"/>
        <v>3</v>
      </c>
      <c r="H27" s="293">
        <f t="shared" si="1"/>
        <v>2</v>
      </c>
      <c r="I27" s="292">
        <f t="shared" si="2"/>
        <v>6</v>
      </c>
      <c r="J27" s="294">
        <f t="shared" si="3"/>
        <v>3.66666666666667</v>
      </c>
      <c r="K27" s="295">
        <f>表1温室气体盘查表!AL29</f>
        <v>-160314.41178</v>
      </c>
      <c r="L27" s="296">
        <f t="shared" si="4"/>
        <v>-0.0102656694869216</v>
      </c>
      <c r="M27" s="297">
        <f t="shared" si="5"/>
        <v>-0.0376407881187126</v>
      </c>
    </row>
    <row r="28" ht="18" customHeight="1" spans="1:13">
      <c r="A28" s="289">
        <v>26</v>
      </c>
      <c r="B28" s="290" t="str">
        <f>表1温室气体盘查表!C30</f>
        <v>粗苯</v>
      </c>
      <c r="C28" s="290" t="str">
        <f>表1温室气体盘查表!D30</f>
        <v>外售</v>
      </c>
      <c r="D28" s="291" t="s">
        <v>438</v>
      </c>
      <c r="E28" s="291" t="s">
        <v>440</v>
      </c>
      <c r="F28" s="291" t="s">
        <v>437</v>
      </c>
      <c r="G28" s="292">
        <f t="shared" si="0"/>
        <v>3</v>
      </c>
      <c r="H28" s="293">
        <f t="shared" si="1"/>
        <v>2</v>
      </c>
      <c r="I28" s="292">
        <f t="shared" si="2"/>
        <v>6</v>
      </c>
      <c r="J28" s="294">
        <f t="shared" si="3"/>
        <v>3.66666666666667</v>
      </c>
      <c r="K28" s="295">
        <f>表1温室气体盘查表!AL30</f>
        <v>-65952.99076</v>
      </c>
      <c r="L28" s="296">
        <f t="shared" si="4"/>
        <v>-0.00422327348676098</v>
      </c>
      <c r="M28" s="297">
        <f t="shared" si="5"/>
        <v>-0.0154853361181236</v>
      </c>
    </row>
    <row r="29" ht="18" customHeight="1" spans="1:13">
      <c r="A29" s="289">
        <v>27</v>
      </c>
      <c r="B29" s="290" t="str">
        <f>表1温室气体盘查表!C31</f>
        <v>煤焦油</v>
      </c>
      <c r="C29" s="290" t="str">
        <f>表1温室气体盘查表!D31</f>
        <v>危废处置</v>
      </c>
      <c r="D29" s="291" t="s">
        <v>438</v>
      </c>
      <c r="E29" s="291" t="s">
        <v>440</v>
      </c>
      <c r="F29" s="291" t="s">
        <v>437</v>
      </c>
      <c r="G29" s="292">
        <f t="shared" si="0"/>
        <v>3</v>
      </c>
      <c r="H29" s="293">
        <f t="shared" si="1"/>
        <v>2</v>
      </c>
      <c r="I29" s="292">
        <f t="shared" si="2"/>
        <v>6</v>
      </c>
      <c r="J29" s="294">
        <f t="shared" si="3"/>
        <v>3.66666666666667</v>
      </c>
      <c r="K29" s="295">
        <f>表1温室气体盘查表!AL31</f>
        <v>-159387.0159</v>
      </c>
      <c r="L29" s="296">
        <f t="shared" si="4"/>
        <v>-0.0102062840612328</v>
      </c>
      <c r="M29" s="297">
        <f t="shared" si="5"/>
        <v>-0.0374230415578535</v>
      </c>
    </row>
    <row r="30" ht="18" customHeight="1" spans="1:13">
      <c r="A30" s="289">
        <v>28</v>
      </c>
      <c r="B30" s="290" t="str">
        <f>表1温室气体盘查表!C33</f>
        <v>外购电力（基于市场）</v>
      </c>
      <c r="C30" s="290" t="str">
        <f>表1温室气体盘查表!D33</f>
        <v>用电设备</v>
      </c>
      <c r="D30" s="291" t="s">
        <v>435</v>
      </c>
      <c r="E30" s="291" t="s">
        <v>440</v>
      </c>
      <c r="F30" s="291" t="s">
        <v>437</v>
      </c>
      <c r="G30" s="292">
        <f t="shared" si="0"/>
        <v>6</v>
      </c>
      <c r="H30" s="293">
        <f t="shared" si="1"/>
        <v>2</v>
      </c>
      <c r="I30" s="292">
        <f t="shared" si="2"/>
        <v>6</v>
      </c>
      <c r="J30" s="294">
        <f t="shared" si="3"/>
        <v>4.66666666666667</v>
      </c>
      <c r="K30" s="295">
        <f>表1温室气体盘查表!AL33</f>
        <v>1161900.332352</v>
      </c>
      <c r="L30" s="296">
        <f t="shared" si="4"/>
        <v>0.0744018248654926</v>
      </c>
      <c r="M30" s="297">
        <f t="shared" si="5"/>
        <v>0.347208516038965</v>
      </c>
    </row>
    <row r="31" ht="18" customHeight="1" spans="1:13">
      <c r="A31" s="289">
        <v>29</v>
      </c>
      <c r="B31" s="290" t="str">
        <f>表1温室气体盘查表!C34</f>
        <v>铁矿石生产</v>
      </c>
      <c r="C31" s="290" t="str">
        <f>表1温室气体盘查表!D34</f>
        <v>烧结</v>
      </c>
      <c r="D31" s="291" t="s">
        <v>438</v>
      </c>
      <c r="E31" s="291" t="s">
        <v>440</v>
      </c>
      <c r="F31" s="291" t="s">
        <v>437</v>
      </c>
      <c r="G31" s="292">
        <f t="shared" si="0"/>
        <v>3</v>
      </c>
      <c r="H31" s="293">
        <f t="shared" si="1"/>
        <v>2</v>
      </c>
      <c r="I31" s="292">
        <f t="shared" si="2"/>
        <v>6</v>
      </c>
      <c r="J31" s="294">
        <f t="shared" si="3"/>
        <v>3.66666666666667</v>
      </c>
      <c r="K31" s="295">
        <f>表1温室气体盘查表!AL34</f>
        <v>448588.57632498</v>
      </c>
      <c r="L31" s="296">
        <f t="shared" si="4"/>
        <v>0.0287251907612679</v>
      </c>
      <c r="M31" s="297">
        <f t="shared" si="5"/>
        <v>0.105325699457982</v>
      </c>
    </row>
    <row r="32" ht="18" customHeight="1" spans="1:13">
      <c r="A32" s="289">
        <v>30</v>
      </c>
      <c r="B32" s="290" t="str">
        <f>表1温室气体盘查表!C35</f>
        <v>生石灰生产</v>
      </c>
      <c r="C32" s="290" t="str">
        <f>表1温室气体盘查表!D35</f>
        <v>烧结、转炉、电炉</v>
      </c>
      <c r="D32" s="291" t="s">
        <v>438</v>
      </c>
      <c r="E32" s="291" t="s">
        <v>436</v>
      </c>
      <c r="F32" s="291" t="s">
        <v>437</v>
      </c>
      <c r="G32" s="292">
        <f t="shared" si="0"/>
        <v>3</v>
      </c>
      <c r="H32" s="293">
        <f t="shared" si="1"/>
        <v>1</v>
      </c>
      <c r="I32" s="292">
        <f t="shared" si="2"/>
        <v>6</v>
      </c>
      <c r="J32" s="294">
        <f t="shared" si="3"/>
        <v>3.33333333333333</v>
      </c>
      <c r="K32" s="295">
        <f>表1温室气体盘查表!AL35</f>
        <v>727500.380476304</v>
      </c>
      <c r="L32" s="296">
        <f t="shared" si="4"/>
        <v>0.0465851970178964</v>
      </c>
      <c r="M32" s="297">
        <f t="shared" si="5"/>
        <v>0.155283990059655</v>
      </c>
    </row>
    <row r="33" ht="18" customHeight="1" spans="1:13">
      <c r="A33" s="289">
        <v>31</v>
      </c>
      <c r="B33" s="290" t="str">
        <f>表1温室气体盘查表!C36</f>
        <v>石灰石生产</v>
      </c>
      <c r="C33" s="290" t="str">
        <f>表1温室气体盘查表!D36</f>
        <v>转炉</v>
      </c>
      <c r="D33" s="291" t="s">
        <v>438</v>
      </c>
      <c r="E33" s="291" t="s">
        <v>436</v>
      </c>
      <c r="F33" s="291" t="s">
        <v>437</v>
      </c>
      <c r="G33" s="292">
        <f t="shared" si="0"/>
        <v>3</v>
      </c>
      <c r="H33" s="293">
        <f t="shared" si="1"/>
        <v>1</v>
      </c>
      <c r="I33" s="292">
        <f t="shared" si="2"/>
        <v>6</v>
      </c>
      <c r="J33" s="294">
        <f t="shared" si="3"/>
        <v>3.33333333333333</v>
      </c>
      <c r="K33" s="295">
        <f>表1温室气体盘查表!AL36</f>
        <v>58.676346523</v>
      </c>
      <c r="L33" s="296">
        <f t="shared" si="4"/>
        <v>3.75731647215729e-6</v>
      </c>
      <c r="M33" s="297">
        <f t="shared" si="5"/>
        <v>1.25243882405243e-5</v>
      </c>
    </row>
    <row r="34" ht="18" customHeight="1" spans="1:13">
      <c r="A34" s="289">
        <v>32</v>
      </c>
      <c r="B34" s="290" t="str">
        <f>表1温室气体盘查表!C37</f>
        <v>白云石生产</v>
      </c>
      <c r="C34" s="290" t="str">
        <f>表1温室气体盘查表!D37</f>
        <v>烧结、转炉、电炉</v>
      </c>
      <c r="D34" s="291" t="s">
        <v>438</v>
      </c>
      <c r="E34" s="291" t="s">
        <v>436</v>
      </c>
      <c r="F34" s="291" t="s">
        <v>437</v>
      </c>
      <c r="G34" s="292">
        <f t="shared" si="0"/>
        <v>3</v>
      </c>
      <c r="H34" s="293">
        <f t="shared" si="1"/>
        <v>1</v>
      </c>
      <c r="I34" s="292">
        <f t="shared" si="2"/>
        <v>6</v>
      </c>
      <c r="J34" s="294">
        <f t="shared" si="3"/>
        <v>3.33333333333333</v>
      </c>
      <c r="K34" s="295">
        <f>表1温室气体盘查表!AL37</f>
        <v>46435.1961987</v>
      </c>
      <c r="L34" s="296">
        <f t="shared" si="4"/>
        <v>0.00297345928817912</v>
      </c>
      <c r="M34" s="297">
        <f t="shared" si="5"/>
        <v>0.00991153096059707</v>
      </c>
    </row>
    <row r="35" ht="18" customHeight="1" spans="1:13">
      <c r="A35" s="289">
        <v>33</v>
      </c>
      <c r="B35" s="290" t="str">
        <f>表1温室气体盘查表!C38</f>
        <v>轻烧白云石生产</v>
      </c>
      <c r="C35" s="290" t="str">
        <f>表1温室气体盘查表!D38</f>
        <v>转炉、电炉</v>
      </c>
      <c r="D35" s="291" t="s">
        <v>438</v>
      </c>
      <c r="E35" s="291" t="s">
        <v>436</v>
      </c>
      <c r="F35" s="291" t="s">
        <v>437</v>
      </c>
      <c r="G35" s="292">
        <f t="shared" si="0"/>
        <v>3</v>
      </c>
      <c r="H35" s="293">
        <f t="shared" si="1"/>
        <v>1</v>
      </c>
      <c r="I35" s="292">
        <f t="shared" si="2"/>
        <v>6</v>
      </c>
      <c r="J35" s="294">
        <f t="shared" si="3"/>
        <v>3.33333333333333</v>
      </c>
      <c r="K35" s="295">
        <f>表1温室气体盘查表!AL38</f>
        <v>363.2088572</v>
      </c>
      <c r="L35" s="296">
        <f t="shared" ref="L35:L65" si="6">K35/$K$101</f>
        <v>2.32579344635245e-5</v>
      </c>
      <c r="M35" s="297">
        <f t="shared" si="5"/>
        <v>7.75264482117482e-5</v>
      </c>
    </row>
    <row r="36" ht="18" customHeight="1" spans="1:13">
      <c r="A36" s="289">
        <v>34</v>
      </c>
      <c r="B36" s="290" t="str">
        <f>表1温室气体盘查表!C39</f>
        <v>球团生产</v>
      </c>
      <c r="C36" s="290" t="str">
        <f>表1温室气体盘查表!D39</f>
        <v>高炉、转炉</v>
      </c>
      <c r="D36" s="291" t="s">
        <v>438</v>
      </c>
      <c r="E36" s="291" t="s">
        <v>436</v>
      </c>
      <c r="F36" s="291" t="s">
        <v>437</v>
      </c>
      <c r="G36" s="292">
        <f t="shared" si="0"/>
        <v>3</v>
      </c>
      <c r="H36" s="293">
        <f t="shared" si="1"/>
        <v>1</v>
      </c>
      <c r="I36" s="292">
        <f t="shared" si="2"/>
        <v>6</v>
      </c>
      <c r="J36" s="294">
        <f t="shared" si="3"/>
        <v>3.33333333333333</v>
      </c>
      <c r="K36" s="295">
        <f>表1温室气体盘查表!AL39</f>
        <v>71601.0509094</v>
      </c>
      <c r="L36" s="296">
        <f t="shared" si="6"/>
        <v>0.00458494476816493</v>
      </c>
      <c r="M36" s="297">
        <f t="shared" si="5"/>
        <v>0.0152831492272164</v>
      </c>
    </row>
    <row r="37" ht="18" customHeight="1" spans="1:13">
      <c r="A37" s="289">
        <v>35</v>
      </c>
      <c r="B37" s="290" t="str">
        <f>表1温室气体盘查表!C40</f>
        <v>废钢生产</v>
      </c>
      <c r="C37" s="290" t="str">
        <f>表1温室气体盘查表!D40</f>
        <v>转炉、电炉</v>
      </c>
      <c r="D37" s="291" t="s">
        <v>438</v>
      </c>
      <c r="E37" s="291" t="s">
        <v>436</v>
      </c>
      <c r="F37" s="291" t="s">
        <v>437</v>
      </c>
      <c r="G37" s="292">
        <f t="shared" si="0"/>
        <v>3</v>
      </c>
      <c r="H37" s="293">
        <f t="shared" si="1"/>
        <v>1</v>
      </c>
      <c r="I37" s="292">
        <f t="shared" si="2"/>
        <v>6</v>
      </c>
      <c r="J37" s="294">
        <f t="shared" si="3"/>
        <v>3.33333333333333</v>
      </c>
      <c r="K37" s="295">
        <f>表1温室气体盘查表!AL40</f>
        <v>79944.3879423517</v>
      </c>
      <c r="L37" s="296">
        <f t="shared" si="6"/>
        <v>0.00511920703097267</v>
      </c>
      <c r="M37" s="297">
        <f t="shared" si="5"/>
        <v>0.0170640234365756</v>
      </c>
    </row>
    <row r="38" ht="18" customHeight="1" spans="1:13">
      <c r="A38" s="289">
        <v>36</v>
      </c>
      <c r="B38" s="290" t="str">
        <f>表1温室气体盘查表!C41</f>
        <v>电极生产</v>
      </c>
      <c r="C38" s="290" t="str">
        <f>表1温室气体盘查表!D41</f>
        <v>转炉、电炉</v>
      </c>
      <c r="D38" s="291" t="s">
        <v>438</v>
      </c>
      <c r="E38" s="291" t="s">
        <v>436</v>
      </c>
      <c r="F38" s="291" t="s">
        <v>437</v>
      </c>
      <c r="G38" s="292">
        <f t="shared" si="0"/>
        <v>3</v>
      </c>
      <c r="H38" s="293">
        <f t="shared" si="1"/>
        <v>1</v>
      </c>
      <c r="I38" s="292">
        <f t="shared" si="2"/>
        <v>6</v>
      </c>
      <c r="J38" s="294">
        <f t="shared" si="3"/>
        <v>3.33333333333333</v>
      </c>
      <c r="K38" s="295">
        <f>表1温室气体盘查表!AL41</f>
        <v>37742.8121526018</v>
      </c>
      <c r="L38" s="296">
        <f t="shared" si="6"/>
        <v>0.00241684593894955</v>
      </c>
      <c r="M38" s="297">
        <f t="shared" si="5"/>
        <v>0.00805615312983182</v>
      </c>
    </row>
    <row r="39" ht="18" customHeight="1" spans="1:13">
      <c r="A39" s="289">
        <v>37</v>
      </c>
      <c r="B39" s="290" t="str">
        <f>表1温室气体盘查表!C42</f>
        <v>锰铁生产</v>
      </c>
      <c r="C39" s="290" t="str">
        <f>表1温室气体盘查表!D42</f>
        <v>转炉、电炉</v>
      </c>
      <c r="D39" s="291" t="s">
        <v>438</v>
      </c>
      <c r="E39" s="291" t="s">
        <v>436</v>
      </c>
      <c r="F39" s="291" t="s">
        <v>437</v>
      </c>
      <c r="G39" s="292">
        <f t="shared" si="0"/>
        <v>3</v>
      </c>
      <c r="H39" s="293">
        <f t="shared" si="1"/>
        <v>1</v>
      </c>
      <c r="I39" s="292">
        <f t="shared" si="2"/>
        <v>6</v>
      </c>
      <c r="J39" s="294">
        <f t="shared" si="3"/>
        <v>3.33333333333333</v>
      </c>
      <c r="K39" s="295">
        <f>表1温室气体盘查表!AL42</f>
        <v>141868.581696</v>
      </c>
      <c r="L39" s="296">
        <f t="shared" si="6"/>
        <v>0.00908449810655865</v>
      </c>
      <c r="M39" s="297">
        <f t="shared" si="5"/>
        <v>0.0302816603551955</v>
      </c>
    </row>
    <row r="40" ht="18" customHeight="1" spans="1:13">
      <c r="A40" s="289">
        <v>38</v>
      </c>
      <c r="B40" s="290" t="str">
        <f>表1温室气体盘查表!C43</f>
        <v>镍铁生产</v>
      </c>
      <c r="C40" s="290" t="str">
        <f>表1温室气体盘查表!D43</f>
        <v>转炉、电炉</v>
      </c>
      <c r="D40" s="291" t="s">
        <v>438</v>
      </c>
      <c r="E40" s="291" t="s">
        <v>436</v>
      </c>
      <c r="F40" s="291" t="s">
        <v>437</v>
      </c>
      <c r="G40" s="292">
        <f t="shared" si="0"/>
        <v>3</v>
      </c>
      <c r="H40" s="293">
        <f t="shared" si="1"/>
        <v>1</v>
      </c>
      <c r="I40" s="292">
        <f t="shared" si="2"/>
        <v>6</v>
      </c>
      <c r="J40" s="294">
        <f t="shared" si="3"/>
        <v>3.33333333333333</v>
      </c>
      <c r="K40" s="295">
        <f>表1温室气体盘查表!AL43</f>
        <v>84819.123027</v>
      </c>
      <c r="L40" s="296">
        <f t="shared" si="6"/>
        <v>0.00543135874995832</v>
      </c>
      <c r="M40" s="297">
        <f t="shared" si="5"/>
        <v>0.0181045291665277</v>
      </c>
    </row>
    <row r="41" ht="18" customHeight="1" spans="1:13">
      <c r="A41" s="289">
        <v>39</v>
      </c>
      <c r="B41" s="290" t="str">
        <f>表1温室气体盘查表!C44</f>
        <v>铬铁生产</v>
      </c>
      <c r="C41" s="290" t="str">
        <f>表1温室气体盘查表!D44</f>
        <v>转炉、电炉</v>
      </c>
      <c r="D41" s="291" t="s">
        <v>438</v>
      </c>
      <c r="E41" s="291" t="s">
        <v>436</v>
      </c>
      <c r="F41" s="291" t="s">
        <v>437</v>
      </c>
      <c r="G41" s="292">
        <f t="shared" si="0"/>
        <v>3</v>
      </c>
      <c r="H41" s="293">
        <f t="shared" si="1"/>
        <v>1</v>
      </c>
      <c r="I41" s="292">
        <f t="shared" si="2"/>
        <v>6</v>
      </c>
      <c r="J41" s="294">
        <f t="shared" si="3"/>
        <v>3.33333333333333</v>
      </c>
      <c r="K41" s="295">
        <f>表1温室气体盘查表!AL44</f>
        <v>345101.444753</v>
      </c>
      <c r="L41" s="296">
        <f t="shared" si="6"/>
        <v>0.0220984335217167</v>
      </c>
      <c r="M41" s="297">
        <f t="shared" si="5"/>
        <v>0.0736614450723889</v>
      </c>
    </row>
    <row r="42" ht="18" customHeight="1" spans="1:13">
      <c r="A42" s="289">
        <v>40</v>
      </c>
      <c r="B42" s="290" t="str">
        <f>表1温室气体盘查表!C45</f>
        <v>萤石生产</v>
      </c>
      <c r="C42" s="290" t="str">
        <f>表1温室气体盘查表!D45</f>
        <v>转炉、电炉</v>
      </c>
      <c r="D42" s="291" t="s">
        <v>438</v>
      </c>
      <c r="E42" s="291" t="s">
        <v>436</v>
      </c>
      <c r="F42" s="291" t="s">
        <v>437</v>
      </c>
      <c r="G42" s="292">
        <f t="shared" si="0"/>
        <v>3</v>
      </c>
      <c r="H42" s="293">
        <f t="shared" si="1"/>
        <v>1</v>
      </c>
      <c r="I42" s="292">
        <f t="shared" si="2"/>
        <v>6</v>
      </c>
      <c r="J42" s="294">
        <f t="shared" si="3"/>
        <v>3.33333333333333</v>
      </c>
      <c r="K42" s="295">
        <f>表1温室气体盘查表!AL45</f>
        <v>685.0621872</v>
      </c>
      <c r="L42" s="296">
        <f t="shared" si="6"/>
        <v>4.38676842193933e-5</v>
      </c>
      <c r="M42" s="297">
        <f t="shared" si="5"/>
        <v>0.000146225614064644</v>
      </c>
    </row>
    <row r="43" ht="18" customHeight="1" spans="1:13">
      <c r="A43" s="289">
        <v>41</v>
      </c>
      <c r="B43" s="290" t="str">
        <f>表1温室气体盘查表!C46</f>
        <v>硅铁生产</v>
      </c>
      <c r="C43" s="290" t="str">
        <f>表1温室气体盘查表!D46</f>
        <v>转炉、电炉</v>
      </c>
      <c r="D43" s="291" t="s">
        <v>438</v>
      </c>
      <c r="E43" s="291" t="s">
        <v>436</v>
      </c>
      <c r="F43" s="291" t="s">
        <v>437</v>
      </c>
      <c r="G43" s="292">
        <f t="shared" si="0"/>
        <v>3</v>
      </c>
      <c r="H43" s="293">
        <f t="shared" si="1"/>
        <v>1</v>
      </c>
      <c r="I43" s="292">
        <f t="shared" si="2"/>
        <v>6</v>
      </c>
      <c r="J43" s="294">
        <f t="shared" si="3"/>
        <v>3.33333333333333</v>
      </c>
      <c r="K43" s="295">
        <f>表1温室气体盘查表!AL46</f>
        <v>103575.7833</v>
      </c>
      <c r="L43" s="296">
        <f t="shared" si="6"/>
        <v>0.00663243401763499</v>
      </c>
      <c r="M43" s="297">
        <f t="shared" si="5"/>
        <v>0.0221081133921166</v>
      </c>
    </row>
    <row r="44" ht="18" customHeight="1" spans="1:13">
      <c r="A44" s="289">
        <v>42</v>
      </c>
      <c r="B44" s="290" t="str">
        <f>表1温室气体盘查表!C47</f>
        <v>钼铁生产</v>
      </c>
      <c r="C44" s="290" t="str">
        <f>表1温室气体盘查表!D47</f>
        <v>转炉、电炉</v>
      </c>
      <c r="D44" s="291" t="s">
        <v>438</v>
      </c>
      <c r="E44" s="291" t="s">
        <v>436</v>
      </c>
      <c r="F44" s="291" t="s">
        <v>437</v>
      </c>
      <c r="G44" s="292">
        <f t="shared" si="0"/>
        <v>3</v>
      </c>
      <c r="H44" s="293">
        <f t="shared" si="1"/>
        <v>1</v>
      </c>
      <c r="I44" s="292">
        <f t="shared" si="2"/>
        <v>6</v>
      </c>
      <c r="J44" s="294">
        <f t="shared" si="3"/>
        <v>3.33333333333333</v>
      </c>
      <c r="K44" s="295">
        <f>表1温室气体盘查表!AL47</f>
        <v>66065.4</v>
      </c>
      <c r="L44" s="296">
        <f t="shared" si="6"/>
        <v>0.00423047156765903</v>
      </c>
      <c r="M44" s="297">
        <f t="shared" si="5"/>
        <v>0.0141015718921968</v>
      </c>
    </row>
    <row r="45" ht="18" customHeight="1" spans="1:13">
      <c r="A45" s="289">
        <v>43</v>
      </c>
      <c r="B45" s="290" t="str">
        <f>表1温室气体盘查表!C48</f>
        <v>铝铁生产</v>
      </c>
      <c r="C45" s="290" t="str">
        <f>表1温室气体盘查表!D48</f>
        <v>转炉、电炉</v>
      </c>
      <c r="D45" s="291" t="s">
        <v>438</v>
      </c>
      <c r="E45" s="291" t="s">
        <v>440</v>
      </c>
      <c r="F45" s="291" t="s">
        <v>437</v>
      </c>
      <c r="G45" s="292">
        <f t="shared" si="0"/>
        <v>3</v>
      </c>
      <c r="H45" s="293">
        <f t="shared" si="1"/>
        <v>2</v>
      </c>
      <c r="I45" s="292">
        <f t="shared" si="2"/>
        <v>6</v>
      </c>
      <c r="J45" s="294">
        <f t="shared" si="3"/>
        <v>3.66666666666667</v>
      </c>
      <c r="K45" s="295">
        <f>表1温室气体盘查表!AL48</f>
        <v>63158.1901075051</v>
      </c>
      <c r="L45" s="296">
        <f t="shared" si="6"/>
        <v>0.00404430954046451</v>
      </c>
      <c r="M45" s="297">
        <f t="shared" si="5"/>
        <v>0.0148291349817032</v>
      </c>
    </row>
    <row r="46" ht="18" customHeight="1" spans="1:13">
      <c r="A46" s="289">
        <v>44</v>
      </c>
      <c r="B46" s="290" t="str">
        <f>表1温室气体盘查表!C49</f>
        <v>铝生产</v>
      </c>
      <c r="C46" s="290" t="str">
        <f>表1温室气体盘查表!D49</f>
        <v>转炉、电炉</v>
      </c>
      <c r="D46" s="291" t="s">
        <v>438</v>
      </c>
      <c r="E46" s="291" t="s">
        <v>436</v>
      </c>
      <c r="F46" s="291" t="s">
        <v>437</v>
      </c>
      <c r="G46" s="292">
        <f t="shared" si="0"/>
        <v>3</v>
      </c>
      <c r="H46" s="293">
        <f t="shared" si="1"/>
        <v>1</v>
      </c>
      <c r="I46" s="292">
        <f t="shared" si="2"/>
        <v>6</v>
      </c>
      <c r="J46" s="294">
        <f t="shared" si="3"/>
        <v>3.33333333333333</v>
      </c>
      <c r="K46" s="295">
        <f>表1温室气体盘查表!AL49</f>
        <v>63342.1950321903</v>
      </c>
      <c r="L46" s="296">
        <f t="shared" si="6"/>
        <v>0.0040560922225067</v>
      </c>
      <c r="M46" s="297">
        <f t="shared" si="5"/>
        <v>0.0135203074083557</v>
      </c>
    </row>
    <row r="47" ht="18" customHeight="1" spans="1:13">
      <c r="A47" s="289">
        <v>45</v>
      </c>
      <c r="B47" s="290" t="str">
        <f>表1温室气体盘查表!C50</f>
        <v>增碳剂生产</v>
      </c>
      <c r="C47" s="290" t="str">
        <f>表1温室气体盘查表!D50</f>
        <v>转炉、电炉</v>
      </c>
      <c r="D47" s="291" t="s">
        <v>438</v>
      </c>
      <c r="E47" s="291" t="s">
        <v>436</v>
      </c>
      <c r="F47" s="291" t="s">
        <v>437</v>
      </c>
      <c r="G47" s="292">
        <f t="shared" si="0"/>
        <v>3</v>
      </c>
      <c r="H47" s="293">
        <f t="shared" si="1"/>
        <v>1</v>
      </c>
      <c r="I47" s="292">
        <f t="shared" si="2"/>
        <v>6</v>
      </c>
      <c r="J47" s="294">
        <f t="shared" si="3"/>
        <v>3.33333333333333</v>
      </c>
      <c r="K47" s="295">
        <f>表1温室气体盘查表!AL50</f>
        <v>17778.3232071154</v>
      </c>
      <c r="L47" s="296">
        <f t="shared" si="6"/>
        <v>0.00113842784344535</v>
      </c>
      <c r="M47" s="297">
        <f t="shared" si="5"/>
        <v>0.00379475947815116</v>
      </c>
    </row>
    <row r="48" ht="18" customHeight="1" spans="1:13">
      <c r="A48" s="289">
        <v>46</v>
      </c>
      <c r="B48" s="290" t="str">
        <f>表1温室气体盘查表!C51</f>
        <v>铁鳞生产</v>
      </c>
      <c r="C48" s="290" t="str">
        <f>表1温室气体盘查表!D51</f>
        <v>炼钢</v>
      </c>
      <c r="D48" s="291" t="s">
        <v>438</v>
      </c>
      <c r="E48" s="291" t="s">
        <v>436</v>
      </c>
      <c r="F48" s="291" t="s">
        <v>437</v>
      </c>
      <c r="G48" s="292">
        <f t="shared" si="0"/>
        <v>3</v>
      </c>
      <c r="H48" s="293">
        <f t="shared" si="1"/>
        <v>1</v>
      </c>
      <c r="I48" s="292">
        <f t="shared" si="2"/>
        <v>6</v>
      </c>
      <c r="J48" s="294">
        <f t="shared" si="3"/>
        <v>3.33333333333333</v>
      </c>
      <c r="K48" s="295">
        <f>表1温室气体盘查表!AL51</f>
        <v>608.383942171421</v>
      </c>
      <c r="L48" s="296">
        <f t="shared" si="6"/>
        <v>3.8957623348629e-5</v>
      </c>
      <c r="M48" s="297">
        <f t="shared" si="5"/>
        <v>0.00012985874449543</v>
      </c>
    </row>
    <row r="49" ht="18" customHeight="1" spans="1:13">
      <c r="A49" s="289">
        <v>47</v>
      </c>
      <c r="B49" s="290" t="str">
        <f>表1温室气体盘查表!C52</f>
        <v>氨水生产</v>
      </c>
      <c r="C49" s="290" t="str">
        <f>表1温室气体盘查表!D52</f>
        <v>烧结</v>
      </c>
      <c r="D49" s="291" t="s">
        <v>438</v>
      </c>
      <c r="E49" s="291" t="s">
        <v>436</v>
      </c>
      <c r="F49" s="291" t="s">
        <v>437</v>
      </c>
      <c r="G49" s="292">
        <f t="shared" si="0"/>
        <v>3</v>
      </c>
      <c r="H49" s="293">
        <f t="shared" si="1"/>
        <v>1</v>
      </c>
      <c r="I49" s="292">
        <f t="shared" si="2"/>
        <v>6</v>
      </c>
      <c r="J49" s="294">
        <f t="shared" si="3"/>
        <v>3.33333333333333</v>
      </c>
      <c r="K49" s="295">
        <f>表1温室气体盘查表!AL52</f>
        <v>24444.8152755637</v>
      </c>
      <c r="L49" s="296">
        <f t="shared" si="6"/>
        <v>0.00156531400702863</v>
      </c>
      <c r="M49" s="297">
        <f t="shared" si="5"/>
        <v>0.0052177133567621</v>
      </c>
    </row>
    <row r="50" ht="18" customHeight="1" spans="1:13">
      <c r="A50" s="289">
        <v>48</v>
      </c>
      <c r="B50" s="290" t="str">
        <f>表1温室气体盘查表!C53</f>
        <v>碳化硅生产</v>
      </c>
      <c r="C50" s="290" t="str">
        <f>表1温室气体盘查表!D53</f>
        <v>-</v>
      </c>
      <c r="D50" s="291" t="s">
        <v>438</v>
      </c>
      <c r="E50" s="291" t="s">
        <v>436</v>
      </c>
      <c r="F50" s="291" t="s">
        <v>437</v>
      </c>
      <c r="G50" s="292">
        <f t="shared" si="0"/>
        <v>3</v>
      </c>
      <c r="H50" s="293">
        <f t="shared" si="1"/>
        <v>1</v>
      </c>
      <c r="I50" s="292">
        <f t="shared" si="2"/>
        <v>6</v>
      </c>
      <c r="J50" s="294">
        <f t="shared" si="3"/>
        <v>3.33333333333333</v>
      </c>
      <c r="K50" s="295">
        <f>表1温室气体盘查表!AL53</f>
        <v>48149.5851242863</v>
      </c>
      <c r="L50" s="296">
        <f t="shared" si="6"/>
        <v>0.00308323949999351</v>
      </c>
      <c r="M50" s="297">
        <f t="shared" si="5"/>
        <v>0.0102774649999784</v>
      </c>
    </row>
    <row r="51" ht="18" customHeight="1" spans="1:13">
      <c r="A51" s="289">
        <v>49</v>
      </c>
      <c r="B51" s="290" t="str">
        <f>表1温室气体盘查表!C54</f>
        <v>镁生产</v>
      </c>
      <c r="C51" s="290" t="str">
        <f>表1温室气体盘查表!D54</f>
        <v>-</v>
      </c>
      <c r="D51" s="291" t="s">
        <v>438</v>
      </c>
      <c r="E51" s="291" t="s">
        <v>436</v>
      </c>
      <c r="F51" s="291" t="s">
        <v>437</v>
      </c>
      <c r="G51" s="292">
        <f t="shared" si="0"/>
        <v>3</v>
      </c>
      <c r="H51" s="293">
        <f t="shared" si="1"/>
        <v>1</v>
      </c>
      <c r="I51" s="292">
        <f t="shared" si="2"/>
        <v>6</v>
      </c>
      <c r="J51" s="294">
        <f t="shared" si="3"/>
        <v>3.33333333333333</v>
      </c>
      <c r="K51" s="295">
        <f>表1温室气体盘查表!AL54</f>
        <v>308520.83395426</v>
      </c>
      <c r="L51" s="296">
        <f t="shared" si="6"/>
        <v>0.019756008683425</v>
      </c>
      <c r="M51" s="297">
        <f t="shared" si="5"/>
        <v>0.0658533622780835</v>
      </c>
    </row>
    <row r="52" ht="18" customHeight="1" spans="1:13">
      <c r="A52" s="289">
        <v>50</v>
      </c>
      <c r="B52" s="290" t="str">
        <f>表1温室气体盘查表!C55</f>
        <v>所有其他纸制品加工制造</v>
      </c>
      <c r="C52" s="290" t="str">
        <f>表1温室气体盘查表!D55</f>
        <v>办公室</v>
      </c>
      <c r="D52" s="291" t="s">
        <v>438</v>
      </c>
      <c r="E52" s="291" t="s">
        <v>436</v>
      </c>
      <c r="F52" s="291" t="s">
        <v>439</v>
      </c>
      <c r="G52" s="292">
        <f t="shared" si="0"/>
        <v>3</v>
      </c>
      <c r="H52" s="293">
        <f t="shared" si="1"/>
        <v>1</v>
      </c>
      <c r="I52" s="292">
        <f t="shared" si="2"/>
        <v>3</v>
      </c>
      <c r="J52" s="294">
        <f t="shared" si="3"/>
        <v>2.33333333333333</v>
      </c>
      <c r="K52" s="295">
        <f>表1温室气体盘查表!AL55</f>
        <v>5.54362431</v>
      </c>
      <c r="L52" s="296">
        <f t="shared" si="6"/>
        <v>3.54983774036612e-7</v>
      </c>
      <c r="M52" s="297">
        <f t="shared" si="5"/>
        <v>8.28295472752095e-7</v>
      </c>
    </row>
    <row r="53" ht="18" customHeight="1" spans="1:13">
      <c r="A53" s="289">
        <v>51</v>
      </c>
      <c r="B53" s="290" t="str">
        <f>表1温室气体盘查表!C56</f>
        <v>办公用品(纸张除外)制造</v>
      </c>
      <c r="C53" s="290" t="str">
        <f>表1温室气体盘查表!D56</f>
        <v>办公室</v>
      </c>
      <c r="D53" s="291" t="s">
        <v>438</v>
      </c>
      <c r="E53" s="291" t="s">
        <v>436</v>
      </c>
      <c r="F53" s="291" t="s">
        <v>439</v>
      </c>
      <c r="G53" s="292">
        <f t="shared" si="0"/>
        <v>3</v>
      </c>
      <c r="H53" s="293">
        <f t="shared" si="1"/>
        <v>1</v>
      </c>
      <c r="I53" s="292">
        <f t="shared" si="2"/>
        <v>3</v>
      </c>
      <c r="J53" s="294">
        <f t="shared" si="3"/>
        <v>2.33333333333333</v>
      </c>
      <c r="K53" s="295">
        <f>表1温室气体盘查表!AL56</f>
        <v>47.0342564</v>
      </c>
      <c r="L53" s="296">
        <f t="shared" si="6"/>
        <v>3.01181986949575e-6</v>
      </c>
      <c r="M53" s="297">
        <f t="shared" si="5"/>
        <v>7.02757969549009e-6</v>
      </c>
    </row>
    <row r="54" ht="18" customHeight="1" spans="1:13">
      <c r="A54" s="289">
        <v>52</v>
      </c>
      <c r="B54" s="290" t="str">
        <f>表1温室气体盘查表!C57</f>
        <v>源水</v>
      </c>
      <c r="C54" s="290" t="str">
        <f>表1温室气体盘查表!D57</f>
        <v>水处理工序</v>
      </c>
      <c r="D54" s="291" t="s">
        <v>435</v>
      </c>
      <c r="E54" s="291" t="s">
        <v>436</v>
      </c>
      <c r="F54" s="291" t="s">
        <v>437</v>
      </c>
      <c r="G54" s="292">
        <f t="shared" si="0"/>
        <v>6</v>
      </c>
      <c r="H54" s="293">
        <f t="shared" si="1"/>
        <v>1</v>
      </c>
      <c r="I54" s="292">
        <f t="shared" si="2"/>
        <v>6</v>
      </c>
      <c r="J54" s="294">
        <f t="shared" si="3"/>
        <v>4.33333333333333</v>
      </c>
      <c r="K54" s="295">
        <f>表1温室气体盘查表!AL57</f>
        <v>29761.0306554007</v>
      </c>
      <c r="L54" s="296">
        <f t="shared" si="6"/>
        <v>0.00190573574082502</v>
      </c>
      <c r="M54" s="297">
        <f t="shared" si="5"/>
        <v>0.00825818821024177</v>
      </c>
    </row>
    <row r="55" ht="18" customHeight="1" spans="1:13">
      <c r="A55" s="289">
        <v>53</v>
      </c>
      <c r="B55" s="290" t="str">
        <f>表1温室气体盘查表!C58</f>
        <v>采购产品空调和暖空气加热设备和商业和工业制冷设备制造</v>
      </c>
      <c r="C55" s="290" t="str">
        <f>表1温室气体盘查表!D58</f>
        <v>办公室、各工序</v>
      </c>
      <c r="D55" s="298" t="s">
        <v>441</v>
      </c>
      <c r="E55" s="291" t="s">
        <v>436</v>
      </c>
      <c r="F55" s="291" t="s">
        <v>439</v>
      </c>
      <c r="G55" s="292">
        <f t="shared" si="0"/>
        <v>1</v>
      </c>
      <c r="H55" s="293">
        <f t="shared" si="1"/>
        <v>1</v>
      </c>
      <c r="I55" s="292">
        <f t="shared" si="2"/>
        <v>3</v>
      </c>
      <c r="J55" s="294">
        <f t="shared" si="3"/>
        <v>1.66666666666667</v>
      </c>
      <c r="K55" s="295">
        <f>表1温室气体盘查表!AL58</f>
        <v>14.8324392</v>
      </c>
      <c r="L55" s="296">
        <f t="shared" si="6"/>
        <v>9.49789334729393e-7</v>
      </c>
      <c r="M55" s="297">
        <f t="shared" si="5"/>
        <v>1.58298222454899e-6</v>
      </c>
    </row>
    <row r="56" ht="18" customHeight="1" spans="1:13">
      <c r="A56" s="289">
        <v>54</v>
      </c>
      <c r="B56" s="290" t="str">
        <f>表1温室气体盘查表!C59</f>
        <v>电子计算机制造</v>
      </c>
      <c r="C56" s="290" t="str">
        <f>表1温室气体盘查表!D59</f>
        <v>办公室、各工序</v>
      </c>
      <c r="D56" s="298" t="s">
        <v>441</v>
      </c>
      <c r="E56" s="291" t="s">
        <v>436</v>
      </c>
      <c r="F56" s="291" t="s">
        <v>439</v>
      </c>
      <c r="G56" s="292">
        <f t="shared" si="0"/>
        <v>1</v>
      </c>
      <c r="H56" s="293">
        <f t="shared" si="1"/>
        <v>1</v>
      </c>
      <c r="I56" s="292">
        <f t="shared" si="2"/>
        <v>3</v>
      </c>
      <c r="J56" s="294">
        <f t="shared" si="3"/>
        <v>1.66666666666667</v>
      </c>
      <c r="K56" s="295">
        <f>表1温室气体盘查表!AL59</f>
        <v>3.78803974</v>
      </c>
      <c r="L56" s="296">
        <f t="shared" si="6"/>
        <v>2.42565615545089e-7</v>
      </c>
      <c r="M56" s="297">
        <f t="shared" si="5"/>
        <v>4.04276025908481e-7</v>
      </c>
    </row>
    <row r="57" ht="18" customHeight="1" spans="1:13">
      <c r="A57" s="289">
        <v>55</v>
      </c>
      <c r="B57" s="290" t="str">
        <f>表1温室气体盘查表!C60</f>
        <v>焊接及焊接设备制造</v>
      </c>
      <c r="C57" s="290" t="str">
        <f>表1温室气体盘查表!D60</f>
        <v>各工序</v>
      </c>
      <c r="D57" s="298" t="s">
        <v>441</v>
      </c>
      <c r="E57" s="291" t="s">
        <v>436</v>
      </c>
      <c r="F57" s="291" t="s">
        <v>439</v>
      </c>
      <c r="G57" s="292">
        <f t="shared" si="0"/>
        <v>1</v>
      </c>
      <c r="H57" s="293">
        <f t="shared" si="1"/>
        <v>1</v>
      </c>
      <c r="I57" s="292">
        <f t="shared" si="2"/>
        <v>3</v>
      </c>
      <c r="J57" s="294">
        <f t="shared" si="3"/>
        <v>1.66666666666667</v>
      </c>
      <c r="K57" s="295">
        <f>表1温室气体盘查表!AL60</f>
        <v>216.4113282</v>
      </c>
      <c r="L57" s="296">
        <f t="shared" si="6"/>
        <v>1.38578131801128e-5</v>
      </c>
      <c r="M57" s="297">
        <f t="shared" si="5"/>
        <v>2.30963553001881e-5</v>
      </c>
    </row>
    <row r="58" ht="18" customHeight="1" spans="1:13">
      <c r="A58" s="289">
        <v>56</v>
      </c>
      <c r="B58" s="290" t="str">
        <f>表1温室气体盘查表!C61</f>
        <v>其他工业设备制造</v>
      </c>
      <c r="C58" s="290" t="str">
        <f>表1温室气体盘查表!D61</f>
        <v>各工序</v>
      </c>
      <c r="D58" s="298" t="s">
        <v>441</v>
      </c>
      <c r="E58" s="291" t="s">
        <v>436</v>
      </c>
      <c r="F58" s="291" t="s">
        <v>439</v>
      </c>
      <c r="G58" s="292">
        <f t="shared" si="0"/>
        <v>1</v>
      </c>
      <c r="H58" s="293">
        <f t="shared" si="1"/>
        <v>1</v>
      </c>
      <c r="I58" s="292">
        <f t="shared" si="2"/>
        <v>3</v>
      </c>
      <c r="J58" s="294">
        <f t="shared" si="3"/>
        <v>1.66666666666667</v>
      </c>
      <c r="K58" s="295">
        <f>表1温室气体盘查表!AL61</f>
        <v>1153.46638455</v>
      </c>
      <c r="L58" s="296">
        <f t="shared" si="6"/>
        <v>7.38617603781893e-5</v>
      </c>
      <c r="M58" s="297">
        <f t="shared" si="5"/>
        <v>0.000123102933963649</v>
      </c>
    </row>
    <row r="59" ht="18" customHeight="1" spans="1:13">
      <c r="A59" s="289">
        <v>57</v>
      </c>
      <c r="B59" s="290" t="str">
        <f>表1温室气体盘查表!C62</f>
        <v>测量和测试电力和电气信号的仪器制造</v>
      </c>
      <c r="C59" s="290" t="str">
        <f>表1温室气体盘查表!D62</f>
        <v>各工序</v>
      </c>
      <c r="D59" s="298" t="s">
        <v>441</v>
      </c>
      <c r="E59" s="291" t="s">
        <v>436</v>
      </c>
      <c r="F59" s="291" t="s">
        <v>439</v>
      </c>
      <c r="G59" s="292">
        <f t="shared" si="0"/>
        <v>1</v>
      </c>
      <c r="H59" s="293">
        <f t="shared" si="1"/>
        <v>1</v>
      </c>
      <c r="I59" s="292">
        <f t="shared" si="2"/>
        <v>3</v>
      </c>
      <c r="J59" s="294">
        <f t="shared" si="3"/>
        <v>1.66666666666667</v>
      </c>
      <c r="K59" s="295">
        <f>表1温室气体盘查表!AL62</f>
        <v>44.31630215</v>
      </c>
      <c r="L59" s="296">
        <f t="shared" si="6"/>
        <v>2.83777675196641e-6</v>
      </c>
      <c r="M59" s="297">
        <f t="shared" si="5"/>
        <v>4.72962791994402e-6</v>
      </c>
    </row>
    <row r="60" ht="18" customHeight="1" spans="1:13">
      <c r="A60" s="289">
        <v>58</v>
      </c>
      <c r="B60" s="290" t="str">
        <f>表1温室气体盘查表!C63</f>
        <v>计算机系统设计服务</v>
      </c>
      <c r="C60" s="290" t="str">
        <f>表1温室气体盘查表!D63</f>
        <v>各工序</v>
      </c>
      <c r="D60" s="298" t="s">
        <v>441</v>
      </c>
      <c r="E60" s="291" t="s">
        <v>436</v>
      </c>
      <c r="F60" s="291" t="s">
        <v>439</v>
      </c>
      <c r="G60" s="292">
        <f t="shared" si="0"/>
        <v>1</v>
      </c>
      <c r="H60" s="293">
        <f t="shared" si="1"/>
        <v>1</v>
      </c>
      <c r="I60" s="292">
        <f t="shared" si="2"/>
        <v>3</v>
      </c>
      <c r="J60" s="294">
        <f t="shared" si="3"/>
        <v>1.66666666666667</v>
      </c>
      <c r="K60" s="295">
        <f>表1温室气体盘查表!AL63</f>
        <v>56.22116828</v>
      </c>
      <c r="L60" s="296">
        <f t="shared" si="6"/>
        <v>3.60010011154271e-6</v>
      </c>
      <c r="M60" s="297">
        <f t="shared" si="5"/>
        <v>6.00016685257118e-6</v>
      </c>
    </row>
    <row r="61" ht="18" customHeight="1" spans="1:13">
      <c r="A61" s="289">
        <v>59</v>
      </c>
      <c r="B61" s="290" t="str">
        <f>表1温室气体盘查表!C64</f>
        <v>机械动力传动设备制造</v>
      </c>
      <c r="C61" s="290" t="str">
        <f>表1温室气体盘查表!D64</f>
        <v>各工序</v>
      </c>
      <c r="D61" s="298" t="s">
        <v>441</v>
      </c>
      <c r="E61" s="291" t="s">
        <v>436</v>
      </c>
      <c r="F61" s="291" t="s">
        <v>439</v>
      </c>
      <c r="G61" s="292">
        <f t="shared" si="0"/>
        <v>1</v>
      </c>
      <c r="H61" s="293">
        <f t="shared" si="1"/>
        <v>1</v>
      </c>
      <c r="I61" s="292">
        <f t="shared" si="2"/>
        <v>3</v>
      </c>
      <c r="J61" s="294">
        <f t="shared" si="3"/>
        <v>1.66666666666667</v>
      </c>
      <c r="K61" s="295">
        <f>表1温室气体盘查表!AL64</f>
        <v>35.30405219</v>
      </c>
      <c r="L61" s="296">
        <f t="shared" si="6"/>
        <v>2.260680916379e-6</v>
      </c>
      <c r="M61" s="297">
        <f t="shared" si="5"/>
        <v>3.76780152729834e-6</v>
      </c>
    </row>
    <row r="62" ht="18" customHeight="1" spans="1:13">
      <c r="A62" s="289">
        <v>60</v>
      </c>
      <c r="B62" s="290" t="str">
        <f>表1温室气体盘查表!C65</f>
        <v>测量、分配及其他泵类设备制造</v>
      </c>
      <c r="C62" s="290" t="str">
        <f>表1温室气体盘查表!D65</f>
        <v>各工序</v>
      </c>
      <c r="D62" s="298" t="s">
        <v>441</v>
      </c>
      <c r="E62" s="291" t="s">
        <v>436</v>
      </c>
      <c r="F62" s="291" t="s">
        <v>439</v>
      </c>
      <c r="G62" s="292">
        <f t="shared" si="0"/>
        <v>1</v>
      </c>
      <c r="H62" s="293">
        <f t="shared" si="1"/>
        <v>1</v>
      </c>
      <c r="I62" s="292">
        <f t="shared" si="2"/>
        <v>3</v>
      </c>
      <c r="J62" s="294">
        <f t="shared" si="3"/>
        <v>1.66666666666667</v>
      </c>
      <c r="K62" s="295">
        <f>表1温室气体盘查表!AL65</f>
        <v>432.06181985</v>
      </c>
      <c r="L62" s="296">
        <f t="shared" si="6"/>
        <v>2.76669064948739e-5</v>
      </c>
      <c r="M62" s="297">
        <f t="shared" si="5"/>
        <v>4.61115108247898e-5</v>
      </c>
    </row>
    <row r="63" ht="18" customHeight="1" spans="1:13">
      <c r="A63" s="289">
        <v>61</v>
      </c>
      <c r="B63" s="290" t="str">
        <f>表1温室气体盘查表!C66</f>
        <v>用于测量、显示和控制工业过程变量的仪器及相关产品制造</v>
      </c>
      <c r="C63" s="290" t="str">
        <f>表1温室气体盘查表!D66</f>
        <v>各工序</v>
      </c>
      <c r="D63" s="298" t="s">
        <v>441</v>
      </c>
      <c r="E63" s="291" t="s">
        <v>436</v>
      </c>
      <c r="F63" s="291" t="s">
        <v>439</v>
      </c>
      <c r="G63" s="292">
        <f t="shared" si="0"/>
        <v>1</v>
      </c>
      <c r="H63" s="293">
        <f t="shared" si="1"/>
        <v>1</v>
      </c>
      <c r="I63" s="292">
        <f t="shared" si="2"/>
        <v>3</v>
      </c>
      <c r="J63" s="294">
        <f t="shared" si="3"/>
        <v>1.66666666666667</v>
      </c>
      <c r="K63" s="295">
        <f>表1温室气体盘查表!AL66</f>
        <v>11.18455254</v>
      </c>
      <c r="L63" s="296">
        <f t="shared" si="6"/>
        <v>7.16198365823238e-7</v>
      </c>
      <c r="M63" s="297">
        <f t="shared" si="5"/>
        <v>1.19366394303873e-6</v>
      </c>
    </row>
    <row r="64" ht="18" customHeight="1" spans="1:13">
      <c r="A64" s="289">
        <v>62</v>
      </c>
      <c r="B64" s="290" t="str">
        <f>表1温室气体盘查表!C67</f>
        <v>所有其他杂项电气设备及元件制造</v>
      </c>
      <c r="C64" s="290" t="str">
        <f>表1温室气体盘查表!D67</f>
        <v>各工序</v>
      </c>
      <c r="D64" s="298" t="s">
        <v>441</v>
      </c>
      <c r="E64" s="291" t="s">
        <v>436</v>
      </c>
      <c r="F64" s="291" t="s">
        <v>439</v>
      </c>
      <c r="G64" s="292">
        <f t="shared" si="0"/>
        <v>1</v>
      </c>
      <c r="H64" s="293">
        <f t="shared" si="1"/>
        <v>1</v>
      </c>
      <c r="I64" s="292">
        <f t="shared" si="2"/>
        <v>3</v>
      </c>
      <c r="J64" s="294">
        <f t="shared" si="3"/>
        <v>1.66666666666667</v>
      </c>
      <c r="K64" s="295">
        <f>表1温室气体盘查表!AL67</f>
        <v>555.07219968</v>
      </c>
      <c r="L64" s="296">
        <f t="shared" si="6"/>
        <v>3.55438271583037e-5</v>
      </c>
      <c r="M64" s="297">
        <f t="shared" si="5"/>
        <v>5.92397119305061e-5</v>
      </c>
    </row>
    <row r="65" ht="18" customHeight="1" spans="1:13">
      <c r="A65" s="289">
        <v>63</v>
      </c>
      <c r="B65" s="290" t="str">
        <f>表1温室气体盘查表!C68</f>
        <v>所有其他杂项制造</v>
      </c>
      <c r="C65" s="290" t="str">
        <f>表1温室气体盘查表!D68</f>
        <v>各工序</v>
      </c>
      <c r="D65" s="298" t="s">
        <v>441</v>
      </c>
      <c r="E65" s="291" t="s">
        <v>436</v>
      </c>
      <c r="F65" s="291" t="s">
        <v>439</v>
      </c>
      <c r="G65" s="292">
        <f t="shared" si="0"/>
        <v>1</v>
      </c>
      <c r="H65" s="293">
        <f t="shared" si="1"/>
        <v>1</v>
      </c>
      <c r="I65" s="292">
        <f t="shared" si="2"/>
        <v>3</v>
      </c>
      <c r="J65" s="294">
        <f t="shared" si="3"/>
        <v>1.66666666666667</v>
      </c>
      <c r="K65" s="295">
        <f>表1温室气体盘查表!AL68</f>
        <v>49284.31205698</v>
      </c>
      <c r="L65" s="296">
        <f t="shared" si="6"/>
        <v>0.00315590128703813</v>
      </c>
      <c r="M65" s="297">
        <f t="shared" si="5"/>
        <v>0.00525983547839689</v>
      </c>
    </row>
    <row r="66" ht="18" customHeight="1" spans="1:13">
      <c r="A66" s="289">
        <v>64</v>
      </c>
      <c r="B66" s="290" t="str">
        <f>表1温室气体盘查表!C69</f>
        <v>液化石油气生产</v>
      </c>
      <c r="C66" s="290" t="str">
        <f>表1温室气体盘查表!D69</f>
        <v>冶钢宾馆</v>
      </c>
      <c r="D66" s="291" t="s">
        <v>438</v>
      </c>
      <c r="E66" s="291" t="s">
        <v>436</v>
      </c>
      <c r="F66" s="291" t="s">
        <v>437</v>
      </c>
      <c r="G66" s="292">
        <f t="shared" ref="G66:G100" si="7">IF(D66="自动连续量测",6,IF(D66="定期量测/抄表/铭牌",3,1))</f>
        <v>3</v>
      </c>
      <c r="H66" s="293">
        <f t="shared" ref="H66:H100" si="8">IF(E66="量测/质量平衡排放因子",6,IF(E66="制程/设备排放因子",5,IF(E66="制造商提供的排放因子",4,IF(E66="区域排放因子",3,IF(E66="国家排放因子",2,1)))))</f>
        <v>1</v>
      </c>
      <c r="I66" s="292">
        <f t="shared" ref="I66:I100" si="9">IF(F66="校准且合格",6,IF(F66="未校准",1,3))</f>
        <v>6</v>
      </c>
      <c r="J66" s="294">
        <f t="shared" ref="J66:J100" si="10">AVERAGE(G66:I66)</f>
        <v>3.33333333333333</v>
      </c>
      <c r="K66" s="295">
        <f>表1温室气体盘查表!AL69</f>
        <v>9.44845804628386</v>
      </c>
      <c r="L66" s="296">
        <f t="shared" ref="L66:L100" si="11">K66/$K$101</f>
        <v>6.05028246601444e-7</v>
      </c>
      <c r="M66" s="297">
        <f t="shared" si="5"/>
        <v>2.01676082200481e-6</v>
      </c>
    </row>
    <row r="67" ht="18" customHeight="1" spans="1:13">
      <c r="A67" s="289">
        <v>65</v>
      </c>
      <c r="B67" s="290" t="str">
        <f>表1温室气体盘查表!C70</f>
        <v>洗精煤生产</v>
      </c>
      <c r="C67" s="290" t="str">
        <f>表1温室气体盘查表!D70</f>
        <v>焦化</v>
      </c>
      <c r="D67" s="291" t="s">
        <v>438</v>
      </c>
      <c r="E67" s="291" t="s">
        <v>436</v>
      </c>
      <c r="F67" s="291" t="s">
        <v>437</v>
      </c>
      <c r="G67" s="292">
        <f t="shared" si="7"/>
        <v>3</v>
      </c>
      <c r="H67" s="293">
        <f t="shared" si="8"/>
        <v>1</v>
      </c>
      <c r="I67" s="292">
        <f t="shared" si="9"/>
        <v>6</v>
      </c>
      <c r="J67" s="294">
        <f t="shared" si="10"/>
        <v>3.33333333333333</v>
      </c>
      <c r="K67" s="295">
        <f>表1温室气体盘查表!AL70</f>
        <v>1120352.4211275</v>
      </c>
      <c r="L67" s="296">
        <f t="shared" si="11"/>
        <v>0.0717413209234765</v>
      </c>
      <c r="M67" s="297">
        <f t="shared" ref="M67:M100" si="12">J67*L67</f>
        <v>0.239137736411588</v>
      </c>
    </row>
    <row r="68" ht="18" customHeight="1" spans="1:13">
      <c r="A68" s="289">
        <v>66</v>
      </c>
      <c r="B68" s="290" t="str">
        <f>表1温室气体盘查表!C71</f>
        <v>柴油生产</v>
      </c>
      <c r="C68" s="290" t="str">
        <f>表1温室气体盘查表!D71</f>
        <v>各工序</v>
      </c>
      <c r="D68" s="291" t="s">
        <v>438</v>
      </c>
      <c r="E68" s="291" t="s">
        <v>436</v>
      </c>
      <c r="F68" s="291" t="s">
        <v>437</v>
      </c>
      <c r="G68" s="292">
        <f t="shared" si="7"/>
        <v>3</v>
      </c>
      <c r="H68" s="293">
        <f t="shared" si="8"/>
        <v>1</v>
      </c>
      <c r="I68" s="292">
        <f t="shared" si="9"/>
        <v>6</v>
      </c>
      <c r="J68" s="294">
        <f t="shared" si="10"/>
        <v>3.33333333333333</v>
      </c>
      <c r="K68" s="295">
        <f>表1温室气体盘查表!AL71</f>
        <v>1182.2270044</v>
      </c>
      <c r="L68" s="296">
        <f t="shared" si="11"/>
        <v>7.57034352116676e-5</v>
      </c>
      <c r="M68" s="297">
        <f t="shared" si="12"/>
        <v>0.000252344784038892</v>
      </c>
    </row>
    <row r="69" ht="18" customHeight="1" spans="1:13">
      <c r="A69" s="289">
        <v>67</v>
      </c>
      <c r="B69" s="290" t="str">
        <f>表1温室气体盘查表!C72</f>
        <v>汽油生产</v>
      </c>
      <c r="C69" s="290" t="str">
        <f>表1温室气体盘查表!D72</f>
        <v>车队</v>
      </c>
      <c r="D69" s="291" t="s">
        <v>438</v>
      </c>
      <c r="E69" s="291" t="s">
        <v>436</v>
      </c>
      <c r="F69" s="291" t="s">
        <v>437</v>
      </c>
      <c r="G69" s="292">
        <f t="shared" si="7"/>
        <v>3</v>
      </c>
      <c r="H69" s="293">
        <f t="shared" si="8"/>
        <v>1</v>
      </c>
      <c r="I69" s="292">
        <f t="shared" si="9"/>
        <v>6</v>
      </c>
      <c r="J69" s="294">
        <f t="shared" si="10"/>
        <v>3.33333333333333</v>
      </c>
      <c r="K69" s="295">
        <f>表1温室气体盘查表!AL72</f>
        <v>48.4384247743095</v>
      </c>
      <c r="L69" s="296">
        <f t="shared" si="11"/>
        <v>3.10173523190516e-6</v>
      </c>
      <c r="M69" s="297">
        <f t="shared" si="12"/>
        <v>1.03391174396839e-5</v>
      </c>
    </row>
    <row r="70" ht="18" customHeight="1" spans="1:13">
      <c r="A70" s="289">
        <v>68</v>
      </c>
      <c r="B70" s="290" t="str">
        <f>表1温室气体盘查表!C73</f>
        <v>焦炭生产</v>
      </c>
      <c r="C70" s="290" t="str">
        <f>表1温室气体盘查表!D73</f>
        <v>烧结、高炉</v>
      </c>
      <c r="D70" s="291" t="s">
        <v>438</v>
      </c>
      <c r="E70" s="291" t="s">
        <v>436</v>
      </c>
      <c r="F70" s="291" t="s">
        <v>437</v>
      </c>
      <c r="G70" s="292">
        <f t="shared" si="7"/>
        <v>3</v>
      </c>
      <c r="H70" s="293">
        <f t="shared" si="8"/>
        <v>1</v>
      </c>
      <c r="I70" s="292">
        <f t="shared" si="9"/>
        <v>6</v>
      </c>
      <c r="J70" s="294">
        <f t="shared" si="10"/>
        <v>3.33333333333333</v>
      </c>
      <c r="K70" s="295">
        <f>表1温室气体盘查表!AL73</f>
        <v>184347.32152</v>
      </c>
      <c r="L70" s="296">
        <f t="shared" si="11"/>
        <v>0.0118046072870891</v>
      </c>
      <c r="M70" s="297">
        <f t="shared" si="12"/>
        <v>0.0393486909569637</v>
      </c>
    </row>
    <row r="71" ht="18" customHeight="1" spans="1:13">
      <c r="A71" s="289">
        <v>69</v>
      </c>
      <c r="B71" s="290" t="str">
        <f>表1温室气体盘查表!C74</f>
        <v>焦屑生产</v>
      </c>
      <c r="C71" s="290" t="str">
        <f>表1温室气体盘查表!D74</f>
        <v>烧结、高炉</v>
      </c>
      <c r="D71" s="291" t="s">
        <v>438</v>
      </c>
      <c r="E71" s="291" t="s">
        <v>436</v>
      </c>
      <c r="F71" s="291" t="s">
        <v>437</v>
      </c>
      <c r="G71" s="292">
        <f t="shared" si="7"/>
        <v>3</v>
      </c>
      <c r="H71" s="293">
        <f t="shared" si="8"/>
        <v>1</v>
      </c>
      <c r="I71" s="292">
        <f t="shared" si="9"/>
        <v>6</v>
      </c>
      <c r="J71" s="294">
        <f t="shared" si="10"/>
        <v>3.33333333333333</v>
      </c>
      <c r="K71" s="295">
        <f>表1温室气体盘查表!AL74</f>
        <v>152835.1658</v>
      </c>
      <c r="L71" s="296">
        <f t="shared" si="11"/>
        <v>0.00978673895042418</v>
      </c>
      <c r="M71" s="297">
        <f t="shared" si="12"/>
        <v>0.0326224631680806</v>
      </c>
    </row>
    <row r="72" ht="18" customHeight="1" spans="1:13">
      <c r="A72" s="289">
        <v>70</v>
      </c>
      <c r="B72" s="290" t="str">
        <f>表1温室气体盘查表!C75</f>
        <v>烟煤生产</v>
      </c>
      <c r="C72" s="290" t="str">
        <f>表1温室气体盘查表!D75</f>
        <v>高炉</v>
      </c>
      <c r="D72" s="291" t="s">
        <v>438</v>
      </c>
      <c r="E72" s="291" t="s">
        <v>436</v>
      </c>
      <c r="F72" s="291" t="s">
        <v>437</v>
      </c>
      <c r="G72" s="292">
        <f t="shared" si="7"/>
        <v>3</v>
      </c>
      <c r="H72" s="293">
        <f t="shared" si="8"/>
        <v>1</v>
      </c>
      <c r="I72" s="292">
        <f t="shared" si="9"/>
        <v>6</v>
      </c>
      <c r="J72" s="294">
        <f t="shared" si="10"/>
        <v>3.33333333333333</v>
      </c>
      <c r="K72" s="295">
        <f>表1温室气体盘查表!AL75</f>
        <v>229690.010538</v>
      </c>
      <c r="L72" s="296">
        <f t="shared" si="11"/>
        <v>0.0147081083132216</v>
      </c>
      <c r="M72" s="297">
        <f t="shared" si="12"/>
        <v>0.0490270277107387</v>
      </c>
    </row>
    <row r="73" ht="18" customHeight="1" spans="1:13">
      <c r="A73" s="289">
        <v>71</v>
      </c>
      <c r="B73" s="290" t="str">
        <f>表1温室气体盘查表!C76</f>
        <v>无烟煤生产</v>
      </c>
      <c r="C73" s="290" t="str">
        <f>表1温室气体盘查表!D76</f>
        <v>烧结、高炉</v>
      </c>
      <c r="D73" s="291" t="s">
        <v>438</v>
      </c>
      <c r="E73" s="291" t="s">
        <v>436</v>
      </c>
      <c r="F73" s="291" t="s">
        <v>437</v>
      </c>
      <c r="G73" s="292">
        <f t="shared" si="7"/>
        <v>3</v>
      </c>
      <c r="H73" s="293">
        <f t="shared" si="8"/>
        <v>1</v>
      </c>
      <c r="I73" s="292">
        <f t="shared" si="9"/>
        <v>6</v>
      </c>
      <c r="J73" s="294">
        <f t="shared" si="10"/>
        <v>3.33333333333333</v>
      </c>
      <c r="K73" s="295">
        <f>表1温室气体盘查表!AL76</f>
        <v>149948.237187</v>
      </c>
      <c r="L73" s="296">
        <f t="shared" si="11"/>
        <v>0.00960187562688178</v>
      </c>
      <c r="M73" s="297">
        <f t="shared" si="12"/>
        <v>0.0320062520896059</v>
      </c>
    </row>
    <row r="74" ht="18" customHeight="1" spans="1:13">
      <c r="A74" s="289">
        <v>72</v>
      </c>
      <c r="B74" s="290" t="str">
        <f>表1温室气体盘查表!C77</f>
        <v>天然气生产</v>
      </c>
      <c r="C74" s="290" t="str">
        <f>表1温室气体盘查表!D77</f>
        <v>转炉、电炉、锻造、热处理</v>
      </c>
      <c r="D74" s="298" t="s">
        <v>435</v>
      </c>
      <c r="E74" s="291" t="s">
        <v>436</v>
      </c>
      <c r="F74" s="291" t="s">
        <v>437</v>
      </c>
      <c r="G74" s="292">
        <f t="shared" si="7"/>
        <v>6</v>
      </c>
      <c r="H74" s="293">
        <f t="shared" si="8"/>
        <v>1</v>
      </c>
      <c r="I74" s="292">
        <f t="shared" si="9"/>
        <v>6</v>
      </c>
      <c r="J74" s="294">
        <f t="shared" si="10"/>
        <v>4.33333333333333</v>
      </c>
      <c r="K74" s="295">
        <f>表1温室气体盘查表!AL77</f>
        <v>11120.2731</v>
      </c>
      <c r="L74" s="296">
        <f t="shared" si="11"/>
        <v>0.000712082257492629</v>
      </c>
      <c r="M74" s="297">
        <f t="shared" si="12"/>
        <v>0.00308568978246806</v>
      </c>
    </row>
    <row r="75" ht="18" customHeight="1" spans="1:13">
      <c r="A75" s="289">
        <v>73</v>
      </c>
      <c r="B75" s="290" t="str">
        <f>表1温室气体盘查表!C78</f>
        <v>外购电力上游排放</v>
      </c>
      <c r="C75" s="290" t="str">
        <f>表1温室气体盘查表!D78</f>
        <v>各工序</v>
      </c>
      <c r="D75" s="291" t="s">
        <v>435</v>
      </c>
      <c r="E75" s="291" t="s">
        <v>440</v>
      </c>
      <c r="F75" s="291" t="s">
        <v>437</v>
      </c>
      <c r="G75" s="292">
        <f t="shared" si="7"/>
        <v>6</v>
      </c>
      <c r="H75" s="293">
        <f t="shared" si="8"/>
        <v>2</v>
      </c>
      <c r="I75" s="292">
        <f t="shared" si="9"/>
        <v>6</v>
      </c>
      <c r="J75" s="294">
        <f t="shared" si="10"/>
        <v>4.66666666666667</v>
      </c>
      <c r="K75" s="295">
        <f>表1温室气体盘查表!AL78</f>
        <v>167202.528803</v>
      </c>
      <c r="L75" s="296">
        <f t="shared" si="11"/>
        <v>0.0107067473161713</v>
      </c>
      <c r="M75" s="297">
        <f t="shared" si="12"/>
        <v>0.0499648208087993</v>
      </c>
    </row>
    <row r="76" ht="18" customHeight="1" spans="1:13">
      <c r="A76" s="289">
        <v>74</v>
      </c>
      <c r="B76" s="290" t="str">
        <f>表1温室气体盘查表!C79</f>
        <v>船运</v>
      </c>
      <c r="C76" s="290" t="str">
        <f>表1温室气体盘查表!D79</f>
        <v>-</v>
      </c>
      <c r="D76" s="291" t="s">
        <v>441</v>
      </c>
      <c r="E76" s="291" t="s">
        <v>436</v>
      </c>
      <c r="F76" s="291" t="s">
        <v>439</v>
      </c>
      <c r="G76" s="292">
        <f t="shared" si="7"/>
        <v>1</v>
      </c>
      <c r="H76" s="293">
        <f t="shared" si="8"/>
        <v>1</v>
      </c>
      <c r="I76" s="292">
        <f t="shared" si="9"/>
        <v>3</v>
      </c>
      <c r="J76" s="294">
        <f t="shared" si="10"/>
        <v>1.66666666666667</v>
      </c>
      <c r="K76" s="295">
        <f>表1温室气体盘查表!AL79</f>
        <v>256608.969086949</v>
      </c>
      <c r="L76" s="296">
        <f t="shared" si="11"/>
        <v>0.0164318530990297</v>
      </c>
      <c r="M76" s="297">
        <f t="shared" si="12"/>
        <v>0.0273864218317161</v>
      </c>
    </row>
    <row r="77" ht="18" customHeight="1" spans="1:13">
      <c r="A77" s="289">
        <v>75</v>
      </c>
      <c r="B77" s="290" t="str">
        <f>表1温室气体盘查表!C80</f>
        <v>汽运</v>
      </c>
      <c r="C77" s="290" t="str">
        <f>表1温室气体盘查表!D80</f>
        <v>-</v>
      </c>
      <c r="D77" s="291" t="s">
        <v>441</v>
      </c>
      <c r="E77" s="291" t="s">
        <v>436</v>
      </c>
      <c r="F77" s="291" t="s">
        <v>439</v>
      </c>
      <c r="G77" s="292">
        <f t="shared" si="7"/>
        <v>1</v>
      </c>
      <c r="H77" s="293">
        <f t="shared" si="8"/>
        <v>1</v>
      </c>
      <c r="I77" s="292">
        <f t="shared" si="9"/>
        <v>3</v>
      </c>
      <c r="J77" s="294">
        <f t="shared" si="10"/>
        <v>1.66666666666667</v>
      </c>
      <c r="K77" s="295">
        <f>表1温室气体盘查表!AL80</f>
        <v>46150.5118723241</v>
      </c>
      <c r="L77" s="296">
        <f t="shared" si="11"/>
        <v>0.00295522964076169</v>
      </c>
      <c r="M77" s="297">
        <f t="shared" si="12"/>
        <v>0.00492538273460282</v>
      </c>
    </row>
    <row r="78" ht="18" customHeight="1" spans="1:13">
      <c r="A78" s="289">
        <v>76</v>
      </c>
      <c r="B78" s="290" t="str">
        <f>表1温室气体盘查表!C81</f>
        <v>铁路运输</v>
      </c>
      <c r="C78" s="290" t="str">
        <f>表1温室气体盘查表!D81</f>
        <v>-</v>
      </c>
      <c r="D78" s="291" t="s">
        <v>441</v>
      </c>
      <c r="E78" s="291" t="s">
        <v>436</v>
      </c>
      <c r="F78" s="291" t="s">
        <v>439</v>
      </c>
      <c r="G78" s="292">
        <f t="shared" si="7"/>
        <v>1</v>
      </c>
      <c r="H78" s="293">
        <f t="shared" si="8"/>
        <v>1</v>
      </c>
      <c r="I78" s="292">
        <f t="shared" si="9"/>
        <v>3</v>
      </c>
      <c r="J78" s="294">
        <f t="shared" si="10"/>
        <v>1.66666666666667</v>
      </c>
      <c r="K78" s="295">
        <f>表1温室气体盘查表!AL81</f>
        <v>59524.7717110272</v>
      </c>
      <c r="L78" s="296">
        <f t="shared" si="11"/>
        <v>0.00381164504104864</v>
      </c>
      <c r="M78" s="297">
        <f t="shared" si="12"/>
        <v>0.00635274173508107</v>
      </c>
    </row>
    <row r="79" ht="18" customHeight="1" spans="1:13">
      <c r="A79" s="289">
        <v>77</v>
      </c>
      <c r="B79" s="290" t="str">
        <f>表1温室气体盘查表!C82</f>
        <v>生活垃圾和厨余垃圾</v>
      </c>
      <c r="C79" s="290" t="str">
        <f>表1温室气体盘查表!D82</f>
        <v>垃圾站</v>
      </c>
      <c r="D79" s="298" t="s">
        <v>438</v>
      </c>
      <c r="E79" s="291" t="s">
        <v>436</v>
      </c>
      <c r="F79" s="291" t="s">
        <v>439</v>
      </c>
      <c r="G79" s="292">
        <f t="shared" si="7"/>
        <v>3</v>
      </c>
      <c r="H79" s="293">
        <f t="shared" si="8"/>
        <v>1</v>
      </c>
      <c r="I79" s="292">
        <f t="shared" si="9"/>
        <v>3</v>
      </c>
      <c r="J79" s="294">
        <f t="shared" si="10"/>
        <v>2.33333333333333</v>
      </c>
      <c r="K79" s="295">
        <f>表1温室气体盘查表!AL82</f>
        <v>969.241929689684</v>
      </c>
      <c r="L79" s="296">
        <f t="shared" si="11"/>
        <v>6.20650208087014e-5</v>
      </c>
      <c r="M79" s="297">
        <f t="shared" si="12"/>
        <v>0.00014481838188697</v>
      </c>
    </row>
    <row r="80" ht="18" customHeight="1" spans="1:13">
      <c r="A80" s="289">
        <v>78</v>
      </c>
      <c r="B80" s="290" t="str">
        <f>表1温室气体盘查表!C83</f>
        <v>废油</v>
      </c>
      <c r="C80" s="290" t="str">
        <f>表1温室气体盘查表!D83</f>
        <v>-</v>
      </c>
      <c r="D80" s="291" t="s">
        <v>438</v>
      </c>
      <c r="E80" s="291" t="s">
        <v>436</v>
      </c>
      <c r="F80" s="291" t="s">
        <v>439</v>
      </c>
      <c r="G80" s="292">
        <f t="shared" si="7"/>
        <v>3</v>
      </c>
      <c r="H80" s="293">
        <f t="shared" si="8"/>
        <v>1</v>
      </c>
      <c r="I80" s="292">
        <f t="shared" si="9"/>
        <v>3</v>
      </c>
      <c r="J80" s="294">
        <f t="shared" si="10"/>
        <v>2.33333333333333</v>
      </c>
      <c r="K80" s="295">
        <f>表1温室气体盘查表!AL83</f>
        <v>104.702845570361</v>
      </c>
      <c r="L80" s="296">
        <f t="shared" si="11"/>
        <v>6.70460500108082e-6</v>
      </c>
      <c r="M80" s="297">
        <f t="shared" si="12"/>
        <v>1.56440783358553e-5</v>
      </c>
    </row>
    <row r="81" ht="18" customHeight="1" spans="1:13">
      <c r="A81" s="289">
        <v>79</v>
      </c>
      <c r="B81" s="290" t="str">
        <f>表1温室气体盘查表!C84</f>
        <v>废油水</v>
      </c>
      <c r="C81" s="290" t="str">
        <f>表1温室气体盘查表!D84</f>
        <v>-</v>
      </c>
      <c r="D81" s="291" t="s">
        <v>438</v>
      </c>
      <c r="E81" s="291" t="s">
        <v>436</v>
      </c>
      <c r="F81" s="291" t="s">
        <v>439</v>
      </c>
      <c r="G81" s="292">
        <f t="shared" si="7"/>
        <v>3</v>
      </c>
      <c r="H81" s="293">
        <f t="shared" si="8"/>
        <v>1</v>
      </c>
      <c r="I81" s="292">
        <f t="shared" si="9"/>
        <v>3</v>
      </c>
      <c r="J81" s="294">
        <f t="shared" si="10"/>
        <v>2.33333333333333</v>
      </c>
      <c r="K81" s="295">
        <f>表1温室气体盘查表!AL84</f>
        <v>653.858586623069</v>
      </c>
      <c r="L81" s="296">
        <f t="shared" si="11"/>
        <v>4.18695740883823e-5</v>
      </c>
      <c r="M81" s="297">
        <f t="shared" si="12"/>
        <v>9.7695672872892e-5</v>
      </c>
    </row>
    <row r="82" ht="18" customHeight="1" spans="1:13">
      <c r="A82" s="289">
        <v>80</v>
      </c>
      <c r="B82" s="290" t="str">
        <f>表1温室气体盘查表!C85</f>
        <v>煤焦油</v>
      </c>
      <c r="C82" s="290" t="str">
        <f>表1温室气体盘查表!D85</f>
        <v>-</v>
      </c>
      <c r="D82" s="291" t="s">
        <v>438</v>
      </c>
      <c r="E82" s="291" t="s">
        <v>436</v>
      </c>
      <c r="F82" s="291" t="s">
        <v>439</v>
      </c>
      <c r="G82" s="292">
        <f t="shared" si="7"/>
        <v>3</v>
      </c>
      <c r="H82" s="293">
        <f t="shared" si="8"/>
        <v>1</v>
      </c>
      <c r="I82" s="292">
        <f t="shared" si="9"/>
        <v>3</v>
      </c>
      <c r="J82" s="294">
        <f t="shared" si="10"/>
        <v>2.33333333333333</v>
      </c>
      <c r="K82" s="295">
        <f>表1温室气体盘查表!AL85</f>
        <v>145058.803127058</v>
      </c>
      <c r="L82" s="296">
        <f t="shared" si="11"/>
        <v>0.00928878266486945</v>
      </c>
      <c r="M82" s="297">
        <f t="shared" si="12"/>
        <v>0.0216738262180287</v>
      </c>
    </row>
    <row r="83" ht="18" customHeight="1" spans="1:13">
      <c r="A83" s="289">
        <v>81</v>
      </c>
      <c r="B83" s="290" t="str">
        <f>表1温室气体盘查表!C86</f>
        <v>废弃物运输</v>
      </c>
      <c r="C83" s="290" t="str">
        <f>表1温室气体盘查表!D86</f>
        <v>-</v>
      </c>
      <c r="D83" s="291" t="s">
        <v>441</v>
      </c>
      <c r="E83" s="291" t="s">
        <v>436</v>
      </c>
      <c r="F83" s="291" t="s">
        <v>439</v>
      </c>
      <c r="G83" s="292">
        <f t="shared" si="7"/>
        <v>1</v>
      </c>
      <c r="H83" s="293">
        <f t="shared" si="8"/>
        <v>1</v>
      </c>
      <c r="I83" s="292">
        <f t="shared" si="9"/>
        <v>3</v>
      </c>
      <c r="J83" s="294">
        <f t="shared" si="10"/>
        <v>1.66666666666667</v>
      </c>
      <c r="K83" s="295">
        <f>表1温室气体盘查表!AL86</f>
        <v>849.425387283242</v>
      </c>
      <c r="L83" s="296">
        <f t="shared" si="11"/>
        <v>5.43926162522215e-5</v>
      </c>
      <c r="M83" s="297">
        <f t="shared" si="12"/>
        <v>9.06543604203692e-5</v>
      </c>
    </row>
    <row r="84" ht="18" customHeight="1" spans="1:13">
      <c r="A84" s="289">
        <v>82</v>
      </c>
      <c r="B84" s="290" t="str">
        <f>表1温室气体盘查表!C87</f>
        <v>航运</v>
      </c>
      <c r="C84" s="290" t="str">
        <f>表1温室气体盘查表!D87</f>
        <v>-</v>
      </c>
      <c r="D84" s="298" t="s">
        <v>441</v>
      </c>
      <c r="E84" s="291" t="s">
        <v>440</v>
      </c>
      <c r="F84" s="291" t="s">
        <v>439</v>
      </c>
      <c r="G84" s="292">
        <f t="shared" si="7"/>
        <v>1</v>
      </c>
      <c r="H84" s="293">
        <f t="shared" si="8"/>
        <v>2</v>
      </c>
      <c r="I84" s="292">
        <f t="shared" si="9"/>
        <v>3</v>
      </c>
      <c r="J84" s="294">
        <f t="shared" si="10"/>
        <v>2</v>
      </c>
      <c r="K84" s="295">
        <f>表1温室气体盘查表!AL87</f>
        <v>327.76098852</v>
      </c>
      <c r="L84" s="296">
        <f t="shared" si="11"/>
        <v>2.09880443155067e-5</v>
      </c>
      <c r="M84" s="297">
        <f t="shared" si="12"/>
        <v>4.19760886310134e-5</v>
      </c>
    </row>
    <row r="85" ht="18" customHeight="1" spans="1:13">
      <c r="A85" s="289">
        <v>83</v>
      </c>
      <c r="B85" s="290" t="str">
        <f>表1温室气体盘查表!C88</f>
        <v>铁路运输</v>
      </c>
      <c r="C85" s="290" t="str">
        <f>表1温室气体盘查表!D88</f>
        <v>-</v>
      </c>
      <c r="D85" s="298" t="s">
        <v>441</v>
      </c>
      <c r="E85" s="291" t="s">
        <v>436</v>
      </c>
      <c r="F85" s="291" t="s">
        <v>439</v>
      </c>
      <c r="G85" s="292">
        <f t="shared" si="7"/>
        <v>1</v>
      </c>
      <c r="H85" s="293">
        <f t="shared" si="8"/>
        <v>1</v>
      </c>
      <c r="I85" s="292">
        <f t="shared" si="9"/>
        <v>3</v>
      </c>
      <c r="J85" s="294">
        <f t="shared" si="10"/>
        <v>1.66666666666667</v>
      </c>
      <c r="K85" s="295">
        <f>表1温室气体盘查表!AL88</f>
        <v>619.787965215283</v>
      </c>
      <c r="L85" s="296">
        <f t="shared" si="11"/>
        <v>3.9687875420727e-5</v>
      </c>
      <c r="M85" s="297">
        <f t="shared" si="12"/>
        <v>6.6146459034545e-5</v>
      </c>
    </row>
    <row r="86" ht="18" customHeight="1" spans="1:13">
      <c r="A86" s="289">
        <v>84</v>
      </c>
      <c r="B86" s="290" t="str">
        <f>表1温室气体盘查表!C89</f>
        <v>员工差旅住宿</v>
      </c>
      <c r="C86" s="290" t="str">
        <f>表1温室气体盘查表!D89</f>
        <v>-</v>
      </c>
      <c r="D86" s="291" t="s">
        <v>441</v>
      </c>
      <c r="E86" s="291" t="s">
        <v>440</v>
      </c>
      <c r="F86" s="291" t="s">
        <v>439</v>
      </c>
      <c r="G86" s="292">
        <f t="shared" si="7"/>
        <v>1</v>
      </c>
      <c r="H86" s="293">
        <f t="shared" si="8"/>
        <v>2</v>
      </c>
      <c r="I86" s="292">
        <f t="shared" si="9"/>
        <v>3</v>
      </c>
      <c r="J86" s="294">
        <f t="shared" si="10"/>
        <v>2</v>
      </c>
      <c r="K86" s="295">
        <f>表1温室气体盘查表!AL89</f>
        <v>722.6245</v>
      </c>
      <c r="L86" s="296">
        <f t="shared" si="11"/>
        <v>4.62729719542124e-5</v>
      </c>
      <c r="M86" s="297">
        <f t="shared" si="12"/>
        <v>9.25459439084247e-5</v>
      </c>
    </row>
    <row r="87" ht="18" customHeight="1" spans="1:13">
      <c r="A87" s="289">
        <v>85</v>
      </c>
      <c r="B87" s="290" t="str">
        <f>表1温室气体盘查表!C90</f>
        <v>通勤车</v>
      </c>
      <c r="C87" s="290" t="str">
        <f>表1温室气体盘查表!D90</f>
        <v>-</v>
      </c>
      <c r="D87" s="298" t="s">
        <v>441</v>
      </c>
      <c r="E87" s="291" t="s">
        <v>440</v>
      </c>
      <c r="F87" s="291" t="s">
        <v>439</v>
      </c>
      <c r="G87" s="292">
        <f t="shared" si="7"/>
        <v>1</v>
      </c>
      <c r="H87" s="293">
        <f t="shared" si="8"/>
        <v>2</v>
      </c>
      <c r="I87" s="292">
        <f t="shared" si="9"/>
        <v>3</v>
      </c>
      <c r="J87" s="294">
        <f t="shared" si="10"/>
        <v>2</v>
      </c>
      <c r="K87" s="295">
        <f>表1温室气体盘查表!AL90</f>
        <v>111.2064536</v>
      </c>
      <c r="L87" s="296">
        <f t="shared" si="11"/>
        <v>7.12106095013416e-6</v>
      </c>
      <c r="M87" s="297">
        <f t="shared" si="12"/>
        <v>1.42421219002683e-5</v>
      </c>
    </row>
    <row r="88" ht="18" customHeight="1" spans="1:13">
      <c r="A88" s="289">
        <v>86</v>
      </c>
      <c r="B88" s="290" t="str">
        <f>表1温室气体盘查表!C91</f>
        <v>电动车</v>
      </c>
      <c r="C88" s="290" t="str">
        <f>表1温室气体盘查表!D91</f>
        <v>-</v>
      </c>
      <c r="D88" s="298" t="s">
        <v>441</v>
      </c>
      <c r="E88" s="291" t="s">
        <v>436</v>
      </c>
      <c r="F88" s="291" t="s">
        <v>439</v>
      </c>
      <c r="G88" s="292">
        <f t="shared" si="7"/>
        <v>1</v>
      </c>
      <c r="H88" s="293">
        <f t="shared" si="8"/>
        <v>1</v>
      </c>
      <c r="I88" s="292">
        <f t="shared" si="9"/>
        <v>3</v>
      </c>
      <c r="J88" s="294">
        <f t="shared" si="10"/>
        <v>1.66666666666667</v>
      </c>
      <c r="K88" s="295">
        <f>表1温室气体盘查表!AL91</f>
        <v>474.515379130203</v>
      </c>
      <c r="L88" s="296">
        <f t="shared" si="11"/>
        <v>3.03854032493146e-5</v>
      </c>
      <c r="M88" s="297">
        <f t="shared" si="12"/>
        <v>5.06423387488576e-5</v>
      </c>
    </row>
    <row r="89" ht="18" customHeight="1" spans="1:13">
      <c r="A89" s="289">
        <v>87</v>
      </c>
      <c r="B89" s="290" t="str">
        <f>表1温室气体盘查表!C92</f>
        <v>自驾油车</v>
      </c>
      <c r="C89" s="290" t="str">
        <f>表1温室气体盘查表!D92</f>
        <v>-</v>
      </c>
      <c r="D89" s="298" t="s">
        <v>441</v>
      </c>
      <c r="E89" s="291" t="s">
        <v>436</v>
      </c>
      <c r="F89" s="291" t="s">
        <v>439</v>
      </c>
      <c r="G89" s="292">
        <f t="shared" si="7"/>
        <v>1</v>
      </c>
      <c r="H89" s="293">
        <f t="shared" si="8"/>
        <v>1</v>
      </c>
      <c r="I89" s="292">
        <f t="shared" si="9"/>
        <v>3</v>
      </c>
      <c r="J89" s="294">
        <f t="shared" si="10"/>
        <v>1.66666666666667</v>
      </c>
      <c r="K89" s="295">
        <f>表1温室气体盘查表!AL92</f>
        <v>11664.7288421612</v>
      </c>
      <c r="L89" s="296">
        <f t="shared" si="11"/>
        <v>0.000746946264023454</v>
      </c>
      <c r="M89" s="297">
        <f t="shared" si="12"/>
        <v>0.00124491044003909</v>
      </c>
    </row>
    <row r="90" ht="18" customHeight="1" spans="1:13">
      <c r="A90" s="289">
        <v>88</v>
      </c>
      <c r="B90" s="290" t="str">
        <f>表1温室气体盘查表!C93</f>
        <v>自驾电车</v>
      </c>
      <c r="C90" s="290" t="str">
        <f>表1温室气体盘查表!D93</f>
        <v>-</v>
      </c>
      <c r="D90" s="298" t="s">
        <v>441</v>
      </c>
      <c r="E90" s="291" t="s">
        <v>436</v>
      </c>
      <c r="F90" s="291" t="s">
        <v>439</v>
      </c>
      <c r="G90" s="292">
        <f t="shared" si="7"/>
        <v>1</v>
      </c>
      <c r="H90" s="293">
        <f t="shared" si="8"/>
        <v>1</v>
      </c>
      <c r="I90" s="292">
        <f t="shared" si="9"/>
        <v>3</v>
      </c>
      <c r="J90" s="294">
        <f t="shared" si="10"/>
        <v>1.66666666666667</v>
      </c>
      <c r="K90" s="295">
        <f>表1温室气体盘查表!AL93</f>
        <v>1072.12581269864</v>
      </c>
      <c r="L90" s="296">
        <f t="shared" si="11"/>
        <v>6.86531492668616e-5</v>
      </c>
      <c r="M90" s="297">
        <f t="shared" si="12"/>
        <v>0.000114421915444769</v>
      </c>
    </row>
    <row r="91" ht="18" customHeight="1" spans="1:13">
      <c r="A91" s="289">
        <v>89</v>
      </c>
      <c r="B91" s="290" t="str">
        <f>表1温室气体盘查表!C94</f>
        <v>船运</v>
      </c>
      <c r="C91" s="290" t="str">
        <f>表1温室气体盘查表!D94</f>
        <v>-</v>
      </c>
      <c r="D91" s="298" t="s">
        <v>441</v>
      </c>
      <c r="E91" s="291" t="s">
        <v>436</v>
      </c>
      <c r="F91" s="291" t="s">
        <v>439</v>
      </c>
      <c r="G91" s="292">
        <f t="shared" si="7"/>
        <v>1</v>
      </c>
      <c r="H91" s="293">
        <f t="shared" si="8"/>
        <v>1</v>
      </c>
      <c r="I91" s="292">
        <f t="shared" si="9"/>
        <v>3</v>
      </c>
      <c r="J91" s="294">
        <f t="shared" si="10"/>
        <v>1.66666666666667</v>
      </c>
      <c r="K91" s="295">
        <f>表1温室气体盘查表!AL94</f>
        <v>53478.1555212475</v>
      </c>
      <c r="L91" s="296">
        <f t="shared" si="11"/>
        <v>0.00342445238238904</v>
      </c>
      <c r="M91" s="297">
        <f t="shared" si="12"/>
        <v>0.00570742063731507</v>
      </c>
    </row>
    <row r="92" ht="18" customHeight="1" spans="1:13">
      <c r="A92" s="289">
        <v>90</v>
      </c>
      <c r="B92" s="290" t="str">
        <f>表1温室气体盘查表!C95</f>
        <v>汽运</v>
      </c>
      <c r="C92" s="290" t="str">
        <f>表1温室气体盘查表!D95</f>
        <v>-</v>
      </c>
      <c r="D92" s="298" t="s">
        <v>441</v>
      </c>
      <c r="E92" s="291" t="s">
        <v>436</v>
      </c>
      <c r="F92" s="291" t="s">
        <v>439</v>
      </c>
      <c r="G92" s="292">
        <f t="shared" si="7"/>
        <v>1</v>
      </c>
      <c r="H92" s="293">
        <f t="shared" si="8"/>
        <v>1</v>
      </c>
      <c r="I92" s="292">
        <f t="shared" si="9"/>
        <v>3</v>
      </c>
      <c r="J92" s="294">
        <f t="shared" si="10"/>
        <v>1.66666666666667</v>
      </c>
      <c r="K92" s="295">
        <f>表1温室气体盘查表!AL95</f>
        <v>208049.485839029</v>
      </c>
      <c r="L92" s="296">
        <f t="shared" si="11"/>
        <v>0.0133223659359981</v>
      </c>
      <c r="M92" s="297">
        <f t="shared" si="12"/>
        <v>0.0222039432266635</v>
      </c>
    </row>
    <row r="93" ht="18" customHeight="1" spans="1:13">
      <c r="A93" s="289">
        <v>91</v>
      </c>
      <c r="B93" s="290" t="str">
        <f>表1温室气体盘查表!C96</f>
        <v>铁路运输</v>
      </c>
      <c r="C93" s="290" t="str">
        <f>表1温室气体盘查表!D96</f>
        <v>-</v>
      </c>
      <c r="D93" s="298" t="s">
        <v>441</v>
      </c>
      <c r="E93" s="291" t="s">
        <v>436</v>
      </c>
      <c r="F93" s="291" t="s">
        <v>439</v>
      </c>
      <c r="G93" s="292">
        <f t="shared" si="7"/>
        <v>1</v>
      </c>
      <c r="H93" s="293">
        <f t="shared" si="8"/>
        <v>1</v>
      </c>
      <c r="I93" s="292">
        <f t="shared" si="9"/>
        <v>3</v>
      </c>
      <c r="J93" s="294">
        <f t="shared" si="10"/>
        <v>1.66666666666667</v>
      </c>
      <c r="K93" s="295">
        <f>表1温室气体盘查表!AL96</f>
        <v>11086.4717529011</v>
      </c>
      <c r="L93" s="296">
        <f t="shared" si="11"/>
        <v>0.000709917801698061</v>
      </c>
      <c r="M93" s="297">
        <f t="shared" si="12"/>
        <v>0.00118319633616343</v>
      </c>
    </row>
    <row r="94" ht="18" customHeight="1" spans="1:13">
      <c r="A94" s="289">
        <v>92</v>
      </c>
      <c r="B94" s="290" t="str">
        <f>表1温室气体盘查表!C97</f>
        <v>汽运-副产品</v>
      </c>
      <c r="C94" s="290" t="str">
        <f>表1温室气体盘查表!D97</f>
        <v>-</v>
      </c>
      <c r="D94" s="298" t="s">
        <v>441</v>
      </c>
      <c r="E94" s="291" t="s">
        <v>436</v>
      </c>
      <c r="F94" s="291" t="s">
        <v>439</v>
      </c>
      <c r="G94" s="292">
        <f t="shared" si="7"/>
        <v>1</v>
      </c>
      <c r="H94" s="293">
        <f t="shared" si="8"/>
        <v>1</v>
      </c>
      <c r="I94" s="292">
        <f t="shared" si="9"/>
        <v>3</v>
      </c>
      <c r="J94" s="294">
        <f t="shared" si="10"/>
        <v>1.66666666666667</v>
      </c>
      <c r="K94" s="295">
        <f>表1温室气体盘查表!AL97</f>
        <v>1971.49404873413</v>
      </c>
      <c r="L94" s="296">
        <f t="shared" si="11"/>
        <v>0.000126243835941033</v>
      </c>
      <c r="M94" s="297">
        <f t="shared" si="12"/>
        <v>0.000210406393235055</v>
      </c>
    </row>
    <row r="95" ht="18" customHeight="1" spans="1:13">
      <c r="A95" s="289">
        <v>93</v>
      </c>
      <c r="B95" s="290" t="str">
        <f>表1温室气体盘查表!C98</f>
        <v>锻材加工</v>
      </c>
      <c r="C95" s="290" t="str">
        <f>表1温室气体盘查表!D98</f>
        <v>下游钢铁厂</v>
      </c>
      <c r="D95" s="291" t="s">
        <v>438</v>
      </c>
      <c r="E95" s="298" t="s">
        <v>441</v>
      </c>
      <c r="F95" s="291" t="s">
        <v>439</v>
      </c>
      <c r="G95" s="292">
        <f t="shared" si="7"/>
        <v>3</v>
      </c>
      <c r="H95" s="293">
        <f t="shared" si="8"/>
        <v>1</v>
      </c>
      <c r="I95" s="292">
        <f t="shared" si="9"/>
        <v>3</v>
      </c>
      <c r="J95" s="294">
        <f t="shared" si="10"/>
        <v>2.33333333333333</v>
      </c>
      <c r="K95" s="295">
        <f>表1温室气体盘查表!AL98</f>
        <v>113275.661420512</v>
      </c>
      <c r="L95" s="296">
        <f t="shared" si="11"/>
        <v>0.00725356184852051</v>
      </c>
      <c r="M95" s="297">
        <f t="shared" si="12"/>
        <v>0.0169249776465479</v>
      </c>
    </row>
    <row r="96" ht="18" customHeight="1" spans="1:13">
      <c r="A96" s="289">
        <v>94</v>
      </c>
      <c r="B96" s="290" t="str">
        <f>表1温室气体盘查表!C99</f>
        <v>棒材加工</v>
      </c>
      <c r="C96" s="290" t="str">
        <f>表1温室气体盘查表!D99</f>
        <v>下游钢铁厂</v>
      </c>
      <c r="D96" s="291" t="s">
        <v>438</v>
      </c>
      <c r="E96" s="298" t="s">
        <v>441</v>
      </c>
      <c r="F96" s="291" t="s">
        <v>439</v>
      </c>
      <c r="G96" s="292">
        <f t="shared" si="7"/>
        <v>3</v>
      </c>
      <c r="H96" s="293">
        <f t="shared" si="8"/>
        <v>1</v>
      </c>
      <c r="I96" s="292">
        <f t="shared" si="9"/>
        <v>3</v>
      </c>
      <c r="J96" s="294">
        <f t="shared" si="10"/>
        <v>2.33333333333333</v>
      </c>
      <c r="K96" s="295">
        <f>表1温室气体盘查表!AL99</f>
        <v>1357195.22298588</v>
      </c>
      <c r="L96" s="296">
        <f t="shared" si="11"/>
        <v>0.086907455379131</v>
      </c>
      <c r="M96" s="297">
        <f t="shared" si="12"/>
        <v>0.202784062551306</v>
      </c>
    </row>
    <row r="97" ht="18" customHeight="1" spans="1:13">
      <c r="A97" s="289">
        <v>95</v>
      </c>
      <c r="B97" s="290" t="str">
        <f>表1温室气体盘查表!C100</f>
        <v>钢管加工</v>
      </c>
      <c r="C97" s="290" t="str">
        <f>表1温室气体盘查表!D100</f>
        <v>下游钢铁厂</v>
      </c>
      <c r="D97" s="291" t="s">
        <v>438</v>
      </c>
      <c r="E97" s="298" t="s">
        <v>441</v>
      </c>
      <c r="F97" s="291" t="s">
        <v>439</v>
      </c>
      <c r="G97" s="292">
        <f t="shared" si="7"/>
        <v>3</v>
      </c>
      <c r="H97" s="293">
        <f t="shared" si="8"/>
        <v>1</v>
      </c>
      <c r="I97" s="292">
        <f t="shared" si="9"/>
        <v>3</v>
      </c>
      <c r="J97" s="294">
        <f t="shared" si="10"/>
        <v>2.33333333333333</v>
      </c>
      <c r="K97" s="295">
        <f>表1温室气体盘查表!AL100</f>
        <v>72250.3406477739</v>
      </c>
      <c r="L97" s="296">
        <f t="shared" si="11"/>
        <v>0.00462652177787597</v>
      </c>
      <c r="M97" s="297">
        <f t="shared" si="12"/>
        <v>0.0107952174817106</v>
      </c>
    </row>
    <row r="98" ht="18" customHeight="1" spans="1:13">
      <c r="A98" s="289">
        <v>96</v>
      </c>
      <c r="B98" s="290" t="str">
        <f>表1温室气体盘查表!C101</f>
        <v>钢坯加工</v>
      </c>
      <c r="C98" s="290" t="str">
        <f>表1温室气体盘查表!D101</f>
        <v>下游钢铁厂</v>
      </c>
      <c r="D98" s="291" t="s">
        <v>438</v>
      </c>
      <c r="E98" s="298" t="s">
        <v>441</v>
      </c>
      <c r="F98" s="291" t="s">
        <v>439</v>
      </c>
      <c r="G98" s="292">
        <f t="shared" si="7"/>
        <v>3</v>
      </c>
      <c r="H98" s="293">
        <f t="shared" si="8"/>
        <v>1</v>
      </c>
      <c r="I98" s="292">
        <f t="shared" si="9"/>
        <v>3</v>
      </c>
      <c r="J98" s="294">
        <f t="shared" si="10"/>
        <v>2.33333333333333</v>
      </c>
      <c r="K98" s="295">
        <f>表1温室气体盘查表!AL101</f>
        <v>203898.734635364</v>
      </c>
      <c r="L98" s="296">
        <f t="shared" si="11"/>
        <v>0.0130565742363864</v>
      </c>
      <c r="M98" s="297">
        <f t="shared" si="12"/>
        <v>0.0304653398849016</v>
      </c>
    </row>
    <row r="99" ht="18" customHeight="1" spans="1:13">
      <c r="A99" s="289">
        <v>97</v>
      </c>
      <c r="B99" s="290" t="str">
        <f>表1温室气体盘查表!C102</f>
        <v>外售焦炉煤气燃烧</v>
      </c>
      <c r="C99" s="290" t="str">
        <f>表1温室气体盘查表!D102</f>
        <v>下游钢铁厂</v>
      </c>
      <c r="D99" s="291" t="s">
        <v>435</v>
      </c>
      <c r="E99" s="291" t="s">
        <v>436</v>
      </c>
      <c r="F99" s="291" t="s">
        <v>437</v>
      </c>
      <c r="G99" s="292">
        <f t="shared" ref="G99" si="13">IF(D99="自动连续量测",6,IF(D99="定期量测/抄表/铭牌",3,1))</f>
        <v>6</v>
      </c>
      <c r="H99" s="293">
        <f t="shared" ref="H99" si="14">IF(E99="量测/质量平衡排放因子",6,IF(E99="制程/设备排放因子",5,IF(E99="制造商提供的排放因子",4,IF(E99="区域排放因子",3,IF(E99="国家排放因子",2,1)))))</f>
        <v>1</v>
      </c>
      <c r="I99" s="292">
        <f t="shared" ref="I99" si="15">IF(F99="校准且合格",6,IF(F99="未校准",1,3))</f>
        <v>6</v>
      </c>
      <c r="J99" s="294">
        <f t="shared" ref="J99" si="16">AVERAGE(G99:I99)</f>
        <v>4.33333333333333</v>
      </c>
      <c r="K99" s="295">
        <f>表1温室气体盘查表!AL102</f>
        <v>3833.13548307747</v>
      </c>
      <c r="L99" s="296">
        <f t="shared" ref="L99" si="17">K99/$K$101</f>
        <v>0.000245453303486306</v>
      </c>
      <c r="M99" s="297">
        <f t="shared" ref="M99" si="18">J99*L99</f>
        <v>0.00106363098177399</v>
      </c>
    </row>
    <row r="100" ht="18" customHeight="1" spans="1:13">
      <c r="A100" s="289">
        <v>98</v>
      </c>
      <c r="B100" s="290" t="str">
        <f>表1温室气体盘查表!C103</f>
        <v>产品报废</v>
      </c>
      <c r="C100" s="290" t="str">
        <f>表1温室气体盘查表!D103</f>
        <v>下游钢铁厂</v>
      </c>
      <c r="D100" s="291" t="s">
        <v>441</v>
      </c>
      <c r="E100" s="291" t="s">
        <v>436</v>
      </c>
      <c r="F100" s="291" t="s">
        <v>439</v>
      </c>
      <c r="G100" s="292">
        <f t="shared" si="7"/>
        <v>1</v>
      </c>
      <c r="H100" s="293">
        <f t="shared" si="8"/>
        <v>1</v>
      </c>
      <c r="I100" s="292">
        <f t="shared" si="9"/>
        <v>3</v>
      </c>
      <c r="J100" s="294">
        <f t="shared" si="10"/>
        <v>1.66666666666667</v>
      </c>
      <c r="K100" s="295">
        <f>表1温室气体盘查表!AL103</f>
        <v>3747.34695958894</v>
      </c>
      <c r="L100" s="296">
        <f t="shared" si="11"/>
        <v>0.000239959869564015</v>
      </c>
      <c r="M100" s="297">
        <f t="shared" si="12"/>
        <v>0.000399933115940026</v>
      </c>
    </row>
    <row r="101" ht="15.75" spans="1:13">
      <c r="A101" s="299"/>
      <c r="B101" s="299"/>
      <c r="C101" s="299"/>
      <c r="D101" s="299"/>
      <c r="E101" s="299"/>
      <c r="F101" s="299"/>
      <c r="G101" s="283"/>
      <c r="H101" s="283"/>
      <c r="I101" s="283"/>
      <c r="J101" s="283"/>
      <c r="K101" s="300">
        <f>SUM(K3:K100)</f>
        <v>15616556.9117766</v>
      </c>
      <c r="L101" s="301" t="s">
        <v>442</v>
      </c>
      <c r="M101" s="302">
        <f>SUM(M3:M100)</f>
        <v>3.72358961205396</v>
      </c>
    </row>
    <row r="102" ht="15.75" spans="1:13">
      <c r="A102" s="299"/>
      <c r="B102" s="299"/>
      <c r="C102" s="299"/>
      <c r="D102" s="299"/>
      <c r="E102" s="299"/>
      <c r="F102" s="299"/>
      <c r="G102" s="283"/>
      <c r="H102" s="283"/>
      <c r="I102" s="283"/>
      <c r="J102" s="283"/>
      <c r="K102" s="283"/>
      <c r="L102" s="303" t="s">
        <v>443</v>
      </c>
      <c r="M102" s="304" t="str">
        <f>IF(M101&lt;2,"差",IF(M101&lt;3,"一般",IF(M101&lt;4,"良",IF(M101&lt;5,"优","优+"))))</f>
        <v>良</v>
      </c>
    </row>
    <row r="103" ht="15.75" spans="1:13">
      <c r="A103" s="283"/>
      <c r="B103" s="283"/>
      <c r="C103" s="283"/>
      <c r="D103" s="283"/>
      <c r="E103" s="283"/>
      <c r="F103" s="283"/>
      <c r="G103" s="283"/>
      <c r="H103" s="283"/>
      <c r="I103" s="283"/>
      <c r="J103" s="305"/>
      <c r="K103" s="283"/>
      <c r="L103" s="283"/>
      <c r="M103" s="283"/>
    </row>
    <row r="104" ht="15" spans="1:13">
      <c r="A104" s="283"/>
      <c r="B104" s="283"/>
      <c r="C104" s="283"/>
      <c r="D104" s="283"/>
      <c r="E104" s="283"/>
      <c r="F104" s="283"/>
      <c r="G104" s="306"/>
      <c r="H104" s="283"/>
      <c r="I104" s="283"/>
      <c r="J104" s="283"/>
      <c r="K104" s="283"/>
      <c r="L104" s="283"/>
      <c r="M104" s="283"/>
    </row>
    <row r="105" ht="15" spans="1:13">
      <c r="A105" s="306"/>
      <c r="B105" s="283"/>
      <c r="C105" s="283"/>
      <c r="D105" s="283"/>
      <c r="E105" s="283"/>
      <c r="F105" s="283"/>
      <c r="G105" s="283"/>
      <c r="H105" s="283"/>
      <c r="I105" s="283"/>
      <c r="J105" s="305"/>
      <c r="K105" s="305"/>
      <c r="L105" s="283"/>
      <c r="M105" s="283"/>
    </row>
    <row r="106" ht="15" spans="1:13">
      <c r="A106" s="283" t="s">
        <v>444</v>
      </c>
      <c r="B106" s="283"/>
      <c r="C106" s="283"/>
      <c r="D106" s="283"/>
      <c r="E106" s="283"/>
      <c r="F106" s="283"/>
      <c r="G106" s="283"/>
      <c r="H106" s="283"/>
      <c r="I106" s="283"/>
      <c r="J106" s="305"/>
      <c r="K106" s="305"/>
      <c r="L106" s="283"/>
      <c r="M106" s="283"/>
    </row>
    <row r="107" ht="15" spans="1:13">
      <c r="A107" s="283" t="s">
        <v>444</v>
      </c>
      <c r="B107" s="283"/>
      <c r="C107" s="283"/>
      <c r="D107" s="283"/>
      <c r="E107" s="283"/>
      <c r="F107" s="283"/>
      <c r="G107" s="283"/>
      <c r="H107" s="283"/>
      <c r="I107" s="283"/>
      <c r="J107" s="305"/>
      <c r="K107" s="305"/>
      <c r="L107" s="283"/>
      <c r="M107" s="283"/>
    </row>
    <row r="108" ht="15" spans="1:13">
      <c r="A108" s="283" t="s">
        <v>444</v>
      </c>
      <c r="B108" s="283"/>
      <c r="C108" s="283"/>
      <c r="D108" s="283"/>
      <c r="E108" s="283"/>
      <c r="F108" s="283"/>
      <c r="G108" s="283"/>
      <c r="H108" s="283"/>
      <c r="I108" s="283"/>
      <c r="J108" s="305"/>
      <c r="K108" s="305"/>
      <c r="L108" s="283"/>
      <c r="M108" s="283"/>
    </row>
    <row r="109" ht="15" spans="1:13">
      <c r="A109" s="283" t="s">
        <v>444</v>
      </c>
      <c r="B109" s="283"/>
      <c r="C109" s="283"/>
      <c r="D109" s="283"/>
      <c r="E109" s="283"/>
      <c r="F109" s="283"/>
      <c r="G109" s="283"/>
      <c r="H109" s="283"/>
      <c r="I109" s="283"/>
      <c r="J109" s="305"/>
      <c r="K109" s="305"/>
      <c r="L109" s="283"/>
      <c r="M109" s="283"/>
    </row>
    <row r="110" ht="15" spans="1:13">
      <c r="A110" s="283"/>
      <c r="B110" s="283"/>
      <c r="C110" s="283"/>
      <c r="D110" s="283"/>
      <c r="E110" s="283"/>
      <c r="F110" s="283"/>
      <c r="G110" s="283"/>
      <c r="H110" s="283"/>
      <c r="I110" s="283"/>
      <c r="J110" s="283"/>
      <c r="K110" s="283"/>
      <c r="L110" s="283"/>
      <c r="M110" s="283"/>
    </row>
    <row r="111" ht="15.75" spans="1:13">
      <c r="A111" s="283"/>
      <c r="G111" s="283"/>
      <c r="H111" s="283"/>
      <c r="I111" s="283"/>
      <c r="J111" s="283"/>
      <c r="K111" s="283"/>
      <c r="L111" s="283"/>
      <c r="M111" s="283"/>
    </row>
    <row r="112" ht="15.75" spans="1:13">
      <c r="A112" s="307" t="s">
        <v>445</v>
      </c>
      <c r="B112" s="308" t="s">
        <v>446</v>
      </c>
      <c r="G112" s="283"/>
      <c r="H112" s="283"/>
      <c r="I112" s="283"/>
      <c r="J112" s="305"/>
      <c r="K112" s="283"/>
      <c r="L112" s="283"/>
      <c r="M112" s="283"/>
    </row>
    <row r="113" ht="15" spans="1:13">
      <c r="A113" s="309" t="s">
        <v>447</v>
      </c>
      <c r="B113" s="310" t="s">
        <v>448</v>
      </c>
      <c r="G113" s="283"/>
      <c r="H113" s="283"/>
      <c r="I113" s="283"/>
      <c r="J113" s="305"/>
      <c r="K113" s="283"/>
      <c r="L113" s="283"/>
      <c r="M113" s="283"/>
    </row>
    <row r="114" ht="15" spans="1:13">
      <c r="A114" s="309" t="s">
        <v>449</v>
      </c>
      <c r="B114" s="310" t="s">
        <v>450</v>
      </c>
      <c r="G114" s="283"/>
      <c r="H114" s="283"/>
      <c r="I114" s="283"/>
      <c r="J114" s="305"/>
      <c r="K114" s="283"/>
      <c r="L114" s="283"/>
      <c r="M114" s="283"/>
    </row>
    <row r="115" ht="15" spans="1:13">
      <c r="A115" s="309" t="s">
        <v>451</v>
      </c>
      <c r="B115" s="310" t="s">
        <v>452</v>
      </c>
      <c r="G115" s="283"/>
      <c r="H115" s="283"/>
      <c r="I115" s="283"/>
      <c r="J115" s="305"/>
      <c r="K115" s="283"/>
      <c r="L115" s="283"/>
      <c r="M115" s="283"/>
    </row>
    <row r="116" ht="15.75" spans="1:13">
      <c r="A116" s="311" t="s">
        <v>453</v>
      </c>
      <c r="B116" s="312" t="s">
        <v>454</v>
      </c>
      <c r="C116" s="283"/>
      <c r="D116" s="283"/>
      <c r="G116" s="283"/>
      <c r="H116" s="283"/>
      <c r="I116" s="283"/>
      <c r="J116" s="305"/>
      <c r="K116" s="283"/>
      <c r="L116" s="283"/>
      <c r="M116" s="283"/>
    </row>
    <row r="117" ht="15.75" spans="1:13">
      <c r="A117" s="283"/>
      <c r="B117" s="283"/>
      <c r="C117" s="283"/>
      <c r="D117" s="283"/>
      <c r="G117" s="283"/>
      <c r="H117" s="283"/>
      <c r="I117" s="283"/>
      <c r="J117" s="305"/>
      <c r="K117" s="283"/>
      <c r="L117" s="283"/>
      <c r="M117" s="283"/>
    </row>
    <row r="118" ht="15" spans="1:13">
      <c r="A118" s="283"/>
      <c r="B118" s="283"/>
      <c r="C118" s="283"/>
      <c r="D118" s="283"/>
      <c r="G118" s="283"/>
      <c r="H118" s="283"/>
      <c r="I118" s="283"/>
      <c r="J118" s="305"/>
      <c r="K118" s="283"/>
      <c r="L118" s="283"/>
      <c r="M118" s="283"/>
    </row>
    <row r="119" ht="15" spans="1:13">
      <c r="A119" s="283"/>
      <c r="B119" s="283"/>
      <c r="C119" s="283"/>
      <c r="D119" s="283"/>
      <c r="E119" s="283"/>
      <c r="F119" s="283"/>
      <c r="G119" s="283"/>
      <c r="H119" s="283"/>
      <c r="I119" s="283"/>
      <c r="J119" s="305"/>
      <c r="K119" s="283"/>
      <c r="L119" s="283"/>
      <c r="M119" s="283"/>
    </row>
  </sheetData>
  <mergeCells count="1">
    <mergeCell ref="A1:M1"/>
  </mergeCells>
  <dataValidations count="6">
    <dataValidation type="list" allowBlank="1" showInputMessage="1" showErrorMessage="1" sqref="E16 E18 E21 E25 E99 E3:E13 E32:E44 E46:E74 E76:E94">
      <formula1>"量测/质量平衡排放因子,制程/设备排放因子,制造商提供的排放因子,区域排放因子,国家排放因子,国际排放因子"</formula1>
    </dataValidation>
    <dataValidation type="list" allowBlank="1" showInputMessage="1" showErrorMessage="1" sqref="E17 E45 E75 E100 E22:E24 E26:E31">
      <formula1>"量测/质量平衡排放因子,制程/设备排放因子,制造商提供的排放因子,区域排放因子,国家排放因子"</formula1>
    </dataValidation>
    <dataValidation type="list" allowBlank="1" showInputMessage="1" showErrorMessage="1" sqref="D100 D13:D14 D18:D19 D55:D65 D76:D79 D83:D94 E95:E98">
      <formula1>"自动连续量测,定期量测/抄表/铭牌,自行推估"</formula1>
    </dataValidation>
    <dataValidation type="list" allowBlank="1" showInputMessage="1" showErrorMessage="1" sqref="D3:D12 D15:D17 D20:D54 D66:D75 D80:D82 D95:D99">
      <formula1>"自动连续量测,定期量测/抄表/铭牌"</formula1>
    </dataValidation>
    <dataValidation type="list" allowBlank="1" showInputMessage="1" showErrorMessage="1" sqref="E14:E15 E19:E20">
      <formula1>"量测/质量平衡排放因子,制程/设备排放因子,制造商提供的排放因子,区域排放因子,国家排放因子,国际排放因子,自行校准"</formula1>
    </dataValidation>
    <dataValidation type="list" allowBlank="1" showInputMessage="1" showErrorMessage="1" sqref="F3:F68 F70:F100">
      <formula1>"校准且合格,校准但不合格/未校准但数据可查证"</formula1>
    </dataValidation>
  </dataValidations>
  <pageMargins left="0.511811023622047" right="0.511811023622047" top="0.748031496062992" bottom="0.748031496062992" header="0.31496062992126" footer="0.31496062992126"/>
  <pageSetup paperSize="9" scale="60" fitToHeight="0" orientation="landscape"/>
  <headerFooter alignWithMargins="0"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B1:I49"/>
  <sheetViews>
    <sheetView showGridLines="0" zoomScale="115" zoomScaleNormal="115" workbookViewId="0">
      <pane xSplit="2" ySplit="2" topLeftCell="C3" activePane="bottomRight" state="frozenSplit"/>
      <selection/>
      <selection pane="topRight"/>
      <selection pane="bottomLeft"/>
      <selection pane="bottomRight" activeCell="C32" sqref="C32:C33"/>
    </sheetView>
  </sheetViews>
  <sheetFormatPr defaultColWidth="8.75" defaultRowHeight="12.75"/>
  <cols>
    <col min="1" max="1" width="1.25" style="224" customWidth="1"/>
    <col min="2" max="2" width="12.625" style="224" customWidth="1"/>
    <col min="3" max="3" width="58.5" style="224" customWidth="1"/>
    <col min="4" max="4" width="30.375" style="224" customWidth="1"/>
    <col min="5" max="5" width="7.625" style="225" customWidth="1"/>
    <col min="6" max="7" width="13.375" style="225" customWidth="1"/>
    <col min="8" max="8" width="29.25" style="225" customWidth="1"/>
    <col min="9" max="9" width="24.75" style="224" customWidth="1"/>
    <col min="10" max="32" width="9" style="224"/>
    <col min="33" max="16384" width="8.75" style="224"/>
  </cols>
  <sheetData>
    <row r="1" ht="6" customHeight="1"/>
    <row r="2" s="223" customFormat="1" ht="50.25" customHeight="1" spans="2:9">
      <c r="B2" s="226" t="s">
        <v>455</v>
      </c>
      <c r="C2" s="227" t="s">
        <v>456</v>
      </c>
      <c r="D2" s="227" t="s">
        <v>457</v>
      </c>
      <c r="E2" s="228" t="s">
        <v>212</v>
      </c>
      <c r="F2" s="228" t="s">
        <v>458</v>
      </c>
      <c r="G2" s="228" t="s">
        <v>459</v>
      </c>
      <c r="H2" s="229" t="s">
        <v>460</v>
      </c>
      <c r="I2" s="230" t="s">
        <v>24</v>
      </c>
    </row>
    <row r="3" ht="13.5" spans="2:9">
      <c r="B3" s="231" t="s">
        <v>203</v>
      </c>
      <c r="C3" s="232" t="s">
        <v>461</v>
      </c>
      <c r="D3" s="233"/>
      <c r="E3" s="234">
        <v>1</v>
      </c>
      <c r="F3" s="235"/>
      <c r="G3" s="236"/>
      <c r="H3" s="237" t="s">
        <v>462</v>
      </c>
      <c r="I3" s="238"/>
    </row>
    <row r="4" spans="2:9">
      <c r="B4" s="231" t="s">
        <v>204</v>
      </c>
      <c r="C4" s="232" t="s">
        <v>463</v>
      </c>
      <c r="D4" s="233"/>
      <c r="E4" s="239">
        <v>27.9</v>
      </c>
      <c r="F4" s="240"/>
      <c r="G4" s="241"/>
      <c r="H4" s="237" t="str">
        <f>H3</f>
        <v>2021年IPCC第六次评估报告AR6</v>
      </c>
      <c r="I4" s="238"/>
    </row>
    <row r="5" spans="2:9">
      <c r="B5" s="231" t="s">
        <v>205</v>
      </c>
      <c r="C5" s="232" t="s">
        <v>464</v>
      </c>
      <c r="D5" s="233"/>
      <c r="E5" s="242">
        <v>273</v>
      </c>
      <c r="F5" s="240"/>
      <c r="G5" s="241"/>
      <c r="H5" s="237" t="str">
        <f>H3</f>
        <v>2021年IPCC第六次评估报告AR6</v>
      </c>
      <c r="I5" s="238"/>
    </row>
    <row r="6" spans="2:9">
      <c r="B6" s="243" t="s">
        <v>465</v>
      </c>
      <c r="C6" s="244" t="s">
        <v>466</v>
      </c>
      <c r="D6" s="245"/>
      <c r="E6" s="246"/>
      <c r="F6" s="247">
        <v>1960</v>
      </c>
      <c r="G6" s="248"/>
      <c r="H6" s="249" t="str">
        <f t="shared" ref="H6:H46" si="0">H$3</f>
        <v>2021年IPCC第六次评估报告AR6</v>
      </c>
      <c r="I6" s="250"/>
    </row>
    <row r="7" spans="2:9">
      <c r="B7" s="243" t="s">
        <v>467</v>
      </c>
      <c r="C7" s="244" t="s">
        <v>468</v>
      </c>
      <c r="D7" s="245"/>
      <c r="E7" s="246"/>
      <c r="F7" s="247">
        <v>14600</v>
      </c>
      <c r="G7" s="248"/>
      <c r="H7" s="249" t="str">
        <f t="shared" si="0"/>
        <v>2021年IPCC第六次评估报告AR6</v>
      </c>
      <c r="I7" s="250"/>
    </row>
    <row r="8" spans="2:9">
      <c r="B8" s="243" t="s">
        <v>247</v>
      </c>
      <c r="C8" s="244" t="s">
        <v>469</v>
      </c>
      <c r="D8" s="245"/>
      <c r="E8" s="246"/>
      <c r="F8" s="247">
        <v>771</v>
      </c>
      <c r="G8" s="248"/>
      <c r="H8" s="249" t="str">
        <f t="shared" si="0"/>
        <v>2021年IPCC第六次评估报告AR6</v>
      </c>
      <c r="I8" s="250"/>
    </row>
    <row r="9" spans="2:9">
      <c r="B9" s="243" t="s">
        <v>470</v>
      </c>
      <c r="C9" s="251" t="s">
        <v>471</v>
      </c>
      <c r="D9" s="245"/>
      <c r="E9" s="246"/>
      <c r="F9" s="247">
        <v>135</v>
      </c>
      <c r="G9" s="248"/>
      <c r="H9" s="249" t="str">
        <f t="shared" si="0"/>
        <v>2021年IPCC第六次评估报告AR6</v>
      </c>
      <c r="I9" s="250"/>
    </row>
    <row r="10" spans="2:9">
      <c r="B10" s="243" t="s">
        <v>472</v>
      </c>
      <c r="C10" s="244" t="s">
        <v>473</v>
      </c>
      <c r="D10" s="245"/>
      <c r="E10" s="246"/>
      <c r="F10" s="247">
        <v>3740</v>
      </c>
      <c r="G10" s="248"/>
      <c r="H10" s="249" t="str">
        <f t="shared" si="0"/>
        <v>2021年IPCC第六次评估报告AR6</v>
      </c>
      <c r="I10" s="250"/>
    </row>
    <row r="11" spans="2:9">
      <c r="B11" s="243" t="s">
        <v>474</v>
      </c>
      <c r="C11" s="244" t="s">
        <v>475</v>
      </c>
      <c r="D11" s="245"/>
      <c r="E11" s="246"/>
      <c r="F11" s="247">
        <v>1260</v>
      </c>
      <c r="G11" s="248"/>
      <c r="H11" s="249" t="str">
        <f t="shared" si="0"/>
        <v>2021年IPCC第六次评估报告AR6</v>
      </c>
      <c r="I11" s="250"/>
    </row>
    <row r="12" spans="2:9">
      <c r="B12" s="243" t="s">
        <v>476</v>
      </c>
      <c r="C12" s="244" t="s">
        <v>477</v>
      </c>
      <c r="D12" s="245"/>
      <c r="E12" s="246"/>
      <c r="F12" s="247">
        <v>1530</v>
      </c>
      <c r="G12" s="248"/>
      <c r="H12" s="249" t="str">
        <f t="shared" si="0"/>
        <v>2021年IPCC第六次评估报告AR6</v>
      </c>
      <c r="I12" s="250"/>
    </row>
    <row r="13" spans="2:9">
      <c r="B13" s="243" t="s">
        <v>478</v>
      </c>
      <c r="C13" s="244" t="s">
        <v>479</v>
      </c>
      <c r="D13" s="245"/>
      <c r="E13" s="246"/>
      <c r="F13" s="247">
        <v>364</v>
      </c>
      <c r="G13" s="248"/>
      <c r="H13" s="249" t="str">
        <f t="shared" si="0"/>
        <v>2021年IPCC第六次评估报告AR6</v>
      </c>
      <c r="I13" s="250"/>
    </row>
    <row r="14" spans="2:9">
      <c r="B14" s="243" t="s">
        <v>480</v>
      </c>
      <c r="C14" s="244" t="s">
        <v>481</v>
      </c>
      <c r="D14" s="245"/>
      <c r="E14" s="246"/>
      <c r="F14" s="247">
        <v>5810</v>
      </c>
      <c r="G14" s="248"/>
      <c r="H14" s="249" t="str">
        <f t="shared" si="0"/>
        <v>2021年IPCC第六次评估报告AR6</v>
      </c>
      <c r="I14" s="250"/>
    </row>
    <row r="15" spans="2:9">
      <c r="B15" s="243" t="s">
        <v>482</v>
      </c>
      <c r="C15" s="244" t="s">
        <v>483</v>
      </c>
      <c r="D15" s="245"/>
      <c r="E15" s="246"/>
      <c r="F15" s="252">
        <v>21.5</v>
      </c>
      <c r="G15" s="248"/>
      <c r="H15" s="249" t="str">
        <f t="shared" si="0"/>
        <v>2021年IPCC第六次评估报告AR6</v>
      </c>
      <c r="I15" s="250"/>
    </row>
    <row r="16" spans="2:9">
      <c r="B16" s="243" t="s">
        <v>484</v>
      </c>
      <c r="C16" s="244" t="s">
        <v>485</v>
      </c>
      <c r="D16" s="245"/>
      <c r="E16" s="246"/>
      <c r="F16" s="247">
        <v>164</v>
      </c>
      <c r="G16" s="248"/>
      <c r="H16" s="249" t="str">
        <f t="shared" si="0"/>
        <v>2021年IPCC第六次评估报告AR6</v>
      </c>
      <c r="I16" s="250"/>
    </row>
    <row r="17" spans="2:9">
      <c r="B17" s="243" t="s">
        <v>486</v>
      </c>
      <c r="C17" s="244" t="s">
        <v>487</v>
      </c>
      <c r="D17" s="245"/>
      <c r="E17" s="246"/>
      <c r="F17" s="253">
        <v>4.84</v>
      </c>
      <c r="G17" s="248"/>
      <c r="H17" s="249" t="str">
        <f t="shared" si="0"/>
        <v>2021年IPCC第六次评估报告AR6</v>
      </c>
      <c r="I17" s="250"/>
    </row>
    <row r="18" spans="2:9">
      <c r="B18" s="243" t="s">
        <v>488</v>
      </c>
      <c r="C18" s="244" t="s">
        <v>489</v>
      </c>
      <c r="D18" s="245"/>
      <c r="E18" s="246"/>
      <c r="F18" s="254">
        <v>3600</v>
      </c>
      <c r="G18" s="248"/>
      <c r="H18" s="249" t="str">
        <f t="shared" si="0"/>
        <v>2021年IPCC第六次评估报告AR6</v>
      </c>
      <c r="I18" s="250"/>
    </row>
    <row r="19" spans="2:9">
      <c r="B19" s="243" t="s">
        <v>490</v>
      </c>
      <c r="C19" s="244" t="s">
        <v>491</v>
      </c>
      <c r="D19" s="245"/>
      <c r="E19" s="246"/>
      <c r="F19" s="247">
        <v>1350</v>
      </c>
      <c r="G19" s="248"/>
      <c r="H19" s="249" t="str">
        <f t="shared" si="0"/>
        <v>2021年IPCC第六次评估报告AR6</v>
      </c>
      <c r="I19" s="250"/>
    </row>
    <row r="20" spans="2:9">
      <c r="B20" s="243" t="s">
        <v>492</v>
      </c>
      <c r="C20" s="244" t="s">
        <v>493</v>
      </c>
      <c r="D20" s="245"/>
      <c r="E20" s="246"/>
      <c r="F20" s="247">
        <v>1500</v>
      </c>
      <c r="G20" s="248"/>
      <c r="H20" s="249" t="str">
        <f t="shared" si="0"/>
        <v>2021年IPCC第六次评估报告AR6</v>
      </c>
      <c r="I20" s="250"/>
    </row>
    <row r="21" spans="2:9">
      <c r="B21" s="243" t="s">
        <v>494</v>
      </c>
      <c r="C21" s="244" t="s">
        <v>495</v>
      </c>
      <c r="D21" s="245"/>
      <c r="E21" s="246"/>
      <c r="F21" s="247">
        <v>8690</v>
      </c>
      <c r="G21" s="248"/>
      <c r="H21" s="249" t="str">
        <f t="shared" si="0"/>
        <v>2021年IPCC第六次评估报告AR6</v>
      </c>
      <c r="I21" s="250"/>
    </row>
    <row r="22" spans="2:9">
      <c r="B22" s="243" t="s">
        <v>496</v>
      </c>
      <c r="C22" s="244" t="s">
        <v>497</v>
      </c>
      <c r="D22" s="245"/>
      <c r="E22" s="246"/>
      <c r="F22" s="247">
        <v>787</v>
      </c>
      <c r="G22" s="248"/>
      <c r="H22" s="249" t="str">
        <f t="shared" si="0"/>
        <v>2021年IPCC第六次评估报告AR6</v>
      </c>
      <c r="I22" s="250"/>
    </row>
    <row r="23" spans="2:9">
      <c r="B23" s="243" t="s">
        <v>498</v>
      </c>
      <c r="C23" s="244" t="s">
        <v>499</v>
      </c>
      <c r="D23" s="245"/>
      <c r="E23" s="246"/>
      <c r="F23" s="247">
        <v>962</v>
      </c>
      <c r="G23" s="248"/>
      <c r="H23" s="249" t="str">
        <f t="shared" si="0"/>
        <v>2021年IPCC第六次评估报告AR6</v>
      </c>
      <c r="I23" s="250"/>
    </row>
    <row r="24" spans="2:9">
      <c r="B24" s="243" t="s">
        <v>500</v>
      </c>
      <c r="C24" s="244" t="s">
        <v>501</v>
      </c>
      <c r="D24" s="245"/>
      <c r="E24" s="246"/>
      <c r="F24" s="247">
        <v>914</v>
      </c>
      <c r="G24" s="248"/>
      <c r="H24" s="249" t="str">
        <f t="shared" si="0"/>
        <v>2021年IPCC第六次评估报告AR6</v>
      </c>
      <c r="I24" s="250"/>
    </row>
    <row r="25" spans="2:9">
      <c r="B25" s="243" t="s">
        <v>502</v>
      </c>
      <c r="C25" s="244" t="s">
        <v>503</v>
      </c>
      <c r="D25" s="245"/>
      <c r="E25" s="246"/>
      <c r="F25" s="247">
        <v>1600</v>
      </c>
      <c r="G25" s="248"/>
      <c r="H25" s="249" t="str">
        <f t="shared" si="0"/>
        <v>2021年IPCC第六次评估报告AR6</v>
      </c>
      <c r="I25" s="250"/>
    </row>
    <row r="26" spans="2:9">
      <c r="B26" s="231" t="s">
        <v>504</v>
      </c>
      <c r="C26" s="255"/>
      <c r="D26" s="233" t="s">
        <v>505</v>
      </c>
      <c r="E26" s="256"/>
      <c r="F26" s="257">
        <f>F16*13%</f>
        <v>21.32</v>
      </c>
      <c r="G26" s="241"/>
      <c r="H26" s="237" t="str">
        <f t="shared" si="0"/>
        <v>2021年IPCC第六次评估报告AR6</v>
      </c>
      <c r="I26" s="258" t="s">
        <v>506</v>
      </c>
    </row>
    <row r="27" spans="2:9">
      <c r="B27" s="231" t="s">
        <v>507</v>
      </c>
      <c r="C27" s="255"/>
      <c r="D27" s="233" t="s">
        <v>508</v>
      </c>
      <c r="E27" s="256"/>
      <c r="F27" s="257">
        <f>F16*11%</f>
        <v>18.04</v>
      </c>
      <c r="G27" s="241"/>
      <c r="H27" s="237" t="str">
        <f t="shared" si="0"/>
        <v>2021年IPCC第六次评估报告AR6</v>
      </c>
      <c r="I27" s="258" t="s">
        <v>506</v>
      </c>
    </row>
    <row r="28" spans="2:9">
      <c r="B28" s="231" t="s">
        <v>509</v>
      </c>
      <c r="C28" s="255"/>
      <c r="D28" s="233" t="s">
        <v>510</v>
      </c>
      <c r="E28" s="256"/>
      <c r="F28" s="259">
        <f>F10*44%+F14*52%+F12*4%</f>
        <v>4728</v>
      </c>
      <c r="G28" s="241"/>
      <c r="H28" s="237" t="str">
        <f t="shared" si="0"/>
        <v>2021年IPCC第六次评估报告AR6</v>
      </c>
      <c r="I28" s="238"/>
    </row>
    <row r="29" spans="2:9">
      <c r="B29" s="231" t="s">
        <v>511</v>
      </c>
      <c r="C29" s="255"/>
      <c r="D29" s="233" t="s">
        <v>512</v>
      </c>
      <c r="E29" s="256"/>
      <c r="F29" s="260">
        <f>F8*20%+F10*40%+F12*40%</f>
        <v>2262.2</v>
      </c>
      <c r="G29" s="241"/>
      <c r="H29" s="237" t="str">
        <f t="shared" si="0"/>
        <v>2021年IPCC第六次评估报告AR6</v>
      </c>
      <c r="I29" s="238"/>
    </row>
    <row r="30" spans="2:9">
      <c r="B30" s="231" t="s">
        <v>513</v>
      </c>
      <c r="C30" s="255"/>
      <c r="D30" s="233" t="s">
        <v>514</v>
      </c>
      <c r="E30" s="256"/>
      <c r="F30" s="260">
        <f>F8*10%+F10*70%+F12*20%</f>
        <v>3001.1</v>
      </c>
      <c r="G30" s="241"/>
      <c r="H30" s="237" t="str">
        <f t="shared" si="0"/>
        <v>2021年IPCC第六次评估报告AR6</v>
      </c>
      <c r="I30" s="238"/>
    </row>
    <row r="31" spans="2:9">
      <c r="B31" s="231" t="s">
        <v>515</v>
      </c>
      <c r="C31" s="255"/>
      <c r="D31" s="233" t="s">
        <v>516</v>
      </c>
      <c r="E31" s="256"/>
      <c r="F31" s="260">
        <f>F8*23%+F10*25%+F12*52%</f>
        <v>1907.93</v>
      </c>
      <c r="G31" s="241"/>
      <c r="H31" s="237" t="str">
        <f t="shared" si="0"/>
        <v>2021年IPCC第六次评估报告AR6</v>
      </c>
      <c r="I31" s="238"/>
    </row>
    <row r="32" spans="2:9">
      <c r="B32" s="231" t="s">
        <v>517</v>
      </c>
      <c r="C32" s="255"/>
      <c r="D32" s="233" t="s">
        <v>518</v>
      </c>
      <c r="E32" s="256"/>
      <c r="F32" s="260">
        <f>F10*7%+F14*46%</f>
        <v>2934.4</v>
      </c>
      <c r="G32" s="241"/>
      <c r="H32" s="237" t="str">
        <f t="shared" si="0"/>
        <v>2021年IPCC第六次评估报告AR6</v>
      </c>
      <c r="I32" s="258" t="s">
        <v>519</v>
      </c>
    </row>
    <row r="33" spans="2:9">
      <c r="B33" s="231" t="s">
        <v>520</v>
      </c>
      <c r="C33" s="255"/>
      <c r="D33" s="233" t="s">
        <v>521</v>
      </c>
      <c r="E33" s="256"/>
      <c r="F33" s="260">
        <f>F8*50%+F10*50%</f>
        <v>2255.5</v>
      </c>
      <c r="G33" s="241"/>
      <c r="H33" s="237" t="str">
        <f t="shared" si="0"/>
        <v>2021年IPCC第六次评估报告AR6</v>
      </c>
      <c r="I33" s="238"/>
    </row>
    <row r="34" spans="2:9">
      <c r="B34" s="231" t="s">
        <v>522</v>
      </c>
      <c r="C34" s="255"/>
      <c r="D34" s="233" t="s">
        <v>523</v>
      </c>
      <c r="E34" s="242"/>
      <c r="F34" s="261">
        <f>G42*9%+F12*88%+0</f>
        <v>2182.5</v>
      </c>
      <c r="G34" s="241"/>
      <c r="H34" s="237" t="str">
        <f t="shared" si="0"/>
        <v>2021年IPCC第六次评估报告AR6</v>
      </c>
      <c r="I34" s="238"/>
    </row>
    <row r="35" spans="2:9">
      <c r="B35" s="231" t="s">
        <v>524</v>
      </c>
      <c r="C35" s="255"/>
      <c r="D35" s="233" t="s">
        <v>525</v>
      </c>
      <c r="E35" s="242"/>
      <c r="F35" s="261">
        <f>F10*46.6%+F12*50%+0</f>
        <v>2507.84</v>
      </c>
      <c r="G35" s="241"/>
      <c r="H35" s="237" t="str">
        <f t="shared" si="0"/>
        <v>2021年IPCC第六次评估报告AR6</v>
      </c>
      <c r="I35" s="238"/>
    </row>
    <row r="36" spans="2:9">
      <c r="B36" s="231" t="s">
        <v>526</v>
      </c>
      <c r="C36" s="255"/>
      <c r="D36" s="233" t="s">
        <v>527</v>
      </c>
      <c r="E36" s="256"/>
      <c r="F36" s="257">
        <f>F7*40.1%</f>
        <v>5854.6</v>
      </c>
      <c r="G36" s="241"/>
      <c r="H36" s="237" t="str">
        <f t="shared" si="0"/>
        <v>2021年IPCC第六次评估报告AR6</v>
      </c>
      <c r="I36" s="258" t="s">
        <v>528</v>
      </c>
    </row>
    <row r="37" spans="2:9">
      <c r="B37" s="231" t="s">
        <v>529</v>
      </c>
      <c r="C37" s="255"/>
      <c r="D37" s="233" t="s">
        <v>530</v>
      </c>
      <c r="E37" s="242"/>
      <c r="F37" s="262">
        <f>F10*50%+F14*50%</f>
        <v>4775</v>
      </c>
      <c r="G37" s="241"/>
      <c r="H37" s="237" t="str">
        <f t="shared" si="0"/>
        <v>2021年IPCC第六次评估报告AR6</v>
      </c>
      <c r="I37" s="238"/>
    </row>
    <row r="38" spans="2:9">
      <c r="B38" s="231" t="s">
        <v>531</v>
      </c>
      <c r="C38" s="255"/>
      <c r="D38" s="233" t="s">
        <v>532</v>
      </c>
      <c r="E38" s="263"/>
      <c r="F38" s="262">
        <f>F7*39%+G40*61%</f>
        <v>13258</v>
      </c>
      <c r="G38" s="264"/>
      <c r="H38" s="237" t="str">
        <f t="shared" si="0"/>
        <v>2021年IPCC第六次评估报告AR6</v>
      </c>
      <c r="I38" s="238"/>
    </row>
    <row r="39" spans="2:9">
      <c r="B39" s="231" t="s">
        <v>533</v>
      </c>
      <c r="C39" s="255"/>
      <c r="D39" s="233" t="s">
        <v>534</v>
      </c>
      <c r="E39" s="263"/>
      <c r="F39" s="259">
        <f>F7*46%+G40*54%</f>
        <v>13412</v>
      </c>
      <c r="G39" s="264"/>
      <c r="H39" s="237" t="str">
        <f t="shared" si="0"/>
        <v>2021年IPCC第六次评估报告AR6</v>
      </c>
      <c r="I39" s="238"/>
    </row>
    <row r="40" spans="2:9">
      <c r="B40" s="243" t="s">
        <v>535</v>
      </c>
      <c r="C40" s="244" t="s">
        <v>536</v>
      </c>
      <c r="D40" s="245"/>
      <c r="E40" s="246"/>
      <c r="F40" s="265"/>
      <c r="G40" s="248">
        <v>12400</v>
      </c>
      <c r="H40" s="266" t="str">
        <f t="shared" si="0"/>
        <v>2021年IPCC第六次评估报告AR6</v>
      </c>
      <c r="I40" s="250"/>
    </row>
    <row r="41" spans="2:9">
      <c r="B41" s="243" t="s">
        <v>537</v>
      </c>
      <c r="C41" s="244" t="s">
        <v>538</v>
      </c>
      <c r="D41" s="245"/>
      <c r="E41" s="246"/>
      <c r="F41" s="265"/>
      <c r="G41" s="248">
        <v>7380</v>
      </c>
      <c r="H41" s="266" t="str">
        <f t="shared" si="0"/>
        <v>2021年IPCC第六次评估报告AR6</v>
      </c>
      <c r="I41" s="250"/>
    </row>
    <row r="42" spans="2:9">
      <c r="B42" s="243" t="s">
        <v>539</v>
      </c>
      <c r="C42" s="244" t="s">
        <v>540</v>
      </c>
      <c r="D42" s="245"/>
      <c r="E42" s="246"/>
      <c r="F42" s="265"/>
      <c r="G42" s="248">
        <v>9290</v>
      </c>
      <c r="H42" s="266" t="str">
        <f t="shared" si="0"/>
        <v>2021年IPCC第六次评估报告AR6</v>
      </c>
      <c r="I42" s="250"/>
    </row>
    <row r="43" spans="2:9">
      <c r="B43" s="243" t="s">
        <v>541</v>
      </c>
      <c r="C43" s="244" t="s">
        <v>542</v>
      </c>
      <c r="D43" s="245"/>
      <c r="E43" s="246"/>
      <c r="F43" s="265"/>
      <c r="G43" s="248">
        <v>10200</v>
      </c>
      <c r="H43" s="266" t="str">
        <f t="shared" si="0"/>
        <v>2021年IPCC第六次评估报告AR6</v>
      </c>
      <c r="I43" s="250"/>
    </row>
    <row r="44" spans="2:9">
      <c r="B44" s="243" t="s">
        <v>543</v>
      </c>
      <c r="C44" s="244" t="s">
        <v>544</v>
      </c>
      <c r="D44" s="245"/>
      <c r="E44" s="246"/>
      <c r="F44" s="265"/>
      <c r="G44" s="248">
        <v>10000</v>
      </c>
      <c r="H44" s="266" t="str">
        <f t="shared" si="0"/>
        <v>2021年IPCC第六次评估报告AR6</v>
      </c>
      <c r="I44" s="250"/>
    </row>
    <row r="45" spans="2:9">
      <c r="B45" s="243" t="s">
        <v>545</v>
      </c>
      <c r="C45" s="244" t="s">
        <v>546</v>
      </c>
      <c r="D45" s="245"/>
      <c r="E45" s="246"/>
      <c r="F45" s="265"/>
      <c r="G45" s="248">
        <v>9220</v>
      </c>
      <c r="H45" s="266" t="str">
        <f t="shared" si="0"/>
        <v>2021年IPCC第六次评估报告AR6</v>
      </c>
      <c r="I45" s="250"/>
    </row>
    <row r="46" spans="2:9">
      <c r="B46" s="243" t="s">
        <v>547</v>
      </c>
      <c r="C46" s="244" t="s">
        <v>548</v>
      </c>
      <c r="D46" s="245"/>
      <c r="E46" s="246"/>
      <c r="F46" s="265"/>
      <c r="G46" s="248">
        <v>8620</v>
      </c>
      <c r="H46" s="266" t="str">
        <f t="shared" si="0"/>
        <v>2021年IPCC第六次评估报告AR6</v>
      </c>
      <c r="I46" s="250"/>
    </row>
    <row r="47" spans="2:9">
      <c r="B47" s="267" t="s">
        <v>207</v>
      </c>
      <c r="C47" s="268" t="s">
        <v>549</v>
      </c>
      <c r="D47" s="269"/>
      <c r="E47" s="270">
        <v>17400</v>
      </c>
      <c r="F47" s="271"/>
      <c r="G47" s="272"/>
      <c r="H47" s="273" t="str">
        <f>H3</f>
        <v>2021年IPCC第六次评估报告AR6</v>
      </c>
      <c r="I47" s="274"/>
    </row>
    <row r="48" ht="13.5" spans="2:9">
      <c r="B48" s="275" t="s">
        <v>206</v>
      </c>
      <c r="C48" s="276" t="s">
        <v>550</v>
      </c>
      <c r="D48" s="277"/>
      <c r="E48" s="278">
        <v>24300</v>
      </c>
      <c r="F48" s="279"/>
      <c r="G48" s="280"/>
      <c r="H48" s="281" t="str">
        <f>H3</f>
        <v>2021年IPCC第六次评估报告AR6</v>
      </c>
      <c r="I48" s="282"/>
    </row>
    <row r="49" ht="13.5"/>
  </sheetData>
  <pageMargins left="0.7" right="0.7" top="0.75" bottom="0.75" header="0.5" footer="0.5"/>
  <pageSetup paperSize="9" scale="65" orientation="landscape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K138"/>
  <sheetViews>
    <sheetView showGridLines="0" workbookViewId="0">
      <pane xSplit="5" ySplit="3" topLeftCell="F4" activePane="bottomRight" state="frozenSplit"/>
      <selection/>
      <selection pane="topRight"/>
      <selection pane="bottomLeft"/>
      <selection pane="bottomRight" activeCell="F2" sqref="F2:F3"/>
    </sheetView>
  </sheetViews>
  <sheetFormatPr defaultColWidth="8.75" defaultRowHeight="12.75"/>
  <cols>
    <col min="1" max="1" width="0.75" style="76" customWidth="1"/>
    <col min="2" max="2" width="6" style="76" customWidth="1"/>
    <col min="3" max="3" width="22.875" style="76" customWidth="1"/>
    <col min="4" max="4" width="15.5" style="76" customWidth="1"/>
    <col min="5" max="5" width="14.625" style="76" customWidth="1"/>
    <col min="6" max="6" width="16.625" style="76" customWidth="1"/>
    <col min="7" max="7" width="10.375" style="76" customWidth="1"/>
    <col min="8" max="8" width="11.125" style="77" customWidth="1"/>
    <col min="9" max="9" width="10.5" style="76" customWidth="1"/>
    <col min="10" max="10" width="13.375" style="76" customWidth="1"/>
    <col min="11" max="11" width="18" style="76" customWidth="1"/>
    <col min="12" max="12" width="10.25" style="76" customWidth="1"/>
    <col min="13" max="13" width="28.375" style="76" customWidth="1"/>
    <col min="14" max="14" width="50.25" style="76" customWidth="1"/>
    <col min="15" max="15" width="26.5" style="76" customWidth="1"/>
    <col min="16" max="16" width="80.375" style="76" customWidth="1"/>
    <col min="17" max="17" width="62" style="76" customWidth="1"/>
    <col min="18" max="18" width="13" style="76" customWidth="1"/>
    <col min="19" max="19" width="139.25" style="76" customWidth="1"/>
    <col min="20" max="20" width="9" style="76" customWidth="1"/>
    <col min="21" max="31" width="9" style="76"/>
    <col min="32" max="16384" width="8.75" style="76"/>
  </cols>
  <sheetData>
    <row r="1" ht="7.5" customHeight="1" spans="2:15">
      <c r="B1" s="78"/>
      <c r="C1" s="78"/>
      <c r="D1" s="78"/>
      <c r="E1" s="78"/>
      <c r="F1" s="78"/>
      <c r="G1" s="78"/>
      <c r="H1" s="79"/>
      <c r="I1" s="78"/>
      <c r="J1" s="78"/>
      <c r="K1" s="78"/>
      <c r="L1" s="78"/>
      <c r="M1" s="78"/>
      <c r="N1" s="78"/>
      <c r="O1" s="78"/>
    </row>
    <row r="2" s="72" customFormat="1" ht="15.75" spans="2:15">
      <c r="B2" s="80" t="s">
        <v>422</v>
      </c>
      <c r="C2" s="80" t="s">
        <v>551</v>
      </c>
      <c r="D2" s="80" t="s">
        <v>423</v>
      </c>
      <c r="E2" s="80" t="s">
        <v>424</v>
      </c>
      <c r="F2" s="81" t="s">
        <v>552</v>
      </c>
      <c r="G2" s="80" t="s">
        <v>553</v>
      </c>
      <c r="H2" s="81" t="s">
        <v>554</v>
      </c>
      <c r="I2" s="81" t="s">
        <v>555</v>
      </c>
      <c r="J2" s="81"/>
      <c r="K2" s="81"/>
      <c r="L2" s="81" t="s">
        <v>556</v>
      </c>
      <c r="M2" s="81"/>
      <c r="N2" s="81"/>
    </row>
    <row r="3" s="72" customFormat="1" ht="15.75" spans="2:15">
      <c r="B3" s="80"/>
      <c r="C3" s="80"/>
      <c r="D3" s="80"/>
      <c r="E3" s="80"/>
      <c r="F3" s="81"/>
      <c r="G3" s="80"/>
      <c r="H3" s="81"/>
      <c r="I3" s="81" t="s">
        <v>557</v>
      </c>
      <c r="J3" s="81"/>
      <c r="K3" s="81"/>
      <c r="L3" s="82" t="s">
        <v>558</v>
      </c>
      <c r="M3" s="82"/>
      <c r="N3" s="82"/>
    </row>
    <row r="4" s="72" customFormat="1" ht="15.75" spans="2:15">
      <c r="B4" s="80"/>
      <c r="C4" s="80"/>
      <c r="D4" s="80"/>
      <c r="E4" s="80"/>
      <c r="F4" s="80" t="s">
        <v>559</v>
      </c>
      <c r="G4" s="80"/>
      <c r="H4" s="80" t="s">
        <v>559</v>
      </c>
      <c r="I4" s="80" t="s">
        <v>203</v>
      </c>
      <c r="J4" s="80" t="s">
        <v>204</v>
      </c>
      <c r="K4" s="80" t="s">
        <v>205</v>
      </c>
      <c r="L4" s="80" t="s">
        <v>203</v>
      </c>
      <c r="M4" s="80" t="s">
        <v>204</v>
      </c>
      <c r="N4" s="80" t="s">
        <v>205</v>
      </c>
    </row>
    <row r="5" ht="20.65" customHeight="1" spans="2:15">
      <c r="B5" s="83">
        <v>1</v>
      </c>
      <c r="C5" s="84" t="s">
        <v>560</v>
      </c>
      <c r="D5" s="85" t="s">
        <v>561</v>
      </c>
      <c r="E5" s="85" t="s">
        <v>562</v>
      </c>
      <c r="F5" s="83">
        <v>389.31</v>
      </c>
      <c r="G5" s="86" t="s">
        <v>563</v>
      </c>
      <c r="H5" s="87">
        <v>0.99</v>
      </c>
      <c r="I5" s="83">
        <f>56100/10^6</f>
        <v>0.0561</v>
      </c>
      <c r="J5" s="83">
        <f t="shared" ref="J5:J11" si="0">1/10^6</f>
        <v>1e-6</v>
      </c>
      <c r="K5" s="88">
        <f>0.1/10^6</f>
        <v>1e-7</v>
      </c>
      <c r="L5" s="83">
        <f>F5*H5*I5</f>
        <v>21.62188809</v>
      </c>
      <c r="M5" s="89">
        <f t="shared" ref="M5:M11" si="1">F5*H5*J5</f>
        <v>0.0003854169</v>
      </c>
      <c r="N5" s="83">
        <f t="shared" ref="N5:N11" si="2">F5*H5*K5</f>
        <v>3.854169e-5</v>
      </c>
    </row>
    <row r="6" ht="20.65" customHeight="1" spans="2:15">
      <c r="B6" s="83">
        <v>2</v>
      </c>
      <c r="C6" s="84" t="s">
        <v>560</v>
      </c>
      <c r="D6" s="90" t="s">
        <v>221</v>
      </c>
      <c r="E6" s="91" t="s">
        <v>222</v>
      </c>
      <c r="F6" s="92">
        <v>50.179</v>
      </c>
      <c r="G6" s="86" t="s">
        <v>564</v>
      </c>
      <c r="H6" s="87">
        <v>0.98</v>
      </c>
      <c r="I6" s="83">
        <f>63100/10^6</f>
        <v>0.0631</v>
      </c>
      <c r="J6" s="83">
        <f t="shared" si="0"/>
        <v>1e-6</v>
      </c>
      <c r="K6" s="88">
        <f>0.1/10^6</f>
        <v>1e-7</v>
      </c>
      <c r="L6" s="83">
        <f>F6*H6*I6</f>
        <v>3.102969002</v>
      </c>
      <c r="M6" s="89">
        <f t="shared" si="1"/>
        <v>4.917542e-5</v>
      </c>
      <c r="N6" s="83">
        <f t="shared" si="2"/>
        <v>4.917542e-6</v>
      </c>
    </row>
    <row r="7" ht="20.65" customHeight="1" spans="2:15">
      <c r="B7" s="83">
        <v>3</v>
      </c>
      <c r="C7" s="84" t="s">
        <v>560</v>
      </c>
      <c r="D7" s="85" t="s">
        <v>565</v>
      </c>
      <c r="E7" s="85" t="s">
        <v>233</v>
      </c>
      <c r="F7" s="83">
        <v>23.736</v>
      </c>
      <c r="G7" s="86" t="s">
        <v>564</v>
      </c>
      <c r="H7" s="87">
        <v>0.99</v>
      </c>
      <c r="I7" s="83">
        <f>98300/10^6</f>
        <v>0.0983</v>
      </c>
      <c r="J7" s="83">
        <f t="shared" si="0"/>
        <v>1e-6</v>
      </c>
      <c r="K7" s="88">
        <f>1.5/10^6</f>
        <v>1.5e-6</v>
      </c>
      <c r="L7" s="83">
        <f>F7*H7*I7</f>
        <v>2.309916312</v>
      </c>
      <c r="M7" s="89">
        <f t="shared" si="1"/>
        <v>2.349864e-5</v>
      </c>
      <c r="N7" s="83">
        <f t="shared" si="2"/>
        <v>3.524796e-5</v>
      </c>
    </row>
    <row r="8" ht="20.65" customHeight="1" spans="2:15">
      <c r="B8" s="83">
        <v>4</v>
      </c>
      <c r="C8" s="84" t="s">
        <v>560</v>
      </c>
      <c r="D8" s="85" t="s">
        <v>566</v>
      </c>
      <c r="E8" s="85" t="s">
        <v>233</v>
      </c>
      <c r="F8" s="83">
        <v>25.024</v>
      </c>
      <c r="G8" s="86" t="s">
        <v>564</v>
      </c>
      <c r="H8" s="87">
        <v>0.99</v>
      </c>
      <c r="I8" s="83">
        <f>98300/10^6</f>
        <v>0.0983</v>
      </c>
      <c r="J8" s="83">
        <f t="shared" si="0"/>
        <v>1e-6</v>
      </c>
      <c r="K8" s="88">
        <f>1.5/10^6</f>
        <v>1.5e-6</v>
      </c>
      <c r="L8" s="83">
        <f>F8*H8*I8</f>
        <v>2.435260608</v>
      </c>
      <c r="M8" s="89">
        <f t="shared" si="1"/>
        <v>2.477376e-5</v>
      </c>
      <c r="N8" s="83">
        <f t="shared" si="2"/>
        <v>3.716064e-5</v>
      </c>
    </row>
    <row r="9" ht="20.65" customHeight="1" spans="2:15">
      <c r="B9" s="83">
        <v>5</v>
      </c>
      <c r="C9" s="84" t="s">
        <v>560</v>
      </c>
      <c r="D9" s="85" t="s">
        <v>230</v>
      </c>
      <c r="E9" s="85" t="s">
        <v>231</v>
      </c>
      <c r="F9" s="83">
        <v>26.344</v>
      </c>
      <c r="G9" s="86" t="s">
        <v>564</v>
      </c>
      <c r="H9" s="87">
        <v>0.99</v>
      </c>
      <c r="I9" s="83">
        <f>94600/10^6</f>
        <v>0.0946</v>
      </c>
      <c r="J9" s="83">
        <f t="shared" si="0"/>
        <v>1e-6</v>
      </c>
      <c r="K9" s="88">
        <f>1.5/10^6</f>
        <v>1.5e-6</v>
      </c>
      <c r="L9" s="83">
        <f>F9*H9*I9</f>
        <v>2.467220976</v>
      </c>
      <c r="M9" s="89">
        <f t="shared" si="1"/>
        <v>2.608056e-5</v>
      </c>
      <c r="N9" s="83">
        <f t="shared" si="2"/>
        <v>3.912084e-5</v>
      </c>
    </row>
    <row r="10" ht="20.65" customHeight="1" spans="2:15">
      <c r="B10" s="83">
        <v>6</v>
      </c>
      <c r="C10" s="84" t="s">
        <v>560</v>
      </c>
      <c r="D10" s="85" t="s">
        <v>567</v>
      </c>
      <c r="E10" s="85" t="s">
        <v>231</v>
      </c>
      <c r="F10" s="83">
        <v>28.435</v>
      </c>
      <c r="G10" s="86" t="s">
        <v>564</v>
      </c>
      <c r="H10" s="87">
        <v>0.99</v>
      </c>
      <c r="I10" s="83">
        <f>107000/10^6</f>
        <v>0.107</v>
      </c>
      <c r="J10" s="83">
        <f t="shared" si="0"/>
        <v>1e-6</v>
      </c>
      <c r="K10" s="88">
        <f>1.5/10^6</f>
        <v>1.5e-6</v>
      </c>
      <c r="L10" s="83">
        <f t="shared" ref="L10:L11" si="3">F10*H10*I10</f>
        <v>3.01211955</v>
      </c>
      <c r="M10" s="89">
        <f t="shared" si="1"/>
        <v>2.815065e-5</v>
      </c>
      <c r="N10" s="83">
        <f t="shared" si="2"/>
        <v>4.2225975e-5</v>
      </c>
    </row>
    <row r="11" ht="20.65" customHeight="1" spans="2:15">
      <c r="B11" s="83">
        <v>7</v>
      </c>
      <c r="C11" s="93" t="s">
        <v>229</v>
      </c>
      <c r="D11" s="94" t="s">
        <v>236</v>
      </c>
      <c r="E11" s="94" t="s">
        <v>237</v>
      </c>
      <c r="F11" s="95">
        <v>173.854</v>
      </c>
      <c r="G11" s="96" t="s">
        <v>563</v>
      </c>
      <c r="H11" s="87">
        <v>0.99</v>
      </c>
      <c r="I11" s="95">
        <f>44400/10^6</f>
        <v>0.0444</v>
      </c>
      <c r="J11" s="95">
        <f t="shared" si="0"/>
        <v>1e-6</v>
      </c>
      <c r="K11" s="88">
        <f>0.1/10^6</f>
        <v>1e-7</v>
      </c>
      <c r="L11" s="83">
        <f t="shared" si="3"/>
        <v>7.641926424</v>
      </c>
      <c r="M11" s="89">
        <f t="shared" si="1"/>
        <v>0.00017211546</v>
      </c>
      <c r="N11" s="83">
        <f t="shared" si="2"/>
        <v>1.7211546e-5</v>
      </c>
    </row>
    <row r="12" spans="2:15">
      <c r="B12" s="83">
        <v>8</v>
      </c>
      <c r="C12" s="97" t="s">
        <v>568</v>
      </c>
      <c r="D12" s="85" t="s">
        <v>569</v>
      </c>
      <c r="E12" s="85" t="s">
        <v>570</v>
      </c>
      <c r="F12" s="83">
        <v>42.652</v>
      </c>
      <c r="G12" s="86" t="s">
        <v>564</v>
      </c>
      <c r="H12" s="98">
        <v>0.98</v>
      </c>
      <c r="I12" s="83">
        <v>0.0741</v>
      </c>
      <c r="J12" s="83">
        <f>0.0039/10^3</f>
        <v>3.9e-6</v>
      </c>
      <c r="K12" s="83">
        <f>0.0039/10^3</f>
        <v>3.9e-6</v>
      </c>
      <c r="L12" s="83">
        <f>$F$12*$H$12*I12</f>
        <v>3.097302936</v>
      </c>
      <c r="M12" s="83">
        <f>$F$12*$H$12*J12</f>
        <v>0.000163015944</v>
      </c>
      <c r="N12" s="83">
        <f>$F$12*$H$12*K12</f>
        <v>0.000163015944</v>
      </c>
    </row>
    <row r="13" spans="2:15">
      <c r="B13" s="83">
        <v>9</v>
      </c>
      <c r="C13" s="97" t="s">
        <v>568</v>
      </c>
      <c r="D13" s="85" t="s">
        <v>571</v>
      </c>
      <c r="E13" s="85" t="s">
        <v>572</v>
      </c>
      <c r="F13" s="83">
        <v>43.07</v>
      </c>
      <c r="G13" s="86" t="s">
        <v>564</v>
      </c>
      <c r="H13" s="98">
        <v>0.98</v>
      </c>
      <c r="I13" s="83">
        <v>0.0693</v>
      </c>
      <c r="J13" s="83">
        <f>0.025/10^3</f>
        <v>2.5e-5</v>
      </c>
      <c r="K13" s="83">
        <f>0.008/10^3</f>
        <v>8e-6</v>
      </c>
      <c r="L13" s="83">
        <f>$F$13*$H$13*I13</f>
        <v>2.92505598</v>
      </c>
      <c r="M13" s="83">
        <f>$F$13*$H$13*J13</f>
        <v>0.001055215</v>
      </c>
      <c r="N13" s="83">
        <f>$F$13*$H$13*K13</f>
        <v>0.0003376688</v>
      </c>
    </row>
    <row r="14" ht="20.65" customHeight="1" spans="2:15">
      <c r="B14" s="99"/>
      <c r="C14" s="100"/>
      <c r="D14" s="101"/>
      <c r="E14" s="101"/>
      <c r="F14" s="99"/>
      <c r="G14" s="102"/>
      <c r="H14" s="103"/>
      <c r="I14" s="99"/>
      <c r="J14" s="99"/>
      <c r="K14" s="104"/>
      <c r="L14" s="99"/>
      <c r="M14" s="105"/>
      <c r="N14" s="105"/>
    </row>
    <row r="15" ht="20.65" customHeight="1" spans="2:15">
      <c r="B15" s="80" t="s">
        <v>422</v>
      </c>
      <c r="C15" s="80" t="s">
        <v>551</v>
      </c>
      <c r="D15" s="80" t="s">
        <v>423</v>
      </c>
      <c r="E15" s="80" t="s">
        <v>424</v>
      </c>
      <c r="F15" s="82" t="s">
        <v>573</v>
      </c>
      <c r="G15" s="80" t="s">
        <v>553</v>
      </c>
      <c r="H15" s="76"/>
    </row>
    <row r="16" ht="20.65" customHeight="1" spans="2:15">
      <c r="B16" s="80"/>
      <c r="C16" s="80"/>
      <c r="D16" s="80"/>
      <c r="E16" s="80"/>
      <c r="F16" s="80" t="s">
        <v>559</v>
      </c>
      <c r="G16" s="80"/>
      <c r="H16" s="76"/>
    </row>
    <row r="17" ht="20.65" customHeight="1" spans="2:14">
      <c r="B17" s="83">
        <v>1</v>
      </c>
      <c r="C17" s="94" t="s">
        <v>574</v>
      </c>
      <c r="D17" s="94" t="s">
        <v>274</v>
      </c>
      <c r="E17" s="94" t="s">
        <v>237</v>
      </c>
      <c r="F17" s="106">
        <v>3.382</v>
      </c>
      <c r="G17" s="107" t="s">
        <v>224</v>
      </c>
      <c r="H17" s="76"/>
    </row>
    <row r="18" ht="20.65" customHeight="1" spans="2:14">
      <c r="B18" s="83">
        <v>2</v>
      </c>
      <c r="C18" s="108" t="s">
        <v>53</v>
      </c>
      <c r="D18" s="108" t="s">
        <v>275</v>
      </c>
      <c r="E18" s="108" t="s">
        <v>237</v>
      </c>
      <c r="F18" s="109">
        <v>2.699</v>
      </c>
      <c r="G18" s="110" t="s">
        <v>224</v>
      </c>
      <c r="H18" s="76"/>
    </row>
    <row r="19" ht="20.65" customHeight="1" spans="2:14">
      <c r="B19" s="83">
        <v>3</v>
      </c>
      <c r="C19" s="111" t="s">
        <v>574</v>
      </c>
      <c r="D19" s="112" t="s">
        <v>261</v>
      </c>
      <c r="E19" s="113" t="s">
        <v>575</v>
      </c>
      <c r="F19" s="114">
        <v>0.44</v>
      </c>
      <c r="G19" s="115" t="s">
        <v>224</v>
      </c>
      <c r="H19" s="76"/>
    </row>
    <row r="20" ht="20.65" customHeight="1" spans="2:14">
      <c r="B20" s="83">
        <v>4</v>
      </c>
      <c r="C20" s="111" t="s">
        <v>574</v>
      </c>
      <c r="D20" s="112" t="s">
        <v>263</v>
      </c>
      <c r="E20" s="113" t="s">
        <v>576</v>
      </c>
      <c r="F20" s="92">
        <v>0.476</v>
      </c>
      <c r="G20" s="115" t="s">
        <v>224</v>
      </c>
      <c r="H20" s="76"/>
    </row>
    <row r="21" ht="20.65" customHeight="1" spans="2:14">
      <c r="B21" s="83">
        <v>5</v>
      </c>
      <c r="C21" s="111" t="s">
        <v>574</v>
      </c>
      <c r="D21" s="113" t="s">
        <v>577</v>
      </c>
      <c r="E21" s="113" t="s">
        <v>578</v>
      </c>
      <c r="F21" s="79">
        <v>3.663</v>
      </c>
      <c r="G21" s="115" t="s">
        <v>224</v>
      </c>
      <c r="H21" s="76"/>
    </row>
    <row r="22" ht="20.65" customHeight="1" spans="2:14">
      <c r="B22" s="83">
        <v>6</v>
      </c>
      <c r="C22" s="111" t="s">
        <v>574</v>
      </c>
      <c r="D22" s="116" t="s">
        <v>579</v>
      </c>
      <c r="E22" s="113" t="s">
        <v>578</v>
      </c>
      <c r="F22" s="79">
        <v>0.037</v>
      </c>
      <c r="G22" s="115" t="s">
        <v>224</v>
      </c>
      <c r="H22" s="76"/>
    </row>
    <row r="23" ht="20.65" customHeight="1" spans="2:14">
      <c r="B23" s="83">
        <v>7</v>
      </c>
      <c r="C23" s="111" t="s">
        <v>574</v>
      </c>
      <c r="D23" s="113" t="s">
        <v>580</v>
      </c>
      <c r="E23" s="113" t="s">
        <v>578</v>
      </c>
      <c r="F23" s="92">
        <v>0.348</v>
      </c>
      <c r="G23" s="115" t="s">
        <v>224</v>
      </c>
      <c r="H23" s="76"/>
    </row>
    <row r="24" ht="20.65" customHeight="1" spans="2:14">
      <c r="B24" s="83">
        <v>8</v>
      </c>
      <c r="C24" s="111" t="s">
        <v>574</v>
      </c>
      <c r="D24" s="113" t="s">
        <v>581</v>
      </c>
      <c r="E24" s="113" t="s">
        <v>578</v>
      </c>
      <c r="F24" s="79">
        <v>0.018</v>
      </c>
      <c r="G24" s="115" t="s">
        <v>224</v>
      </c>
      <c r="H24" s="76"/>
    </row>
    <row r="25" ht="20.65" customHeight="1" spans="2:14">
      <c r="B25" s="83">
        <v>9</v>
      </c>
      <c r="C25" s="111" t="s">
        <v>574</v>
      </c>
      <c r="D25" s="113" t="s">
        <v>582</v>
      </c>
      <c r="E25" s="113" t="s">
        <v>578</v>
      </c>
      <c r="F25" s="92">
        <v>0.007</v>
      </c>
      <c r="G25" s="115" t="s">
        <v>224</v>
      </c>
      <c r="H25" s="76"/>
    </row>
    <row r="26" ht="20.65" customHeight="1" spans="2:14">
      <c r="B26" s="83">
        <v>10</v>
      </c>
      <c r="C26" s="111" t="s">
        <v>574</v>
      </c>
      <c r="D26" s="113" t="s">
        <v>583</v>
      </c>
      <c r="E26" s="113" t="s">
        <v>578</v>
      </c>
      <c r="F26" s="92">
        <v>0.275</v>
      </c>
      <c r="G26" s="115" t="s">
        <v>224</v>
      </c>
      <c r="H26" s="76"/>
    </row>
    <row r="27" ht="20.65" customHeight="1" spans="2:14">
      <c r="B27" s="83">
        <v>11</v>
      </c>
      <c r="C27" s="111" t="s">
        <v>574</v>
      </c>
      <c r="D27" s="113" t="s">
        <v>584</v>
      </c>
      <c r="E27" s="113" t="s">
        <v>578</v>
      </c>
      <c r="F27" s="92">
        <v>0.037</v>
      </c>
      <c r="G27" s="115" t="s">
        <v>224</v>
      </c>
      <c r="H27" s="76"/>
    </row>
    <row r="28" ht="20.65" customHeight="1" spans="2:14">
      <c r="B28" s="83">
        <v>12</v>
      </c>
      <c r="C28" s="117" t="s">
        <v>574</v>
      </c>
      <c r="D28" s="118" t="s">
        <v>585</v>
      </c>
      <c r="E28" s="119" t="s">
        <v>273</v>
      </c>
      <c r="F28" s="92">
        <v>0.037</v>
      </c>
      <c r="G28" s="120" t="s">
        <v>224</v>
      </c>
      <c r="H28" s="76"/>
    </row>
    <row r="29" spans="2:14">
      <c r="B29" s="99"/>
      <c r="C29" s="121"/>
      <c r="D29" s="121"/>
      <c r="E29" s="122"/>
      <c r="F29" s="123"/>
      <c r="G29" s="123"/>
      <c r="H29" s="123"/>
      <c r="I29" s="123"/>
      <c r="J29" s="123"/>
      <c r="K29" s="123"/>
      <c r="L29" s="123"/>
      <c r="M29" s="124"/>
      <c r="N29" s="125"/>
    </row>
    <row r="31" s="73" customFormat="1" ht="15.75" spans="2:14">
      <c r="B31" s="80" t="s">
        <v>422</v>
      </c>
      <c r="C31" s="80" t="s">
        <v>551</v>
      </c>
      <c r="D31" s="80" t="s">
        <v>423</v>
      </c>
      <c r="E31" s="80" t="s">
        <v>424</v>
      </c>
      <c r="F31" s="80" t="s">
        <v>586</v>
      </c>
      <c r="G31" s="126"/>
      <c r="H31" s="127" t="s">
        <v>587</v>
      </c>
      <c r="I31" s="128" t="s">
        <v>588</v>
      </c>
      <c r="J31" s="81" t="s">
        <v>589</v>
      </c>
      <c r="K31" s="80" t="s">
        <v>553</v>
      </c>
      <c r="L31" s="80" t="s">
        <v>590</v>
      </c>
    </row>
    <row r="32" s="73" customFormat="1" ht="15.75" spans="2:14">
      <c r="B32" s="80"/>
      <c r="C32" s="80"/>
      <c r="D32" s="80"/>
      <c r="E32" s="80"/>
      <c r="F32" s="80" t="s">
        <v>591</v>
      </c>
      <c r="G32" s="80" t="s">
        <v>553</v>
      </c>
      <c r="H32" s="129"/>
      <c r="I32" s="130"/>
      <c r="J32" s="80"/>
      <c r="K32" s="80"/>
      <c r="L32" s="80"/>
    </row>
    <row r="33" ht="20.65" customHeight="1" spans="2:63">
      <c r="B33" s="86">
        <v>1</v>
      </c>
      <c r="C33" s="131" t="s">
        <v>592</v>
      </c>
      <c r="D33" s="113" t="s">
        <v>593</v>
      </c>
      <c r="E33" s="132" t="s">
        <v>594</v>
      </c>
      <c r="F33" s="133">
        <v>0.005</v>
      </c>
      <c r="G33" s="134" t="s">
        <v>595</v>
      </c>
      <c r="H33" s="135"/>
      <c r="I33" s="136"/>
      <c r="J33" s="137"/>
      <c r="K33" s="137"/>
      <c r="L33" s="138" t="s">
        <v>596</v>
      </c>
    </row>
    <row r="34" ht="20.65" customHeight="1" spans="2:63">
      <c r="B34" s="86">
        <v>2</v>
      </c>
      <c r="C34" s="131" t="s">
        <v>592</v>
      </c>
      <c r="D34" s="116" t="s">
        <v>597</v>
      </c>
      <c r="E34" s="139" t="s">
        <v>598</v>
      </c>
      <c r="F34" s="140">
        <v>1</v>
      </c>
      <c r="G34" s="141" t="s">
        <v>599</v>
      </c>
      <c r="H34" s="142"/>
      <c r="I34" s="143"/>
      <c r="J34" s="144"/>
      <c r="K34" s="144"/>
      <c r="L34" s="145" t="s">
        <v>600</v>
      </c>
    </row>
    <row r="35" s="74" customFormat="1" ht="20.65" customHeight="1" spans="2:63">
      <c r="B35" s="86">
        <v>3</v>
      </c>
      <c r="C35" s="131" t="s">
        <v>592</v>
      </c>
      <c r="D35" s="112" t="s">
        <v>601</v>
      </c>
      <c r="E35" s="146" t="s">
        <v>245</v>
      </c>
      <c r="F35" s="140">
        <v>1</v>
      </c>
      <c r="G35" s="141" t="s">
        <v>602</v>
      </c>
      <c r="H35" s="142"/>
      <c r="I35" s="143"/>
      <c r="J35" s="144"/>
      <c r="K35" s="144"/>
      <c r="L35" s="145" t="s">
        <v>600</v>
      </c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W35" s="147"/>
      <c r="X35" s="147"/>
      <c r="Y35" s="147"/>
      <c r="Z35" s="147"/>
      <c r="AA35" s="147"/>
      <c r="AB35" s="147"/>
      <c r="AC35" s="147"/>
      <c r="AD35" s="147"/>
      <c r="AE35" s="147"/>
      <c r="AF35" s="147"/>
      <c r="AG35" s="147"/>
      <c r="AH35" s="147"/>
      <c r="AI35" s="147"/>
      <c r="AJ35" s="147"/>
      <c r="AK35" s="147"/>
      <c r="AL35" s="147"/>
      <c r="AM35" s="147"/>
      <c r="AN35" s="147"/>
      <c r="AO35" s="147"/>
      <c r="AP35" s="147"/>
      <c r="AQ35" s="147"/>
      <c r="AR35" s="147"/>
      <c r="AS35" s="147"/>
      <c r="AT35" s="147"/>
      <c r="AU35" s="147"/>
      <c r="AV35" s="147"/>
      <c r="AW35" s="147"/>
      <c r="AX35" s="147"/>
      <c r="AY35" s="147"/>
      <c r="AZ35" s="147"/>
      <c r="BA35" s="147"/>
      <c r="BB35" s="147"/>
      <c r="BC35" s="147"/>
      <c r="BD35" s="147"/>
      <c r="BE35" s="147"/>
      <c r="BF35" s="147"/>
      <c r="BG35" s="147"/>
      <c r="BH35" s="147"/>
      <c r="BI35" s="147"/>
      <c r="BJ35" s="147"/>
      <c r="BK35" s="147"/>
    </row>
    <row r="36" s="74" customFormat="1" ht="20.65" customHeight="1" spans="2:63">
      <c r="B36" s="86">
        <v>4</v>
      </c>
      <c r="C36" s="131" t="s">
        <v>592</v>
      </c>
      <c r="D36" s="148" t="s">
        <v>250</v>
      </c>
      <c r="E36" s="149" t="s">
        <v>251</v>
      </c>
      <c r="F36" s="150"/>
      <c r="G36" s="151"/>
      <c r="H36" s="83">
        <v>0.3</v>
      </c>
      <c r="I36" s="83">
        <v>0.6</v>
      </c>
      <c r="J36" s="83">
        <f>H36*I36</f>
        <v>0.18</v>
      </c>
      <c r="K36" s="115" t="s">
        <v>603</v>
      </c>
      <c r="L36" s="149" t="s">
        <v>604</v>
      </c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W36" s="147"/>
      <c r="X36" s="147"/>
      <c r="Y36" s="147"/>
      <c r="Z36" s="147"/>
      <c r="AA36" s="147"/>
      <c r="AB36" s="147"/>
      <c r="AC36" s="147"/>
      <c r="AD36" s="147"/>
      <c r="AE36" s="147"/>
      <c r="AF36" s="147"/>
      <c r="AG36" s="147"/>
      <c r="AH36" s="147"/>
      <c r="AI36" s="147"/>
      <c r="AJ36" s="147"/>
      <c r="AK36" s="147"/>
      <c r="AL36" s="147"/>
      <c r="AM36" s="147"/>
      <c r="AN36" s="147"/>
      <c r="AO36" s="147"/>
      <c r="AP36" s="147"/>
      <c r="AQ36" s="147"/>
      <c r="AR36" s="147"/>
      <c r="AS36" s="147"/>
      <c r="AT36" s="147"/>
      <c r="AU36" s="147"/>
      <c r="AV36" s="147"/>
      <c r="AW36" s="147"/>
      <c r="AX36" s="147"/>
      <c r="AY36" s="147"/>
      <c r="AZ36" s="147"/>
      <c r="BA36" s="147"/>
      <c r="BB36" s="147"/>
      <c r="BC36" s="147"/>
      <c r="BD36" s="147"/>
      <c r="BE36" s="147"/>
      <c r="BF36" s="147"/>
      <c r="BG36" s="147"/>
      <c r="BH36" s="147"/>
      <c r="BI36" s="147"/>
      <c r="BJ36" s="147"/>
      <c r="BK36" s="147"/>
    </row>
    <row r="37" s="74" customFormat="1" ht="20.65" customHeight="1" spans="2:63">
      <c r="B37" s="86">
        <v>5</v>
      </c>
      <c r="C37" s="131" t="s">
        <v>592</v>
      </c>
      <c r="D37" s="148" t="s">
        <v>250</v>
      </c>
      <c r="E37" s="139" t="s">
        <v>605</v>
      </c>
      <c r="F37" s="150"/>
      <c r="G37" s="151"/>
      <c r="H37" s="83">
        <v>0.3</v>
      </c>
      <c r="I37" s="83">
        <v>0.25</v>
      </c>
      <c r="J37" s="83">
        <f>H37*I37</f>
        <v>0.075</v>
      </c>
      <c r="K37" s="152" t="s">
        <v>606</v>
      </c>
      <c r="L37" s="149" t="s">
        <v>604</v>
      </c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W37" s="147"/>
      <c r="X37" s="147"/>
      <c r="Y37" s="147"/>
      <c r="Z37" s="147"/>
      <c r="AA37" s="147"/>
      <c r="AB37" s="147"/>
      <c r="AC37" s="147"/>
      <c r="AD37" s="147"/>
      <c r="AE37" s="147"/>
      <c r="AF37" s="147"/>
      <c r="AG37" s="147"/>
      <c r="AH37" s="147"/>
      <c r="AI37" s="147"/>
      <c r="AJ37" s="147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7"/>
      <c r="AY37" s="147"/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47"/>
    </row>
    <row r="38" ht="15" customHeight="1" spans="2:63">
      <c r="B38" s="86">
        <v>6</v>
      </c>
      <c r="C38" s="131" t="s">
        <v>592</v>
      </c>
      <c r="D38" s="148" t="s">
        <v>250</v>
      </c>
      <c r="E38" s="85" t="s">
        <v>607</v>
      </c>
      <c r="F38" s="150"/>
      <c r="G38" s="151"/>
      <c r="H38" s="153"/>
      <c r="I38" s="154"/>
      <c r="J38" s="83">
        <v>40</v>
      </c>
      <c r="K38" s="115" t="s">
        <v>608</v>
      </c>
      <c r="L38" s="149" t="s">
        <v>609</v>
      </c>
    </row>
    <row r="39" spans="2:63">
      <c r="C39" s="155"/>
    </row>
    <row r="40" ht="25.5" customHeight="1" spans="2:63">
      <c r="B40" s="80" t="s">
        <v>422</v>
      </c>
      <c r="C40" s="156" t="s">
        <v>551</v>
      </c>
      <c r="D40" s="157" t="s">
        <v>423</v>
      </c>
      <c r="E40" s="157" t="s">
        <v>424</v>
      </c>
      <c r="F40" s="156" t="s">
        <v>211</v>
      </c>
      <c r="G40" s="157" t="s">
        <v>553</v>
      </c>
      <c r="H40" s="157" t="s">
        <v>590</v>
      </c>
      <c r="I40" s="157"/>
      <c r="J40" s="157"/>
      <c r="K40" s="157"/>
      <c r="L40" s="157"/>
      <c r="M40" s="157"/>
      <c r="N40" s="157"/>
    </row>
    <row r="41" ht="20.45" customHeight="1" spans="2:63">
      <c r="B41" s="158">
        <v>1</v>
      </c>
      <c r="C41" s="159" t="s">
        <v>610</v>
      </c>
      <c r="D41" s="160" t="s">
        <v>611</v>
      </c>
      <c r="E41" s="161" t="s">
        <v>279</v>
      </c>
      <c r="F41" s="162">
        <v>0.5366</v>
      </c>
      <c r="G41" s="163" t="s">
        <v>282</v>
      </c>
      <c r="H41" s="164" t="s">
        <v>612</v>
      </c>
      <c r="I41" s="165"/>
      <c r="J41" s="165"/>
      <c r="K41" s="165"/>
      <c r="L41" s="165"/>
      <c r="M41" s="165"/>
      <c r="N41" s="166"/>
    </row>
    <row r="42" ht="20.45" customHeight="1" spans="2:63">
      <c r="B42" s="158">
        <v>2</v>
      </c>
      <c r="C42" s="159" t="s">
        <v>610</v>
      </c>
      <c r="D42" s="160" t="s">
        <v>611</v>
      </c>
      <c r="E42" s="161" t="s">
        <v>279</v>
      </c>
      <c r="F42" s="167">
        <v>0.5856</v>
      </c>
      <c r="G42" s="163" t="s">
        <v>282</v>
      </c>
      <c r="H42" s="168" t="s">
        <v>613</v>
      </c>
      <c r="I42" s="169"/>
      <c r="J42" s="169"/>
      <c r="K42" s="169"/>
      <c r="L42" s="169"/>
      <c r="M42" s="169"/>
      <c r="N42" s="170"/>
    </row>
    <row r="43" ht="20.45" customHeight="1" spans="2:63">
      <c r="B43" s="171"/>
      <c r="C43" s="172"/>
      <c r="D43" s="173"/>
      <c r="E43" s="173"/>
      <c r="F43" s="99"/>
      <c r="G43" s="99"/>
      <c r="H43" s="174"/>
      <c r="I43" s="174"/>
      <c r="J43" s="174"/>
      <c r="K43" s="174"/>
      <c r="L43" s="174"/>
      <c r="M43" s="174"/>
      <c r="N43" s="174"/>
    </row>
    <row r="44" ht="15.75" spans="2:63">
      <c r="B44" s="175" t="s">
        <v>422</v>
      </c>
      <c r="C44" s="175" t="s">
        <v>551</v>
      </c>
      <c r="D44" s="175" t="s">
        <v>423</v>
      </c>
      <c r="E44" s="176" t="s">
        <v>614</v>
      </c>
      <c r="F44" s="176" t="s">
        <v>615</v>
      </c>
      <c r="G44" s="177" t="s">
        <v>203</v>
      </c>
      <c r="H44" s="178"/>
      <c r="I44" s="179" t="s">
        <v>616</v>
      </c>
    </row>
    <row r="45" ht="14.25" spans="2:63">
      <c r="B45" s="180"/>
      <c r="C45" s="180"/>
      <c r="D45" s="180"/>
      <c r="E45" s="180"/>
      <c r="F45" s="180"/>
      <c r="G45" s="181" t="s">
        <v>589</v>
      </c>
      <c r="H45" s="182" t="s">
        <v>553</v>
      </c>
      <c r="I45" s="182" t="s">
        <v>617</v>
      </c>
    </row>
    <row r="46" ht="15" customHeight="1" spans="2:63">
      <c r="B46" s="83">
        <v>1</v>
      </c>
      <c r="C46" s="183" t="s">
        <v>68</v>
      </c>
      <c r="D46" s="90" t="str">
        <f>表1温室气体盘查表!C34</f>
        <v>铁矿石生产</v>
      </c>
      <c r="E46" s="183" t="s">
        <v>618</v>
      </c>
      <c r="F46" s="183" t="s">
        <v>619</v>
      </c>
      <c r="G46" s="184">
        <v>0.098847</v>
      </c>
      <c r="H46" s="185" t="s">
        <v>224</v>
      </c>
      <c r="I46" s="114" t="s">
        <v>620</v>
      </c>
    </row>
    <row r="47" ht="15" customHeight="1" spans="2:63">
      <c r="B47" s="83">
        <v>2</v>
      </c>
      <c r="C47" s="183" t="s">
        <v>68</v>
      </c>
      <c r="D47" s="90" t="str">
        <f>表1温室气体盘查表!C35</f>
        <v>生石灰生产</v>
      </c>
      <c r="E47" s="183" t="s">
        <v>621</v>
      </c>
      <c r="F47" s="183" t="s">
        <v>622</v>
      </c>
      <c r="G47" s="184">
        <v>1.18966991668996</v>
      </c>
      <c r="H47" s="185" t="s">
        <v>224</v>
      </c>
      <c r="I47" s="114" t="s">
        <v>620</v>
      </c>
    </row>
    <row r="48" ht="15" customHeight="1" spans="2:63">
      <c r="B48" s="83">
        <v>3</v>
      </c>
      <c r="C48" s="183" t="s">
        <v>68</v>
      </c>
      <c r="D48" s="90" t="str">
        <f>表1温室气体盘查表!C36</f>
        <v>石灰石生产</v>
      </c>
      <c r="E48" s="183" t="s">
        <v>623</v>
      </c>
      <c r="F48" s="183" t="s">
        <v>622</v>
      </c>
      <c r="G48" s="184">
        <v>0.0030299</v>
      </c>
      <c r="H48" s="185" t="s">
        <v>224</v>
      </c>
      <c r="I48" s="114" t="s">
        <v>620</v>
      </c>
    </row>
    <row r="49" ht="15" customHeight="1" spans="2:9">
      <c r="B49" s="83">
        <v>4</v>
      </c>
      <c r="C49" s="183" t="s">
        <v>68</v>
      </c>
      <c r="D49" s="90" t="str">
        <f>表1温室气体盘查表!C37</f>
        <v>白云石生产</v>
      </c>
      <c r="E49" s="183" t="s">
        <v>624</v>
      </c>
      <c r="F49" s="183" t="s">
        <v>622</v>
      </c>
      <c r="G49" s="184">
        <v>0.13033</v>
      </c>
      <c r="H49" s="185" t="s">
        <v>224</v>
      </c>
      <c r="I49" s="114" t="s">
        <v>620</v>
      </c>
    </row>
    <row r="50" ht="15" customHeight="1" spans="2:9">
      <c r="B50" s="83">
        <v>5</v>
      </c>
      <c r="C50" s="183" t="s">
        <v>68</v>
      </c>
      <c r="D50" s="90" t="str">
        <f>表1温室气体盘查表!C39</f>
        <v>球团生产</v>
      </c>
      <c r="E50" s="183" t="s">
        <v>625</v>
      </c>
      <c r="F50" s="183" t="s">
        <v>619</v>
      </c>
      <c r="G50" s="184">
        <v>0.10446</v>
      </c>
      <c r="H50" s="185" t="s">
        <v>224</v>
      </c>
      <c r="I50" s="114" t="s">
        <v>620</v>
      </c>
    </row>
    <row r="51" ht="15" customHeight="1" spans="2:9">
      <c r="B51" s="83">
        <v>6</v>
      </c>
      <c r="C51" s="183" t="s">
        <v>68</v>
      </c>
      <c r="D51" s="90" t="str">
        <f>表1温室气体盘查表!C40</f>
        <v>废钢生产</v>
      </c>
      <c r="E51" s="183" t="s">
        <v>626</v>
      </c>
      <c r="F51" s="183" t="s">
        <v>622</v>
      </c>
      <c r="G51" s="184">
        <v>0.074179</v>
      </c>
      <c r="H51" s="185" t="s">
        <v>224</v>
      </c>
      <c r="I51" s="114" t="s">
        <v>620</v>
      </c>
    </row>
    <row r="52" ht="15" customHeight="1" spans="2:9">
      <c r="B52" s="83">
        <v>7</v>
      </c>
      <c r="C52" s="183" t="s">
        <v>68</v>
      </c>
      <c r="D52" s="90" t="str">
        <f>表1温室气体盘查表!C41</f>
        <v>电极生产</v>
      </c>
      <c r="E52" s="183" t="s">
        <v>627</v>
      </c>
      <c r="F52" s="183" t="s">
        <v>619</v>
      </c>
      <c r="G52" s="184">
        <v>8.43705144398335</v>
      </c>
      <c r="H52" s="185" t="s">
        <v>224</v>
      </c>
      <c r="I52" s="114" t="s">
        <v>620</v>
      </c>
    </row>
    <row r="53" ht="15" customHeight="1" spans="2:9">
      <c r="B53" s="83">
        <v>8</v>
      </c>
      <c r="C53" s="183" t="s">
        <v>68</v>
      </c>
      <c r="D53" s="90" t="str">
        <f>表1温室气体盘查表!C42</f>
        <v>锰铁生产</v>
      </c>
      <c r="E53" s="183" t="s">
        <v>628</v>
      </c>
      <c r="F53" s="183" t="s">
        <v>619</v>
      </c>
      <c r="G53" s="184">
        <v>2.9772</v>
      </c>
      <c r="H53" s="185" t="s">
        <v>224</v>
      </c>
      <c r="I53" s="114" t="s">
        <v>620</v>
      </c>
    </row>
    <row r="54" ht="15" customHeight="1" spans="2:9">
      <c r="B54" s="83">
        <v>9</v>
      </c>
      <c r="C54" s="183" t="s">
        <v>68</v>
      </c>
      <c r="D54" s="90" t="str">
        <f>表1温室气体盘查表!C43</f>
        <v>镍铁生产</v>
      </c>
      <c r="E54" s="183" t="s">
        <v>629</v>
      </c>
      <c r="F54" s="183" t="s">
        <v>619</v>
      </c>
      <c r="G54" s="184">
        <v>8.7547</v>
      </c>
      <c r="H54" s="185" t="s">
        <v>224</v>
      </c>
      <c r="I54" s="114" t="s">
        <v>620</v>
      </c>
    </row>
    <row r="55" ht="15" customHeight="1" spans="2:9">
      <c r="B55" s="83">
        <v>10</v>
      </c>
      <c r="C55" s="183" t="s">
        <v>68</v>
      </c>
      <c r="D55" s="90" t="str">
        <f>表1温室气体盘查表!C44</f>
        <v>铬铁生产</v>
      </c>
      <c r="E55" s="183" t="s">
        <v>630</v>
      </c>
      <c r="F55" s="183" t="s">
        <v>619</v>
      </c>
      <c r="G55" s="184">
        <v>5.0921</v>
      </c>
      <c r="H55" s="185" t="s">
        <v>224</v>
      </c>
      <c r="I55" s="114" t="s">
        <v>620</v>
      </c>
    </row>
    <row r="56" ht="15" customHeight="1" spans="2:9">
      <c r="B56" s="83">
        <v>11</v>
      </c>
      <c r="C56" s="183" t="s">
        <v>68</v>
      </c>
      <c r="D56" s="90" t="str">
        <f>表1温室气体盘查表!C45</f>
        <v>萤石生产</v>
      </c>
      <c r="E56" s="183" t="s">
        <v>631</v>
      </c>
      <c r="F56" s="183" t="s">
        <v>619</v>
      </c>
      <c r="G56" s="184">
        <v>0.21158</v>
      </c>
      <c r="H56" s="185" t="s">
        <v>224</v>
      </c>
      <c r="I56" s="114" t="s">
        <v>620</v>
      </c>
    </row>
    <row r="57" ht="15" customHeight="1" spans="2:9">
      <c r="B57" s="83">
        <v>12</v>
      </c>
      <c r="C57" s="183" t="s">
        <v>68</v>
      </c>
      <c r="D57" s="90" t="str">
        <f>表1温室气体盘查表!C46</f>
        <v>硅铁生产</v>
      </c>
      <c r="E57" s="183" t="s">
        <v>632</v>
      </c>
      <c r="F57" s="183" t="s">
        <v>633</v>
      </c>
      <c r="G57" s="184">
        <v>10.145</v>
      </c>
      <c r="H57" s="185" t="s">
        <v>224</v>
      </c>
      <c r="I57" s="114" t="s">
        <v>620</v>
      </c>
    </row>
    <row r="58" ht="15" customHeight="1" spans="2:9">
      <c r="B58" s="83">
        <v>13</v>
      </c>
      <c r="C58" s="183" t="s">
        <v>68</v>
      </c>
      <c r="D58" s="90" t="str">
        <f>表1温室气体盘查表!C47</f>
        <v>钼铁生产</v>
      </c>
      <c r="E58" s="186" t="s">
        <v>634</v>
      </c>
      <c r="F58" s="187"/>
      <c r="G58" s="188">
        <v>8.5</v>
      </c>
      <c r="H58" s="185" t="s">
        <v>224</v>
      </c>
      <c r="I58" s="109" t="s">
        <v>635</v>
      </c>
    </row>
    <row r="59" ht="15" customHeight="1" spans="2:9">
      <c r="B59" s="83">
        <v>14</v>
      </c>
      <c r="C59" s="183" t="s">
        <v>68</v>
      </c>
      <c r="D59" s="90" t="str">
        <f>表1温室气体盘查表!C48</f>
        <v>铝铁生产</v>
      </c>
      <c r="E59" s="186" t="s">
        <v>636</v>
      </c>
      <c r="F59" s="183" t="s">
        <v>637</v>
      </c>
      <c r="G59" s="184">
        <v>5.73200823954465</v>
      </c>
      <c r="H59" s="185" t="s">
        <v>224</v>
      </c>
      <c r="I59" s="114" t="s">
        <v>620</v>
      </c>
    </row>
    <row r="60" ht="15" customHeight="1" spans="2:9">
      <c r="B60" s="83">
        <v>15</v>
      </c>
      <c r="C60" s="183" t="s">
        <v>68</v>
      </c>
      <c r="D60" s="90" t="str">
        <f>表1温室气体盘查表!C49</f>
        <v>铝生产</v>
      </c>
      <c r="E60" s="183" t="s">
        <v>638</v>
      </c>
      <c r="F60" s="183" t="s">
        <v>622</v>
      </c>
      <c r="G60" s="184">
        <v>22.2905608102976</v>
      </c>
      <c r="H60" s="185" t="s">
        <v>224</v>
      </c>
      <c r="I60" s="114" t="s">
        <v>620</v>
      </c>
    </row>
    <row r="61" ht="15" customHeight="1" spans="2:9">
      <c r="B61" s="83">
        <v>16</v>
      </c>
      <c r="C61" s="183" t="s">
        <v>68</v>
      </c>
      <c r="D61" s="189" t="str">
        <f>表1温室气体盘查表!C50</f>
        <v>增碳剂生产</v>
      </c>
      <c r="E61" s="183" t="s">
        <v>639</v>
      </c>
      <c r="F61" s="183" t="s">
        <v>633</v>
      </c>
      <c r="G61" s="184">
        <v>1.66453351655996</v>
      </c>
      <c r="H61" s="185" t="s">
        <v>224</v>
      </c>
      <c r="I61" s="114" t="s">
        <v>640</v>
      </c>
    </row>
    <row r="62" ht="15" customHeight="1" spans="2:9">
      <c r="B62" s="83">
        <v>17</v>
      </c>
      <c r="C62" s="183" t="s">
        <v>68</v>
      </c>
      <c r="D62" s="90" t="str">
        <f>表1温室气体盘查表!C51</f>
        <v>铁鳞生产</v>
      </c>
      <c r="E62" s="186" t="s">
        <v>641</v>
      </c>
      <c r="F62" s="183" t="s">
        <v>619</v>
      </c>
      <c r="G62" s="184">
        <v>0.00352310565774755</v>
      </c>
      <c r="H62" s="185" t="s">
        <v>224</v>
      </c>
      <c r="I62" s="114" t="s">
        <v>620</v>
      </c>
    </row>
    <row r="63" ht="15" customHeight="1" spans="2:9">
      <c r="B63" s="83">
        <v>18</v>
      </c>
      <c r="C63" s="183" t="s">
        <v>68</v>
      </c>
      <c r="D63" s="90" t="str">
        <f>表1温室气体盘查表!C52</f>
        <v>氨水生产</v>
      </c>
      <c r="E63" s="183" t="s">
        <v>642</v>
      </c>
      <c r="F63" s="183" t="s">
        <v>633</v>
      </c>
      <c r="G63" s="184">
        <v>5.4368447769784</v>
      </c>
      <c r="H63" s="185" t="s">
        <v>224</v>
      </c>
      <c r="I63" s="114" t="s">
        <v>620</v>
      </c>
    </row>
    <row r="64" ht="15" customHeight="1" spans="2:9">
      <c r="B64" s="83">
        <v>19</v>
      </c>
      <c r="C64" s="183" t="s">
        <v>68</v>
      </c>
      <c r="D64" s="90" t="str">
        <f>表1温室气体盘查表!C53</f>
        <v>碳化硅生产</v>
      </c>
      <c r="E64" s="183" t="s">
        <v>643</v>
      </c>
      <c r="F64" s="183" t="s">
        <v>619</v>
      </c>
      <c r="G64" s="184">
        <v>7.2790711257224</v>
      </c>
      <c r="H64" s="185" t="s">
        <v>224</v>
      </c>
      <c r="I64" s="114" t="s">
        <v>620</v>
      </c>
    </row>
    <row r="65" ht="15" customHeight="1" spans="2:17">
      <c r="B65" s="83">
        <v>20</v>
      </c>
      <c r="C65" s="183" t="s">
        <v>68</v>
      </c>
      <c r="D65" s="90" t="str">
        <f>表1温室气体盘查表!C54</f>
        <v>镁生产</v>
      </c>
      <c r="E65" s="183" t="s">
        <v>644</v>
      </c>
      <c r="F65" s="183" t="s">
        <v>619</v>
      </c>
      <c r="G65" s="184">
        <v>26.3451883190215</v>
      </c>
      <c r="H65" s="185" t="s">
        <v>224</v>
      </c>
      <c r="I65" s="114" t="s">
        <v>620</v>
      </c>
    </row>
    <row r="66" ht="15" customHeight="1" spans="2:17">
      <c r="B66" s="83">
        <v>21</v>
      </c>
      <c r="C66" s="183" t="s">
        <v>68</v>
      </c>
      <c r="D66" s="90" t="s">
        <v>312</v>
      </c>
      <c r="E66" s="91" t="s">
        <v>645</v>
      </c>
      <c r="F66" s="187"/>
      <c r="G66" s="184">
        <v>0.000343</v>
      </c>
      <c r="H66" s="185" t="s">
        <v>315</v>
      </c>
      <c r="I66" s="114" t="s">
        <v>646</v>
      </c>
    </row>
    <row r="67" ht="15" customHeight="1" spans="2:17">
      <c r="B67" s="83">
        <v>22</v>
      </c>
      <c r="C67" s="183" t="s">
        <v>68</v>
      </c>
      <c r="D67" s="90" t="str">
        <f>表1温室气体盘查表!C56</f>
        <v>办公用品(纸张除外)制造</v>
      </c>
      <c r="E67" s="91" t="s">
        <v>647</v>
      </c>
      <c r="F67" s="187"/>
      <c r="G67" s="184">
        <v>0.000265</v>
      </c>
      <c r="H67" s="185" t="s">
        <v>315</v>
      </c>
      <c r="I67" s="114" t="s">
        <v>646</v>
      </c>
    </row>
    <row r="68" ht="15" customHeight="1" spans="2:17">
      <c r="B68" s="83">
        <v>23</v>
      </c>
      <c r="C68" s="183" t="s">
        <v>68</v>
      </c>
      <c r="D68" s="90" t="str">
        <f>表1温室气体盘查表!C57</f>
        <v>源水</v>
      </c>
      <c r="E68" s="91" t="s">
        <v>648</v>
      </c>
      <c r="F68" s="183" t="s">
        <v>622</v>
      </c>
      <c r="G68" s="184">
        <v>0.00127846980434508</v>
      </c>
      <c r="H68" s="185" t="s">
        <v>224</v>
      </c>
      <c r="I68" s="114" t="s">
        <v>620</v>
      </c>
    </row>
    <row r="70" ht="15" customHeight="1" spans="2:17">
      <c r="B70" s="99"/>
      <c r="C70" s="190"/>
      <c r="D70" s="191"/>
      <c r="E70" s="192"/>
      <c r="F70" s="192"/>
      <c r="G70" s="192"/>
      <c r="H70" s="192"/>
      <c r="I70" s="192"/>
      <c r="J70" s="193"/>
      <c r="K70" s="192"/>
      <c r="L70" s="193"/>
      <c r="M70" s="193"/>
      <c r="N70" s="193"/>
      <c r="O70" s="193"/>
      <c r="P70" s="193"/>
      <c r="Q70" s="193"/>
    </row>
    <row r="71" ht="15.75" spans="2:17">
      <c r="B71" s="175" t="s">
        <v>422</v>
      </c>
      <c r="C71" s="175" t="s">
        <v>551</v>
      </c>
      <c r="D71" s="175" t="s">
        <v>423</v>
      </c>
      <c r="E71" s="176" t="s">
        <v>614</v>
      </c>
      <c r="F71" s="177" t="s">
        <v>203</v>
      </c>
      <c r="G71" s="178"/>
      <c r="H71" s="177" t="s">
        <v>616</v>
      </c>
    </row>
    <row r="72" ht="14.25" spans="2:17">
      <c r="B72" s="180"/>
      <c r="C72" s="180"/>
      <c r="D72" s="180"/>
      <c r="E72" s="180"/>
      <c r="F72" s="181" t="s">
        <v>589</v>
      </c>
      <c r="G72" s="182" t="s">
        <v>553</v>
      </c>
      <c r="H72" s="182" t="s">
        <v>617</v>
      </c>
    </row>
    <row r="73" ht="15" customHeight="1" spans="2:17">
      <c r="B73" s="83">
        <v>1</v>
      </c>
      <c r="C73" s="183" t="s">
        <v>319</v>
      </c>
      <c r="D73" s="90" t="str">
        <f>表1温室气体盘查表!C58</f>
        <v>采购产品空调和暖空气加热设备和商业和工业制冷设备制造</v>
      </c>
      <c r="E73" s="183" t="s">
        <v>649</v>
      </c>
      <c r="F73" s="184">
        <f>0.108/1000</f>
        <v>0.000108</v>
      </c>
      <c r="G73" s="185" t="s">
        <v>315</v>
      </c>
      <c r="H73" s="114" t="s">
        <v>646</v>
      </c>
    </row>
    <row r="74" ht="15" customHeight="1" spans="2:17">
      <c r="B74" s="83">
        <v>2</v>
      </c>
      <c r="C74" s="183" t="s">
        <v>319</v>
      </c>
      <c r="D74" s="90" t="str">
        <f>表1温室气体盘查表!C59</f>
        <v>电子计算机制造</v>
      </c>
      <c r="E74" s="183" t="s">
        <v>650</v>
      </c>
      <c r="F74" s="184">
        <f>0.058/1000</f>
        <v>5.8e-5</v>
      </c>
      <c r="G74" s="185" t="s">
        <v>315</v>
      </c>
      <c r="H74" s="114" t="s">
        <v>646</v>
      </c>
    </row>
    <row r="75" ht="15" customHeight="1" spans="2:17">
      <c r="B75" s="83">
        <v>3</v>
      </c>
      <c r="C75" s="183" t="s">
        <v>319</v>
      </c>
      <c r="D75" s="90" t="str">
        <f>表1温室气体盘查表!C60</f>
        <v>焊接及焊接设备制造</v>
      </c>
      <c r="E75" s="183" t="s">
        <v>651</v>
      </c>
      <c r="F75" s="184">
        <f>0.249/1000</f>
        <v>0.000249</v>
      </c>
      <c r="G75" s="185" t="s">
        <v>315</v>
      </c>
      <c r="H75" s="114" t="s">
        <v>646</v>
      </c>
    </row>
    <row r="76" ht="15" customHeight="1" spans="2:17">
      <c r="B76" s="83">
        <v>4</v>
      </c>
      <c r="C76" s="183" t="s">
        <v>319</v>
      </c>
      <c r="D76" s="90" t="str">
        <f>表1温室气体盘查表!C61</f>
        <v>其他工业设备制造</v>
      </c>
      <c r="E76" s="183" t="s">
        <v>652</v>
      </c>
      <c r="F76" s="184">
        <f>0.185/1000</f>
        <v>0.000185</v>
      </c>
      <c r="G76" s="185" t="s">
        <v>315</v>
      </c>
      <c r="H76" s="114" t="s">
        <v>646</v>
      </c>
    </row>
    <row r="77" ht="15" customHeight="1" spans="2:17">
      <c r="B77" s="92">
        <v>5</v>
      </c>
      <c r="C77" s="186" t="s">
        <v>319</v>
      </c>
      <c r="D77" s="194" t="str">
        <f>表1温室气体盘查表!C62</f>
        <v>测量和测试电力和电气信号的仪器制造</v>
      </c>
      <c r="E77" s="186" t="s">
        <v>653</v>
      </c>
      <c r="F77" s="188">
        <f>0.079/1000</f>
        <v>7.9e-5</v>
      </c>
      <c r="G77" s="195" t="s">
        <v>315</v>
      </c>
      <c r="H77" s="109" t="s">
        <v>646</v>
      </c>
    </row>
    <row r="78" ht="15" customHeight="1" spans="2:17">
      <c r="B78" s="92">
        <v>6</v>
      </c>
      <c r="C78" s="186" t="s">
        <v>319</v>
      </c>
      <c r="D78" s="194" t="str">
        <f>表1温室气体盘查表!C63</f>
        <v>计算机系统设计服务</v>
      </c>
      <c r="E78" s="186" t="s">
        <v>654</v>
      </c>
      <c r="F78" s="188">
        <f>0.089/1000</f>
        <v>8.9e-5</v>
      </c>
      <c r="G78" s="195" t="s">
        <v>315</v>
      </c>
      <c r="H78" s="109" t="s">
        <v>646</v>
      </c>
    </row>
    <row r="79" ht="15" customHeight="1" spans="2:17">
      <c r="B79" s="92">
        <v>7</v>
      </c>
      <c r="C79" s="186" t="s">
        <v>319</v>
      </c>
      <c r="D79" s="194" t="s">
        <v>328</v>
      </c>
      <c r="E79" s="186" t="s">
        <v>655</v>
      </c>
      <c r="F79" s="188">
        <f>0.209/1000</f>
        <v>0.000209</v>
      </c>
      <c r="G79" s="195" t="s">
        <v>315</v>
      </c>
      <c r="H79" s="109" t="s">
        <v>646</v>
      </c>
    </row>
    <row r="80" ht="15" customHeight="1" spans="2:17">
      <c r="B80" s="92">
        <v>8</v>
      </c>
      <c r="C80" s="186" t="s">
        <v>319</v>
      </c>
      <c r="D80" s="194" t="s">
        <v>329</v>
      </c>
      <c r="E80" s="186" t="s">
        <v>656</v>
      </c>
      <c r="F80" s="188">
        <f>0.223/1000</f>
        <v>0.000223</v>
      </c>
      <c r="G80" s="195" t="s">
        <v>315</v>
      </c>
      <c r="H80" s="109" t="s">
        <v>646</v>
      </c>
    </row>
    <row r="81" ht="15" customHeight="1" spans="2:17">
      <c r="B81" s="92">
        <v>9</v>
      </c>
      <c r="C81" s="186" t="s">
        <v>319</v>
      </c>
      <c r="D81" s="194" t="s">
        <v>330</v>
      </c>
      <c r="E81" s="186" t="s">
        <v>657</v>
      </c>
      <c r="F81" s="188">
        <f>0.063/1000</f>
        <v>6.3e-5</v>
      </c>
      <c r="G81" s="195" t="s">
        <v>315</v>
      </c>
      <c r="H81" s="109" t="s">
        <v>646</v>
      </c>
    </row>
    <row r="82" ht="15" customHeight="1" spans="2:17">
      <c r="B82" s="83">
        <v>10</v>
      </c>
      <c r="C82" s="183" t="s">
        <v>319</v>
      </c>
      <c r="D82" s="90" t="str">
        <f>表1温室气体盘查表!C67</f>
        <v>所有其他杂项电气设备及元件制造</v>
      </c>
      <c r="E82" s="183" t="s">
        <v>658</v>
      </c>
      <c r="F82" s="184">
        <f>0.128/1000</f>
        <v>0.000128</v>
      </c>
      <c r="G82" s="185" t="s">
        <v>315</v>
      </c>
      <c r="H82" s="114" t="s">
        <v>646</v>
      </c>
    </row>
    <row r="83" ht="15" customHeight="1" spans="2:17">
      <c r="B83" s="83">
        <v>11</v>
      </c>
      <c r="C83" s="183" t="s">
        <v>319</v>
      </c>
      <c r="D83" s="90" t="str">
        <f>表1温室气体盘查表!C68</f>
        <v>所有其他杂项制造</v>
      </c>
      <c r="E83" s="183" t="s">
        <v>659</v>
      </c>
      <c r="F83" s="184">
        <f>0.182/1000</f>
        <v>0.000182</v>
      </c>
      <c r="G83" s="185" t="s">
        <v>315</v>
      </c>
      <c r="H83" s="114" t="s">
        <v>646</v>
      </c>
    </row>
    <row r="84" ht="15" customHeight="1" spans="2:17">
      <c r="B84" s="99"/>
      <c r="C84" s="190"/>
      <c r="D84" s="191"/>
      <c r="E84" s="192"/>
      <c r="F84" s="192"/>
      <c r="G84" s="192"/>
      <c r="H84" s="192"/>
      <c r="I84" s="192"/>
      <c r="J84" s="193"/>
      <c r="K84" s="192"/>
      <c r="L84" s="193"/>
      <c r="M84" s="193"/>
      <c r="N84" s="193"/>
      <c r="O84" s="193"/>
      <c r="P84" s="193"/>
      <c r="Q84" s="193"/>
    </row>
    <row r="85" ht="15.75" spans="2:17">
      <c r="B85" s="175" t="s">
        <v>422</v>
      </c>
      <c r="C85" s="175" t="s">
        <v>551</v>
      </c>
      <c r="D85" s="175" t="s">
        <v>423</v>
      </c>
      <c r="E85" s="175" t="s">
        <v>614</v>
      </c>
      <c r="F85" s="176" t="s">
        <v>615</v>
      </c>
      <c r="G85" s="177" t="s">
        <v>203</v>
      </c>
      <c r="H85" s="178"/>
      <c r="I85" s="182" t="s">
        <v>616</v>
      </c>
    </row>
    <row r="86" ht="14.25" spans="2:17">
      <c r="B86" s="180"/>
      <c r="C86" s="180"/>
      <c r="D86" s="180"/>
      <c r="E86" s="180"/>
      <c r="F86" s="180"/>
      <c r="G86" s="181" t="s">
        <v>589</v>
      </c>
      <c r="H86" s="182" t="s">
        <v>553</v>
      </c>
      <c r="I86" s="182" t="s">
        <v>617</v>
      </c>
    </row>
    <row r="87" ht="36" spans="2:17">
      <c r="B87" s="83">
        <v>1</v>
      </c>
      <c r="C87" s="183" t="s">
        <v>660</v>
      </c>
      <c r="D87" s="90" t="str">
        <f>表1温室气体盘查表!C69</f>
        <v>液化石油气生产</v>
      </c>
      <c r="E87" s="186" t="s">
        <v>661</v>
      </c>
      <c r="F87" s="186" t="s">
        <v>622</v>
      </c>
      <c r="G87" s="188">
        <v>1.00622556403449</v>
      </c>
      <c r="H87" s="185" t="s">
        <v>224</v>
      </c>
      <c r="I87" s="114" t="s">
        <v>620</v>
      </c>
    </row>
    <row r="88" ht="24" spans="2:17">
      <c r="B88" s="83">
        <v>1</v>
      </c>
      <c r="C88" s="183" t="s">
        <v>660</v>
      </c>
      <c r="D88" s="90" t="str">
        <f>表1温室气体盘查表!C70</f>
        <v>洗精煤生产</v>
      </c>
      <c r="E88" s="183" t="s">
        <v>662</v>
      </c>
      <c r="F88" s="183" t="s">
        <v>633</v>
      </c>
      <c r="G88" s="184">
        <v>0.57555</v>
      </c>
      <c r="H88" s="185" t="s">
        <v>224</v>
      </c>
      <c r="I88" s="114" t="s">
        <v>620</v>
      </c>
    </row>
    <row r="89" ht="24" spans="2:17">
      <c r="B89" s="83">
        <v>2</v>
      </c>
      <c r="C89" s="183" t="s">
        <v>660</v>
      </c>
      <c r="D89" s="90" t="str">
        <f>表1温室气体盘查表!C71</f>
        <v>柴油生产</v>
      </c>
      <c r="E89" s="183" t="s">
        <v>663</v>
      </c>
      <c r="F89" s="183" t="s">
        <v>622</v>
      </c>
      <c r="G89" s="184">
        <v>0.84212</v>
      </c>
      <c r="H89" s="185" t="s">
        <v>224</v>
      </c>
      <c r="I89" s="114" t="s">
        <v>620</v>
      </c>
    </row>
    <row r="90" ht="24" spans="2:17">
      <c r="B90" s="83">
        <v>3</v>
      </c>
      <c r="C90" s="183" t="s">
        <v>660</v>
      </c>
      <c r="D90" s="90" t="str">
        <f>表1温室气体盘查表!C72</f>
        <v>汽油生产</v>
      </c>
      <c r="E90" s="183" t="s">
        <v>664</v>
      </c>
      <c r="F90" s="183" t="s">
        <v>622</v>
      </c>
      <c r="G90" s="184">
        <v>0.987330305224408</v>
      </c>
      <c r="H90" s="185" t="s">
        <v>224</v>
      </c>
      <c r="I90" s="114" t="s">
        <v>620</v>
      </c>
    </row>
    <row r="91" ht="24" spans="2:17">
      <c r="B91" s="83">
        <v>4</v>
      </c>
      <c r="C91" s="183" t="s">
        <v>660</v>
      </c>
      <c r="D91" s="90" t="str">
        <f>表1温室气体盘查表!C73</f>
        <v>焦炭生产</v>
      </c>
      <c r="E91" s="183" t="s">
        <v>665</v>
      </c>
      <c r="F91" s="183" t="s">
        <v>633</v>
      </c>
      <c r="G91" s="184">
        <v>1.2676</v>
      </c>
      <c r="H91" s="185" t="s">
        <v>224</v>
      </c>
      <c r="I91" s="114" t="s">
        <v>620</v>
      </c>
    </row>
    <row r="92" ht="24" spans="2:17">
      <c r="B92" s="83">
        <v>5</v>
      </c>
      <c r="C92" s="183" t="s">
        <v>660</v>
      </c>
      <c r="D92" s="90" t="str">
        <f>表1温室气体盘查表!C74</f>
        <v>焦屑生产</v>
      </c>
      <c r="E92" s="183" t="s">
        <v>665</v>
      </c>
      <c r="F92" s="183" t="s">
        <v>633</v>
      </c>
      <c r="G92" s="184">
        <v>1.2676</v>
      </c>
      <c r="H92" s="185" t="s">
        <v>224</v>
      </c>
      <c r="I92" s="114" t="s">
        <v>620</v>
      </c>
    </row>
    <row r="93" ht="24" spans="2:17">
      <c r="B93" s="83">
        <v>6</v>
      </c>
      <c r="C93" s="183" t="s">
        <v>660</v>
      </c>
      <c r="D93" s="90" t="str">
        <f>表1温室气体盘查表!C75</f>
        <v>烟煤生产</v>
      </c>
      <c r="E93" s="183" t="s">
        <v>662</v>
      </c>
      <c r="F93" s="183" t="s">
        <v>633</v>
      </c>
      <c r="G93" s="184">
        <v>0.57555</v>
      </c>
      <c r="H93" s="185" t="s">
        <v>224</v>
      </c>
      <c r="I93" s="114" t="s">
        <v>620</v>
      </c>
    </row>
    <row r="94" ht="24" spans="2:17">
      <c r="B94" s="83">
        <v>7</v>
      </c>
      <c r="C94" s="183" t="s">
        <v>660</v>
      </c>
      <c r="D94" s="90" t="str">
        <f>表1温室气体盘查表!C76</f>
        <v>无烟煤生产</v>
      </c>
      <c r="E94" s="183" t="s">
        <v>662</v>
      </c>
      <c r="F94" s="183" t="s">
        <v>633</v>
      </c>
      <c r="G94" s="184">
        <v>0.57555</v>
      </c>
      <c r="H94" s="185" t="s">
        <v>224</v>
      </c>
      <c r="I94" s="114" t="s">
        <v>620</v>
      </c>
    </row>
    <row r="95" ht="36" spans="2:17">
      <c r="B95" s="83">
        <v>8</v>
      </c>
      <c r="C95" s="183" t="s">
        <v>660</v>
      </c>
      <c r="D95" s="90" t="str">
        <f>表1温室气体盘查表!C77</f>
        <v>天然气生产</v>
      </c>
      <c r="E95" s="183" t="s">
        <v>666</v>
      </c>
      <c r="F95" s="183" t="s">
        <v>633</v>
      </c>
      <c r="G95" s="184">
        <v>6.19</v>
      </c>
      <c r="H95" s="196" t="s">
        <v>667</v>
      </c>
      <c r="I95" s="114" t="s">
        <v>620</v>
      </c>
    </row>
    <row r="96" ht="24" spans="2:17">
      <c r="B96" s="83">
        <v>9</v>
      </c>
      <c r="C96" s="183" t="s">
        <v>660</v>
      </c>
      <c r="D96" s="90" t="str">
        <f>表1温室气体盘查表!C78</f>
        <v>外购电力上游排放</v>
      </c>
      <c r="E96" s="187"/>
      <c r="F96" s="183" t="s">
        <v>633</v>
      </c>
      <c r="G96" s="184">
        <f>0.6205-0.5366</f>
        <v>0.0839000000000001</v>
      </c>
      <c r="H96" s="185" t="s">
        <v>282</v>
      </c>
      <c r="I96" s="114" t="s">
        <v>668</v>
      </c>
    </row>
    <row r="97" ht="20.45" customHeight="1" spans="2:14">
      <c r="B97" s="171"/>
      <c r="C97" s="172"/>
      <c r="D97" s="173"/>
      <c r="E97" s="173"/>
      <c r="F97" s="99"/>
      <c r="G97" s="99"/>
      <c r="H97" s="174"/>
      <c r="I97" s="174"/>
      <c r="J97" s="174"/>
      <c r="K97" s="174"/>
      <c r="L97" s="174"/>
      <c r="M97" s="174"/>
      <c r="N97" s="174"/>
    </row>
    <row r="98" ht="15.75" spans="2:14">
      <c r="B98" s="175" t="s">
        <v>422</v>
      </c>
      <c r="C98" s="175" t="s">
        <v>551</v>
      </c>
      <c r="D98" s="175" t="s">
        <v>423</v>
      </c>
      <c r="E98" s="175" t="s">
        <v>614</v>
      </c>
      <c r="F98" s="176" t="s">
        <v>615</v>
      </c>
      <c r="G98" s="177" t="s">
        <v>203</v>
      </c>
      <c r="H98" s="178"/>
      <c r="I98" s="182" t="s">
        <v>616</v>
      </c>
    </row>
    <row r="99" ht="14.25" spans="2:14">
      <c r="B99" s="180"/>
      <c r="C99" s="180"/>
      <c r="D99" s="180"/>
      <c r="E99" s="180"/>
      <c r="F99" s="180"/>
      <c r="G99" s="181" t="s">
        <v>589</v>
      </c>
      <c r="H99" s="182" t="s">
        <v>553</v>
      </c>
      <c r="I99" s="182" t="s">
        <v>617</v>
      </c>
    </row>
    <row r="100" ht="48" spans="2:14">
      <c r="B100" s="83">
        <v>1</v>
      </c>
      <c r="C100" s="183" t="s">
        <v>669</v>
      </c>
      <c r="D100" s="197" t="s">
        <v>348</v>
      </c>
      <c r="E100" s="183" t="s">
        <v>670</v>
      </c>
      <c r="F100" s="183" t="s">
        <v>622</v>
      </c>
      <c r="G100" s="184">
        <v>5.19685581e-5</v>
      </c>
      <c r="H100" s="115" t="s">
        <v>671</v>
      </c>
      <c r="I100" s="114" t="s">
        <v>620</v>
      </c>
    </row>
    <row r="101" ht="48" spans="2:14">
      <c r="B101" s="83">
        <v>2</v>
      </c>
      <c r="C101" s="183" t="s">
        <v>669</v>
      </c>
      <c r="D101" s="197" t="s">
        <v>350</v>
      </c>
      <c r="E101" s="183" t="s">
        <v>672</v>
      </c>
      <c r="F101" s="183" t="s">
        <v>619</v>
      </c>
      <c r="G101" s="184">
        <v>0.0001519628783</v>
      </c>
      <c r="H101" s="115" t="s">
        <v>671</v>
      </c>
      <c r="I101" s="114" t="s">
        <v>620</v>
      </c>
    </row>
    <row r="102" s="75" customFormat="1" ht="36" spans="2:14">
      <c r="B102" s="198">
        <v>3</v>
      </c>
      <c r="C102" s="199" t="s">
        <v>669</v>
      </c>
      <c r="D102" s="200" t="s">
        <v>351</v>
      </c>
      <c r="E102" s="199" t="s">
        <v>673</v>
      </c>
      <c r="F102" s="199" t="s">
        <v>633</v>
      </c>
      <c r="G102" s="201">
        <v>4.8531850728158e-5</v>
      </c>
      <c r="H102" s="202" t="s">
        <v>671</v>
      </c>
      <c r="I102" s="203" t="s">
        <v>620</v>
      </c>
    </row>
    <row r="103" ht="20.45" customHeight="1" spans="2:14">
      <c r="B103" s="171"/>
      <c r="C103" s="172"/>
      <c r="D103" s="173"/>
      <c r="E103" s="173"/>
      <c r="F103" s="99"/>
      <c r="G103" s="99"/>
      <c r="H103" s="174"/>
      <c r="I103" s="174"/>
      <c r="J103" s="204"/>
      <c r="K103" s="174"/>
      <c r="L103" s="174"/>
      <c r="M103" s="174"/>
      <c r="N103" s="174"/>
    </row>
    <row r="104" ht="15.75" spans="2:14">
      <c r="B104" s="175" t="s">
        <v>422</v>
      </c>
      <c r="C104" s="175" t="s">
        <v>551</v>
      </c>
      <c r="D104" s="175" t="s">
        <v>423</v>
      </c>
      <c r="E104" s="175" t="s">
        <v>614</v>
      </c>
      <c r="F104" s="176" t="s">
        <v>615</v>
      </c>
      <c r="G104" s="177" t="s">
        <v>203</v>
      </c>
      <c r="H104" s="178"/>
      <c r="I104" s="177" t="s">
        <v>616</v>
      </c>
    </row>
    <row r="105" ht="14.25" spans="2:14">
      <c r="B105" s="180"/>
      <c r="C105" s="180"/>
      <c r="D105" s="180"/>
      <c r="E105" s="180"/>
      <c r="F105" s="180"/>
      <c r="G105" s="181" t="s">
        <v>589</v>
      </c>
      <c r="H105" s="182" t="s">
        <v>553</v>
      </c>
      <c r="I105" s="182" t="s">
        <v>617</v>
      </c>
    </row>
    <row r="106" ht="48" spans="2:14">
      <c r="B106" s="83">
        <v>1</v>
      </c>
      <c r="C106" s="183" t="s">
        <v>352</v>
      </c>
      <c r="D106" s="197" t="s">
        <v>674</v>
      </c>
      <c r="E106" s="183" t="s">
        <v>675</v>
      </c>
      <c r="F106" s="183" t="s">
        <v>622</v>
      </c>
      <c r="G106" s="114">
        <v>0.371334297395441</v>
      </c>
      <c r="H106" s="134" t="s">
        <v>224</v>
      </c>
      <c r="I106" s="114" t="s">
        <v>620</v>
      </c>
    </row>
    <row r="107" ht="60" spans="2:14">
      <c r="B107" s="83">
        <v>2</v>
      </c>
      <c r="C107" s="183" t="s">
        <v>352</v>
      </c>
      <c r="D107" s="197" t="s">
        <v>355</v>
      </c>
      <c r="E107" s="183" t="s">
        <v>676</v>
      </c>
      <c r="F107" s="183" t="s">
        <v>622</v>
      </c>
      <c r="G107" s="114">
        <v>2.84905702232274</v>
      </c>
      <c r="H107" s="134" t="s">
        <v>224</v>
      </c>
      <c r="I107" s="114" t="s">
        <v>620</v>
      </c>
    </row>
    <row r="108" ht="60" spans="2:14">
      <c r="B108" s="83">
        <v>3</v>
      </c>
      <c r="C108" s="183" t="s">
        <v>352</v>
      </c>
      <c r="D108" s="197" t="s">
        <v>356</v>
      </c>
      <c r="E108" s="186" t="s">
        <v>676</v>
      </c>
      <c r="F108" s="183" t="s">
        <v>622</v>
      </c>
      <c r="G108" s="109">
        <v>2.84905702232274</v>
      </c>
      <c r="H108" s="134" t="s">
        <v>224</v>
      </c>
      <c r="I108" s="114" t="s">
        <v>620</v>
      </c>
    </row>
    <row r="109" ht="48" spans="2:14">
      <c r="B109" s="83">
        <v>4</v>
      </c>
      <c r="C109" s="183" t="s">
        <v>352</v>
      </c>
      <c r="D109" s="197" t="s">
        <v>275</v>
      </c>
      <c r="E109" s="183" t="s">
        <v>677</v>
      </c>
      <c r="F109" s="183" t="s">
        <v>622</v>
      </c>
      <c r="G109" s="114">
        <v>2.52371246502696</v>
      </c>
      <c r="H109" s="134" t="s">
        <v>224</v>
      </c>
      <c r="I109" s="114" t="s">
        <v>620</v>
      </c>
    </row>
    <row r="110" ht="20.45" customHeight="1" spans="2:14">
      <c r="B110" s="171"/>
      <c r="C110" s="172"/>
      <c r="D110" s="173"/>
      <c r="E110" s="173"/>
      <c r="F110" s="99"/>
      <c r="G110" s="99"/>
      <c r="H110" s="174"/>
      <c r="I110" s="174"/>
      <c r="J110" s="174"/>
      <c r="K110" s="174"/>
      <c r="L110" s="174"/>
      <c r="M110" s="174"/>
      <c r="N110" s="174"/>
    </row>
    <row r="111" ht="15.75" spans="2:14">
      <c r="B111" s="175" t="s">
        <v>422</v>
      </c>
      <c r="C111" s="175" t="s">
        <v>551</v>
      </c>
      <c r="D111" s="175" t="s">
        <v>423</v>
      </c>
      <c r="E111" s="175" t="s">
        <v>614</v>
      </c>
      <c r="F111" s="176" t="s">
        <v>615</v>
      </c>
      <c r="G111" s="177" t="s">
        <v>203</v>
      </c>
      <c r="H111" s="178"/>
      <c r="I111" s="177" t="s">
        <v>616</v>
      </c>
    </row>
    <row r="112" ht="14.25" spans="2:14">
      <c r="B112" s="180"/>
      <c r="C112" s="180"/>
      <c r="D112" s="180"/>
      <c r="E112" s="180"/>
      <c r="F112" s="180"/>
      <c r="G112" s="181" t="s">
        <v>589</v>
      </c>
      <c r="H112" s="182" t="s">
        <v>553</v>
      </c>
      <c r="I112" s="182" t="s">
        <v>617</v>
      </c>
    </row>
    <row r="113" ht="15" customHeight="1" spans="2:14">
      <c r="B113" s="83">
        <v>1</v>
      </c>
      <c r="C113" s="183" t="s">
        <v>358</v>
      </c>
      <c r="D113" s="197" t="s">
        <v>359</v>
      </c>
      <c r="E113" s="183" t="s">
        <v>678</v>
      </c>
      <c r="F113" s="187"/>
      <c r="G113" s="114">
        <v>0.084</v>
      </c>
      <c r="H113" s="115" t="s">
        <v>679</v>
      </c>
      <c r="I113" s="114" t="s">
        <v>680</v>
      </c>
    </row>
    <row r="114" ht="15" customHeight="1" spans="2:14">
      <c r="B114" s="83">
        <v>2</v>
      </c>
      <c r="C114" s="183" t="s">
        <v>358</v>
      </c>
      <c r="D114" s="197" t="s">
        <v>351</v>
      </c>
      <c r="E114" s="183" t="s">
        <v>681</v>
      </c>
      <c r="F114" s="183" t="s">
        <v>622</v>
      </c>
      <c r="G114" s="114">
        <v>0.0748735443024091</v>
      </c>
      <c r="H114" s="115" t="s">
        <v>679</v>
      </c>
      <c r="I114" s="114" t="s">
        <v>620</v>
      </c>
    </row>
    <row r="115" ht="15" customHeight="1" spans="2:14">
      <c r="B115" s="83">
        <v>3</v>
      </c>
      <c r="C115" s="183" t="s">
        <v>358</v>
      </c>
      <c r="D115" s="90" t="s">
        <v>361</v>
      </c>
      <c r="E115" s="183" t="s">
        <v>682</v>
      </c>
      <c r="F115" s="183" t="s">
        <v>683</v>
      </c>
      <c r="G115" s="184">
        <f>53.5/10^3</f>
        <v>0.0535</v>
      </c>
      <c r="H115" s="185" t="s">
        <v>363</v>
      </c>
      <c r="I115" s="114" t="s">
        <v>680</v>
      </c>
    </row>
    <row r="116" ht="20.45" customHeight="1" spans="2:14">
      <c r="B116" s="171"/>
      <c r="C116" s="172"/>
      <c r="D116" s="173"/>
      <c r="E116" s="173"/>
      <c r="F116" s="99"/>
      <c r="G116" s="99"/>
      <c r="H116" s="174"/>
      <c r="I116" s="174"/>
      <c r="J116" s="174"/>
      <c r="K116" s="174"/>
      <c r="L116" s="174"/>
      <c r="M116" s="174"/>
      <c r="N116" s="174"/>
    </row>
    <row r="117" ht="15.75" spans="2:14">
      <c r="B117" s="175" t="s">
        <v>422</v>
      </c>
      <c r="C117" s="175" t="s">
        <v>551</v>
      </c>
      <c r="D117" s="175" t="s">
        <v>423</v>
      </c>
      <c r="E117" s="175" t="s">
        <v>614</v>
      </c>
      <c r="F117" s="176" t="s">
        <v>615</v>
      </c>
      <c r="G117" s="177" t="s">
        <v>203</v>
      </c>
      <c r="H117" s="178"/>
      <c r="I117" s="177" t="s">
        <v>616</v>
      </c>
    </row>
    <row r="118" ht="14.25" spans="2:14">
      <c r="B118" s="180"/>
      <c r="C118" s="180"/>
      <c r="D118" s="180"/>
      <c r="E118" s="180"/>
      <c r="F118" s="180"/>
      <c r="G118" s="181" t="s">
        <v>589</v>
      </c>
      <c r="H118" s="182" t="s">
        <v>553</v>
      </c>
      <c r="I118" s="182" t="s">
        <v>617</v>
      </c>
    </row>
    <row r="119" ht="15" customHeight="1" spans="2:14">
      <c r="B119" s="83">
        <v>1</v>
      </c>
      <c r="C119" s="183" t="s">
        <v>364</v>
      </c>
      <c r="D119" s="197" t="s">
        <v>365</v>
      </c>
      <c r="E119" s="183" t="s">
        <v>684</v>
      </c>
      <c r="F119" s="183" t="s">
        <v>622</v>
      </c>
      <c r="G119" s="114">
        <v>0.0088</v>
      </c>
      <c r="H119" s="115" t="s">
        <v>679</v>
      </c>
      <c r="I119" s="114" t="s">
        <v>680</v>
      </c>
    </row>
    <row r="120" ht="15" customHeight="1" spans="2:14">
      <c r="B120" s="83">
        <v>2</v>
      </c>
      <c r="C120" s="183" t="s">
        <v>364</v>
      </c>
      <c r="D120" s="197" t="s">
        <v>685</v>
      </c>
      <c r="E120" s="183" t="s">
        <v>686</v>
      </c>
      <c r="F120" s="183" t="s">
        <v>622</v>
      </c>
      <c r="G120" s="114">
        <v>0.0270202601041509</v>
      </c>
      <c r="H120" s="115" t="s">
        <v>679</v>
      </c>
      <c r="I120" s="114" t="s">
        <v>620</v>
      </c>
    </row>
    <row r="121" ht="15" customHeight="1" spans="2:14">
      <c r="B121" s="83">
        <v>3</v>
      </c>
      <c r="C121" s="183" t="s">
        <v>364</v>
      </c>
      <c r="D121" s="197" t="s">
        <v>367</v>
      </c>
      <c r="E121" s="183" t="s">
        <v>687</v>
      </c>
      <c r="F121" s="183" t="s">
        <v>622</v>
      </c>
      <c r="G121" s="114">
        <v>0.371427615693275</v>
      </c>
      <c r="H121" s="115" t="s">
        <v>688</v>
      </c>
      <c r="I121" s="114" t="s">
        <v>620</v>
      </c>
    </row>
    <row r="122" ht="15" customHeight="1" spans="2:14">
      <c r="B122" s="83">
        <v>4</v>
      </c>
      <c r="C122" s="183" t="s">
        <v>364</v>
      </c>
      <c r="D122" s="197" t="s">
        <v>369</v>
      </c>
      <c r="E122" s="183" t="s">
        <v>687</v>
      </c>
      <c r="F122" s="183" t="s">
        <v>622</v>
      </c>
      <c r="G122" s="114">
        <v>0.371427615693275</v>
      </c>
      <c r="H122" s="115" t="s">
        <v>688</v>
      </c>
      <c r="I122" s="114" t="s">
        <v>620</v>
      </c>
    </row>
    <row r="124" ht="15.75" spans="2:14">
      <c r="B124" s="182" t="s">
        <v>422</v>
      </c>
      <c r="C124" s="182" t="s">
        <v>551</v>
      </c>
      <c r="D124" s="182" t="s">
        <v>423</v>
      </c>
      <c r="E124" s="175" t="s">
        <v>614</v>
      </c>
      <c r="F124" s="177" t="s">
        <v>203</v>
      </c>
      <c r="G124" s="178"/>
      <c r="H124" s="205" t="s">
        <v>689</v>
      </c>
      <c r="I124" s="182"/>
      <c r="J124" s="205" t="s">
        <v>24</v>
      </c>
    </row>
    <row r="125" ht="14.25" spans="2:14">
      <c r="B125" s="182"/>
      <c r="C125" s="182"/>
      <c r="D125" s="182"/>
      <c r="E125" s="180"/>
      <c r="F125" s="181" t="s">
        <v>589</v>
      </c>
      <c r="G125" s="182" t="s">
        <v>553</v>
      </c>
      <c r="H125" s="182"/>
      <c r="I125" s="182"/>
      <c r="J125" s="182"/>
    </row>
    <row r="126" ht="15" customHeight="1" spans="2:14">
      <c r="B126" s="83">
        <v>1</v>
      </c>
      <c r="C126" s="183" t="s">
        <v>372</v>
      </c>
      <c r="D126" s="197" t="s">
        <v>373</v>
      </c>
      <c r="E126" s="187"/>
      <c r="F126" s="109">
        <v>0.755342287055146</v>
      </c>
      <c r="G126" s="115" t="s">
        <v>599</v>
      </c>
      <c r="H126" s="206" t="s">
        <v>690</v>
      </c>
      <c r="I126" s="207"/>
      <c r="J126" s="208"/>
    </row>
    <row r="127" ht="15" customHeight="1" spans="2:14">
      <c r="B127" s="83">
        <v>2</v>
      </c>
      <c r="C127" s="183" t="s">
        <v>372</v>
      </c>
      <c r="D127" s="197" t="s">
        <v>375</v>
      </c>
      <c r="E127" s="187"/>
      <c r="F127" s="109">
        <v>0.667263802180997</v>
      </c>
      <c r="G127" s="115" t="s">
        <v>599</v>
      </c>
      <c r="H127" s="206" t="s">
        <v>691</v>
      </c>
      <c r="I127" s="207"/>
      <c r="J127" s="208"/>
    </row>
    <row r="128" ht="15" customHeight="1" spans="2:14">
      <c r="B128" s="83">
        <v>3</v>
      </c>
      <c r="C128" s="183" t="s">
        <v>372</v>
      </c>
      <c r="D128" s="197" t="s">
        <v>376</v>
      </c>
      <c r="E128" s="187"/>
      <c r="F128" s="109">
        <v>0.0950117634499582</v>
      </c>
      <c r="G128" s="115" t="s">
        <v>599</v>
      </c>
      <c r="H128" s="206" t="s">
        <v>692</v>
      </c>
      <c r="I128" s="207"/>
      <c r="J128" s="208"/>
    </row>
    <row r="129" ht="231.75" spans="2:14">
      <c r="B129" s="83">
        <v>4</v>
      </c>
      <c r="C129" s="183" t="s">
        <v>372</v>
      </c>
      <c r="D129" s="197" t="s">
        <v>377</v>
      </c>
      <c r="E129" s="183" t="s">
        <v>693</v>
      </c>
      <c r="F129" s="109">
        <v>0.290210182841612</v>
      </c>
      <c r="G129" s="115" t="s">
        <v>599</v>
      </c>
      <c r="H129" s="209"/>
      <c r="I129" s="210"/>
      <c r="J129" s="211" t="s">
        <v>694</v>
      </c>
    </row>
    <row r="130" spans="2:14">
      <c r="B130" s="99"/>
      <c r="C130" s="190"/>
      <c r="D130" s="212"/>
      <c r="E130" s="190"/>
      <c r="F130" s="213"/>
      <c r="G130" s="214"/>
      <c r="H130" s="215"/>
      <c r="I130" s="215"/>
      <c r="J130" s="216"/>
    </row>
    <row r="131" ht="15" customHeight="1" spans="2:14">
      <c r="B131" s="80" t="s">
        <v>422</v>
      </c>
      <c r="C131" s="80" t="s">
        <v>551</v>
      </c>
      <c r="D131" s="80" t="s">
        <v>423</v>
      </c>
      <c r="E131" s="80" t="s">
        <v>424</v>
      </c>
      <c r="F131" s="81" t="s">
        <v>552</v>
      </c>
      <c r="G131" s="80" t="s">
        <v>553</v>
      </c>
      <c r="H131" s="81" t="s">
        <v>554</v>
      </c>
      <c r="I131" s="81" t="s">
        <v>555</v>
      </c>
      <c r="J131" s="81"/>
      <c r="K131" s="81"/>
      <c r="L131" s="81" t="s">
        <v>556</v>
      </c>
      <c r="M131" s="81"/>
      <c r="N131" s="81"/>
    </row>
    <row r="132" ht="15" customHeight="1" spans="2:14">
      <c r="B132" s="80"/>
      <c r="C132" s="80"/>
      <c r="D132" s="80"/>
      <c r="E132" s="80"/>
      <c r="F132" s="81"/>
      <c r="G132" s="80"/>
      <c r="H132" s="81"/>
      <c r="I132" s="81" t="s">
        <v>557</v>
      </c>
      <c r="J132" s="81"/>
      <c r="K132" s="81"/>
      <c r="L132" s="82" t="s">
        <v>558</v>
      </c>
      <c r="M132" s="82"/>
      <c r="N132" s="82"/>
    </row>
    <row r="133" ht="15.75" spans="2:14">
      <c r="B133" s="80"/>
      <c r="C133" s="80"/>
      <c r="D133" s="80"/>
      <c r="E133" s="80"/>
      <c r="F133" s="80" t="s">
        <v>559</v>
      </c>
      <c r="G133" s="80"/>
      <c r="H133" s="80" t="s">
        <v>559</v>
      </c>
      <c r="I133" s="80" t="s">
        <v>203</v>
      </c>
      <c r="J133" s="80" t="s">
        <v>204</v>
      </c>
      <c r="K133" s="80" t="s">
        <v>205</v>
      </c>
      <c r="L133" s="80" t="s">
        <v>203</v>
      </c>
      <c r="M133" s="80" t="s">
        <v>204</v>
      </c>
      <c r="N133" s="80" t="s">
        <v>205</v>
      </c>
    </row>
    <row r="134" ht="13.5" spans="2:14">
      <c r="B134" s="83">
        <v>1</v>
      </c>
      <c r="C134" s="132" t="s">
        <v>229</v>
      </c>
      <c r="D134" s="85" t="s">
        <v>379</v>
      </c>
      <c r="E134" s="85" t="s">
        <v>237</v>
      </c>
      <c r="F134" s="83">
        <v>173.854</v>
      </c>
      <c r="G134" s="86" t="s">
        <v>563</v>
      </c>
      <c r="H134" s="217">
        <v>0.99</v>
      </c>
      <c r="I134" s="83">
        <f>44400/10^6</f>
        <v>0.0444</v>
      </c>
      <c r="J134" s="83">
        <f t="shared" ref="J134" si="4">1/10^6</f>
        <v>1e-6</v>
      </c>
      <c r="K134" s="218">
        <f>0.1/10^6</f>
        <v>1e-7</v>
      </c>
      <c r="L134" s="83">
        <f t="shared" ref="L134" si="5">F134*H134*I134</f>
        <v>7.641926424</v>
      </c>
      <c r="M134" s="89">
        <f t="shared" ref="M134" si="6">F134*H134*J134</f>
        <v>0.00017211546</v>
      </c>
      <c r="N134" s="83">
        <f t="shared" ref="N134" si="7">F134*H134*K134</f>
        <v>1.7211546e-5</v>
      </c>
    </row>
    <row r="135" spans="2:14">
      <c r="B135" s="99"/>
      <c r="C135" s="100"/>
      <c r="D135" s="101"/>
      <c r="E135" s="101"/>
      <c r="F135" s="99"/>
      <c r="G135" s="102"/>
      <c r="H135" s="103"/>
      <c r="I135" s="99"/>
      <c r="J135" s="99"/>
      <c r="K135" s="104"/>
      <c r="L135" s="99"/>
      <c r="M135" s="105"/>
      <c r="N135" s="99"/>
    </row>
    <row r="136" ht="15.75" spans="2:14">
      <c r="B136" s="219" t="s">
        <v>422</v>
      </c>
      <c r="C136" s="219" t="s">
        <v>551</v>
      </c>
      <c r="D136" s="219" t="s">
        <v>423</v>
      </c>
      <c r="E136" s="219" t="s">
        <v>614</v>
      </c>
      <c r="F136" s="220" t="s">
        <v>615</v>
      </c>
      <c r="G136" s="221" t="s">
        <v>203</v>
      </c>
      <c r="H136" s="222"/>
      <c r="I136" s="221" t="s">
        <v>616</v>
      </c>
    </row>
    <row r="137" ht="14.25" spans="2:14">
      <c r="B137" s="180"/>
      <c r="C137" s="180"/>
      <c r="D137" s="180"/>
      <c r="E137" s="180"/>
      <c r="F137" s="180"/>
      <c r="G137" s="181" t="s">
        <v>589</v>
      </c>
      <c r="H137" s="182" t="s">
        <v>553</v>
      </c>
      <c r="I137" s="182" t="s">
        <v>617</v>
      </c>
    </row>
    <row r="138" ht="48" spans="2:14">
      <c r="B138" s="83">
        <v>1</v>
      </c>
      <c r="C138" s="183" t="s">
        <v>381</v>
      </c>
      <c r="D138" s="197" t="str">
        <f>表1温室气体盘查表!C103</f>
        <v>产品报废</v>
      </c>
      <c r="E138" s="183" t="s">
        <v>695</v>
      </c>
      <c r="F138" s="183" t="s">
        <v>622</v>
      </c>
      <c r="G138" s="114">
        <v>0.00626301240484585</v>
      </c>
      <c r="H138" s="115" t="s">
        <v>599</v>
      </c>
      <c r="I138" s="114" t="s">
        <v>620</v>
      </c>
    </row>
  </sheetData>
  <mergeCells count="101">
    <mergeCell ref="I2:K2"/>
    <mergeCell ref="L2:N2"/>
    <mergeCell ref="I3:K3"/>
    <mergeCell ref="L3:N3"/>
    <mergeCell ref="H33:I33"/>
    <mergeCell ref="H34:I34"/>
    <mergeCell ref="H35:I35"/>
    <mergeCell ref="H38:I38"/>
    <mergeCell ref="H40:N40"/>
    <mergeCell ref="H41:N41"/>
    <mergeCell ref="H42:N42"/>
    <mergeCell ref="G44:H44"/>
    <mergeCell ref="F71:G71"/>
    <mergeCell ref="G85:H85"/>
    <mergeCell ref="G98:H98"/>
    <mergeCell ref="G104:H104"/>
    <mergeCell ref="G111:H111"/>
    <mergeCell ref="G117:H117"/>
    <mergeCell ref="F124:G124"/>
    <mergeCell ref="H126:I126"/>
    <mergeCell ref="H127:I127"/>
    <mergeCell ref="H128:I128"/>
    <mergeCell ref="H129:I129"/>
    <mergeCell ref="I131:K131"/>
    <mergeCell ref="L131:N131"/>
    <mergeCell ref="I132:K132"/>
    <mergeCell ref="L132:N132"/>
    <mergeCell ref="G136:H136"/>
    <mergeCell ref="B2:B4"/>
    <mergeCell ref="B15:B16"/>
    <mergeCell ref="B31:B32"/>
    <mergeCell ref="B44:B45"/>
    <mergeCell ref="B71:B72"/>
    <mergeCell ref="B85:B86"/>
    <mergeCell ref="B98:B99"/>
    <mergeCell ref="B104:B105"/>
    <mergeCell ref="B111:B112"/>
    <mergeCell ref="B117:B118"/>
    <mergeCell ref="B124:B125"/>
    <mergeCell ref="B131:B133"/>
    <mergeCell ref="B136:B137"/>
    <mergeCell ref="C2:C4"/>
    <mergeCell ref="C15:C16"/>
    <mergeCell ref="C31:C32"/>
    <mergeCell ref="C44:C45"/>
    <mergeCell ref="C71:C72"/>
    <mergeCell ref="C85:C86"/>
    <mergeCell ref="C98:C99"/>
    <mergeCell ref="C104:C105"/>
    <mergeCell ref="C111:C112"/>
    <mergeCell ref="C117:C118"/>
    <mergeCell ref="C124:C125"/>
    <mergeCell ref="C131:C133"/>
    <mergeCell ref="C136:C137"/>
    <mergeCell ref="D2:D4"/>
    <mergeCell ref="D15:D16"/>
    <mergeCell ref="D31:D32"/>
    <mergeCell ref="D44:D45"/>
    <mergeCell ref="D71:D72"/>
    <mergeCell ref="D85:D86"/>
    <mergeCell ref="D98:D99"/>
    <mergeCell ref="D104:D105"/>
    <mergeCell ref="D111:D112"/>
    <mergeCell ref="D117:D118"/>
    <mergeCell ref="D124:D125"/>
    <mergeCell ref="D131:D133"/>
    <mergeCell ref="D136:D137"/>
    <mergeCell ref="E2:E4"/>
    <mergeCell ref="E15:E16"/>
    <mergeCell ref="E31:E32"/>
    <mergeCell ref="E44:E45"/>
    <mergeCell ref="E71:E72"/>
    <mergeCell ref="E85:E86"/>
    <mergeCell ref="E98:E99"/>
    <mergeCell ref="E104:E105"/>
    <mergeCell ref="E111:E112"/>
    <mergeCell ref="E117:E118"/>
    <mergeCell ref="E124:E125"/>
    <mergeCell ref="E131:E133"/>
    <mergeCell ref="E136:E137"/>
    <mergeCell ref="F2:F3"/>
    <mergeCell ref="F44:F45"/>
    <mergeCell ref="F85:F86"/>
    <mergeCell ref="F98:F99"/>
    <mergeCell ref="F104:F105"/>
    <mergeCell ref="F111:F112"/>
    <mergeCell ref="F117:F118"/>
    <mergeCell ref="F131:F132"/>
    <mergeCell ref="F136:F137"/>
    <mergeCell ref="G2:G4"/>
    <mergeCell ref="G15:G16"/>
    <mergeCell ref="G131:G133"/>
    <mergeCell ref="H2:H3"/>
    <mergeCell ref="H31:H32"/>
    <mergeCell ref="H131:H132"/>
    <mergeCell ref="I31:I32"/>
    <mergeCell ref="J31:J32"/>
    <mergeCell ref="J124:J125"/>
    <mergeCell ref="K31:K32"/>
    <mergeCell ref="L31:L32"/>
    <mergeCell ref="H124:I125"/>
  </mergeCells>
  <dataValidations count="6">
    <dataValidation type="list" allowBlank="1" showInputMessage="1" showErrorMessage="1" sqref="D29 D36:D38">
      <formula1>#REF!</formula1>
    </dataValidation>
    <dataValidation type="list" allowBlank="1" showInputMessage="1" showErrorMessage="1" sqref="G29">
      <formula1>"KJ/kg,KJ/M3"</formula1>
    </dataValidation>
    <dataValidation type="list" allowBlank="1" showInputMessage="1" showErrorMessage="1" sqref="I29 F36:F38">
      <formula1>"kgCO2/TJ"</formula1>
    </dataValidation>
    <dataValidation type="list" allowBlank="1" showInputMessage="1" showErrorMessage="1" sqref="K29">
      <formula1>"kgCO2/kg,kgCO2/M3"</formula1>
    </dataValidation>
    <dataValidation type="list" allowBlank="1" showInputMessage="1" showErrorMessage="1" sqref="E36">
      <formula1>$T$3:$T$30</formula1>
    </dataValidation>
    <dataValidation type="list" allowBlank="1" showInputMessage="1" showErrorMessage="1" sqref="K36:K37">
      <formula1>"kgCH4/kg,kgCH4/M3,kgCH4/kgBOD"</formula1>
    </dataValidation>
  </dataValidations>
  <pageMargins left="0.590551181102362" right="0.551181102362205" top="0.433070866141732" bottom="0.905511811023622" header="0.393700787401575" footer="0.354330708661417"/>
  <pageSetup paperSize="9" scale="79" fitToWidth="2" orientation="landscape"/>
  <headerFooter alignWithMargins="0">
    <oddFooter>&amp;L文件名稱：DMC溫室氣體盤查填表　&amp;C發行日期：2009-12-25
實施日期：2009-12-25</oddFooter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G12"/>
  <sheetViews>
    <sheetView workbookViewId="0">
      <selection activeCell="H12" sqref="H12"/>
    </sheetView>
  </sheetViews>
  <sheetFormatPr defaultColWidth="8.75" defaultRowHeight="14.25" outlineLevelCol="6"/>
  <cols>
    <col min="1" max="1" width="9" style="54"/>
    <col min="2" max="2" width="5" style="54" customWidth="1"/>
    <col min="3" max="3" width="18.625" style="54" customWidth="1"/>
    <col min="4" max="4" width="56.5" style="54" customWidth="1"/>
    <col min="5" max="5" width="9.75" style="54" customWidth="1"/>
    <col min="6" max="6" width="9" style="54"/>
    <col min="7" max="7" width="12" style="54" customWidth="1"/>
    <col min="8" max="32" width="9" style="54"/>
    <col min="33" max="16384" width="8.75" style="54"/>
  </cols>
  <sheetData>
    <row r="2" ht="18.75" spans="2:7">
      <c r="B2" s="55" t="s">
        <v>696</v>
      </c>
      <c r="C2" s="55"/>
      <c r="D2" s="56"/>
      <c r="E2" s="55"/>
      <c r="F2" s="55"/>
      <c r="G2" s="56"/>
    </row>
    <row r="3" ht="27" spans="2:7">
      <c r="B3" s="57" t="s">
        <v>697</v>
      </c>
      <c r="C3" s="58" t="s">
        <v>698</v>
      </c>
      <c r="D3" s="59" t="s">
        <v>699</v>
      </c>
      <c r="E3" s="58" t="s">
        <v>700</v>
      </c>
      <c r="F3" s="58" t="s">
        <v>701</v>
      </c>
      <c r="G3" s="59" t="s">
        <v>702</v>
      </c>
    </row>
    <row r="4" ht="54" spans="2:7">
      <c r="B4" s="60">
        <v>1</v>
      </c>
      <c r="C4" s="61" t="s">
        <v>703</v>
      </c>
      <c r="D4" s="62" t="s">
        <v>704</v>
      </c>
      <c r="E4" s="60" t="s">
        <v>705</v>
      </c>
      <c r="F4" s="61" t="s">
        <v>706</v>
      </c>
      <c r="G4" s="62" t="s">
        <v>707</v>
      </c>
    </row>
    <row r="5" ht="40.5" spans="2:7">
      <c r="B5" s="60">
        <v>2</v>
      </c>
      <c r="C5" s="61" t="s">
        <v>708</v>
      </c>
      <c r="D5" s="62" t="s">
        <v>709</v>
      </c>
      <c r="E5" s="60" t="s">
        <v>705</v>
      </c>
      <c r="F5" s="61" t="s">
        <v>706</v>
      </c>
      <c r="G5" s="62" t="s">
        <v>710</v>
      </c>
    </row>
    <row r="6" ht="27" spans="2:7">
      <c r="B6" s="60">
        <v>3</v>
      </c>
      <c r="C6" s="61" t="s">
        <v>711</v>
      </c>
      <c r="D6" s="63" t="s">
        <v>712</v>
      </c>
      <c r="E6" s="60" t="s">
        <v>705</v>
      </c>
      <c r="F6" s="61" t="s">
        <v>706</v>
      </c>
      <c r="G6" s="62" t="s">
        <v>713</v>
      </c>
    </row>
    <row r="7" ht="81" spans="2:7">
      <c r="B7" s="60">
        <v>4</v>
      </c>
      <c r="C7" s="61" t="s">
        <v>714</v>
      </c>
      <c r="D7" s="63" t="s">
        <v>715</v>
      </c>
      <c r="E7" s="60" t="s">
        <v>705</v>
      </c>
      <c r="F7" s="61" t="s">
        <v>706</v>
      </c>
      <c r="G7" s="62" t="s">
        <v>716</v>
      </c>
    </row>
    <row r="8" spans="2:7">
      <c r="B8" s="64"/>
      <c r="C8" s="64"/>
      <c r="D8" s="65"/>
      <c r="E8" s="64"/>
      <c r="F8" s="64"/>
      <c r="G8" s="65"/>
    </row>
    <row r="9" ht="18.75" spans="2:7">
      <c r="B9" s="66" t="s">
        <v>717</v>
      </c>
      <c r="C9" s="66"/>
      <c r="D9" s="67"/>
      <c r="E9" s="66"/>
      <c r="F9" s="66"/>
      <c r="G9" s="67"/>
    </row>
    <row r="10" ht="27" spans="2:7">
      <c r="B10" s="57" t="s">
        <v>697</v>
      </c>
      <c r="C10" s="68" t="s">
        <v>698</v>
      </c>
      <c r="D10" s="69" t="s">
        <v>699</v>
      </c>
      <c r="E10" s="68" t="s">
        <v>700</v>
      </c>
      <c r="F10" s="68" t="s">
        <v>701</v>
      </c>
      <c r="G10" s="69" t="s">
        <v>702</v>
      </c>
    </row>
    <row r="11" ht="60" spans="2:7">
      <c r="B11" s="60">
        <v>1</v>
      </c>
      <c r="C11" s="70" t="s">
        <v>718</v>
      </c>
      <c r="D11" s="71" t="s">
        <v>719</v>
      </c>
      <c r="E11" s="70" t="s">
        <v>705</v>
      </c>
      <c r="F11" s="70" t="s">
        <v>720</v>
      </c>
      <c r="G11" s="71" t="s">
        <v>721</v>
      </c>
    </row>
    <row r="12" ht="48" spans="2:7">
      <c r="B12" s="60">
        <v>2</v>
      </c>
      <c r="C12" s="70" t="s">
        <v>722</v>
      </c>
      <c r="D12" s="71" t="s">
        <v>723</v>
      </c>
      <c r="E12" s="70" t="s">
        <v>705</v>
      </c>
      <c r="F12" s="70" t="s">
        <v>720</v>
      </c>
      <c r="G12" s="71" t="s">
        <v>724</v>
      </c>
    </row>
  </sheetData>
  <mergeCells count="2">
    <mergeCell ref="B2:G2"/>
    <mergeCell ref="B9:G9"/>
  </mergeCell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70"/>
  <sheetViews>
    <sheetView showGridLines="0" zoomScale="145" zoomScaleNormal="145" zoomScalePageLayoutView="85" workbookViewId="0">
      <selection activeCell="AG55" sqref="AG55"/>
    </sheetView>
  </sheetViews>
  <sheetFormatPr defaultColWidth="8.75" defaultRowHeight="15"/>
  <cols>
    <col min="1" max="1" width="3.375" style="30" customWidth="1"/>
    <col min="2" max="2" width="18.625" style="30" customWidth="1"/>
    <col min="3" max="3" width="8.5" style="31" customWidth="1"/>
    <col min="4" max="4" width="5.375" style="31" customWidth="1"/>
    <col min="5" max="5" width="11.375" style="30" customWidth="1"/>
    <col min="6" max="6" width="4.875" style="30" customWidth="1"/>
    <col min="7" max="7" width="12.375" style="30" hidden="1" customWidth="1"/>
    <col min="8" max="8" width="29.875" style="30" hidden="1" customWidth="1"/>
    <col min="9" max="9" width="6.625" style="30" hidden="1" customWidth="1"/>
    <col min="10" max="10" width="11.125" style="30" hidden="1" customWidth="1"/>
    <col min="11" max="11" width="13.5" style="30" hidden="1" customWidth="1"/>
    <col min="12" max="12" width="7.5" style="30" hidden="1" customWidth="1"/>
    <col min="13" max="13" width="9.75" style="30" hidden="1" customWidth="1"/>
    <col min="14" max="14" width="11.5" style="30" hidden="1" customWidth="1"/>
    <col min="15" max="15" width="8.125" style="30" hidden="1" customWidth="1"/>
    <col min="16" max="16" width="8.5" style="30" hidden="1" customWidth="1"/>
    <col min="17" max="17" width="10.375" style="30" hidden="1" customWidth="1"/>
    <col min="18" max="18" width="9.375" style="30" hidden="1" customWidth="1"/>
    <col min="19" max="19" width="10.125" style="30" hidden="1" customWidth="1"/>
    <col min="20" max="20" width="8.5" style="30" hidden="1" customWidth="1"/>
    <col min="21" max="21" width="10.375" style="30" hidden="1" customWidth="1"/>
    <col min="22" max="22" width="6.5" style="30" hidden="1" customWidth="1"/>
    <col min="23" max="23" width="14.625" style="30" hidden="1" customWidth="1"/>
    <col min="24" max="24" width="8.5" style="30" hidden="1" customWidth="1"/>
    <col min="25" max="25" width="10.375" style="30" hidden="1" customWidth="1"/>
    <col min="26" max="26" width="6.5" style="30" hidden="1" customWidth="1"/>
    <col min="27" max="27" width="8.5" style="30" hidden="1" customWidth="1"/>
    <col min="28" max="28" width="10.375" style="30" hidden="1" customWidth="1"/>
    <col min="29" max="29" width="6.5" style="30" hidden="1" customWidth="1"/>
    <col min="30" max="30" width="8.875" style="30"/>
    <col min="31" max="31" width="5" style="30"/>
    <col min="32" max="32" width="5.875" style="30" customWidth="1"/>
    <col min="33" max="33" width="5" style="30"/>
    <col min="34" max="34" width="4.5" style="30"/>
    <col min="35" max="35" width="6" style="30"/>
    <col min="36" max="36" width="3.75" style="30"/>
    <col min="37" max="37" width="8.875" style="30"/>
    <col min="38" max="63" width="9" style="30"/>
    <col min="64" max="16384" width="8.75" style="30"/>
  </cols>
  <sheetData>
    <row r="1" ht="33.75" customHeight="1" spans="1:37">
      <c r="A1" s="32" t="s">
        <v>725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 s="24" customFormat="1" ht="16.5" customHeight="1" spans="1:37">
      <c r="A2" s="34" t="s">
        <v>726</v>
      </c>
      <c r="B2" s="34" t="s">
        <v>727</v>
      </c>
      <c r="C2" s="35" t="s">
        <v>728</v>
      </c>
      <c r="D2" s="35" t="s">
        <v>729</v>
      </c>
      <c r="E2" s="34" t="s">
        <v>730</v>
      </c>
      <c r="F2" s="34"/>
      <c r="G2" s="34" t="s">
        <v>731</v>
      </c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 t="s">
        <v>732</v>
      </c>
      <c r="AE2" s="34"/>
      <c r="AF2" s="34"/>
      <c r="AG2" s="34"/>
      <c r="AH2" s="34"/>
      <c r="AI2" s="34"/>
      <c r="AJ2" s="34"/>
      <c r="AK2" s="34"/>
    </row>
    <row r="3" s="24" customFormat="1" ht="15.75" spans="1:37">
      <c r="A3" s="34"/>
      <c r="B3" s="34"/>
      <c r="C3" s="35"/>
      <c r="D3" s="35"/>
      <c r="E3" s="34"/>
      <c r="F3" s="34"/>
      <c r="G3" s="34" t="s">
        <v>203</v>
      </c>
      <c r="H3" s="34"/>
      <c r="I3" s="34"/>
      <c r="J3" s="34" t="s">
        <v>204</v>
      </c>
      <c r="K3" s="34"/>
      <c r="L3" s="34"/>
      <c r="M3" s="34" t="s">
        <v>205</v>
      </c>
      <c r="N3" s="34"/>
      <c r="O3" s="34"/>
      <c r="P3" s="34" t="s">
        <v>29</v>
      </c>
      <c r="Q3" s="34"/>
      <c r="R3" s="34"/>
      <c r="S3" s="34"/>
      <c r="T3" s="34" t="s">
        <v>30</v>
      </c>
      <c r="U3" s="34"/>
      <c r="V3" s="34"/>
      <c r="W3" s="34"/>
      <c r="X3" s="34" t="s">
        <v>206</v>
      </c>
      <c r="Y3" s="34"/>
      <c r="Z3" s="34"/>
      <c r="AA3" s="34" t="s">
        <v>207</v>
      </c>
      <c r="AB3" s="34"/>
      <c r="AC3" s="34"/>
      <c r="AD3" s="34" t="str">
        <f>G3</f>
        <v>CO2</v>
      </c>
      <c r="AE3" s="34" t="str">
        <f>J3</f>
        <v>CH4</v>
      </c>
      <c r="AF3" s="34" t="str">
        <f>M3</f>
        <v>N2O</v>
      </c>
      <c r="AG3" s="34" t="str">
        <f>P3</f>
        <v>HFCs</v>
      </c>
      <c r="AH3" s="34" t="str">
        <f>T3</f>
        <v>PFCs</v>
      </c>
      <c r="AI3" s="34" t="str">
        <f>X3</f>
        <v>SF6</v>
      </c>
      <c r="AJ3" s="34" t="str">
        <f>AA3</f>
        <v>NF3</v>
      </c>
      <c r="AK3" s="34" t="s">
        <v>733</v>
      </c>
    </row>
    <row r="4" s="24" customFormat="1" ht="15.75" spans="1:37">
      <c r="A4" s="34"/>
      <c r="B4" s="34"/>
      <c r="C4" s="35"/>
      <c r="D4" s="35"/>
      <c r="E4" s="34" t="s">
        <v>734</v>
      </c>
      <c r="F4" s="34" t="s">
        <v>735</v>
      </c>
      <c r="G4" s="34" t="s">
        <v>211</v>
      </c>
      <c r="H4" s="34" t="s">
        <v>735</v>
      </c>
      <c r="I4" s="34" t="s">
        <v>212</v>
      </c>
      <c r="J4" s="34" t="s">
        <v>211</v>
      </c>
      <c r="K4" s="34" t="s">
        <v>735</v>
      </c>
      <c r="L4" s="34" t="s">
        <v>212</v>
      </c>
      <c r="M4" s="34" t="s">
        <v>211</v>
      </c>
      <c r="N4" s="34" t="s">
        <v>735</v>
      </c>
      <c r="O4" s="34" t="s">
        <v>212</v>
      </c>
      <c r="P4" s="34" t="s">
        <v>211</v>
      </c>
      <c r="Q4" s="34" t="s">
        <v>735</v>
      </c>
      <c r="R4" s="34" t="s">
        <v>212</v>
      </c>
      <c r="S4" s="34" t="s">
        <v>736</v>
      </c>
      <c r="T4" s="34" t="s">
        <v>211</v>
      </c>
      <c r="U4" s="34" t="s">
        <v>735</v>
      </c>
      <c r="V4" s="34" t="s">
        <v>212</v>
      </c>
      <c r="W4" s="34" t="s">
        <v>736</v>
      </c>
      <c r="X4" s="34" t="s">
        <v>211</v>
      </c>
      <c r="Y4" s="34" t="s">
        <v>735</v>
      </c>
      <c r="Z4" s="34" t="s">
        <v>212</v>
      </c>
      <c r="AA4" s="34" t="s">
        <v>211</v>
      </c>
      <c r="AB4" s="34" t="s">
        <v>735</v>
      </c>
      <c r="AC4" s="34" t="s">
        <v>212</v>
      </c>
      <c r="AD4" s="34" t="s">
        <v>214</v>
      </c>
      <c r="AE4" s="34"/>
      <c r="AF4" s="34"/>
      <c r="AG4" s="34"/>
      <c r="AH4" s="34"/>
      <c r="AI4" s="34"/>
      <c r="AJ4" s="34"/>
      <c r="AK4" s="34"/>
    </row>
    <row r="5" s="24" customFormat="1" ht="15.75" spans="1:37">
      <c r="A5" s="36">
        <v>1</v>
      </c>
      <c r="B5" s="37" t="str">
        <f>表1温室气体盘查表!B5</f>
        <v>固定燃烧</v>
      </c>
      <c r="C5" s="38" t="str">
        <f>表1温室气体盘查表!C5</f>
        <v>天然气燃烧</v>
      </c>
      <c r="D5" s="39" t="str">
        <f>表1温室气体盘查表!E5</f>
        <v>范围一</v>
      </c>
      <c r="E5" s="40">
        <f>表1温室气体盘查表!F5</f>
        <v>1796.49</v>
      </c>
      <c r="F5" s="41" t="str">
        <f>表1温室气体盘查表!G5</f>
        <v>10000Nm3</v>
      </c>
      <c r="G5" s="42">
        <f>'附表2-EF'!K5*10</f>
        <v>1e-6</v>
      </c>
      <c r="H5" s="41" t="s">
        <v>220</v>
      </c>
      <c r="I5" s="43">
        <f>'附表1-GWP TABLE'!E3</f>
        <v>1</v>
      </c>
      <c r="J5" s="44"/>
      <c r="K5" s="41"/>
      <c r="L5" s="43"/>
      <c r="M5" s="44"/>
      <c r="N5" s="41"/>
      <c r="O5" s="43"/>
      <c r="P5" s="45"/>
      <c r="Q5" s="46"/>
      <c r="R5" s="47"/>
      <c r="S5" s="46"/>
      <c r="T5" s="44"/>
      <c r="U5" s="41"/>
      <c r="V5" s="48"/>
      <c r="W5" s="41"/>
      <c r="X5" s="44"/>
      <c r="Y5" s="41"/>
      <c r="Z5" s="43"/>
      <c r="AA5" s="44"/>
      <c r="AB5" s="46"/>
      <c r="AC5" s="43"/>
      <c r="AD5" s="49">
        <f>表1温室气体盘查表!AE5</f>
        <v>38843.5057348041</v>
      </c>
      <c r="AE5" s="49">
        <f>表1温室气体盘查表!AF5</f>
        <v>19.3178932263999</v>
      </c>
      <c r="AF5" s="49">
        <f>表1温室气体盘查表!AG5</f>
        <v>18.9024546623913</v>
      </c>
      <c r="AG5" s="49">
        <f>表1温室气体盘查表!AH5</f>
        <v>0</v>
      </c>
      <c r="AH5" s="49">
        <f>表1温室气体盘查表!AI5</f>
        <v>0</v>
      </c>
      <c r="AI5" s="49">
        <f>表1温室气体盘查表!AJ5</f>
        <v>0</v>
      </c>
      <c r="AJ5" s="49">
        <f>表1温室气体盘查表!AK5</f>
        <v>0</v>
      </c>
      <c r="AK5" s="49">
        <f>表1温室气体盘查表!AL5</f>
        <v>38881.7260826929</v>
      </c>
    </row>
    <row r="6" s="25" customFormat="1" ht="14.25" spans="1:37">
      <c r="A6" s="36">
        <v>2</v>
      </c>
      <c r="B6" s="37" t="str">
        <f>表1温室气体盘查表!B6</f>
        <v>固定燃烧</v>
      </c>
      <c r="C6" s="38" t="str">
        <f>表1温室气体盘查表!C6</f>
        <v>液化石油气燃烧</v>
      </c>
      <c r="D6" s="39" t="str">
        <f>表1温室气体盘查表!E6</f>
        <v>范围一</v>
      </c>
      <c r="E6" s="40">
        <f>表1温室气体盘查表!F6</f>
        <v>9.39</v>
      </c>
      <c r="F6" s="41" t="str">
        <f>表1温室气体盘查表!G6</f>
        <v>t</v>
      </c>
      <c r="G6" s="42">
        <f>'附表2-EF'!K6*10</f>
        <v>1e-6</v>
      </c>
      <c r="H6" s="41" t="s">
        <v>737</v>
      </c>
      <c r="I6" s="43">
        <f>'附表1-GWP TABLE'!E4</f>
        <v>27.9</v>
      </c>
      <c r="J6" s="44"/>
      <c r="K6" s="41"/>
      <c r="L6" s="43"/>
      <c r="M6" s="44"/>
      <c r="N6" s="41"/>
      <c r="O6" s="43"/>
      <c r="P6" s="45"/>
      <c r="Q6" s="46"/>
      <c r="R6" s="47"/>
      <c r="S6" s="46"/>
      <c r="T6" s="44"/>
      <c r="U6" s="41"/>
      <c r="V6" s="48"/>
      <c r="W6" s="41"/>
      <c r="X6" s="44"/>
      <c r="Y6" s="41"/>
      <c r="Z6" s="43"/>
      <c r="AA6" s="44"/>
      <c r="AB6" s="46"/>
      <c r="AC6" s="43"/>
      <c r="AD6" s="49">
        <f>表1温室气体盘查表!AE6</f>
        <v>29.13687892878</v>
      </c>
      <c r="AE6" s="49">
        <f>表1温室气体盘查表!AF6</f>
        <v>0.01288302570702</v>
      </c>
      <c r="AF6" s="49">
        <f>表1温室气体盘查表!AG6</f>
        <v>0.01260597139074</v>
      </c>
      <c r="AG6" s="49">
        <f>表1温室气体盘查表!AH6</f>
        <v>0</v>
      </c>
      <c r="AH6" s="49">
        <f>表1温室气体盘查表!AI6</f>
        <v>0</v>
      </c>
      <c r="AI6" s="49">
        <f>表1温室气体盘查表!AJ6</f>
        <v>0</v>
      </c>
      <c r="AJ6" s="49">
        <f>表1温室气体盘查表!AK6</f>
        <v>0</v>
      </c>
      <c r="AK6" s="49">
        <f>表1温室气体盘查表!AL6</f>
        <v>29.1623679258778</v>
      </c>
    </row>
    <row r="7" s="24" customFormat="1" ht="15.75" spans="1:37">
      <c r="A7" s="36">
        <v>3</v>
      </c>
      <c r="B7" s="37" t="str">
        <f>表1温室气体盘查表!B7</f>
        <v>固定燃烧</v>
      </c>
      <c r="C7" s="38" t="str">
        <f>表1温室气体盘查表!C7</f>
        <v>烟煤燃烧</v>
      </c>
      <c r="D7" s="39" t="str">
        <f>表1温室气体盘查表!E7</f>
        <v>范围一</v>
      </c>
      <c r="E7" s="40">
        <f>表1温室气体盘查表!F7</f>
        <v>399079.16</v>
      </c>
      <c r="F7" s="41" t="str">
        <f>表1温室气体盘查表!G7</f>
        <v>t</v>
      </c>
      <c r="G7" s="42">
        <f>'附表2-EF'!K7*10</f>
        <v>1.5e-5</v>
      </c>
      <c r="H7" s="41" t="s">
        <v>738</v>
      </c>
      <c r="I7" s="43">
        <f>'附表1-GWP TABLE'!E5</f>
        <v>273</v>
      </c>
      <c r="J7" s="44"/>
      <c r="K7" s="41"/>
      <c r="L7" s="43"/>
      <c r="M7" s="44"/>
      <c r="N7" s="41"/>
      <c r="O7" s="43"/>
      <c r="P7" s="45"/>
      <c r="Q7" s="46"/>
      <c r="R7" s="47"/>
      <c r="S7" s="46"/>
      <c r="T7" s="44"/>
      <c r="U7" s="41"/>
      <c r="V7" s="48"/>
      <c r="W7" s="41"/>
      <c r="X7" s="44"/>
      <c r="Y7" s="41"/>
      <c r="Z7" s="43"/>
      <c r="AA7" s="44"/>
      <c r="AB7" s="46"/>
      <c r="AC7" s="43"/>
      <c r="AD7" s="49">
        <f>表1温室气体盘查表!AE7</f>
        <v>921839.461463258</v>
      </c>
      <c r="AE7" s="49">
        <f>表1温室气体盘查表!AF7</f>
        <v>261.641108594353</v>
      </c>
      <c r="AF7" s="49">
        <f>表1温室气体盘查表!AG7</f>
        <v>3840.21627130421</v>
      </c>
      <c r="AG7" s="49">
        <f>表1温室气体盘查表!AH7</f>
        <v>0</v>
      </c>
      <c r="AH7" s="49">
        <f>表1温室气体盘查表!AI7</f>
        <v>0</v>
      </c>
      <c r="AI7" s="49">
        <f>表1温室气体盘查表!AJ7</f>
        <v>0</v>
      </c>
      <c r="AJ7" s="49">
        <f>表1温室气体盘查表!AK7</f>
        <v>0</v>
      </c>
      <c r="AK7" s="49">
        <f>表1温室气体盘查表!AL7</f>
        <v>925941.318843156</v>
      </c>
    </row>
    <row r="8" s="24" customFormat="1" ht="15.75" spans="1:37">
      <c r="A8" s="36">
        <v>4</v>
      </c>
      <c r="B8" s="37" t="str">
        <f>表1温室气体盘查表!B8</f>
        <v>固定燃烧</v>
      </c>
      <c r="C8" s="38" t="str">
        <f>表1温室气体盘查表!C8</f>
        <v>无烟煤燃烧</v>
      </c>
      <c r="D8" s="39" t="str">
        <f>表1温室气体盘查表!E8</f>
        <v>范围一</v>
      </c>
      <c r="E8" s="40">
        <f>表1温室气体盘查表!F8</f>
        <v>260530.34</v>
      </c>
      <c r="F8" s="41" t="str">
        <f>表1温室气体盘查表!G8</f>
        <v>t</v>
      </c>
      <c r="G8" s="42">
        <f>'附表2-EF'!K8*10</f>
        <v>1.5e-5</v>
      </c>
      <c r="H8" s="41" t="s">
        <v>739</v>
      </c>
      <c r="I8" s="43">
        <f>'附表1-GWP TABLE'!E6</f>
        <v>0</v>
      </c>
      <c r="J8" s="44"/>
      <c r="K8" s="41"/>
      <c r="L8" s="43"/>
      <c r="M8" s="44"/>
      <c r="N8" s="41"/>
      <c r="O8" s="43"/>
      <c r="P8" s="45"/>
      <c r="Q8" s="46"/>
      <c r="R8" s="47"/>
      <c r="S8" s="46"/>
      <c r="T8" s="44"/>
      <c r="U8" s="41"/>
      <c r="V8" s="48"/>
      <c r="W8" s="41"/>
      <c r="X8" s="44"/>
      <c r="Y8" s="41"/>
      <c r="Z8" s="43"/>
      <c r="AA8" s="44"/>
      <c r="AB8" s="46"/>
      <c r="AC8" s="43"/>
      <c r="AD8" s="49">
        <f>表1温室气体盘查表!AE8</f>
        <v>634459.274190847</v>
      </c>
      <c r="AE8" s="49">
        <f>表1温室气体盘查表!AF8</f>
        <v>180.075419633007</v>
      </c>
      <c r="AF8" s="49">
        <f>表1温室气体盘查表!AG8</f>
        <v>2643.0424494522</v>
      </c>
      <c r="AG8" s="49">
        <f>表1温室气体盘查表!AH8</f>
        <v>0</v>
      </c>
      <c r="AH8" s="49">
        <f>表1温室气体盘查表!AI8</f>
        <v>0</v>
      </c>
      <c r="AI8" s="49">
        <f>表1温室气体盘查表!AJ8</f>
        <v>0</v>
      </c>
      <c r="AJ8" s="49">
        <f>表1温室气体盘查表!AK8</f>
        <v>0</v>
      </c>
      <c r="AK8" s="49">
        <f>表1温室气体盘查表!AL8</f>
        <v>637282.392059932</v>
      </c>
    </row>
    <row r="9" s="26" customFormat="1" ht="14.25" spans="1:37">
      <c r="A9" s="36">
        <v>5</v>
      </c>
      <c r="B9" s="37" t="str">
        <f>表1温室气体盘查表!B9</f>
        <v>固定燃烧</v>
      </c>
      <c r="C9" s="38" t="str">
        <f>表1温室气体盘查表!C9</f>
        <v>洗精煤燃烧</v>
      </c>
      <c r="D9" s="39" t="str">
        <f>表1温室气体盘查表!E9</f>
        <v>范围一</v>
      </c>
      <c r="E9" s="40">
        <f>表1温室气体盘查表!F9</f>
        <v>1946577.05</v>
      </c>
      <c r="F9" s="41" t="str">
        <f>表1温室气体盘查表!G9</f>
        <v>t</v>
      </c>
      <c r="G9" s="42">
        <f>'附表2-EF'!K9*10</f>
        <v>1.5e-5</v>
      </c>
      <c r="H9" s="41" t="s">
        <v>740</v>
      </c>
      <c r="I9" s="43">
        <f>'附表1-GWP TABLE'!E7</f>
        <v>0</v>
      </c>
      <c r="J9" s="44"/>
      <c r="K9" s="41"/>
      <c r="L9" s="43"/>
      <c r="M9" s="44"/>
      <c r="N9" s="41"/>
      <c r="O9" s="43"/>
      <c r="P9" s="45"/>
      <c r="Q9" s="46"/>
      <c r="R9" s="47"/>
      <c r="S9" s="46"/>
      <c r="T9" s="44"/>
      <c r="U9" s="41"/>
      <c r="V9" s="48"/>
      <c r="W9" s="41"/>
      <c r="X9" s="44"/>
      <c r="Y9" s="41"/>
      <c r="Z9" s="43"/>
      <c r="AA9" s="44"/>
      <c r="AB9" s="46"/>
      <c r="AC9" s="43"/>
      <c r="AD9" s="49">
        <f>表1温室气体盘查表!AE9</f>
        <v>4802635.7291602</v>
      </c>
      <c r="AE9" s="49">
        <f>表1温室气体盘查表!AF9</f>
        <v>1416.42216536543</v>
      </c>
      <c r="AF9" s="49">
        <f>表1温室气体盘查表!AG9</f>
        <v>20789.4221045571</v>
      </c>
      <c r="AG9" s="49">
        <f>表1温室气体盘查表!AH9</f>
        <v>0</v>
      </c>
      <c r="AH9" s="49">
        <f>表1温室气体盘查表!AI9</f>
        <v>0</v>
      </c>
      <c r="AI9" s="49">
        <f>表1温室气体盘查表!AJ9</f>
        <v>0</v>
      </c>
      <c r="AJ9" s="49">
        <f>表1温室气体盘查表!AK9</f>
        <v>0</v>
      </c>
      <c r="AK9" s="49">
        <f>表1温室气体盘查表!AL9</f>
        <v>4824841.57343012</v>
      </c>
    </row>
    <row r="10" s="24" customFormat="1" ht="15.75" spans="1:37">
      <c r="A10" s="36">
        <v>6</v>
      </c>
      <c r="B10" s="37" t="str">
        <f>表1温室气体盘查表!B10</f>
        <v>固定燃烧</v>
      </c>
      <c r="C10" s="38" t="str">
        <f>表1温室气体盘查表!C10</f>
        <v>焦炭燃烧</v>
      </c>
      <c r="D10" s="39" t="str">
        <f>表1温室气体盘查表!E10</f>
        <v>范围一</v>
      </c>
      <c r="E10" s="40">
        <f>表1温室气体盘查表!F10</f>
        <v>145430.2</v>
      </c>
      <c r="F10" s="41" t="str">
        <f>表1温室气体盘查表!G10</f>
        <v>t</v>
      </c>
      <c r="G10" s="42">
        <f>'附表2-EF'!K10*10</f>
        <v>1.5e-5</v>
      </c>
      <c r="H10" s="41" t="s">
        <v>741</v>
      </c>
      <c r="I10" s="43">
        <f>'附表1-GWP TABLE'!E8</f>
        <v>0</v>
      </c>
      <c r="J10" s="44"/>
      <c r="K10" s="41"/>
      <c r="L10" s="43"/>
      <c r="M10" s="44"/>
      <c r="N10" s="41"/>
      <c r="O10" s="43"/>
      <c r="P10" s="45"/>
      <c r="Q10" s="46"/>
      <c r="R10" s="47"/>
      <c r="S10" s="46"/>
      <c r="T10" s="44"/>
      <c r="U10" s="41"/>
      <c r="V10" s="48"/>
      <c r="W10" s="41"/>
      <c r="X10" s="44"/>
      <c r="Y10" s="41"/>
      <c r="Z10" s="43"/>
      <c r="AA10" s="44"/>
      <c r="AB10" s="46"/>
      <c r="AC10" s="43"/>
      <c r="AD10" s="49">
        <f>表1温室气体盘查表!AE10</f>
        <v>438053.14858041</v>
      </c>
      <c r="AE10" s="49">
        <f>表1温室气体盘查表!AF10</f>
        <v>114.221335003677</v>
      </c>
      <c r="AF10" s="49">
        <f>表1温室气体盘查表!AG10</f>
        <v>1676.47443311848</v>
      </c>
      <c r="AG10" s="49">
        <f>表1温室气体盘查表!AH10</f>
        <v>0</v>
      </c>
      <c r="AH10" s="49">
        <f>表1温室气体盘查表!AI10</f>
        <v>0</v>
      </c>
      <c r="AI10" s="49">
        <f>表1温室气体盘查表!AJ10</f>
        <v>0</v>
      </c>
      <c r="AJ10" s="49">
        <f>表1温室气体盘查表!AK10</f>
        <v>0</v>
      </c>
      <c r="AK10" s="49">
        <f>表1温室气体盘查表!AL10</f>
        <v>439843.844348532</v>
      </c>
    </row>
    <row r="11" s="24" customFormat="1" ht="15.75" spans="1:37">
      <c r="A11" s="36">
        <v>7</v>
      </c>
      <c r="B11" s="37" t="str">
        <f>表1温室气体盘查表!B11</f>
        <v>固定燃烧</v>
      </c>
      <c r="C11" s="38" t="str">
        <f>表1温室气体盘查表!C11</f>
        <v>焦屑燃烧</v>
      </c>
      <c r="D11" s="39" t="str">
        <f>表1温室气体盘查表!E11</f>
        <v>范围一</v>
      </c>
      <c r="E11" s="40">
        <f>表1温室气体盘查表!F11</f>
        <v>120570.5</v>
      </c>
      <c r="F11" s="41" t="str">
        <f>表1温室气体盘查表!G11</f>
        <v>t</v>
      </c>
      <c r="G11" s="42">
        <f>'附表2-EF'!K11*10</f>
        <v>1e-6</v>
      </c>
      <c r="H11" s="41" t="s">
        <v>742</v>
      </c>
      <c r="I11" s="43">
        <f>'附表1-GWP TABLE'!E9</f>
        <v>0</v>
      </c>
      <c r="J11" s="44"/>
      <c r="K11" s="41"/>
      <c r="L11" s="43"/>
      <c r="M11" s="44"/>
      <c r="N11" s="41"/>
      <c r="O11" s="43"/>
      <c r="P11" s="45"/>
      <c r="Q11" s="46"/>
      <c r="R11" s="47"/>
      <c r="S11" s="46"/>
      <c r="T11" s="44"/>
      <c r="U11" s="41"/>
      <c r="V11" s="48"/>
      <c r="W11" s="41"/>
      <c r="X11" s="44"/>
      <c r="Y11" s="41"/>
      <c r="Z11" s="43"/>
      <c r="AA11" s="44"/>
      <c r="AB11" s="46"/>
      <c r="AC11" s="43"/>
      <c r="AD11" s="49">
        <f>表1温室气体盘查表!AE11</f>
        <v>363172.760203275</v>
      </c>
      <c r="AE11" s="49">
        <f>表1温室气体盘查表!AF11</f>
        <v>94.6964486885175</v>
      </c>
      <c r="AF11" s="49">
        <f>表1温室气体盘查表!AG11</f>
        <v>1389.89948881534</v>
      </c>
      <c r="AG11" s="49">
        <f>表1温室气体盘查表!AH11</f>
        <v>0</v>
      </c>
      <c r="AH11" s="49">
        <f>表1温室气体盘查表!AI11</f>
        <v>0</v>
      </c>
      <c r="AI11" s="49">
        <f>表1温室气体盘查表!AJ11</f>
        <v>0</v>
      </c>
      <c r="AJ11" s="49">
        <f>表1温室气体盘查表!AK11</f>
        <v>0</v>
      </c>
      <c r="AK11" s="49">
        <f>表1温室气体盘查表!AL11</f>
        <v>364657.356140779</v>
      </c>
    </row>
    <row r="12" s="27" customFormat="1" ht="15.75" spans="1:37">
      <c r="A12" s="36">
        <v>8</v>
      </c>
      <c r="B12" s="37" t="str">
        <f>表1温室气体盘查表!B12</f>
        <v>固定燃烧</v>
      </c>
      <c r="C12" s="38" t="str">
        <f>表1温室气体盘查表!C12</f>
        <v>焦炉煤气燃烧</v>
      </c>
      <c r="D12" s="39" t="str">
        <f>表1温室气体盘查表!E12</f>
        <v>范围一</v>
      </c>
      <c r="E12" s="40">
        <f>表1温室气体盘查表!F12</f>
        <v>-500.97</v>
      </c>
      <c r="F12" s="41" t="str">
        <f>表1温室气体盘查表!G12</f>
        <v>10000Nm3</v>
      </c>
      <c r="G12" s="42">
        <f>'附表2-EF'!K12*10</f>
        <v>3.9e-5</v>
      </c>
      <c r="H12" s="41" t="s">
        <v>743</v>
      </c>
      <c r="I12" s="43">
        <f>'附表1-GWP TABLE'!E10</f>
        <v>0</v>
      </c>
      <c r="J12" s="44"/>
      <c r="K12" s="41"/>
      <c r="L12" s="43"/>
      <c r="M12" s="44"/>
      <c r="N12" s="41"/>
      <c r="O12" s="43"/>
      <c r="P12" s="45"/>
      <c r="Q12" s="46"/>
      <c r="R12" s="47"/>
      <c r="S12" s="46"/>
      <c r="T12" s="44"/>
      <c r="U12" s="41"/>
      <c r="V12" s="48"/>
      <c r="W12" s="41"/>
      <c r="X12" s="44"/>
      <c r="Y12" s="41"/>
      <c r="Z12" s="43"/>
      <c r="AA12" s="44"/>
      <c r="AB12" s="46"/>
      <c r="AC12" s="43"/>
      <c r="AD12" s="49">
        <f>表1温室气体盘查表!AE12</f>
        <v>-3828.37588063128</v>
      </c>
      <c r="AE12" s="49">
        <f>表1温室气体盘查表!AF12</f>
        <v>-2.40566862769398</v>
      </c>
      <c r="AF12" s="49">
        <f>表1温室气体盘查表!AG12</f>
        <v>-2.35393381849626</v>
      </c>
      <c r="AG12" s="49">
        <f>表1温室气体盘查表!AH12</f>
        <v>0</v>
      </c>
      <c r="AH12" s="49">
        <f>表1温室气体盘查表!AI12</f>
        <v>0</v>
      </c>
      <c r="AI12" s="49">
        <f>表1温室气体盘查表!AJ12</f>
        <v>0</v>
      </c>
      <c r="AJ12" s="49">
        <f>表1温室气体盘查表!AK12</f>
        <v>0</v>
      </c>
      <c r="AK12" s="49">
        <f>表1温室气体盘查表!AL12</f>
        <v>-3833.13548307747</v>
      </c>
    </row>
    <row r="13" s="24" customFormat="1" ht="15.75" spans="1:37">
      <c r="A13" s="36">
        <v>9</v>
      </c>
      <c r="B13" s="37" t="str">
        <f>表1温室气体盘查表!B13</f>
        <v>移动燃烧</v>
      </c>
      <c r="C13" s="38" t="str">
        <f>表1温室气体盘查表!C13</f>
        <v>0#柴油燃烧</v>
      </c>
      <c r="D13" s="39" t="str">
        <f>表1温室气体盘查表!E13</f>
        <v>范围一</v>
      </c>
      <c r="E13" s="40">
        <f>表1温室气体盘查表!F13</f>
        <v>1403.87</v>
      </c>
      <c r="F13" s="41" t="str">
        <f>表1温室气体盘查表!G13</f>
        <v>t</v>
      </c>
      <c r="G13" s="42">
        <f>'附表2-EF'!K13*10</f>
        <v>8e-5</v>
      </c>
      <c r="H13" s="41" t="s">
        <v>744</v>
      </c>
      <c r="I13" s="43">
        <f>'附表1-GWP TABLE'!E11</f>
        <v>0</v>
      </c>
      <c r="J13" s="44"/>
      <c r="K13" s="41"/>
      <c r="L13" s="43"/>
      <c r="M13" s="44"/>
      <c r="N13" s="41"/>
      <c r="O13" s="43"/>
      <c r="P13" s="45"/>
      <c r="Q13" s="46"/>
      <c r="R13" s="47"/>
      <c r="S13" s="46"/>
      <c r="T13" s="44"/>
      <c r="U13" s="41"/>
      <c r="V13" s="48"/>
      <c r="W13" s="41"/>
      <c r="X13" s="44"/>
      <c r="Y13" s="41"/>
      <c r="Z13" s="43"/>
      <c r="AA13" s="44"/>
      <c r="AB13" s="46"/>
      <c r="AC13" s="43"/>
      <c r="AD13" s="49">
        <f>表1温室气体盘查表!AE13</f>
        <v>4348.21067276232</v>
      </c>
      <c r="AE13" s="49">
        <f>表1温室气体盘查表!AF13</f>
        <v>6.38500409316151</v>
      </c>
      <c r="AF13" s="49">
        <f>表1温室气体盘查表!AG13</f>
        <v>62.4769217717954</v>
      </c>
      <c r="AG13" s="49">
        <f>表1温室气体盘查表!AH13</f>
        <v>0</v>
      </c>
      <c r="AH13" s="49">
        <f>表1温室气体盘查表!AI13</f>
        <v>0</v>
      </c>
      <c r="AI13" s="49">
        <f>表1温室气体盘查表!AJ13</f>
        <v>0</v>
      </c>
      <c r="AJ13" s="49">
        <f>表1温室气体盘查表!AK13</f>
        <v>0</v>
      </c>
      <c r="AK13" s="49">
        <f>表1温室气体盘查表!AL13</f>
        <v>4417.07259862728</v>
      </c>
    </row>
    <row r="14" s="27" customFormat="1" ht="15.75" spans="1:37">
      <c r="A14" s="36">
        <v>10</v>
      </c>
      <c r="B14" s="37" t="str">
        <f>表1温室气体盘查表!B14</f>
        <v>移动燃烧</v>
      </c>
      <c r="C14" s="38" t="str">
        <f>表1温室气体盘查表!C14</f>
        <v>92#汽油燃烧</v>
      </c>
      <c r="D14" s="39" t="str">
        <f>表1温室气体盘查表!E14</f>
        <v>范围一</v>
      </c>
      <c r="E14" s="40">
        <f>表1温室气体盘查表!F14</f>
        <v>49.06</v>
      </c>
      <c r="F14" s="41" t="str">
        <f>表1温室气体盘查表!G14</f>
        <v>t</v>
      </c>
      <c r="G14" s="42">
        <f>'附表2-EF'!K14*10</f>
        <v>0</v>
      </c>
      <c r="H14" s="41" t="s">
        <v>745</v>
      </c>
      <c r="I14" s="43">
        <f>'附表1-GWP TABLE'!E12</f>
        <v>0</v>
      </c>
      <c r="J14" s="44"/>
      <c r="K14" s="41"/>
      <c r="L14" s="43"/>
      <c r="M14" s="44"/>
      <c r="N14" s="41"/>
      <c r="O14" s="43"/>
      <c r="P14" s="45"/>
      <c r="Q14" s="46"/>
      <c r="R14" s="47"/>
      <c r="S14" s="46"/>
      <c r="T14" s="44"/>
      <c r="U14" s="41"/>
      <c r="V14" s="48"/>
      <c r="W14" s="41"/>
      <c r="X14" s="44"/>
      <c r="Y14" s="41"/>
      <c r="Z14" s="43"/>
      <c r="AA14" s="44"/>
      <c r="AB14" s="46"/>
      <c r="AC14" s="43"/>
      <c r="AD14" s="49">
        <f>表1温室气体盘查表!AE14</f>
        <v>143.5032463788</v>
      </c>
      <c r="AE14" s="49">
        <f>表1温室气体盘查表!AF14</f>
        <v>1.44435085641</v>
      </c>
      <c r="AF14" s="49">
        <f>表1温室气体盘查表!AG14</f>
        <v>4.522526552544</v>
      </c>
      <c r="AG14" s="49">
        <f>表1温室气体盘查表!AH14</f>
        <v>0</v>
      </c>
      <c r="AH14" s="49">
        <f>表1温室气体盘查表!AI14</f>
        <v>0</v>
      </c>
      <c r="AI14" s="49">
        <f>表1温室气体盘查表!AJ14</f>
        <v>0</v>
      </c>
      <c r="AJ14" s="49">
        <f>表1温室气体盘查表!AK14</f>
        <v>0</v>
      </c>
      <c r="AK14" s="49">
        <f>表1温室气体盘查表!AL14</f>
        <v>149.470123787754</v>
      </c>
    </row>
    <row r="15" s="27" customFormat="1" ht="18" spans="1:37">
      <c r="A15" s="36">
        <v>11</v>
      </c>
      <c r="B15" s="37" t="str">
        <f>表1温室气体盘查表!B15</f>
        <v>逸散排放</v>
      </c>
      <c r="C15" s="38" t="str">
        <f>表1温室气体盘查表!C15</f>
        <v>制冷剂逸散（R32）</v>
      </c>
      <c r="D15" s="39" t="str">
        <f>表1温室气体盘查表!E15</f>
        <v>范围一</v>
      </c>
      <c r="E15" s="40">
        <f>表1温室气体盘查表!F15</f>
        <v>0.93</v>
      </c>
      <c r="F15" s="41" t="str">
        <f>表1温室气体盘查表!G15</f>
        <v>t</v>
      </c>
      <c r="G15" s="42">
        <f>'附表2-EF'!K15*10</f>
        <v>0</v>
      </c>
      <c r="H15" s="41" t="s">
        <v>746</v>
      </c>
      <c r="I15" s="43">
        <f>'附表1-GWP TABLE'!E13</f>
        <v>0</v>
      </c>
      <c r="J15" s="44"/>
      <c r="K15" s="41"/>
      <c r="L15" s="43"/>
      <c r="M15" s="44"/>
      <c r="N15" s="41"/>
      <c r="O15" s="43"/>
      <c r="P15" s="45"/>
      <c r="Q15" s="46"/>
      <c r="R15" s="47"/>
      <c r="S15" s="46"/>
      <c r="T15" s="44"/>
      <c r="U15" s="41"/>
      <c r="V15" s="48"/>
      <c r="W15" s="41"/>
      <c r="X15" s="44"/>
      <c r="Y15" s="41"/>
      <c r="Z15" s="43"/>
      <c r="AA15" s="44"/>
      <c r="AB15" s="46"/>
      <c r="AC15" s="43"/>
      <c r="AD15" s="49">
        <f>表1温室气体盘查表!AE15</f>
        <v>0</v>
      </c>
      <c r="AE15" s="49">
        <f>表1温室气体盘查表!AF15</f>
        <v>0</v>
      </c>
      <c r="AF15" s="49">
        <f>表1温室气体盘查表!AG15</f>
        <v>0</v>
      </c>
      <c r="AG15" s="49">
        <f>表1温室气体盘查表!AH15</f>
        <v>717.03</v>
      </c>
      <c r="AH15" s="49">
        <f>表1温室气体盘查表!AI15</f>
        <v>0</v>
      </c>
      <c r="AI15" s="49">
        <f>表1温室气体盘查表!AJ15</f>
        <v>0</v>
      </c>
      <c r="AJ15" s="49">
        <f>表1温室气体盘查表!AK15</f>
        <v>0</v>
      </c>
      <c r="AK15" s="49">
        <f>表1温室气体盘查表!AL15</f>
        <v>717.03</v>
      </c>
    </row>
    <row r="16" s="28" customFormat="1" ht="14.25" spans="1:37">
      <c r="A16" s="36">
        <v>12</v>
      </c>
      <c r="B16" s="37" t="str">
        <f>表1温室气体盘查表!B16</f>
        <v>逸散排放</v>
      </c>
      <c r="C16" s="38" t="str">
        <f>表1温室气体盘查表!C16</f>
        <v>CO2逸散</v>
      </c>
      <c r="D16" s="39" t="str">
        <f>表1温室气体盘查表!E16</f>
        <v>范围一</v>
      </c>
      <c r="E16" s="40">
        <f>表1温室气体盘查表!F16</f>
        <v>0.66</v>
      </c>
      <c r="F16" s="41" t="str">
        <f>表1温室气体盘查表!G16</f>
        <v>t</v>
      </c>
      <c r="G16" s="42">
        <f>'附表2-EF'!K16*10</f>
        <v>0</v>
      </c>
      <c r="H16" s="41" t="s">
        <v>747</v>
      </c>
      <c r="I16" s="43">
        <f>'附表1-GWP TABLE'!E14</f>
        <v>0</v>
      </c>
      <c r="J16" s="44"/>
      <c r="K16" s="41"/>
      <c r="L16" s="43"/>
      <c r="M16" s="44"/>
      <c r="N16" s="41"/>
      <c r="O16" s="43"/>
      <c r="P16" s="45"/>
      <c r="Q16" s="46"/>
      <c r="R16" s="47"/>
      <c r="S16" s="46"/>
      <c r="T16" s="44"/>
      <c r="U16" s="41"/>
      <c r="V16" s="48"/>
      <c r="W16" s="41"/>
      <c r="X16" s="44"/>
      <c r="Y16" s="41"/>
      <c r="Z16" s="43"/>
      <c r="AA16" s="44"/>
      <c r="AB16" s="46"/>
      <c r="AC16" s="43"/>
      <c r="AD16" s="49">
        <f>表1温室气体盘查表!AE16</f>
        <v>0.66</v>
      </c>
      <c r="AE16" s="49">
        <f>表1温室气体盘查表!AF16</f>
        <v>0</v>
      </c>
      <c r="AF16" s="49">
        <f>表1温室气体盘查表!AG16</f>
        <v>0</v>
      </c>
      <c r="AG16" s="49">
        <f>表1温室气体盘查表!AH16</f>
        <v>0</v>
      </c>
      <c r="AH16" s="49">
        <f>表1温室气体盘查表!AI16</f>
        <v>0</v>
      </c>
      <c r="AI16" s="49">
        <f>表1温室气体盘查表!AJ16</f>
        <v>0</v>
      </c>
      <c r="AJ16" s="49">
        <f>表1温室气体盘查表!AK16</f>
        <v>0</v>
      </c>
      <c r="AK16" s="49">
        <f>表1温室气体盘查表!AL16</f>
        <v>0.66</v>
      </c>
    </row>
    <row r="17" s="28" customFormat="1" ht="14.25" spans="1:37">
      <c r="A17" s="36">
        <v>13</v>
      </c>
      <c r="B17" s="37" t="str">
        <f>表1温室气体盘查表!B17</f>
        <v>逸散排放</v>
      </c>
      <c r="C17" s="38" t="str">
        <f>表1温室气体盘查表!C17</f>
        <v>CH4逸散</v>
      </c>
      <c r="D17" s="39" t="str">
        <f>表1温室气体盘查表!E17</f>
        <v>范围一</v>
      </c>
      <c r="E17" s="40">
        <f>表1温室气体盘查表!F17</f>
        <v>22.36</v>
      </c>
      <c r="F17" s="41" t="str">
        <f>表1温室气体盘查表!G17</f>
        <v>tBOD</v>
      </c>
      <c r="G17" s="42">
        <f>'附表2-EF'!K17*10</f>
        <v>0</v>
      </c>
      <c r="H17" s="41" t="s">
        <v>748</v>
      </c>
      <c r="I17" s="43">
        <f>'附表1-GWP TABLE'!E15</f>
        <v>0</v>
      </c>
      <c r="J17" s="44"/>
      <c r="K17" s="41"/>
      <c r="L17" s="43"/>
      <c r="M17" s="44"/>
      <c r="N17" s="41"/>
      <c r="O17" s="43"/>
      <c r="P17" s="45"/>
      <c r="Q17" s="46"/>
      <c r="R17" s="47"/>
      <c r="S17" s="46"/>
      <c r="T17" s="44"/>
      <c r="U17" s="41"/>
      <c r="V17" s="48"/>
      <c r="W17" s="41"/>
      <c r="X17" s="44"/>
      <c r="Y17" s="41"/>
      <c r="Z17" s="43"/>
      <c r="AA17" s="44"/>
      <c r="AB17" s="46"/>
      <c r="AC17" s="43"/>
      <c r="AD17" s="49">
        <f>表1温室气体盘查表!AE17</f>
        <v>0</v>
      </c>
      <c r="AE17" s="49">
        <f>表1温室气体盘查表!AF17</f>
        <v>112.29192</v>
      </c>
      <c r="AF17" s="49">
        <f>表1温室气体盘查表!AG17</f>
        <v>0</v>
      </c>
      <c r="AG17" s="49">
        <f>表1温室气体盘查表!AH17</f>
        <v>0</v>
      </c>
      <c r="AH17" s="49">
        <f>表1温室气体盘查表!AI17</f>
        <v>0</v>
      </c>
      <c r="AI17" s="49">
        <f>表1温室气体盘查表!AJ17</f>
        <v>0</v>
      </c>
      <c r="AJ17" s="49">
        <f>表1温室气体盘查表!AK17</f>
        <v>0</v>
      </c>
      <c r="AK17" s="49">
        <f>表1温室气体盘查表!AL17</f>
        <v>112.29192</v>
      </c>
    </row>
    <row r="18" s="28" customFormat="1" ht="14.25" spans="1:37">
      <c r="A18" s="36">
        <v>14</v>
      </c>
      <c r="B18" s="37" t="str">
        <f>表1温室气体盘查表!B18</f>
        <v>逸散排放</v>
      </c>
      <c r="C18" s="38" t="str">
        <f>表1温室气体盘查表!C18</f>
        <v>CH4逸散</v>
      </c>
      <c r="D18" s="39" t="str">
        <f>表1温室气体盘查表!E18</f>
        <v>范围一</v>
      </c>
      <c r="E18" s="40">
        <f>表1温室气体盘查表!F18</f>
        <v>174.71</v>
      </c>
      <c r="F18" s="41" t="str">
        <f>表1温室气体盘查表!G18</f>
        <v>tCOD</v>
      </c>
      <c r="G18" s="42">
        <f>'附表2-EF'!K18*10</f>
        <v>0</v>
      </c>
      <c r="H18" s="41" t="s">
        <v>749</v>
      </c>
      <c r="I18" s="43">
        <f>'附表1-GWP TABLE'!E16</f>
        <v>0</v>
      </c>
      <c r="J18" s="44"/>
      <c r="K18" s="41"/>
      <c r="L18" s="43"/>
      <c r="M18" s="44"/>
      <c r="N18" s="41"/>
      <c r="O18" s="43"/>
      <c r="P18" s="45"/>
      <c r="Q18" s="46"/>
      <c r="R18" s="47"/>
      <c r="S18" s="46"/>
      <c r="T18" s="44"/>
      <c r="U18" s="41"/>
      <c r="V18" s="48"/>
      <c r="W18" s="41"/>
      <c r="X18" s="44"/>
      <c r="Y18" s="41"/>
      <c r="Z18" s="43"/>
      <c r="AA18" s="44"/>
      <c r="AB18" s="46"/>
      <c r="AC18" s="43"/>
      <c r="AD18" s="49">
        <f>表1温室气体盘查表!AE18</f>
        <v>0</v>
      </c>
      <c r="AE18" s="49">
        <f>表1温室气体盘查表!AF18</f>
        <v>365.580675</v>
      </c>
      <c r="AF18" s="49">
        <f>表1温室气体盘查表!AG18</f>
        <v>0</v>
      </c>
      <c r="AG18" s="49">
        <f>表1温室气体盘查表!AH18</f>
        <v>0</v>
      </c>
      <c r="AH18" s="49">
        <f>表1温室气体盘查表!AI18</f>
        <v>0</v>
      </c>
      <c r="AI18" s="49">
        <f>表1温室气体盘查表!AJ18</f>
        <v>0</v>
      </c>
      <c r="AJ18" s="49">
        <f>表1温室气体盘查表!AK18</f>
        <v>0</v>
      </c>
      <c r="AK18" s="49">
        <f>表1温室气体盘查表!AL18</f>
        <v>365.580675</v>
      </c>
    </row>
    <row r="19" s="28" customFormat="1" ht="14.25" spans="1:37">
      <c r="A19" s="36">
        <v>15</v>
      </c>
      <c r="B19" s="37" t="str">
        <f>表1温室气体盘查表!B19</f>
        <v>逸散排放</v>
      </c>
      <c r="C19" s="38" t="str">
        <f>表1温室气体盘查表!C19</f>
        <v>SF6逸散</v>
      </c>
      <c r="D19" s="39" t="str">
        <f>表1温室气体盘查表!E19</f>
        <v>范围一</v>
      </c>
      <c r="E19" s="40">
        <f>表1温室气体盘查表!F19</f>
        <v>20.24</v>
      </c>
      <c r="F19" s="41" t="str">
        <f>表1温室气体盘查表!G19</f>
        <v>t</v>
      </c>
      <c r="G19" s="42">
        <f>'附表2-EF'!K19*10</f>
        <v>0</v>
      </c>
      <c r="H19" s="41" t="s">
        <v>750</v>
      </c>
      <c r="I19" s="43">
        <f>'附表1-GWP TABLE'!E17</f>
        <v>0</v>
      </c>
      <c r="J19" s="44"/>
      <c r="K19" s="41"/>
      <c r="L19" s="43"/>
      <c r="M19" s="44"/>
      <c r="N19" s="41"/>
      <c r="O19" s="43"/>
      <c r="P19" s="45"/>
      <c r="Q19" s="46"/>
      <c r="R19" s="47"/>
      <c r="S19" s="46"/>
      <c r="T19" s="44"/>
      <c r="U19" s="41"/>
      <c r="V19" s="48"/>
      <c r="W19" s="41"/>
      <c r="X19" s="44"/>
      <c r="Y19" s="41"/>
      <c r="Z19" s="43"/>
      <c r="AA19" s="44"/>
      <c r="AB19" s="46"/>
      <c r="AC19" s="43"/>
      <c r="AD19" s="49">
        <f>表1温室气体盘查表!AE19</f>
        <v>0</v>
      </c>
      <c r="AE19" s="49">
        <f>表1温室气体盘查表!AF19</f>
        <v>0</v>
      </c>
      <c r="AF19" s="49">
        <f>表1温室气体盘查表!AG19</f>
        <v>0</v>
      </c>
      <c r="AG19" s="49">
        <f>表1温室气体盘查表!AH19</f>
        <v>0</v>
      </c>
      <c r="AH19" s="49">
        <f>表1温室气体盘查表!AI19</f>
        <v>0</v>
      </c>
      <c r="AI19" s="49">
        <f>表1温室气体盘查表!AJ19</f>
        <v>2459.16</v>
      </c>
      <c r="AJ19" s="49">
        <f>表1温室气体盘查表!AK19</f>
        <v>0</v>
      </c>
      <c r="AK19" s="49">
        <f>表1温室气体盘查表!AL19</f>
        <v>2459.16</v>
      </c>
    </row>
    <row r="20" s="28" customFormat="1" ht="14.25" spans="1:37">
      <c r="A20" s="36">
        <v>16</v>
      </c>
      <c r="B20" s="37" t="str">
        <f>表1温室气体盘查表!B20</f>
        <v>制程排放</v>
      </c>
      <c r="C20" s="38" t="str">
        <f>表1温室气体盘查表!C20</f>
        <v>石灰石</v>
      </c>
      <c r="D20" s="39" t="str">
        <f>表1温室气体盘查表!E20</f>
        <v>范围一</v>
      </c>
      <c r="E20" s="40">
        <f>表1温室气体盘查表!F20</f>
        <v>19365.77</v>
      </c>
      <c r="F20" s="41" t="str">
        <f>表1温室气体盘查表!G20</f>
        <v>t</v>
      </c>
      <c r="G20" s="42">
        <f>'附表2-EF'!K20*10</f>
        <v>0</v>
      </c>
      <c r="H20" s="41" t="s">
        <v>751</v>
      </c>
      <c r="I20" s="43">
        <f>'附表1-GWP TABLE'!E18</f>
        <v>0</v>
      </c>
      <c r="J20" s="44"/>
      <c r="K20" s="41"/>
      <c r="L20" s="43"/>
      <c r="M20" s="44"/>
      <c r="N20" s="41"/>
      <c r="O20" s="43"/>
      <c r="P20" s="45"/>
      <c r="Q20" s="46"/>
      <c r="R20" s="47"/>
      <c r="S20" s="46"/>
      <c r="T20" s="44"/>
      <c r="U20" s="41"/>
      <c r="V20" s="48"/>
      <c r="W20" s="41"/>
      <c r="X20" s="44"/>
      <c r="Y20" s="41"/>
      <c r="Z20" s="43"/>
      <c r="AA20" s="44"/>
      <c r="AB20" s="46"/>
      <c r="AC20" s="43"/>
      <c r="AD20" s="49">
        <f>表1温室气体盘查表!AE20</f>
        <v>8520.9388</v>
      </c>
      <c r="AE20" s="49">
        <f>表1温室气体盘查表!AF20</f>
        <v>0</v>
      </c>
      <c r="AF20" s="49">
        <f>表1温室气体盘查表!AG20</f>
        <v>0</v>
      </c>
      <c r="AG20" s="49">
        <f>表1温室气体盘查表!AH20</f>
        <v>0</v>
      </c>
      <c r="AH20" s="49">
        <f>表1温室气体盘查表!AI20</f>
        <v>0</v>
      </c>
      <c r="AI20" s="49">
        <f>表1温室气体盘查表!AJ20</f>
        <v>0</v>
      </c>
      <c r="AJ20" s="49">
        <f>表1温室气体盘查表!AK20</f>
        <v>0</v>
      </c>
      <c r="AK20" s="49">
        <f>表1温室气体盘查表!AL20</f>
        <v>8520.9388</v>
      </c>
    </row>
    <row r="21" s="28" customFormat="1" ht="14.25" spans="1:37">
      <c r="A21" s="36">
        <v>17</v>
      </c>
      <c r="B21" s="37" t="str">
        <f>表1温室气体盘查表!B21</f>
        <v>制程排放</v>
      </c>
      <c r="C21" s="38" t="str">
        <f>表1温室气体盘查表!C21</f>
        <v>白云石</v>
      </c>
      <c r="D21" s="39" t="str">
        <f>表1温室气体盘查表!E21</f>
        <v>范围一</v>
      </c>
      <c r="E21" s="40">
        <f>表1温室气体盘查表!F21</f>
        <v>356289.39</v>
      </c>
      <c r="F21" s="41" t="str">
        <f>表1温室气体盘查表!G21</f>
        <v>t</v>
      </c>
      <c r="G21" s="42">
        <f>'附表2-EF'!K21*10</f>
        <v>0</v>
      </c>
      <c r="H21" s="41" t="s">
        <v>752</v>
      </c>
      <c r="I21" s="43">
        <f>'附表1-GWP TABLE'!E19</f>
        <v>0</v>
      </c>
      <c r="J21" s="44"/>
      <c r="K21" s="41"/>
      <c r="L21" s="43"/>
      <c r="M21" s="44"/>
      <c r="N21" s="41"/>
      <c r="O21" s="43"/>
      <c r="P21" s="45"/>
      <c r="Q21" s="46"/>
      <c r="R21" s="47"/>
      <c r="S21" s="46"/>
      <c r="T21" s="44"/>
      <c r="U21" s="41"/>
      <c r="V21" s="48"/>
      <c r="W21" s="41"/>
      <c r="X21" s="44"/>
      <c r="Y21" s="41"/>
      <c r="Z21" s="43"/>
      <c r="AA21" s="44"/>
      <c r="AB21" s="46"/>
      <c r="AC21" s="43"/>
      <c r="AD21" s="49">
        <f>表1温室气体盘查表!AE21</f>
        <v>169593.74964</v>
      </c>
      <c r="AE21" s="49">
        <f>表1温室气体盘查表!AF21</f>
        <v>0</v>
      </c>
      <c r="AF21" s="49">
        <f>表1温室气体盘查表!AG21</f>
        <v>0</v>
      </c>
      <c r="AG21" s="49">
        <f>表1温室气体盘查表!AH21</f>
        <v>0</v>
      </c>
      <c r="AH21" s="49">
        <f>表1温室气体盘查表!AI21</f>
        <v>0</v>
      </c>
      <c r="AI21" s="49">
        <f>表1温室气体盘查表!AJ21</f>
        <v>0</v>
      </c>
      <c r="AJ21" s="49">
        <f>表1温室气体盘查表!AK21</f>
        <v>0</v>
      </c>
      <c r="AK21" s="49">
        <f>表1温室气体盘查表!AL21</f>
        <v>169593.74964</v>
      </c>
    </row>
    <row r="22" s="28" customFormat="1" ht="14.25" spans="1:37">
      <c r="A22" s="36">
        <v>18</v>
      </c>
      <c r="B22" s="37" t="str">
        <f>表1温室气体盘查表!B22</f>
        <v>制程排放</v>
      </c>
      <c r="C22" s="38" t="str">
        <f>表1温室气体盘查表!C22</f>
        <v>电极</v>
      </c>
      <c r="D22" s="39" t="str">
        <f>表1温室气体盘查表!E22</f>
        <v>范围一</v>
      </c>
      <c r="E22" s="40">
        <f>表1温室气体盘查表!F22</f>
        <v>4763.07</v>
      </c>
      <c r="F22" s="41" t="str">
        <f>表1温室气体盘查表!G22</f>
        <v>t</v>
      </c>
      <c r="G22" s="42">
        <f>'附表2-EF'!K22*10</f>
        <v>0</v>
      </c>
      <c r="H22" s="41" t="s">
        <v>753</v>
      </c>
      <c r="I22" s="43">
        <f>'附表1-GWP TABLE'!E20</f>
        <v>0</v>
      </c>
      <c r="J22" s="44"/>
      <c r="K22" s="41"/>
      <c r="L22" s="43"/>
      <c r="M22" s="44"/>
      <c r="N22" s="41"/>
      <c r="O22" s="43"/>
      <c r="P22" s="45"/>
      <c r="Q22" s="46"/>
      <c r="R22" s="47"/>
      <c r="S22" s="46"/>
      <c r="T22" s="44"/>
      <c r="U22" s="41"/>
      <c r="V22" s="48"/>
      <c r="W22" s="41"/>
      <c r="X22" s="44"/>
      <c r="Y22" s="41"/>
      <c r="Z22" s="43"/>
      <c r="AA22" s="44"/>
      <c r="AB22" s="46"/>
      <c r="AC22" s="43"/>
      <c r="AD22" s="49">
        <f>表1温室气体盘查表!AE22</f>
        <v>17447.12541</v>
      </c>
      <c r="AE22" s="49">
        <f>表1温室气体盘查表!AF22</f>
        <v>0</v>
      </c>
      <c r="AF22" s="49">
        <f>表1温室气体盘查表!AG22</f>
        <v>0</v>
      </c>
      <c r="AG22" s="49">
        <f>表1温室气体盘查表!AH22</f>
        <v>0</v>
      </c>
      <c r="AH22" s="49">
        <f>表1温室气体盘查表!AI22</f>
        <v>0</v>
      </c>
      <c r="AI22" s="49">
        <f>表1温室气体盘查表!AJ22</f>
        <v>0</v>
      </c>
      <c r="AJ22" s="49">
        <f>表1温室气体盘查表!AK22</f>
        <v>0</v>
      </c>
      <c r="AK22" s="49">
        <f>表1温室气体盘查表!AL22</f>
        <v>17447.12541</v>
      </c>
    </row>
    <row r="23" s="28" customFormat="1" ht="14.25" spans="1:37">
      <c r="A23" s="36">
        <v>19</v>
      </c>
      <c r="B23" s="37" t="str">
        <f>表1温室气体盘查表!B23</f>
        <v>制程排放</v>
      </c>
      <c r="C23" s="38" t="str">
        <f>表1温室气体盘查表!C23</f>
        <v>废钢</v>
      </c>
      <c r="D23" s="39" t="str">
        <f>表1温室气体盘查表!E23</f>
        <v>范围一</v>
      </c>
      <c r="E23" s="40">
        <f>表1温室气体盘查表!F23</f>
        <v>1077722.6430978</v>
      </c>
      <c r="F23" s="41" t="str">
        <f>表1温室气体盘查表!G23</f>
        <v>t</v>
      </c>
      <c r="G23" s="42">
        <f>'附表2-EF'!K23*10</f>
        <v>0</v>
      </c>
      <c r="H23" s="41" t="s">
        <v>754</v>
      </c>
      <c r="I23" s="43">
        <f>'附表1-GWP TABLE'!E21</f>
        <v>0</v>
      </c>
      <c r="J23" s="44"/>
      <c r="K23" s="41"/>
      <c r="L23" s="43"/>
      <c r="M23" s="44"/>
      <c r="N23" s="41"/>
      <c r="O23" s="43"/>
      <c r="P23" s="45"/>
      <c r="Q23" s="46"/>
      <c r="R23" s="47"/>
      <c r="S23" s="46"/>
      <c r="T23" s="44"/>
      <c r="U23" s="41"/>
      <c r="V23" s="48"/>
      <c r="W23" s="41"/>
      <c r="X23" s="44"/>
      <c r="Y23" s="41"/>
      <c r="Z23" s="43"/>
      <c r="AA23" s="44"/>
      <c r="AB23" s="46"/>
      <c r="AC23" s="43"/>
      <c r="AD23" s="49">
        <f>表1温室气体盘查表!AE23</f>
        <v>39875.7377946186</v>
      </c>
      <c r="AE23" s="49">
        <f>表1温室气体盘查表!AF23</f>
        <v>0</v>
      </c>
      <c r="AF23" s="49">
        <f>表1温室气体盘查表!AG23</f>
        <v>0</v>
      </c>
      <c r="AG23" s="49">
        <f>表1温室气体盘查表!AH23</f>
        <v>0</v>
      </c>
      <c r="AH23" s="49">
        <f>表1温室气体盘查表!AI23</f>
        <v>0</v>
      </c>
      <c r="AI23" s="49">
        <f>表1温室气体盘查表!AJ23</f>
        <v>0</v>
      </c>
      <c r="AJ23" s="49">
        <f>表1温室气体盘查表!AK23</f>
        <v>0</v>
      </c>
      <c r="AK23" s="49">
        <f>表1温室气体盘查表!AL23</f>
        <v>39875.7377946186</v>
      </c>
    </row>
    <row r="24" s="28" customFormat="1" ht="14.25" spans="1:37">
      <c r="A24" s="36">
        <v>20</v>
      </c>
      <c r="B24" s="37" t="str">
        <f>表1温室气体盘查表!B24</f>
        <v>制程排放</v>
      </c>
      <c r="C24" s="38" t="str">
        <f>表1温室气体盘查表!C24</f>
        <v>锰铁</v>
      </c>
      <c r="D24" s="39" t="str">
        <f>表1温室气体盘查表!E24</f>
        <v>范围一</v>
      </c>
      <c r="E24" s="40">
        <f>表1温室气体盘查表!F24</f>
        <v>47687.64</v>
      </c>
      <c r="F24" s="41" t="str">
        <f>表1温室气体盘查表!G24</f>
        <v>t</v>
      </c>
      <c r="G24" s="42">
        <f>'附表2-EF'!K24*10</f>
        <v>0</v>
      </c>
      <c r="H24" s="41" t="s">
        <v>755</v>
      </c>
      <c r="I24" s="43">
        <f>'附表1-GWP TABLE'!E22</f>
        <v>0</v>
      </c>
      <c r="J24" s="44"/>
      <c r="K24" s="41"/>
      <c r="L24" s="43"/>
      <c r="M24" s="44"/>
      <c r="N24" s="41"/>
      <c r="O24" s="43"/>
      <c r="P24" s="45"/>
      <c r="Q24" s="46"/>
      <c r="R24" s="47"/>
      <c r="S24" s="46"/>
      <c r="T24" s="44"/>
      <c r="U24" s="41"/>
      <c r="V24" s="48"/>
      <c r="W24" s="41"/>
      <c r="X24" s="44"/>
      <c r="Y24" s="41"/>
      <c r="Z24" s="43"/>
      <c r="AA24" s="44"/>
      <c r="AB24" s="46"/>
      <c r="AC24" s="43"/>
      <c r="AD24" s="49">
        <f>表1温室气体盘查表!AE24</f>
        <v>13114.101</v>
      </c>
      <c r="AE24" s="49">
        <f>表1温室气体盘查表!AF24</f>
        <v>0</v>
      </c>
      <c r="AF24" s="49">
        <f>表1温室气体盘查表!AG24</f>
        <v>0</v>
      </c>
      <c r="AG24" s="49">
        <f>表1温室气体盘查表!AH24</f>
        <v>0</v>
      </c>
      <c r="AH24" s="49">
        <f>表1温室气体盘查表!AI24</f>
        <v>0</v>
      </c>
      <c r="AI24" s="49">
        <f>表1温室气体盘查表!AJ24</f>
        <v>0</v>
      </c>
      <c r="AJ24" s="49">
        <f>表1温室气体盘查表!AK24</f>
        <v>0</v>
      </c>
      <c r="AK24" s="49">
        <f>表1温室气体盘查表!AL24</f>
        <v>13114.101</v>
      </c>
    </row>
    <row r="25" s="28" customFormat="1" ht="14.25" spans="1:37">
      <c r="A25" s="36">
        <v>21</v>
      </c>
      <c r="B25" s="37" t="str">
        <f>表1温室气体盘查表!B25</f>
        <v>制程排放</v>
      </c>
      <c r="C25" s="38" t="str">
        <f>表1温室气体盘查表!C25</f>
        <v>镍铁</v>
      </c>
      <c r="D25" s="39" t="str">
        <f>表1温室气体盘查表!E25</f>
        <v>范围一</v>
      </c>
      <c r="E25" s="40">
        <f>表1温室气体盘查表!F25</f>
        <v>9445.11</v>
      </c>
      <c r="F25" s="41" t="str">
        <f>表1温室气体盘查表!G25</f>
        <v>t</v>
      </c>
      <c r="G25" s="42">
        <f>'附表2-EF'!K25*10</f>
        <v>0</v>
      </c>
      <c r="H25" s="41" t="s">
        <v>756</v>
      </c>
      <c r="I25" s="43">
        <f>'附表1-GWP TABLE'!E23</f>
        <v>0</v>
      </c>
      <c r="J25" s="44"/>
      <c r="K25" s="41"/>
      <c r="L25" s="43"/>
      <c r="M25" s="44"/>
      <c r="N25" s="41"/>
      <c r="O25" s="43"/>
      <c r="P25" s="45"/>
      <c r="Q25" s="46"/>
      <c r="R25" s="47"/>
      <c r="S25" s="46"/>
      <c r="T25" s="44"/>
      <c r="U25" s="41"/>
      <c r="V25" s="48"/>
      <c r="W25" s="41"/>
      <c r="X25" s="44"/>
      <c r="Y25" s="41"/>
      <c r="Z25" s="43"/>
      <c r="AA25" s="44"/>
      <c r="AB25" s="46"/>
      <c r="AC25" s="43"/>
      <c r="AD25" s="49">
        <f>表1温室气体盘查表!AE25</f>
        <v>349.46907</v>
      </c>
      <c r="AE25" s="49">
        <f>表1温室气体盘查表!AF25</f>
        <v>0</v>
      </c>
      <c r="AF25" s="49">
        <f>表1温室气体盘查表!AG25</f>
        <v>0</v>
      </c>
      <c r="AG25" s="49">
        <f>表1温室气体盘查表!AH25</f>
        <v>0</v>
      </c>
      <c r="AH25" s="49">
        <f>表1温室气体盘查表!AI25</f>
        <v>0</v>
      </c>
      <c r="AI25" s="49">
        <f>表1温室气体盘查表!AJ25</f>
        <v>0</v>
      </c>
      <c r="AJ25" s="49">
        <f>表1温室气体盘查表!AK25</f>
        <v>0</v>
      </c>
      <c r="AK25" s="49">
        <f>表1温室气体盘查表!AL25</f>
        <v>349.46907</v>
      </c>
    </row>
    <row r="26" s="28" customFormat="1" ht="14.25" spans="1:37">
      <c r="A26" s="36">
        <v>22</v>
      </c>
      <c r="B26" s="37" t="str">
        <f>表1温室气体盘查表!B26</f>
        <v>制程排放</v>
      </c>
      <c r="C26" s="38" t="str">
        <f>表1温室气体盘查表!C26</f>
        <v>铬铁</v>
      </c>
      <c r="D26" s="39" t="str">
        <f>表1温室气体盘查表!E26</f>
        <v>范围一</v>
      </c>
      <c r="E26" s="40">
        <f>表1温室气体盘查表!F26</f>
        <v>65858.929</v>
      </c>
      <c r="F26" s="41" t="str">
        <f>表1温室气体盘查表!G26</f>
        <v>t</v>
      </c>
      <c r="G26" s="42">
        <f>'附表2-EF'!K26*10</f>
        <v>0</v>
      </c>
      <c r="H26" s="41" t="s">
        <v>757</v>
      </c>
      <c r="I26" s="43">
        <f>'附表1-GWP TABLE'!E24</f>
        <v>0</v>
      </c>
      <c r="J26" s="44"/>
      <c r="K26" s="41"/>
      <c r="L26" s="43"/>
      <c r="M26" s="44"/>
      <c r="N26" s="41"/>
      <c r="O26" s="43"/>
      <c r="P26" s="45"/>
      <c r="Q26" s="46"/>
      <c r="R26" s="47"/>
      <c r="S26" s="46"/>
      <c r="T26" s="44"/>
      <c r="U26" s="41"/>
      <c r="V26" s="48"/>
      <c r="W26" s="41"/>
      <c r="X26" s="44"/>
      <c r="Y26" s="41"/>
      <c r="Z26" s="43"/>
      <c r="AA26" s="44"/>
      <c r="AB26" s="46"/>
      <c r="AC26" s="43"/>
      <c r="AD26" s="49">
        <f>表1温室气体盘查表!AE26</f>
        <v>22918.907292</v>
      </c>
      <c r="AE26" s="49">
        <f>表1温室气体盘查表!AF26</f>
        <v>0</v>
      </c>
      <c r="AF26" s="49">
        <f>表1温室气体盘查表!AG26</f>
        <v>0</v>
      </c>
      <c r="AG26" s="49">
        <f>表1温室气体盘查表!AH26</f>
        <v>0</v>
      </c>
      <c r="AH26" s="49">
        <f>表1温室气体盘查表!AI26</f>
        <v>0</v>
      </c>
      <c r="AI26" s="49">
        <f>表1温室气体盘查表!AJ26</f>
        <v>0</v>
      </c>
      <c r="AJ26" s="49">
        <f>表1温室气体盘查表!AK26</f>
        <v>0</v>
      </c>
      <c r="AK26" s="49">
        <f>表1温室气体盘查表!AL26</f>
        <v>22918.907292</v>
      </c>
    </row>
    <row r="27" s="28" customFormat="1" ht="14.25" spans="1:37">
      <c r="A27" s="36">
        <v>23</v>
      </c>
      <c r="B27" s="37" t="str">
        <f>表1温室气体盘查表!B27</f>
        <v>制程排放</v>
      </c>
      <c r="C27" s="38" t="str">
        <f>表1温室气体盘查表!C27</f>
        <v>硅铁</v>
      </c>
      <c r="D27" s="39" t="str">
        <f>表1温室气体盘查表!E27</f>
        <v>范围一</v>
      </c>
      <c r="E27" s="40">
        <f>表1温室气体盘查表!F27</f>
        <v>10672.48</v>
      </c>
      <c r="F27" s="41" t="str">
        <f>表1温室气体盘查表!G27</f>
        <v>t</v>
      </c>
      <c r="G27" s="42">
        <f>'附表2-EF'!K27*10</f>
        <v>0</v>
      </c>
      <c r="H27" s="41" t="s">
        <v>758</v>
      </c>
      <c r="I27" s="43">
        <f>'附表1-GWP TABLE'!E25</f>
        <v>0</v>
      </c>
      <c r="J27" s="44"/>
      <c r="K27" s="41"/>
      <c r="L27" s="43"/>
      <c r="M27" s="44"/>
      <c r="N27" s="41"/>
      <c r="O27" s="43"/>
      <c r="P27" s="45"/>
      <c r="Q27" s="46"/>
      <c r="R27" s="47"/>
      <c r="S27" s="46"/>
      <c r="T27" s="44"/>
      <c r="U27" s="41"/>
      <c r="V27" s="48"/>
      <c r="W27" s="41"/>
      <c r="X27" s="44"/>
      <c r="Y27" s="41"/>
      <c r="Z27" s="43"/>
      <c r="AA27" s="44"/>
      <c r="AB27" s="46"/>
      <c r="AC27" s="43"/>
      <c r="AD27" s="49">
        <f>表1温室气体盘查表!AE27</f>
        <v>74.70736</v>
      </c>
      <c r="AE27" s="49">
        <f>表1温室气体盘查表!AF27</f>
        <v>0</v>
      </c>
      <c r="AF27" s="49">
        <f>表1温室气体盘查表!AG27</f>
        <v>0</v>
      </c>
      <c r="AG27" s="49">
        <f>表1温室气体盘查表!AH27</f>
        <v>0</v>
      </c>
      <c r="AH27" s="49">
        <f>表1温室气体盘查表!AI27</f>
        <v>0</v>
      </c>
      <c r="AI27" s="49">
        <f>表1温室气体盘查表!AJ27</f>
        <v>0</v>
      </c>
      <c r="AJ27" s="49">
        <f>表1温室气体盘查表!AK27</f>
        <v>0</v>
      </c>
      <c r="AK27" s="49">
        <f>表1温室气体盘查表!AL27</f>
        <v>74.70736</v>
      </c>
    </row>
    <row r="28" s="25" customFormat="1" ht="14.25" spans="1:37">
      <c r="A28" s="36">
        <v>24</v>
      </c>
      <c r="B28" s="37" t="str">
        <f>表1温室气体盘查表!B28</f>
        <v>制程排放</v>
      </c>
      <c r="C28" s="38" t="str">
        <f>表1温室气体盘查表!C28</f>
        <v>钼铁</v>
      </c>
      <c r="D28" s="39" t="str">
        <f>表1温室气体盘查表!E28</f>
        <v>范围一</v>
      </c>
      <c r="E28" s="40">
        <f>表1温室气体盘查表!F28</f>
        <v>7945.164</v>
      </c>
      <c r="F28" s="41" t="str">
        <f>表1温室气体盘查表!G28</f>
        <v>t</v>
      </c>
      <c r="G28" s="42">
        <f>'附表2-EF'!K28*10</f>
        <v>0</v>
      </c>
      <c r="H28" s="41" t="s">
        <v>759</v>
      </c>
      <c r="I28" s="43">
        <f>'附表1-GWP TABLE'!E26</f>
        <v>0</v>
      </c>
      <c r="J28" s="44"/>
      <c r="K28" s="41"/>
      <c r="L28" s="43"/>
      <c r="M28" s="44"/>
      <c r="N28" s="41"/>
      <c r="O28" s="43"/>
      <c r="P28" s="45"/>
      <c r="Q28" s="46"/>
      <c r="R28" s="47"/>
      <c r="S28" s="46"/>
      <c r="T28" s="44"/>
      <c r="U28" s="41"/>
      <c r="V28" s="48"/>
      <c r="W28" s="41"/>
      <c r="X28" s="44"/>
      <c r="Y28" s="41"/>
      <c r="Z28" s="43"/>
      <c r="AA28" s="44"/>
      <c r="AB28" s="46"/>
      <c r="AC28" s="43"/>
      <c r="AD28" s="49">
        <f>表1温室气体盘查表!AE28</f>
        <v>143.012952</v>
      </c>
      <c r="AE28" s="49">
        <f>表1温室气体盘查表!AF28</f>
        <v>0</v>
      </c>
      <c r="AF28" s="49">
        <f>表1温室气体盘查表!AG28</f>
        <v>0</v>
      </c>
      <c r="AG28" s="49">
        <f>表1温室气体盘查表!AH28</f>
        <v>0</v>
      </c>
      <c r="AH28" s="49">
        <f>表1温室气体盘查表!AI28</f>
        <v>0</v>
      </c>
      <c r="AI28" s="49">
        <f>表1温室气体盘查表!AJ28</f>
        <v>0</v>
      </c>
      <c r="AJ28" s="49">
        <f>表1温室气体盘查表!AK28</f>
        <v>0</v>
      </c>
      <c r="AK28" s="49">
        <f>表1温室气体盘查表!AL28</f>
        <v>143.012952</v>
      </c>
    </row>
    <row r="29" s="25" customFormat="1" ht="14.25" spans="1:37">
      <c r="A29" s="36">
        <v>25</v>
      </c>
      <c r="B29" s="37" t="str">
        <f>表1温室气体盘查表!B29</f>
        <v>制程排放</v>
      </c>
      <c r="C29" s="38" t="str">
        <f>表1温室气体盘查表!C29</f>
        <v>钢坯</v>
      </c>
      <c r="D29" s="39" t="str">
        <f>表1温室气体盘查表!E29</f>
        <v>范围一</v>
      </c>
      <c r="E29" s="40">
        <f>表1温室气体盘查表!F29</f>
        <v>-4332821.94</v>
      </c>
      <c r="F29" s="41" t="str">
        <f>表1温室气体盘查表!G29</f>
        <v>t</v>
      </c>
      <c r="G29" s="42">
        <f>'附表2-EF'!K29*10</f>
        <v>0</v>
      </c>
      <c r="H29" s="41" t="s">
        <v>760</v>
      </c>
      <c r="I29" s="43">
        <f>'附表1-GWP TABLE'!E27</f>
        <v>0</v>
      </c>
      <c r="J29" s="44"/>
      <c r="K29" s="41"/>
      <c r="L29" s="43"/>
      <c r="M29" s="44"/>
      <c r="N29" s="41"/>
      <c r="O29" s="43"/>
      <c r="P29" s="45"/>
      <c r="Q29" s="46"/>
      <c r="R29" s="47"/>
      <c r="S29" s="46"/>
      <c r="T29" s="44"/>
      <c r="U29" s="41"/>
      <c r="V29" s="48"/>
      <c r="W29" s="41"/>
      <c r="X29" s="44"/>
      <c r="Y29" s="41"/>
      <c r="Z29" s="43"/>
      <c r="AA29" s="44"/>
      <c r="AB29" s="46"/>
      <c r="AC29" s="43"/>
      <c r="AD29" s="49">
        <f>表1温室气体盘查表!AE29</f>
        <v>-160314.41178</v>
      </c>
      <c r="AE29" s="49">
        <f>表1温室气体盘查表!AF29</f>
        <v>0</v>
      </c>
      <c r="AF29" s="49">
        <f>表1温室气体盘查表!AG29</f>
        <v>0</v>
      </c>
      <c r="AG29" s="49">
        <f>表1温室气体盘查表!AH29</f>
        <v>0</v>
      </c>
      <c r="AH29" s="49">
        <f>表1温室气体盘查表!AI29</f>
        <v>0</v>
      </c>
      <c r="AI29" s="49">
        <f>表1温室气体盘查表!AJ29</f>
        <v>0</v>
      </c>
      <c r="AJ29" s="49">
        <f>表1温室气体盘查表!AK29</f>
        <v>0</v>
      </c>
      <c r="AK29" s="49">
        <f>表1温室气体盘查表!AL29</f>
        <v>-160314.41178</v>
      </c>
    </row>
    <row r="30" s="25" customFormat="1" ht="14.25" spans="1:37">
      <c r="A30" s="36">
        <v>26</v>
      </c>
      <c r="B30" s="37" t="str">
        <f>表1温室气体盘查表!B30</f>
        <v>制程排放</v>
      </c>
      <c r="C30" s="38" t="str">
        <f>表1温室气体盘查表!C30</f>
        <v>粗苯</v>
      </c>
      <c r="D30" s="39" t="str">
        <f>表1温室气体盘查表!E30</f>
        <v>范围一</v>
      </c>
      <c r="E30" s="40">
        <f>表1温室气体盘查表!F30</f>
        <v>-19501.18</v>
      </c>
      <c r="F30" s="41" t="str">
        <f>表1温室气体盘查表!G30</f>
        <v>t</v>
      </c>
      <c r="G30" s="42">
        <f>'附表2-EF'!K30*10</f>
        <v>0</v>
      </c>
      <c r="H30" s="41" t="s">
        <v>761</v>
      </c>
      <c r="I30" s="43">
        <f>'附表1-GWP TABLE'!E28</f>
        <v>0</v>
      </c>
      <c r="J30" s="44"/>
      <c r="K30" s="41"/>
      <c r="L30" s="43"/>
      <c r="M30" s="44"/>
      <c r="N30" s="41"/>
      <c r="O30" s="43"/>
      <c r="P30" s="45"/>
      <c r="Q30" s="46"/>
      <c r="R30" s="47"/>
      <c r="S30" s="46"/>
      <c r="T30" s="44"/>
      <c r="U30" s="41"/>
      <c r="V30" s="48"/>
      <c r="W30" s="41"/>
      <c r="X30" s="44"/>
      <c r="Y30" s="41"/>
      <c r="Z30" s="43"/>
      <c r="AA30" s="44"/>
      <c r="AB30" s="46"/>
      <c r="AC30" s="43"/>
      <c r="AD30" s="49">
        <f>表1温室气体盘查表!AE30</f>
        <v>-65952.99076</v>
      </c>
      <c r="AE30" s="49">
        <f>表1温室气体盘查表!AF30</f>
        <v>0</v>
      </c>
      <c r="AF30" s="49">
        <f>表1温室气体盘查表!AG30</f>
        <v>0</v>
      </c>
      <c r="AG30" s="49">
        <f>表1温室气体盘查表!AH30</f>
        <v>0</v>
      </c>
      <c r="AH30" s="49">
        <f>表1温室气体盘查表!AI30</f>
        <v>0</v>
      </c>
      <c r="AI30" s="49">
        <f>表1温室气体盘查表!AJ30</f>
        <v>0</v>
      </c>
      <c r="AJ30" s="49">
        <f>表1温室气体盘查表!AK30</f>
        <v>0</v>
      </c>
      <c r="AK30" s="49">
        <f>表1温室气体盘查表!AL30</f>
        <v>-65952.99076</v>
      </c>
    </row>
    <row r="31" s="25" customFormat="1" ht="14.25" spans="1:37">
      <c r="A31" s="36">
        <v>27</v>
      </c>
      <c r="B31" s="37" t="str">
        <f>表1温室气体盘查表!B31</f>
        <v>制程排放</v>
      </c>
      <c r="C31" s="38" t="str">
        <f>表1温室气体盘查表!C31</f>
        <v>煤焦油</v>
      </c>
      <c r="D31" s="39" t="str">
        <f>表1温室气体盘查表!E31</f>
        <v>范围一</v>
      </c>
      <c r="E31" s="40">
        <f>表1温室气体盘查表!F31</f>
        <v>-59054.1</v>
      </c>
      <c r="F31" s="41" t="str">
        <f>表1温室气体盘查表!G31</f>
        <v>t</v>
      </c>
      <c r="G31" s="42">
        <f>'附表2-EF'!G31*10</f>
        <v>0</v>
      </c>
      <c r="H31" s="41" t="s">
        <v>762</v>
      </c>
      <c r="I31" s="43">
        <f>'附表1-GWP TABLE'!E29</f>
        <v>0</v>
      </c>
      <c r="J31" s="44"/>
      <c r="K31" s="41"/>
      <c r="L31" s="43"/>
      <c r="M31" s="44"/>
      <c r="N31" s="41"/>
      <c r="O31" s="43"/>
      <c r="P31" s="45"/>
      <c r="Q31" s="46"/>
      <c r="R31" s="47"/>
      <c r="S31" s="46"/>
      <c r="T31" s="44"/>
      <c r="U31" s="41"/>
      <c r="V31" s="48"/>
      <c r="W31" s="41"/>
      <c r="X31" s="44"/>
      <c r="Y31" s="41"/>
      <c r="Z31" s="43"/>
      <c r="AA31" s="44"/>
      <c r="AB31" s="46"/>
      <c r="AC31" s="43"/>
      <c r="AD31" s="49">
        <f>表1温室气体盘查表!AE31</f>
        <v>-159387.0159</v>
      </c>
      <c r="AE31" s="49">
        <f>表1温室气体盘查表!AF31</f>
        <v>0</v>
      </c>
      <c r="AF31" s="49">
        <f>表1温室气体盘查表!AG31</f>
        <v>0</v>
      </c>
      <c r="AG31" s="49">
        <f>表1温室气体盘查表!AH31</f>
        <v>0</v>
      </c>
      <c r="AH31" s="49">
        <f>表1温室气体盘查表!AI31</f>
        <v>0</v>
      </c>
      <c r="AI31" s="49">
        <f>表1温室气体盘查表!AJ31</f>
        <v>0</v>
      </c>
      <c r="AJ31" s="49">
        <f>表1温室气体盘查表!AK31</f>
        <v>0</v>
      </c>
      <c r="AK31" s="49">
        <f>表1温室气体盘查表!AL31</f>
        <v>-159387.0159</v>
      </c>
    </row>
    <row r="32" s="25" customFormat="1" ht="18" spans="1:37">
      <c r="A32" s="36">
        <v>28</v>
      </c>
      <c r="B32" s="37" t="str">
        <f>表1温室气体盘查表!B32</f>
        <v>输入能源间接温室气体排放</v>
      </c>
      <c r="C32" s="38" t="str">
        <f>表1温室气体盘查表!C32</f>
        <v>外购电力（基于位置）</v>
      </c>
      <c r="D32" s="39" t="str">
        <f>表1温室气体盘查表!E32</f>
        <v>范围二</v>
      </c>
      <c r="E32" s="40">
        <f>表1温室气体盘查表!F32</f>
        <v>1992878.77</v>
      </c>
      <c r="F32" s="41" t="str">
        <f>表1温室气体盘查表!G32</f>
        <v>MWh</v>
      </c>
      <c r="G32" s="42" t="e">
        <f>'附表2-EF'!G32*10</f>
        <v>#VALUE!</v>
      </c>
      <c r="H32" s="41" t="s">
        <v>763</v>
      </c>
      <c r="I32" s="43">
        <f>'附表1-GWP TABLE'!E30</f>
        <v>0</v>
      </c>
      <c r="J32" s="44"/>
      <c r="K32" s="41"/>
      <c r="L32" s="43"/>
      <c r="M32" s="44"/>
      <c r="N32" s="41"/>
      <c r="O32" s="43"/>
      <c r="P32" s="45"/>
      <c r="Q32" s="46"/>
      <c r="R32" s="47"/>
      <c r="S32" s="46"/>
      <c r="T32" s="44"/>
      <c r="U32" s="41"/>
      <c r="V32" s="48"/>
      <c r="W32" s="41"/>
      <c r="X32" s="44"/>
      <c r="Y32" s="41"/>
      <c r="Z32" s="43"/>
      <c r="AA32" s="44"/>
      <c r="AB32" s="46"/>
      <c r="AC32" s="43"/>
      <c r="AD32" s="49">
        <f>表1温室气体盘查表!AE32</f>
        <v>1069378.747982</v>
      </c>
      <c r="AE32" s="49">
        <f>表1温室气体盘查表!AF32</f>
        <v>0</v>
      </c>
      <c r="AF32" s="49">
        <f>表1温室气体盘查表!AG32</f>
        <v>0</v>
      </c>
      <c r="AG32" s="49">
        <f>表1温室气体盘查表!AH32</f>
        <v>0</v>
      </c>
      <c r="AH32" s="49">
        <f>表1温室气体盘查表!AI32</f>
        <v>0</v>
      </c>
      <c r="AI32" s="49">
        <f>表1温室气体盘查表!AJ32</f>
        <v>0</v>
      </c>
      <c r="AJ32" s="49">
        <f>表1温室气体盘查表!AK32</f>
        <v>0</v>
      </c>
      <c r="AK32" s="49">
        <f>表1温室气体盘查表!AL32</f>
        <v>1069378.747982</v>
      </c>
    </row>
    <row r="33" s="25" customFormat="1" ht="18" spans="1:37">
      <c r="A33" s="36">
        <v>29</v>
      </c>
      <c r="B33" s="37" t="str">
        <f>表1温室气体盘查表!B34</f>
        <v>外购商品和服务的上游排放</v>
      </c>
      <c r="C33" s="38" t="str">
        <f>表1温室气体盘查表!C34</f>
        <v>铁矿石生产</v>
      </c>
      <c r="D33" s="39" t="str">
        <f>表1温室气体盘查表!E34</f>
        <v>范围三 类别1</v>
      </c>
      <c r="E33" s="40">
        <f>表1温室气体盘查表!F34</f>
        <v>4538211.34</v>
      </c>
      <c r="F33" s="41" t="str">
        <f>表1温室气体盘查表!G34</f>
        <v>t</v>
      </c>
      <c r="G33" s="42" t="e">
        <f>'附表2-EF'!G34*10</f>
        <v>#VALUE!</v>
      </c>
      <c r="H33" s="41" t="s">
        <v>764</v>
      </c>
      <c r="I33" s="43">
        <f>'附表1-GWP TABLE'!E32</f>
        <v>0</v>
      </c>
      <c r="J33" s="44"/>
      <c r="K33" s="41"/>
      <c r="L33" s="43"/>
      <c r="M33" s="44"/>
      <c r="N33" s="41"/>
      <c r="O33" s="43"/>
      <c r="P33" s="45"/>
      <c r="Q33" s="46"/>
      <c r="R33" s="47"/>
      <c r="S33" s="46"/>
      <c r="T33" s="44"/>
      <c r="U33" s="41"/>
      <c r="V33" s="48"/>
      <c r="W33" s="41"/>
      <c r="X33" s="44"/>
      <c r="Y33" s="41"/>
      <c r="Z33" s="43"/>
      <c r="AA33" s="44"/>
      <c r="AB33" s="46"/>
      <c r="AC33" s="43"/>
      <c r="AD33" s="49">
        <f>表1温室气体盘查表!AE34</f>
        <v>448588.57632498</v>
      </c>
      <c r="AE33" s="49">
        <f>表1温室气体盘查表!AF34</f>
        <v>0</v>
      </c>
      <c r="AF33" s="49">
        <f>表1温室气体盘查表!AG34</f>
        <v>0</v>
      </c>
      <c r="AG33" s="49">
        <f>表1温室气体盘查表!AH34</f>
        <v>0</v>
      </c>
      <c r="AH33" s="49">
        <f>表1温室气体盘查表!AI34</f>
        <v>0</v>
      </c>
      <c r="AI33" s="49">
        <f>表1温室气体盘查表!AJ34</f>
        <v>0</v>
      </c>
      <c r="AJ33" s="49">
        <f>表1温室气体盘查表!AK34</f>
        <v>0</v>
      </c>
      <c r="AK33" s="49">
        <f>表1温室气体盘查表!AL34</f>
        <v>448588.57632498</v>
      </c>
    </row>
    <row r="34" s="25" customFormat="1" ht="18" spans="1:37">
      <c r="A34" s="36">
        <v>30</v>
      </c>
      <c r="B34" s="37" t="str">
        <f>表1温室气体盘查表!B35</f>
        <v>外购商品和服务的上游排放</v>
      </c>
      <c r="C34" s="38" t="str">
        <f>表1温室气体盘查表!C35</f>
        <v>生石灰生产</v>
      </c>
      <c r="D34" s="39" t="str">
        <f>表1温室气体盘查表!E35</f>
        <v>范围三 类别1</v>
      </c>
      <c r="E34" s="40">
        <f>表1温室气体盘查表!F35</f>
        <v>611514.48</v>
      </c>
      <c r="F34" s="41" t="str">
        <f>表1温室气体盘查表!G35</f>
        <v>t</v>
      </c>
      <c r="G34" s="42">
        <f>'附表2-EF'!G36*10</f>
        <v>0</v>
      </c>
      <c r="H34" s="41" t="s">
        <v>765</v>
      </c>
      <c r="I34" s="43">
        <f>'附表1-GWP TABLE'!E33</f>
        <v>0</v>
      </c>
      <c r="J34" s="44"/>
      <c r="K34" s="41"/>
      <c r="L34" s="43"/>
      <c r="M34" s="44"/>
      <c r="N34" s="41"/>
      <c r="O34" s="43"/>
      <c r="P34" s="45"/>
      <c r="Q34" s="46"/>
      <c r="R34" s="47"/>
      <c r="S34" s="46"/>
      <c r="T34" s="44"/>
      <c r="U34" s="41"/>
      <c r="V34" s="48"/>
      <c r="W34" s="41"/>
      <c r="X34" s="44"/>
      <c r="Y34" s="41"/>
      <c r="Z34" s="43"/>
      <c r="AA34" s="44"/>
      <c r="AB34" s="46"/>
      <c r="AC34" s="43"/>
      <c r="AD34" s="49">
        <f>表1温室气体盘查表!AE35</f>
        <v>727500.380476304</v>
      </c>
      <c r="AE34" s="49">
        <f>表1温室气体盘查表!AF35</f>
        <v>0</v>
      </c>
      <c r="AF34" s="49">
        <f>表1温室气体盘查表!AG35</f>
        <v>0</v>
      </c>
      <c r="AG34" s="49">
        <f>表1温室气体盘查表!AH35</f>
        <v>0</v>
      </c>
      <c r="AH34" s="49">
        <f>表1温室气体盘查表!AI35</f>
        <v>0</v>
      </c>
      <c r="AI34" s="49">
        <f>表1温室气体盘查表!AJ35</f>
        <v>0</v>
      </c>
      <c r="AJ34" s="49">
        <f>表1温室气体盘查表!AK35</f>
        <v>0</v>
      </c>
      <c r="AK34" s="49">
        <f>表1温室气体盘查表!AL35</f>
        <v>727500.380476304</v>
      </c>
    </row>
    <row r="35" s="25" customFormat="1" ht="18" spans="1:37">
      <c r="A35" s="36">
        <v>31</v>
      </c>
      <c r="B35" s="37" t="str">
        <f>表1温室气体盘查表!B36</f>
        <v>外购商品和服务的上游排放</v>
      </c>
      <c r="C35" s="38" t="str">
        <f>表1温室气体盘查表!C36</f>
        <v>石灰石生产</v>
      </c>
      <c r="D35" s="39" t="str">
        <f>表1温室气体盘查表!E36</f>
        <v>范围三 类别1</v>
      </c>
      <c r="E35" s="40">
        <f>表1温室气体盘查表!F36</f>
        <v>19365.77</v>
      </c>
      <c r="F35" s="41" t="str">
        <f>表1温室气体盘查表!G36</f>
        <v>t</v>
      </c>
      <c r="G35" s="42">
        <f>'附表2-EF'!G37*10</f>
        <v>0</v>
      </c>
      <c r="H35" s="41" t="s">
        <v>766</v>
      </c>
      <c r="I35" s="43">
        <f>'附表1-GWP TABLE'!E34</f>
        <v>0</v>
      </c>
      <c r="J35" s="44"/>
      <c r="K35" s="41"/>
      <c r="L35" s="43"/>
      <c r="M35" s="44"/>
      <c r="N35" s="41"/>
      <c r="O35" s="43"/>
      <c r="P35" s="45"/>
      <c r="Q35" s="46"/>
      <c r="R35" s="47"/>
      <c r="S35" s="46"/>
      <c r="T35" s="44"/>
      <c r="U35" s="41"/>
      <c r="V35" s="48"/>
      <c r="W35" s="41"/>
      <c r="X35" s="44"/>
      <c r="Y35" s="41"/>
      <c r="Z35" s="43"/>
      <c r="AA35" s="44"/>
      <c r="AB35" s="46"/>
      <c r="AC35" s="43"/>
      <c r="AD35" s="49">
        <f>表1温室气体盘查表!AE36</f>
        <v>58.676346523</v>
      </c>
      <c r="AE35" s="49">
        <f>表1温室气体盘查表!AF36</f>
        <v>0</v>
      </c>
      <c r="AF35" s="49">
        <f>表1温室气体盘查表!AG36</f>
        <v>0</v>
      </c>
      <c r="AG35" s="49">
        <f>表1温室气体盘查表!AH36</f>
        <v>0</v>
      </c>
      <c r="AH35" s="49">
        <f>表1温室气体盘查表!AI36</f>
        <v>0</v>
      </c>
      <c r="AI35" s="49">
        <f>表1温室气体盘查表!AJ36</f>
        <v>0</v>
      </c>
      <c r="AJ35" s="49">
        <f>表1温室气体盘查表!AK36</f>
        <v>0</v>
      </c>
      <c r="AK35" s="49">
        <f>表1温室气体盘查表!AL36</f>
        <v>58.676346523</v>
      </c>
    </row>
    <row r="36" s="25" customFormat="1" ht="18" spans="1:37">
      <c r="A36" s="36">
        <v>32</v>
      </c>
      <c r="B36" s="37" t="str">
        <f>表1温室气体盘查表!B37</f>
        <v>外购商品和服务的上游排放</v>
      </c>
      <c r="C36" s="38" t="str">
        <f>表1温室气体盘查表!C37</f>
        <v>白云石生产</v>
      </c>
      <c r="D36" s="39" t="str">
        <f>表1温室气体盘查表!E37</f>
        <v>范围三 类别1</v>
      </c>
      <c r="E36" s="40">
        <f>表1温室气体盘查表!F37</f>
        <v>356289.39</v>
      </c>
      <c r="F36" s="41" t="str">
        <f>表1温室气体盘查表!G37</f>
        <v>t</v>
      </c>
      <c r="G36" s="42">
        <f>'附表2-EF'!G38*10</f>
        <v>0</v>
      </c>
      <c r="H36" s="41" t="s">
        <v>767</v>
      </c>
      <c r="I36" s="43">
        <f>'附表1-GWP TABLE'!E35</f>
        <v>0</v>
      </c>
      <c r="J36" s="44"/>
      <c r="K36" s="41"/>
      <c r="L36" s="43"/>
      <c r="M36" s="44"/>
      <c r="N36" s="41"/>
      <c r="O36" s="43"/>
      <c r="P36" s="45"/>
      <c r="Q36" s="46"/>
      <c r="R36" s="47"/>
      <c r="S36" s="46"/>
      <c r="T36" s="44"/>
      <c r="U36" s="41"/>
      <c r="V36" s="48"/>
      <c r="W36" s="41"/>
      <c r="X36" s="44"/>
      <c r="Y36" s="41"/>
      <c r="Z36" s="43"/>
      <c r="AA36" s="44"/>
      <c r="AB36" s="46"/>
      <c r="AC36" s="43"/>
      <c r="AD36" s="49">
        <f>表1温室气体盘查表!AE37</f>
        <v>46435.1961987</v>
      </c>
      <c r="AE36" s="49">
        <f>表1温室气体盘查表!AF37</f>
        <v>0</v>
      </c>
      <c r="AF36" s="49">
        <f>表1温室气体盘查表!AG37</f>
        <v>0</v>
      </c>
      <c r="AG36" s="49">
        <f>表1温室气体盘查表!AH37</f>
        <v>0</v>
      </c>
      <c r="AH36" s="49">
        <f>表1温室气体盘查表!AI37</f>
        <v>0</v>
      </c>
      <c r="AI36" s="49">
        <f>表1温室气体盘查表!AJ37</f>
        <v>0</v>
      </c>
      <c r="AJ36" s="49">
        <f>表1温室气体盘查表!AK37</f>
        <v>0</v>
      </c>
      <c r="AK36" s="49">
        <f>表1温室气体盘查表!AL37</f>
        <v>46435.1961987</v>
      </c>
    </row>
    <row r="37" s="25" customFormat="1" ht="18" spans="1:37">
      <c r="A37" s="36">
        <v>33</v>
      </c>
      <c r="B37" s="37" t="str">
        <f>表1温室气体盘查表!B38</f>
        <v>外购商品和服务的上游排放</v>
      </c>
      <c r="C37" s="38" t="str">
        <f>表1温室气体盘查表!C38</f>
        <v>轻烧白云石生产</v>
      </c>
      <c r="D37" s="39" t="str">
        <f>表1温室气体盘查表!E38</f>
        <v>范围三 类别1</v>
      </c>
      <c r="E37" s="40">
        <f>表1温室气体盘查表!F38</f>
        <v>2786.84</v>
      </c>
      <c r="F37" s="41" t="str">
        <f>表1温室气体盘查表!G38</f>
        <v>t</v>
      </c>
      <c r="G37" s="42">
        <f>'附表2-EF'!K39*10</f>
        <v>0</v>
      </c>
      <c r="H37" s="41" t="s">
        <v>768</v>
      </c>
      <c r="I37" s="43">
        <f>'附表1-GWP TABLE'!E36</f>
        <v>0</v>
      </c>
      <c r="J37" s="44"/>
      <c r="K37" s="41"/>
      <c r="L37" s="43"/>
      <c r="M37" s="44"/>
      <c r="N37" s="41"/>
      <c r="O37" s="43"/>
      <c r="P37" s="45"/>
      <c r="Q37" s="46"/>
      <c r="R37" s="47"/>
      <c r="S37" s="46"/>
      <c r="T37" s="44"/>
      <c r="U37" s="41"/>
      <c r="V37" s="48"/>
      <c r="W37" s="41"/>
      <c r="X37" s="44"/>
      <c r="Y37" s="41"/>
      <c r="Z37" s="43"/>
      <c r="AA37" s="44"/>
      <c r="AB37" s="46"/>
      <c r="AC37" s="43"/>
      <c r="AD37" s="49">
        <f>表1温室气体盘查表!AE38</f>
        <v>363.2088572</v>
      </c>
      <c r="AE37" s="49">
        <f>表1温室气体盘查表!AF38</f>
        <v>0</v>
      </c>
      <c r="AF37" s="49">
        <f>表1温室气体盘查表!AG38</f>
        <v>0</v>
      </c>
      <c r="AG37" s="49">
        <f>表1温室气体盘查表!AH38</f>
        <v>0</v>
      </c>
      <c r="AH37" s="49">
        <f>表1温室气体盘查表!AI38</f>
        <v>0</v>
      </c>
      <c r="AI37" s="49">
        <f>表1温室气体盘查表!AJ38</f>
        <v>0</v>
      </c>
      <c r="AJ37" s="49">
        <f>表1温室气体盘查表!AK38</f>
        <v>0</v>
      </c>
      <c r="AK37" s="49">
        <f>表1温室气体盘查表!AL38</f>
        <v>363.2088572</v>
      </c>
    </row>
    <row r="38" s="25" customFormat="1" ht="18" spans="1:37">
      <c r="A38" s="36">
        <v>34</v>
      </c>
      <c r="B38" s="37" t="str">
        <f>表1温室气体盘查表!B39</f>
        <v>外购商品和服务的上游排放</v>
      </c>
      <c r="C38" s="38" t="str">
        <f>表1温室气体盘查表!C39</f>
        <v>球团生产</v>
      </c>
      <c r="D38" s="39" t="str">
        <f>表1温室气体盘查表!E39</f>
        <v>范围三 类别1</v>
      </c>
      <c r="E38" s="40">
        <f>表1温室气体盘查表!F39</f>
        <v>685439.89</v>
      </c>
      <c r="F38" s="41" t="str">
        <f>表1温室气体盘查表!G39</f>
        <v>t</v>
      </c>
      <c r="G38" s="42">
        <f>'附表2-EF'!K40*10</f>
        <v>0</v>
      </c>
      <c r="H38" s="41" t="s">
        <v>769</v>
      </c>
      <c r="I38" s="43">
        <f>'附表1-GWP TABLE'!E37</f>
        <v>0</v>
      </c>
      <c r="J38" s="44"/>
      <c r="K38" s="41"/>
      <c r="L38" s="43"/>
      <c r="M38" s="44"/>
      <c r="N38" s="41"/>
      <c r="O38" s="43"/>
      <c r="P38" s="45"/>
      <c r="Q38" s="46"/>
      <c r="R38" s="47"/>
      <c r="S38" s="46"/>
      <c r="T38" s="44"/>
      <c r="U38" s="41"/>
      <c r="V38" s="48"/>
      <c r="W38" s="41"/>
      <c r="X38" s="44"/>
      <c r="Y38" s="41"/>
      <c r="Z38" s="43"/>
      <c r="AA38" s="44"/>
      <c r="AB38" s="46"/>
      <c r="AC38" s="43"/>
      <c r="AD38" s="49">
        <f>表1温室气体盘查表!AE39</f>
        <v>71601.0509094</v>
      </c>
      <c r="AE38" s="49">
        <f>表1温室气体盘查表!AF39</f>
        <v>0</v>
      </c>
      <c r="AF38" s="49">
        <f>表1温室气体盘查表!AG39</f>
        <v>0</v>
      </c>
      <c r="AG38" s="49">
        <f>表1温室气体盘查表!AH39</f>
        <v>0</v>
      </c>
      <c r="AH38" s="49">
        <f>表1温室气体盘查表!AI39</f>
        <v>0</v>
      </c>
      <c r="AI38" s="49">
        <f>表1温室气体盘查表!AJ39</f>
        <v>0</v>
      </c>
      <c r="AJ38" s="49">
        <f>表1温室气体盘查表!AK39</f>
        <v>0</v>
      </c>
      <c r="AK38" s="49">
        <f>表1温室气体盘查表!AL39</f>
        <v>71601.0509094</v>
      </c>
    </row>
    <row r="39" s="25" customFormat="1" ht="18" spans="1:37">
      <c r="A39" s="36">
        <v>35</v>
      </c>
      <c r="B39" s="37" t="str">
        <f>表1温室气体盘查表!B40</f>
        <v>外购商品和服务的上游排放</v>
      </c>
      <c r="C39" s="38" t="str">
        <f>表1温室气体盘查表!C40</f>
        <v>废钢生产</v>
      </c>
      <c r="D39" s="39" t="str">
        <f>表1温室气体盘查表!E40</f>
        <v>范围三 类别1</v>
      </c>
      <c r="E39" s="40">
        <f>表1温室气体盘查表!F40</f>
        <v>1077722.6430978</v>
      </c>
      <c r="F39" s="41" t="str">
        <f>表1温室气体盘查表!G40</f>
        <v>t</v>
      </c>
      <c r="G39" s="42">
        <f>'附表2-EF'!K41*10</f>
        <v>0</v>
      </c>
      <c r="H39" s="41" t="s">
        <v>770</v>
      </c>
      <c r="I39" s="43">
        <f>'附表1-GWP TABLE'!E38</f>
        <v>0</v>
      </c>
      <c r="J39" s="44"/>
      <c r="K39" s="41"/>
      <c r="L39" s="43"/>
      <c r="M39" s="44"/>
      <c r="N39" s="41"/>
      <c r="O39" s="43"/>
      <c r="P39" s="45"/>
      <c r="Q39" s="46"/>
      <c r="R39" s="47"/>
      <c r="S39" s="46"/>
      <c r="T39" s="44"/>
      <c r="U39" s="41"/>
      <c r="V39" s="48"/>
      <c r="W39" s="41"/>
      <c r="X39" s="44"/>
      <c r="Y39" s="41"/>
      <c r="Z39" s="43"/>
      <c r="AA39" s="44"/>
      <c r="AB39" s="46"/>
      <c r="AC39" s="43"/>
      <c r="AD39" s="49">
        <f>表1温室气体盘查表!AE40</f>
        <v>79944.3879423517</v>
      </c>
      <c r="AE39" s="49">
        <f>表1温室气体盘查表!AF40</f>
        <v>0</v>
      </c>
      <c r="AF39" s="49">
        <f>表1温室气体盘查表!AG40</f>
        <v>0</v>
      </c>
      <c r="AG39" s="49">
        <f>表1温室气体盘查表!AH40</f>
        <v>0</v>
      </c>
      <c r="AH39" s="49">
        <f>表1温室气体盘查表!AI40</f>
        <v>0</v>
      </c>
      <c r="AI39" s="49">
        <f>表1温室气体盘查表!AJ40</f>
        <v>0</v>
      </c>
      <c r="AJ39" s="49">
        <f>表1温室气体盘查表!AK40</f>
        <v>0</v>
      </c>
      <c r="AK39" s="49">
        <f>表1温室气体盘查表!AL40</f>
        <v>79944.3879423517</v>
      </c>
    </row>
    <row r="40" s="25" customFormat="1" ht="18" spans="1:37">
      <c r="A40" s="36">
        <v>36</v>
      </c>
      <c r="B40" s="37" t="str">
        <f>表1温室气体盘查表!B41</f>
        <v>外购商品和服务的上游排放</v>
      </c>
      <c r="C40" s="38" t="str">
        <f>表1温室气体盘查表!C41</f>
        <v>电极生产</v>
      </c>
      <c r="D40" s="39" t="str">
        <f>表1温室气体盘查表!E41</f>
        <v>范围三 类别1</v>
      </c>
      <c r="E40" s="40">
        <f>表1温室气体盘查表!F41</f>
        <v>4473.46</v>
      </c>
      <c r="F40" s="41" t="str">
        <f>表1温室气体盘查表!G41</f>
        <v>t</v>
      </c>
      <c r="G40" s="42">
        <f>'附表2-EF'!K42*10</f>
        <v>0</v>
      </c>
      <c r="H40" s="41" t="s">
        <v>771</v>
      </c>
      <c r="I40" s="43">
        <f>'附表1-GWP TABLE'!E39</f>
        <v>0</v>
      </c>
      <c r="J40" s="44"/>
      <c r="K40" s="41"/>
      <c r="L40" s="43"/>
      <c r="M40" s="44"/>
      <c r="N40" s="41"/>
      <c r="O40" s="43"/>
      <c r="P40" s="45"/>
      <c r="Q40" s="46"/>
      <c r="R40" s="47"/>
      <c r="S40" s="46"/>
      <c r="T40" s="44"/>
      <c r="U40" s="41"/>
      <c r="V40" s="48"/>
      <c r="W40" s="41"/>
      <c r="X40" s="44"/>
      <c r="Y40" s="41"/>
      <c r="Z40" s="43"/>
      <c r="AA40" s="44"/>
      <c r="AB40" s="46"/>
      <c r="AC40" s="43"/>
      <c r="AD40" s="49">
        <f>表1温室气体盘查表!AE41</f>
        <v>37742.8121526018</v>
      </c>
      <c r="AE40" s="49">
        <f>表1温室气体盘查表!AF41</f>
        <v>0</v>
      </c>
      <c r="AF40" s="49">
        <f>表1温室气体盘查表!AG41</f>
        <v>0</v>
      </c>
      <c r="AG40" s="49">
        <f>表1温室气体盘查表!AH41</f>
        <v>0</v>
      </c>
      <c r="AH40" s="49">
        <f>表1温室气体盘查表!AI41</f>
        <v>0</v>
      </c>
      <c r="AI40" s="49">
        <f>表1温室气体盘查表!AJ41</f>
        <v>0</v>
      </c>
      <c r="AJ40" s="49">
        <f>表1温室气体盘查表!AK41</f>
        <v>0</v>
      </c>
      <c r="AK40" s="49">
        <f>表1温室气体盘查表!AL41</f>
        <v>37742.8121526018</v>
      </c>
    </row>
    <row r="41" s="25" customFormat="1" ht="18" spans="1:37">
      <c r="A41" s="36">
        <v>37</v>
      </c>
      <c r="B41" s="37" t="str">
        <f>表1温室气体盘查表!B42</f>
        <v>外购商品和服务的上游排放</v>
      </c>
      <c r="C41" s="38" t="str">
        <f>表1温室气体盘查表!C42</f>
        <v>锰铁生产</v>
      </c>
      <c r="D41" s="39" t="str">
        <f>表1温室气体盘查表!E42</f>
        <v>范围三 类别1</v>
      </c>
      <c r="E41" s="40">
        <f>表1温室气体盘查表!F42</f>
        <v>47651.68</v>
      </c>
      <c r="F41" s="41" t="str">
        <f>表1温室气体盘查表!G42</f>
        <v>t</v>
      </c>
      <c r="G41" s="42" t="e">
        <f>'附表2-EF'!#REF!*10</f>
        <v>#REF!</v>
      </c>
      <c r="H41" s="41" t="s">
        <v>772</v>
      </c>
      <c r="I41" s="43">
        <f>'附表1-GWP TABLE'!E40</f>
        <v>0</v>
      </c>
      <c r="J41" s="44"/>
      <c r="K41" s="41"/>
      <c r="L41" s="43"/>
      <c r="M41" s="44"/>
      <c r="N41" s="41"/>
      <c r="O41" s="43"/>
      <c r="P41" s="45"/>
      <c r="Q41" s="46"/>
      <c r="R41" s="47"/>
      <c r="S41" s="46"/>
      <c r="T41" s="44"/>
      <c r="U41" s="41"/>
      <c r="V41" s="48"/>
      <c r="W41" s="41"/>
      <c r="X41" s="44"/>
      <c r="Y41" s="41"/>
      <c r="Z41" s="43"/>
      <c r="AA41" s="44"/>
      <c r="AB41" s="46"/>
      <c r="AC41" s="43"/>
      <c r="AD41" s="49">
        <f>表1温室气体盘查表!AE42</f>
        <v>141868.581696</v>
      </c>
      <c r="AE41" s="49">
        <f>表1温室气体盘查表!AF42</f>
        <v>0</v>
      </c>
      <c r="AF41" s="49">
        <f>表1温室气体盘查表!AG42</f>
        <v>0</v>
      </c>
      <c r="AG41" s="49">
        <f>表1温室气体盘查表!AH42</f>
        <v>0</v>
      </c>
      <c r="AH41" s="49">
        <f>表1温室气体盘查表!AI42</f>
        <v>0</v>
      </c>
      <c r="AI41" s="49">
        <f>表1温室气体盘查表!AJ42</f>
        <v>0</v>
      </c>
      <c r="AJ41" s="49">
        <f>表1温室气体盘查表!AK42</f>
        <v>0</v>
      </c>
      <c r="AK41" s="49">
        <f>表1温室气体盘查表!AL42</f>
        <v>141868.581696</v>
      </c>
    </row>
    <row r="42" s="25" customFormat="1" ht="18" spans="1:37">
      <c r="A42" s="36">
        <v>38</v>
      </c>
      <c r="B42" s="37" t="str">
        <f>表1温室气体盘查表!B43</f>
        <v>外购商品和服务的上游排放</v>
      </c>
      <c r="C42" s="38" t="str">
        <f>表1温室气体盘查表!C43</f>
        <v>镍铁生产</v>
      </c>
      <c r="D42" s="39" t="str">
        <f>表1温室气体盘查表!E43</f>
        <v>范围三 类别1</v>
      </c>
      <c r="E42" s="40">
        <f>表1温室气体盘查表!F43</f>
        <v>9688.41</v>
      </c>
      <c r="F42" s="41" t="str">
        <f>表1温室气体盘查表!G43</f>
        <v>t</v>
      </c>
      <c r="G42" s="42" t="e">
        <f>'附表2-EF'!#REF!*10</f>
        <v>#REF!</v>
      </c>
      <c r="H42" s="41" t="s">
        <v>773</v>
      </c>
      <c r="I42" s="43">
        <f>'附表1-GWP TABLE'!E41</f>
        <v>0</v>
      </c>
      <c r="J42" s="44"/>
      <c r="K42" s="41"/>
      <c r="L42" s="43"/>
      <c r="M42" s="44"/>
      <c r="N42" s="41"/>
      <c r="O42" s="43"/>
      <c r="P42" s="45"/>
      <c r="Q42" s="46"/>
      <c r="R42" s="47"/>
      <c r="S42" s="46"/>
      <c r="T42" s="44"/>
      <c r="U42" s="41"/>
      <c r="V42" s="48"/>
      <c r="W42" s="41"/>
      <c r="X42" s="44"/>
      <c r="Y42" s="41"/>
      <c r="Z42" s="43"/>
      <c r="AA42" s="44"/>
      <c r="AB42" s="46"/>
      <c r="AC42" s="43"/>
      <c r="AD42" s="49">
        <f>表1温室气体盘查表!AE43</f>
        <v>84819.123027</v>
      </c>
      <c r="AE42" s="49">
        <f>表1温室气体盘查表!AF43</f>
        <v>0</v>
      </c>
      <c r="AF42" s="49">
        <f>表1温室气体盘查表!AG43</f>
        <v>0</v>
      </c>
      <c r="AG42" s="49">
        <f>表1温室气体盘查表!AH43</f>
        <v>0</v>
      </c>
      <c r="AH42" s="49">
        <f>表1温室气体盘查表!AI43</f>
        <v>0</v>
      </c>
      <c r="AI42" s="49">
        <f>表1温室气体盘查表!AJ43</f>
        <v>0</v>
      </c>
      <c r="AJ42" s="49">
        <f>表1温室气体盘查表!AK43</f>
        <v>0</v>
      </c>
      <c r="AK42" s="49">
        <f>表1温室气体盘查表!AL43</f>
        <v>84819.123027</v>
      </c>
    </row>
    <row r="43" s="25" customFormat="1" ht="18" spans="1:37">
      <c r="A43" s="36">
        <v>39</v>
      </c>
      <c r="B43" s="37" t="str">
        <f>表1温室气体盘查表!B44</f>
        <v>外购商品和服务的上游排放</v>
      </c>
      <c r="C43" s="38" t="str">
        <f>表1温室气体盘查表!C44</f>
        <v>铬铁生产</v>
      </c>
      <c r="D43" s="39" t="str">
        <f>表1温室气体盘查表!E44</f>
        <v>范围三 类别1</v>
      </c>
      <c r="E43" s="40">
        <f>表1温室气体盘查表!F44</f>
        <v>67771.93</v>
      </c>
      <c r="F43" s="41" t="str">
        <f>表1温室气体盘查表!G44</f>
        <v>t</v>
      </c>
      <c r="G43" s="42">
        <f>'附表2-EF'!K43*10</f>
        <v>0</v>
      </c>
      <c r="H43" s="41" t="s">
        <v>774</v>
      </c>
      <c r="I43" s="43">
        <f>'附表1-GWP TABLE'!E42</f>
        <v>0</v>
      </c>
      <c r="J43" s="44"/>
      <c r="K43" s="41"/>
      <c r="L43" s="43"/>
      <c r="M43" s="44"/>
      <c r="N43" s="41"/>
      <c r="O43" s="43"/>
      <c r="P43" s="45"/>
      <c r="Q43" s="46"/>
      <c r="R43" s="47"/>
      <c r="S43" s="46"/>
      <c r="T43" s="44"/>
      <c r="U43" s="41"/>
      <c r="V43" s="48"/>
      <c r="W43" s="41"/>
      <c r="X43" s="44"/>
      <c r="Y43" s="41"/>
      <c r="Z43" s="43"/>
      <c r="AA43" s="44"/>
      <c r="AB43" s="46"/>
      <c r="AC43" s="43"/>
      <c r="AD43" s="49">
        <f>表1温室气体盘查表!AE44</f>
        <v>345101.444753</v>
      </c>
      <c r="AE43" s="49">
        <f>表1温室气体盘查表!AF44</f>
        <v>0</v>
      </c>
      <c r="AF43" s="49">
        <f>表1温室气体盘查表!AG44</f>
        <v>0</v>
      </c>
      <c r="AG43" s="49">
        <f>表1温室气体盘查表!AH44</f>
        <v>0</v>
      </c>
      <c r="AH43" s="49">
        <f>表1温室气体盘查表!AI44</f>
        <v>0</v>
      </c>
      <c r="AI43" s="49">
        <f>表1温室气体盘查表!AJ44</f>
        <v>0</v>
      </c>
      <c r="AJ43" s="49">
        <f>表1温室气体盘查表!AK44</f>
        <v>0</v>
      </c>
      <c r="AK43" s="49">
        <f>表1温室气体盘查表!AL44</f>
        <v>345101.444753</v>
      </c>
    </row>
    <row r="44" s="25" customFormat="1" ht="18" spans="1:37">
      <c r="A44" s="36">
        <v>40</v>
      </c>
      <c r="B44" s="37" t="str">
        <f>表1温室气体盘查表!B45</f>
        <v>外购商品和服务的上游排放</v>
      </c>
      <c r="C44" s="38" t="str">
        <f>表1温室气体盘查表!C45</f>
        <v>萤石生产</v>
      </c>
      <c r="D44" s="39" t="str">
        <f>表1温室气体盘查表!E45</f>
        <v>范围三 类别1</v>
      </c>
      <c r="E44" s="40">
        <f>表1温室气体盘查表!F45</f>
        <v>3237.84</v>
      </c>
      <c r="F44" s="41" t="str">
        <f>表1温室气体盘查表!G45</f>
        <v>t</v>
      </c>
      <c r="G44" s="42" t="e">
        <f>'附表2-EF'!#REF!*10</f>
        <v>#REF!</v>
      </c>
      <c r="H44" s="41" t="s">
        <v>775</v>
      </c>
      <c r="I44" s="43">
        <f>'附表1-GWP TABLE'!E43</f>
        <v>0</v>
      </c>
      <c r="J44" s="44"/>
      <c r="K44" s="41"/>
      <c r="L44" s="43"/>
      <c r="M44" s="44"/>
      <c r="N44" s="41"/>
      <c r="O44" s="43"/>
      <c r="P44" s="45"/>
      <c r="Q44" s="46"/>
      <c r="R44" s="47"/>
      <c r="S44" s="46"/>
      <c r="T44" s="44"/>
      <c r="U44" s="41"/>
      <c r="V44" s="48"/>
      <c r="W44" s="41"/>
      <c r="X44" s="44"/>
      <c r="Y44" s="41"/>
      <c r="Z44" s="43"/>
      <c r="AA44" s="44"/>
      <c r="AB44" s="46"/>
      <c r="AC44" s="43"/>
      <c r="AD44" s="49">
        <f>表1温室气体盘查表!AE45</f>
        <v>685.0621872</v>
      </c>
      <c r="AE44" s="49">
        <f>表1温室气体盘查表!AF45</f>
        <v>0</v>
      </c>
      <c r="AF44" s="49">
        <f>表1温室气体盘查表!AG45</f>
        <v>0</v>
      </c>
      <c r="AG44" s="49">
        <f>表1温室气体盘查表!AH45</f>
        <v>0</v>
      </c>
      <c r="AH44" s="49">
        <f>表1温室气体盘查表!AI45</f>
        <v>0</v>
      </c>
      <c r="AI44" s="49">
        <f>表1温室气体盘查表!AJ45</f>
        <v>0</v>
      </c>
      <c r="AJ44" s="49">
        <f>表1温室气体盘查表!AK45</f>
        <v>0</v>
      </c>
      <c r="AK44" s="49">
        <f>表1温室气体盘查表!AL45</f>
        <v>685.0621872</v>
      </c>
    </row>
    <row r="45" s="25" customFormat="1" ht="18" spans="1:37">
      <c r="A45" s="36">
        <v>41</v>
      </c>
      <c r="B45" s="37" t="str">
        <f>表1温室气体盘查表!B46</f>
        <v>外购商品和服务的上游排放</v>
      </c>
      <c r="C45" s="38" t="str">
        <f>表1温室气体盘查表!C46</f>
        <v>硅铁生产</v>
      </c>
      <c r="D45" s="39" t="str">
        <f>表1温室气体盘查表!E46</f>
        <v>范围三 类别1</v>
      </c>
      <c r="E45" s="40">
        <f>表1温室气体盘查表!F46</f>
        <v>10209.54</v>
      </c>
      <c r="F45" s="41" t="str">
        <f>表1温室气体盘查表!G46</f>
        <v>t</v>
      </c>
      <c r="G45" s="42" t="e">
        <f>'附表2-EF'!#REF!*10</f>
        <v>#REF!</v>
      </c>
      <c r="H45" s="41" t="s">
        <v>776</v>
      </c>
      <c r="I45" s="43">
        <f>'附表1-GWP TABLE'!E44</f>
        <v>0</v>
      </c>
      <c r="J45" s="44"/>
      <c r="K45" s="41"/>
      <c r="L45" s="43"/>
      <c r="M45" s="44"/>
      <c r="N45" s="41"/>
      <c r="O45" s="43"/>
      <c r="P45" s="45"/>
      <c r="Q45" s="46"/>
      <c r="R45" s="47"/>
      <c r="S45" s="46"/>
      <c r="T45" s="44"/>
      <c r="U45" s="41"/>
      <c r="V45" s="48"/>
      <c r="W45" s="41"/>
      <c r="X45" s="44"/>
      <c r="Y45" s="41"/>
      <c r="Z45" s="43"/>
      <c r="AA45" s="44"/>
      <c r="AB45" s="46"/>
      <c r="AC45" s="43"/>
      <c r="AD45" s="49">
        <f>表1温室气体盘查表!AE46</f>
        <v>103575.7833</v>
      </c>
      <c r="AE45" s="49">
        <f>表1温室气体盘查表!AF46</f>
        <v>0</v>
      </c>
      <c r="AF45" s="49">
        <f>表1温室气体盘查表!AG46</f>
        <v>0</v>
      </c>
      <c r="AG45" s="49">
        <f>表1温室气体盘查表!AH46</f>
        <v>0</v>
      </c>
      <c r="AH45" s="49">
        <f>表1温室气体盘查表!AI46</f>
        <v>0</v>
      </c>
      <c r="AI45" s="49">
        <f>表1温室气体盘查表!AJ46</f>
        <v>0</v>
      </c>
      <c r="AJ45" s="49">
        <f>表1温室气体盘查表!AK46</f>
        <v>0</v>
      </c>
      <c r="AK45" s="49">
        <f>表1温室气体盘查表!AL46</f>
        <v>103575.7833</v>
      </c>
    </row>
    <row r="46" s="25" customFormat="1" ht="18" spans="1:37">
      <c r="A46" s="36">
        <v>42</v>
      </c>
      <c r="B46" s="37" t="str">
        <f>表1温室气体盘查表!B47</f>
        <v>外购商品和服务的上游排放</v>
      </c>
      <c r="C46" s="38" t="str">
        <f>表1温室气体盘查表!C47</f>
        <v>钼铁生产</v>
      </c>
      <c r="D46" s="39" t="str">
        <f>表1温室气体盘查表!E47</f>
        <v>范围三 类别1</v>
      </c>
      <c r="E46" s="40">
        <f>表1温室气体盘查表!F47</f>
        <v>7772.4</v>
      </c>
      <c r="F46" s="41" t="str">
        <f>表1温室气体盘查表!G47</f>
        <v>t</v>
      </c>
      <c r="G46" s="42" t="e">
        <f>'附表2-EF'!#REF!*10</f>
        <v>#REF!</v>
      </c>
      <c r="H46" s="41" t="s">
        <v>777</v>
      </c>
      <c r="I46" s="43">
        <f>'附表1-GWP TABLE'!E45</f>
        <v>0</v>
      </c>
      <c r="J46" s="44"/>
      <c r="K46" s="41"/>
      <c r="L46" s="43"/>
      <c r="M46" s="44"/>
      <c r="N46" s="41"/>
      <c r="O46" s="43"/>
      <c r="P46" s="45"/>
      <c r="Q46" s="46"/>
      <c r="R46" s="47"/>
      <c r="S46" s="46"/>
      <c r="T46" s="44"/>
      <c r="U46" s="41"/>
      <c r="V46" s="48"/>
      <c r="W46" s="41"/>
      <c r="X46" s="44"/>
      <c r="Y46" s="41"/>
      <c r="Z46" s="43"/>
      <c r="AA46" s="44"/>
      <c r="AB46" s="46"/>
      <c r="AC46" s="43"/>
      <c r="AD46" s="49">
        <f>表1温室气体盘查表!AE47</f>
        <v>66065.4</v>
      </c>
      <c r="AE46" s="49">
        <f>表1温室气体盘查表!AF47</f>
        <v>0</v>
      </c>
      <c r="AF46" s="49">
        <f>表1温室气体盘查表!AG47</f>
        <v>0</v>
      </c>
      <c r="AG46" s="49">
        <f>表1温室气体盘查表!AH47</f>
        <v>0</v>
      </c>
      <c r="AH46" s="49">
        <f>表1温室气体盘查表!AI47</f>
        <v>0</v>
      </c>
      <c r="AI46" s="49">
        <f>表1温室气体盘查表!AJ47</f>
        <v>0</v>
      </c>
      <c r="AJ46" s="49">
        <f>表1温室气体盘查表!AK47</f>
        <v>0</v>
      </c>
      <c r="AK46" s="49">
        <f>表1温室气体盘查表!AL47</f>
        <v>66065.4</v>
      </c>
    </row>
    <row r="47" s="25" customFormat="1" ht="60.75" customHeight="1" spans="1:37">
      <c r="A47" s="36">
        <v>43</v>
      </c>
      <c r="B47" s="37" t="str">
        <f>表1温室气体盘查表!B48</f>
        <v>外购商品和服务的上游排放</v>
      </c>
      <c r="C47" s="38" t="str">
        <f>表1温室气体盘查表!C48</f>
        <v>铝铁生产</v>
      </c>
      <c r="D47" s="39" t="str">
        <f>表1温室气体盘查表!E48</f>
        <v>范围三 类别1</v>
      </c>
      <c r="E47" s="40">
        <f>表1温室气体盘查表!F48</f>
        <v>11018.51</v>
      </c>
      <c r="F47" s="41" t="str">
        <f>表1温室气体盘查表!G48</f>
        <v>t</v>
      </c>
      <c r="G47" s="42" t="e">
        <f>'附表2-EF'!#REF!*10</f>
        <v>#REF!</v>
      </c>
      <c r="H47" s="41" t="s">
        <v>778</v>
      </c>
      <c r="I47" s="43">
        <f>'附表1-GWP TABLE'!E46</f>
        <v>0</v>
      </c>
      <c r="J47" s="44"/>
      <c r="K47" s="41"/>
      <c r="L47" s="43"/>
      <c r="M47" s="44"/>
      <c r="N47" s="41"/>
      <c r="O47" s="43"/>
      <c r="P47" s="45"/>
      <c r="Q47" s="46"/>
      <c r="R47" s="47"/>
      <c r="S47" s="46"/>
      <c r="T47" s="44"/>
      <c r="U47" s="41"/>
      <c r="V47" s="48"/>
      <c r="W47" s="41"/>
      <c r="X47" s="44"/>
      <c r="Y47" s="41"/>
      <c r="Z47" s="43"/>
      <c r="AA47" s="44"/>
      <c r="AB47" s="46"/>
      <c r="AC47" s="43"/>
      <c r="AD47" s="49">
        <f>表1温室气体盘查表!AE48</f>
        <v>63158.1901075051</v>
      </c>
      <c r="AE47" s="49">
        <f>表1温室气体盘查表!AF48</f>
        <v>0</v>
      </c>
      <c r="AF47" s="49">
        <f>表1温室气体盘查表!AG48</f>
        <v>0</v>
      </c>
      <c r="AG47" s="49">
        <f>表1温室气体盘查表!AH48</f>
        <v>0</v>
      </c>
      <c r="AH47" s="49">
        <f>表1温室气体盘查表!AI48</f>
        <v>0</v>
      </c>
      <c r="AI47" s="49">
        <f>表1温室气体盘查表!AJ48</f>
        <v>0</v>
      </c>
      <c r="AJ47" s="49">
        <f>表1温室气体盘查表!AK48</f>
        <v>0</v>
      </c>
      <c r="AK47" s="49">
        <f>表1温室气体盘查表!AL48</f>
        <v>63158.1901075051</v>
      </c>
    </row>
    <row r="48" s="25" customFormat="1" ht="18" spans="1:37">
      <c r="A48" s="36">
        <v>44</v>
      </c>
      <c r="B48" s="37" t="str">
        <f>表1温室气体盘查表!B49</f>
        <v>外购商品和服务的上游排放</v>
      </c>
      <c r="C48" s="38" t="str">
        <f>表1温室气体盘查表!C49</f>
        <v>铝生产</v>
      </c>
      <c r="D48" s="39" t="str">
        <f>表1温室气体盘查表!E49</f>
        <v>范围三 类别1</v>
      </c>
      <c r="E48" s="40">
        <f>表1温室气体盘查表!F49</f>
        <v>2841.66</v>
      </c>
      <c r="F48" s="41" t="str">
        <f>表1温室气体盘查表!G49</f>
        <v>t</v>
      </c>
      <c r="G48" s="42" t="e">
        <f>'附表2-EF'!#REF!*10</f>
        <v>#REF!</v>
      </c>
      <c r="H48" s="41" t="s">
        <v>779</v>
      </c>
      <c r="I48" s="43">
        <f>'附表1-GWP TABLE'!E47</f>
        <v>17400</v>
      </c>
      <c r="J48" s="44"/>
      <c r="K48" s="41"/>
      <c r="L48" s="43"/>
      <c r="M48" s="44"/>
      <c r="N48" s="41"/>
      <c r="O48" s="43"/>
      <c r="P48" s="45"/>
      <c r="Q48" s="46"/>
      <c r="R48" s="47"/>
      <c r="S48" s="46"/>
      <c r="T48" s="44"/>
      <c r="U48" s="41"/>
      <c r="V48" s="48"/>
      <c r="W48" s="41"/>
      <c r="X48" s="44"/>
      <c r="Y48" s="41"/>
      <c r="Z48" s="43"/>
      <c r="AA48" s="44"/>
      <c r="AB48" s="46"/>
      <c r="AC48" s="43"/>
      <c r="AD48" s="49">
        <f>表1温室气体盘查表!AE49</f>
        <v>63342.1950321903</v>
      </c>
      <c r="AE48" s="49">
        <f>表1温室气体盘查表!AF49</f>
        <v>0</v>
      </c>
      <c r="AF48" s="49">
        <f>表1温室气体盘查表!AG49</f>
        <v>0</v>
      </c>
      <c r="AG48" s="49">
        <f>表1温室气体盘查表!AH49</f>
        <v>0</v>
      </c>
      <c r="AH48" s="49">
        <f>表1温室气体盘查表!AI49</f>
        <v>0</v>
      </c>
      <c r="AI48" s="49">
        <f>表1温室气体盘查表!AJ49</f>
        <v>0</v>
      </c>
      <c r="AJ48" s="49">
        <f>表1温室气体盘查表!AK49</f>
        <v>0</v>
      </c>
      <c r="AK48" s="49">
        <f>表1温室气体盘查表!AL49</f>
        <v>63342.1950321903</v>
      </c>
    </row>
    <row r="49" s="25" customFormat="1" ht="18" spans="1:37">
      <c r="A49" s="36">
        <v>45</v>
      </c>
      <c r="B49" s="37" t="str">
        <f>表1温室气体盘查表!B50</f>
        <v>外购商品和服务的上游排放</v>
      </c>
      <c r="C49" s="38" t="str">
        <f>表1温室气体盘查表!C50</f>
        <v>增碳剂生产</v>
      </c>
      <c r="D49" s="39" t="str">
        <f>表1温室气体盘查表!E50</f>
        <v>范围三 类别1</v>
      </c>
      <c r="E49" s="40">
        <f>表1温室气体盘查表!F50</f>
        <v>10680.664</v>
      </c>
      <c r="F49" s="41" t="str">
        <f>表1温室气体盘查表!G50</f>
        <v>t</v>
      </c>
      <c r="G49" s="42" t="e">
        <f>'附表2-EF'!#REF!*10</f>
        <v>#REF!</v>
      </c>
      <c r="H49" s="41" t="s">
        <v>780</v>
      </c>
      <c r="I49" s="43">
        <f>'附表1-GWP TABLE'!E48</f>
        <v>24300</v>
      </c>
      <c r="J49" s="44"/>
      <c r="K49" s="41"/>
      <c r="L49" s="43"/>
      <c r="M49" s="44"/>
      <c r="N49" s="41"/>
      <c r="O49" s="43"/>
      <c r="P49" s="45"/>
      <c r="Q49" s="46"/>
      <c r="R49" s="47"/>
      <c r="S49" s="46"/>
      <c r="T49" s="44"/>
      <c r="U49" s="41"/>
      <c r="V49" s="48"/>
      <c r="W49" s="41"/>
      <c r="X49" s="44"/>
      <c r="Y49" s="41"/>
      <c r="Z49" s="43"/>
      <c r="AA49" s="44"/>
      <c r="AB49" s="46"/>
      <c r="AC49" s="43"/>
      <c r="AD49" s="49">
        <f>表1温室气体盘查表!AE50</f>
        <v>17778.3232071154</v>
      </c>
      <c r="AE49" s="49">
        <f>表1温室气体盘查表!AF50</f>
        <v>0</v>
      </c>
      <c r="AF49" s="49">
        <f>表1温室气体盘查表!AG50</f>
        <v>0</v>
      </c>
      <c r="AG49" s="49">
        <f>表1温室气体盘查表!AH50</f>
        <v>0</v>
      </c>
      <c r="AH49" s="49">
        <f>表1温室气体盘查表!AI50</f>
        <v>0</v>
      </c>
      <c r="AI49" s="49">
        <f>表1温室气体盘查表!AJ50</f>
        <v>0</v>
      </c>
      <c r="AJ49" s="49">
        <f>表1温室气体盘查表!AK50</f>
        <v>0</v>
      </c>
      <c r="AK49" s="49">
        <f>表1温室气体盘查表!AL50</f>
        <v>17778.3232071154</v>
      </c>
    </row>
    <row r="50" s="25" customFormat="1" ht="18" spans="1:37">
      <c r="A50" s="36">
        <v>46</v>
      </c>
      <c r="B50" s="37" t="str">
        <f>表1温室气体盘查表!B51</f>
        <v>外购商品和服务的上游排放</v>
      </c>
      <c r="C50" s="38" t="str">
        <f>表1温室气体盘查表!C51</f>
        <v>铁鳞生产</v>
      </c>
      <c r="D50" s="39" t="str">
        <f>表1温室气体盘查表!E51</f>
        <v>范围三 类别1</v>
      </c>
      <c r="E50" s="40">
        <f>表1温室气体盘查表!F51</f>
        <v>172683.99</v>
      </c>
      <c r="F50" s="41" t="str">
        <f>表1温室气体盘查表!G51</f>
        <v>t</v>
      </c>
      <c r="G50" s="42" t="e">
        <f>'附表2-EF'!#REF!*10</f>
        <v>#REF!</v>
      </c>
      <c r="H50" s="41" t="s">
        <v>781</v>
      </c>
      <c r="I50" s="43">
        <f>'附表1-GWP TABLE'!E49</f>
        <v>0</v>
      </c>
      <c r="J50" s="44"/>
      <c r="K50" s="41"/>
      <c r="L50" s="43"/>
      <c r="M50" s="44"/>
      <c r="N50" s="41"/>
      <c r="O50" s="43"/>
      <c r="P50" s="45"/>
      <c r="Q50" s="46"/>
      <c r="R50" s="47"/>
      <c r="S50" s="46"/>
      <c r="T50" s="44"/>
      <c r="U50" s="41"/>
      <c r="V50" s="48"/>
      <c r="W50" s="41"/>
      <c r="X50" s="44"/>
      <c r="Y50" s="41"/>
      <c r="Z50" s="43"/>
      <c r="AA50" s="44"/>
      <c r="AB50" s="46"/>
      <c r="AC50" s="43"/>
      <c r="AD50" s="49">
        <f>表1温室气体盘查表!AE51</f>
        <v>608.383942171421</v>
      </c>
      <c r="AE50" s="49">
        <f>表1温室气体盘查表!AF51</f>
        <v>0</v>
      </c>
      <c r="AF50" s="49">
        <f>表1温室气体盘查表!AG51</f>
        <v>0</v>
      </c>
      <c r="AG50" s="49">
        <f>表1温室气体盘查表!AH51</f>
        <v>0</v>
      </c>
      <c r="AH50" s="49">
        <f>表1温室气体盘查表!AI51</f>
        <v>0</v>
      </c>
      <c r="AI50" s="49">
        <f>表1温室气体盘查表!AJ51</f>
        <v>0</v>
      </c>
      <c r="AJ50" s="49">
        <f>表1温室气体盘查表!AK51</f>
        <v>0</v>
      </c>
      <c r="AK50" s="49">
        <f>表1温室气体盘查表!AL51</f>
        <v>608.383942171421</v>
      </c>
    </row>
    <row r="51" s="25" customFormat="1" ht="18" spans="1:37">
      <c r="A51" s="36">
        <v>47</v>
      </c>
      <c r="B51" s="37" t="str">
        <f>表1温室气体盘查表!B52</f>
        <v>外购商品和服务的上游排放</v>
      </c>
      <c r="C51" s="38" t="str">
        <f>表1温室气体盘查表!C52</f>
        <v>氨水生产</v>
      </c>
      <c r="D51" s="39" t="str">
        <f>表1温室气体盘查表!E52</f>
        <v>范围三 类别1</v>
      </c>
      <c r="E51" s="40">
        <f>表1温室气体盘查表!F52</f>
        <v>4496.14</v>
      </c>
      <c r="F51" s="41" t="str">
        <f>表1温室气体盘查表!G52</f>
        <v>t</v>
      </c>
      <c r="G51" s="42" t="e">
        <f>'附表2-EF'!#REF!*10</f>
        <v>#REF!</v>
      </c>
      <c r="H51" s="41" t="s">
        <v>782</v>
      </c>
      <c r="I51" s="43">
        <f>'附表1-GWP TABLE'!E50</f>
        <v>0</v>
      </c>
      <c r="J51" s="44"/>
      <c r="K51" s="41"/>
      <c r="L51" s="43"/>
      <c r="M51" s="44"/>
      <c r="N51" s="41"/>
      <c r="O51" s="43"/>
      <c r="P51" s="45"/>
      <c r="Q51" s="46"/>
      <c r="R51" s="47"/>
      <c r="S51" s="46"/>
      <c r="T51" s="44"/>
      <c r="U51" s="41"/>
      <c r="V51" s="48"/>
      <c r="W51" s="41"/>
      <c r="X51" s="44"/>
      <c r="Y51" s="41"/>
      <c r="Z51" s="43"/>
      <c r="AA51" s="44"/>
      <c r="AB51" s="46"/>
      <c r="AC51" s="43"/>
      <c r="AD51" s="49">
        <f>表1温室气体盘查表!AE52</f>
        <v>24444.8152755637</v>
      </c>
      <c r="AE51" s="49">
        <f>表1温室气体盘查表!AF52</f>
        <v>0</v>
      </c>
      <c r="AF51" s="49">
        <f>表1温室气体盘查表!AG52</f>
        <v>0</v>
      </c>
      <c r="AG51" s="49">
        <f>表1温室气体盘查表!AH52</f>
        <v>0</v>
      </c>
      <c r="AH51" s="49">
        <f>表1温室气体盘查表!AI52</f>
        <v>0</v>
      </c>
      <c r="AI51" s="49">
        <f>表1温室气体盘查表!AJ52</f>
        <v>0</v>
      </c>
      <c r="AJ51" s="49">
        <f>表1温室气体盘查表!AK52</f>
        <v>0</v>
      </c>
      <c r="AK51" s="49">
        <f>表1温室气体盘查表!AL52</f>
        <v>24444.8152755637</v>
      </c>
    </row>
    <row r="52" s="25" customFormat="1" ht="18" spans="1:37">
      <c r="A52" s="36">
        <v>48</v>
      </c>
      <c r="B52" s="37" t="str">
        <f>表1温室气体盘查表!B53</f>
        <v>外购商品和服务的上游排放</v>
      </c>
      <c r="C52" s="38" t="str">
        <f>表1温室气体盘查表!C53</f>
        <v>碳化硅生产</v>
      </c>
      <c r="D52" s="39" t="str">
        <f>表1温室气体盘查表!E53</f>
        <v>范围三 类别1</v>
      </c>
      <c r="E52" s="40">
        <f>表1温室气体盘查表!F53</f>
        <v>6614.798</v>
      </c>
      <c r="F52" s="41" t="str">
        <f>表1温室气体盘查表!G53</f>
        <v>t</v>
      </c>
      <c r="G52" s="42" t="e">
        <f>'附表2-EF'!#REF!*10</f>
        <v>#REF!</v>
      </c>
      <c r="H52" s="41" t="s">
        <v>783</v>
      </c>
      <c r="I52" s="43">
        <f>'附表1-GWP TABLE'!E51</f>
        <v>0</v>
      </c>
      <c r="J52" s="44"/>
      <c r="K52" s="41"/>
      <c r="L52" s="43"/>
      <c r="M52" s="44"/>
      <c r="N52" s="41"/>
      <c r="O52" s="43"/>
      <c r="P52" s="45"/>
      <c r="Q52" s="46"/>
      <c r="R52" s="47"/>
      <c r="S52" s="46"/>
      <c r="T52" s="44"/>
      <c r="U52" s="41"/>
      <c r="V52" s="48"/>
      <c r="W52" s="41"/>
      <c r="X52" s="44"/>
      <c r="Y52" s="41"/>
      <c r="Z52" s="43"/>
      <c r="AA52" s="44"/>
      <c r="AB52" s="46"/>
      <c r="AC52" s="43"/>
      <c r="AD52" s="49">
        <f>表1温室气体盘查表!AE53</f>
        <v>48149.5851242863</v>
      </c>
      <c r="AE52" s="49">
        <f>表1温室气体盘查表!AF53</f>
        <v>0</v>
      </c>
      <c r="AF52" s="49">
        <f>表1温室气体盘查表!AG53</f>
        <v>0</v>
      </c>
      <c r="AG52" s="49">
        <f>表1温室气体盘查表!AH53</f>
        <v>0</v>
      </c>
      <c r="AH52" s="49">
        <f>表1温室气体盘查表!AI53</f>
        <v>0</v>
      </c>
      <c r="AI52" s="49">
        <f>表1温室气体盘查表!AJ53</f>
        <v>0</v>
      </c>
      <c r="AJ52" s="49">
        <f>表1温室气体盘查表!AK53</f>
        <v>0</v>
      </c>
      <c r="AK52" s="49">
        <f>表1温室气体盘查表!AL53</f>
        <v>48149.5851242863</v>
      </c>
    </row>
    <row r="53" s="25" customFormat="1" ht="18" spans="1:37">
      <c r="A53" s="36">
        <v>49</v>
      </c>
      <c r="B53" s="37" t="str">
        <f>表1温室气体盘查表!B54</f>
        <v>外购商品和服务的上游排放</v>
      </c>
      <c r="C53" s="38" t="str">
        <f>表1温室气体盘查表!C54</f>
        <v>镁生产</v>
      </c>
      <c r="D53" s="39" t="str">
        <f>表1温室气体盘查表!E54</f>
        <v>范围三 类别1</v>
      </c>
      <c r="E53" s="40">
        <f>表1温室气体盘查表!F54</f>
        <v>11710.709</v>
      </c>
      <c r="F53" s="41" t="str">
        <f>表1温室气体盘查表!G54</f>
        <v>t</v>
      </c>
      <c r="G53" s="42" t="e">
        <f>'附表2-EF'!#REF!*10</f>
        <v>#REF!</v>
      </c>
      <c r="H53" s="41" t="s">
        <v>784</v>
      </c>
      <c r="I53" s="43">
        <f>'附表1-GWP TABLE'!E52</f>
        <v>0</v>
      </c>
      <c r="J53" s="44"/>
      <c r="K53" s="41"/>
      <c r="L53" s="43"/>
      <c r="M53" s="44"/>
      <c r="N53" s="41"/>
      <c r="O53" s="43"/>
      <c r="P53" s="45"/>
      <c r="Q53" s="46"/>
      <c r="R53" s="47"/>
      <c r="S53" s="46"/>
      <c r="T53" s="44"/>
      <c r="U53" s="41"/>
      <c r="V53" s="48"/>
      <c r="W53" s="41"/>
      <c r="X53" s="44"/>
      <c r="Y53" s="41"/>
      <c r="Z53" s="43"/>
      <c r="AA53" s="44"/>
      <c r="AB53" s="46"/>
      <c r="AC53" s="43"/>
      <c r="AD53" s="49">
        <f>表1温室气体盘查表!AE54</f>
        <v>308520.83395426</v>
      </c>
      <c r="AE53" s="49">
        <f>表1温室气体盘查表!AF54</f>
        <v>0</v>
      </c>
      <c r="AF53" s="49">
        <f>表1温室气体盘查表!AG54</f>
        <v>0</v>
      </c>
      <c r="AG53" s="49">
        <f>表1温室气体盘查表!AH54</f>
        <v>0</v>
      </c>
      <c r="AH53" s="49">
        <f>表1温室气体盘查表!AI54</f>
        <v>0</v>
      </c>
      <c r="AI53" s="49">
        <f>表1温室气体盘查表!AJ54</f>
        <v>0</v>
      </c>
      <c r="AJ53" s="49">
        <f>表1温室气体盘查表!AK54</f>
        <v>0</v>
      </c>
      <c r="AK53" s="49">
        <f>表1温室气体盘查表!AL54</f>
        <v>308520.83395426</v>
      </c>
    </row>
    <row r="54" s="25" customFormat="1" ht="18" spans="1:37">
      <c r="A54" s="36">
        <v>50</v>
      </c>
      <c r="B54" s="37" t="str">
        <f>表1温室气体盘查表!B55</f>
        <v>外购商品和服务的上游排放</v>
      </c>
      <c r="C54" s="38" t="str">
        <f>表1温室气体盘查表!C55</f>
        <v>所有其他纸制品加工制造</v>
      </c>
      <c r="D54" s="39" t="str">
        <f>表1温室气体盘查表!E55</f>
        <v>范围三 类别1</v>
      </c>
      <c r="E54" s="40">
        <f>表1温室气体盘查表!F55</f>
        <v>16162.17</v>
      </c>
      <c r="F54" s="41" t="str">
        <f>表1温室气体盘查表!G55</f>
        <v>$</v>
      </c>
      <c r="G54" s="42" t="e">
        <f>'附表2-EF'!#REF!*10</f>
        <v>#REF!</v>
      </c>
      <c r="H54" s="41" t="s">
        <v>785</v>
      </c>
      <c r="I54" s="43">
        <f>'附表1-GWP TABLE'!E53</f>
        <v>0</v>
      </c>
      <c r="J54" s="44"/>
      <c r="K54" s="41"/>
      <c r="L54" s="43"/>
      <c r="M54" s="44"/>
      <c r="N54" s="41"/>
      <c r="O54" s="43"/>
      <c r="P54" s="45"/>
      <c r="Q54" s="46"/>
      <c r="R54" s="47"/>
      <c r="S54" s="46"/>
      <c r="T54" s="44"/>
      <c r="U54" s="41"/>
      <c r="V54" s="48"/>
      <c r="W54" s="41"/>
      <c r="X54" s="44"/>
      <c r="Y54" s="41"/>
      <c r="Z54" s="43"/>
      <c r="AA54" s="44"/>
      <c r="AB54" s="46"/>
      <c r="AC54" s="43"/>
      <c r="AD54" s="49">
        <f>表1温室气体盘查表!AE55</f>
        <v>5.54362431</v>
      </c>
      <c r="AE54" s="49">
        <f>表1温室气体盘查表!AF55</f>
        <v>0</v>
      </c>
      <c r="AF54" s="49">
        <f>表1温室气体盘查表!AG55</f>
        <v>0</v>
      </c>
      <c r="AG54" s="49">
        <f>表1温室气体盘查表!AH55</f>
        <v>0</v>
      </c>
      <c r="AH54" s="49">
        <f>表1温室气体盘查表!AI55</f>
        <v>0</v>
      </c>
      <c r="AI54" s="49">
        <f>表1温室气体盘查表!AJ55</f>
        <v>0</v>
      </c>
      <c r="AJ54" s="49">
        <f>表1温室气体盘查表!AK55</f>
        <v>0</v>
      </c>
      <c r="AK54" s="49">
        <f>表1温室气体盘查表!AL55</f>
        <v>5.54362431</v>
      </c>
    </row>
    <row r="55" s="25" customFormat="1" ht="18" spans="1:37">
      <c r="A55" s="36">
        <v>51</v>
      </c>
      <c r="B55" s="37" t="str">
        <f>表1温室气体盘查表!B56</f>
        <v>外购商品和服务的上游排放</v>
      </c>
      <c r="C55" s="38" t="str">
        <f>表1温室气体盘查表!C56</f>
        <v>办公用品(纸张除外)制造</v>
      </c>
      <c r="D55" s="39" t="str">
        <f>表1温室气体盘查表!E56</f>
        <v>范围三 类别1</v>
      </c>
      <c r="E55" s="40">
        <f>表1温室气体盘查表!F56</f>
        <v>177487.76</v>
      </c>
      <c r="F55" s="41" t="str">
        <f>表1温室气体盘查表!G56</f>
        <v>$</v>
      </c>
      <c r="G55" s="42" t="e">
        <f>'附表2-EF'!#REF!*10</f>
        <v>#REF!</v>
      </c>
      <c r="H55" s="41" t="s">
        <v>786</v>
      </c>
      <c r="I55" s="43">
        <f>'附表1-GWP TABLE'!E54</f>
        <v>0</v>
      </c>
      <c r="J55" s="44"/>
      <c r="K55" s="41"/>
      <c r="L55" s="43"/>
      <c r="M55" s="44"/>
      <c r="N55" s="41"/>
      <c r="O55" s="43"/>
      <c r="P55" s="45"/>
      <c r="Q55" s="46"/>
      <c r="R55" s="47"/>
      <c r="S55" s="46"/>
      <c r="T55" s="44"/>
      <c r="U55" s="41"/>
      <c r="V55" s="48"/>
      <c r="W55" s="41"/>
      <c r="X55" s="44"/>
      <c r="Y55" s="41"/>
      <c r="Z55" s="43"/>
      <c r="AA55" s="44"/>
      <c r="AB55" s="46"/>
      <c r="AC55" s="43"/>
      <c r="AD55" s="49">
        <f>表1温室气体盘查表!AE56</f>
        <v>47.0342564</v>
      </c>
      <c r="AE55" s="49">
        <f>表1温室气体盘查表!AF56</f>
        <v>0</v>
      </c>
      <c r="AF55" s="49">
        <f>表1温室气体盘查表!AG56</f>
        <v>0</v>
      </c>
      <c r="AG55" s="49">
        <f>表1温室气体盘查表!AH56</f>
        <v>0</v>
      </c>
      <c r="AH55" s="49">
        <f>表1温室气体盘查表!AI56</f>
        <v>0</v>
      </c>
      <c r="AI55" s="49">
        <f>表1温室气体盘查表!AJ56</f>
        <v>0</v>
      </c>
      <c r="AJ55" s="49">
        <f>表1温室气体盘查表!AK56</f>
        <v>0</v>
      </c>
      <c r="AK55" s="49">
        <f>表1温室气体盘查表!AL56</f>
        <v>47.0342564</v>
      </c>
    </row>
    <row r="56" s="25" customFormat="1" ht="18" spans="1:37">
      <c r="A56" s="36">
        <v>52</v>
      </c>
      <c r="B56" s="37" t="str">
        <f>表1温室气体盘查表!B57</f>
        <v>外购商品和服务的上游排放</v>
      </c>
      <c r="C56" s="38" t="str">
        <f>表1温室气体盘查表!C57</f>
        <v>源水</v>
      </c>
      <c r="D56" s="39" t="str">
        <f>表1温室气体盘查表!E57</f>
        <v>范围三 类别1</v>
      </c>
      <c r="E56" s="40">
        <f>表1温室气体盘查表!F57</f>
        <v>23278634</v>
      </c>
      <c r="F56" s="41" t="str">
        <f>表1温室气体盘查表!G57</f>
        <v>t</v>
      </c>
      <c r="G56" s="42" t="e">
        <f>'附表2-EF'!#REF!*10</f>
        <v>#REF!</v>
      </c>
      <c r="H56" s="41" t="s">
        <v>787</v>
      </c>
      <c r="I56" s="43">
        <f>'附表1-GWP TABLE'!E55</f>
        <v>0</v>
      </c>
      <c r="J56" s="44"/>
      <c r="K56" s="41"/>
      <c r="L56" s="43"/>
      <c r="M56" s="44"/>
      <c r="N56" s="41"/>
      <c r="O56" s="43"/>
      <c r="P56" s="45"/>
      <c r="Q56" s="46"/>
      <c r="R56" s="47"/>
      <c r="S56" s="46"/>
      <c r="T56" s="44"/>
      <c r="U56" s="41"/>
      <c r="V56" s="48"/>
      <c r="W56" s="41"/>
      <c r="X56" s="44"/>
      <c r="Y56" s="41"/>
      <c r="Z56" s="43"/>
      <c r="AA56" s="44"/>
      <c r="AB56" s="46"/>
      <c r="AC56" s="43"/>
      <c r="AD56" s="49">
        <f>表1温室气体盘查表!AE57</f>
        <v>29761.0306554007</v>
      </c>
      <c r="AE56" s="49">
        <f>表1温室气体盘查表!AF57</f>
        <v>0</v>
      </c>
      <c r="AF56" s="49">
        <f>表1温室气体盘查表!AG57</f>
        <v>0</v>
      </c>
      <c r="AG56" s="49">
        <f>表1温室气体盘查表!AH57</f>
        <v>0</v>
      </c>
      <c r="AH56" s="49">
        <f>表1温室气体盘查表!AI57</f>
        <v>0</v>
      </c>
      <c r="AI56" s="49">
        <f>表1温室气体盘查表!AJ57</f>
        <v>0</v>
      </c>
      <c r="AJ56" s="49">
        <f>表1温室气体盘查表!AK57</f>
        <v>0</v>
      </c>
      <c r="AK56" s="49">
        <f>表1温室气体盘查表!AL57</f>
        <v>29761.0306554007</v>
      </c>
    </row>
    <row r="57" s="25" customFormat="1" ht="36" spans="1:37">
      <c r="A57" s="36">
        <v>53</v>
      </c>
      <c r="B57" s="37" t="str">
        <f>表1温室气体盘查表!B58</f>
        <v>资本货物</v>
      </c>
      <c r="C57" s="38" t="str">
        <f>表1温室气体盘查表!C58</f>
        <v>采购产品空调和暖空气加热设备和商业和工业制冷设备制造</v>
      </c>
      <c r="D57" s="39" t="str">
        <f>表1温室气体盘查表!E58</f>
        <v>范围三 类别2</v>
      </c>
      <c r="E57" s="40">
        <f>表1温室气体盘查表!F58</f>
        <v>137337.4</v>
      </c>
      <c r="F57" s="41" t="str">
        <f>表1温室气体盘查表!G58</f>
        <v>$</v>
      </c>
      <c r="G57" s="42" t="e">
        <f>'附表2-EF'!#REF!*10</f>
        <v>#REF!</v>
      </c>
      <c r="H57" s="41" t="s">
        <v>788</v>
      </c>
      <c r="I57" s="43">
        <f>'附表1-GWP TABLE'!E56</f>
        <v>0</v>
      </c>
      <c r="J57" s="44"/>
      <c r="K57" s="41"/>
      <c r="L57" s="43"/>
      <c r="M57" s="44"/>
      <c r="N57" s="41"/>
      <c r="O57" s="43"/>
      <c r="P57" s="45"/>
      <c r="Q57" s="46"/>
      <c r="R57" s="47"/>
      <c r="S57" s="46"/>
      <c r="T57" s="44"/>
      <c r="U57" s="41"/>
      <c r="V57" s="48"/>
      <c r="W57" s="41"/>
      <c r="X57" s="44"/>
      <c r="Y57" s="41"/>
      <c r="Z57" s="43"/>
      <c r="AA57" s="44"/>
      <c r="AB57" s="46"/>
      <c r="AC57" s="43"/>
      <c r="AD57" s="49">
        <f>表1温室气体盘查表!AE58</f>
        <v>14.8324392</v>
      </c>
      <c r="AE57" s="49">
        <f>表1温室气体盘查表!AF58</f>
        <v>0</v>
      </c>
      <c r="AF57" s="49">
        <f>表1温室气体盘查表!AG58</f>
        <v>0</v>
      </c>
      <c r="AG57" s="49">
        <f>表1温室气体盘查表!AH58</f>
        <v>0</v>
      </c>
      <c r="AH57" s="49">
        <f>表1温室气体盘查表!AI58</f>
        <v>0</v>
      </c>
      <c r="AI57" s="49">
        <f>表1温室气体盘查表!AJ58</f>
        <v>0</v>
      </c>
      <c r="AJ57" s="49">
        <f>表1温室气体盘查表!AK58</f>
        <v>0</v>
      </c>
      <c r="AK57" s="49">
        <f>表1温室气体盘查表!AL58</f>
        <v>14.8324392</v>
      </c>
    </row>
    <row r="58" s="25" customFormat="1" ht="18" spans="1:37">
      <c r="A58" s="36">
        <v>54</v>
      </c>
      <c r="B58" s="37" t="str">
        <f>表1温室气体盘查表!B59</f>
        <v>资本货物</v>
      </c>
      <c r="C58" s="38" t="str">
        <f>表1温室气体盘查表!C59</f>
        <v>电子计算机制造</v>
      </c>
      <c r="D58" s="39" t="str">
        <f>表1温室气体盘查表!E59</f>
        <v>范围三 类别2</v>
      </c>
      <c r="E58" s="40">
        <f>表1温室气体盘查表!F59</f>
        <v>65311.03</v>
      </c>
      <c r="F58" s="41" t="str">
        <f>表1温室气体盘查表!G59</f>
        <v>$</v>
      </c>
      <c r="G58" s="42" t="e">
        <f>'附表2-EF'!#REF!*10</f>
        <v>#REF!</v>
      </c>
      <c r="H58" s="41" t="s">
        <v>789</v>
      </c>
      <c r="I58" s="43">
        <f>'附表1-GWP TABLE'!E57</f>
        <v>0</v>
      </c>
      <c r="J58" s="44"/>
      <c r="K58" s="41"/>
      <c r="L58" s="43"/>
      <c r="M58" s="44"/>
      <c r="N58" s="41"/>
      <c r="O58" s="43"/>
      <c r="P58" s="45"/>
      <c r="Q58" s="46"/>
      <c r="R58" s="47"/>
      <c r="S58" s="46"/>
      <c r="T58" s="44"/>
      <c r="U58" s="41"/>
      <c r="V58" s="48"/>
      <c r="W58" s="41"/>
      <c r="X58" s="44"/>
      <c r="Y58" s="41"/>
      <c r="Z58" s="43"/>
      <c r="AA58" s="44"/>
      <c r="AB58" s="46"/>
      <c r="AC58" s="43"/>
      <c r="AD58" s="49">
        <f>表1温室气体盘查表!AE59</f>
        <v>3.78803974</v>
      </c>
      <c r="AE58" s="49">
        <f>表1温室气体盘查表!AF59</f>
        <v>0</v>
      </c>
      <c r="AF58" s="49">
        <f>表1温室气体盘查表!AG59</f>
        <v>0</v>
      </c>
      <c r="AG58" s="49">
        <f>表1温室气体盘查表!AH59</f>
        <v>0</v>
      </c>
      <c r="AH58" s="49">
        <f>表1温室气体盘查表!AI59</f>
        <v>0</v>
      </c>
      <c r="AI58" s="49">
        <f>表1温室气体盘查表!AJ59</f>
        <v>0</v>
      </c>
      <c r="AJ58" s="49">
        <f>表1温室气体盘查表!AK59</f>
        <v>0</v>
      </c>
      <c r="AK58" s="49">
        <f>表1温室气体盘查表!AL59</f>
        <v>3.78803974</v>
      </c>
    </row>
    <row r="59" s="25" customFormat="1" ht="18" spans="1:37">
      <c r="A59" s="36">
        <v>55</v>
      </c>
      <c r="B59" s="37" t="str">
        <f>表1温室气体盘查表!B60</f>
        <v>资本货物</v>
      </c>
      <c r="C59" s="38" t="str">
        <f>表1温室气体盘查表!C60</f>
        <v>焊接及焊接设备制造</v>
      </c>
      <c r="D59" s="39" t="str">
        <f>表1温室气体盘查表!E60</f>
        <v>范围三 类别2</v>
      </c>
      <c r="E59" s="40">
        <f>表1温室气体盘查表!F60</f>
        <v>869121.8</v>
      </c>
      <c r="F59" s="41" t="str">
        <f>表1温室气体盘查表!G60</f>
        <v>$</v>
      </c>
      <c r="G59" s="42" t="e">
        <f>'附表2-EF'!#REF!*10</f>
        <v>#REF!</v>
      </c>
      <c r="H59" s="41" t="s">
        <v>790</v>
      </c>
      <c r="I59" s="43">
        <f>'附表1-GWP TABLE'!E58</f>
        <v>0</v>
      </c>
      <c r="J59" s="44"/>
      <c r="K59" s="41"/>
      <c r="L59" s="43"/>
      <c r="M59" s="44"/>
      <c r="N59" s="41"/>
      <c r="O59" s="43"/>
      <c r="P59" s="45"/>
      <c r="Q59" s="46"/>
      <c r="R59" s="47"/>
      <c r="S59" s="46"/>
      <c r="T59" s="44"/>
      <c r="U59" s="41"/>
      <c r="V59" s="48"/>
      <c r="W59" s="41"/>
      <c r="X59" s="44"/>
      <c r="Y59" s="41"/>
      <c r="Z59" s="43"/>
      <c r="AA59" s="44"/>
      <c r="AB59" s="46"/>
      <c r="AC59" s="43"/>
      <c r="AD59" s="49">
        <f>表1温室气体盘查表!AE60</f>
        <v>216.4113282</v>
      </c>
      <c r="AE59" s="49">
        <f>表1温室气体盘查表!AF60</f>
        <v>0</v>
      </c>
      <c r="AF59" s="49">
        <f>表1温室气体盘查表!AG60</f>
        <v>0</v>
      </c>
      <c r="AG59" s="49">
        <f>表1温室气体盘查表!AH60</f>
        <v>0</v>
      </c>
      <c r="AH59" s="49">
        <f>表1温室气体盘查表!AI60</f>
        <v>0</v>
      </c>
      <c r="AI59" s="49">
        <f>表1温室气体盘查表!AJ60</f>
        <v>0</v>
      </c>
      <c r="AJ59" s="49">
        <f>表1温室气体盘查表!AK60</f>
        <v>0</v>
      </c>
      <c r="AK59" s="49">
        <f>表1温室气体盘查表!AL60</f>
        <v>216.4113282</v>
      </c>
    </row>
    <row r="60" s="25" customFormat="1" ht="18" spans="1:37">
      <c r="A60" s="36">
        <v>56</v>
      </c>
      <c r="B60" s="37" t="str">
        <f>表1温室气体盘查表!B61</f>
        <v>资本货物</v>
      </c>
      <c r="C60" s="38" t="str">
        <f>表1温室气体盘查表!C61</f>
        <v>其他工业设备制造</v>
      </c>
      <c r="D60" s="39" t="str">
        <f>表1温室气体盘查表!E61</f>
        <v>范围三 类别2</v>
      </c>
      <c r="E60" s="40">
        <f>表1温室气体盘查表!F61</f>
        <v>6234953.43</v>
      </c>
      <c r="F60" s="41" t="str">
        <f>表1温室气体盘查表!G61</f>
        <v>$</v>
      </c>
      <c r="G60" s="42" t="e">
        <f>'附表2-EF'!#REF!*10</f>
        <v>#REF!</v>
      </c>
      <c r="H60" s="41" t="s">
        <v>791</v>
      </c>
      <c r="I60" s="43">
        <f>'附表1-GWP TABLE'!E59</f>
        <v>0</v>
      </c>
      <c r="J60" s="44"/>
      <c r="K60" s="41"/>
      <c r="L60" s="43"/>
      <c r="M60" s="44"/>
      <c r="N60" s="41"/>
      <c r="O60" s="43"/>
      <c r="P60" s="45"/>
      <c r="Q60" s="46"/>
      <c r="R60" s="47"/>
      <c r="S60" s="46"/>
      <c r="T60" s="44"/>
      <c r="U60" s="41"/>
      <c r="V60" s="48"/>
      <c r="W60" s="41"/>
      <c r="X60" s="44"/>
      <c r="Y60" s="41"/>
      <c r="Z60" s="43"/>
      <c r="AA60" s="44"/>
      <c r="AB60" s="46"/>
      <c r="AC60" s="43"/>
      <c r="AD60" s="49">
        <f>表1温室气体盘查表!AE61</f>
        <v>1153.46638455</v>
      </c>
      <c r="AE60" s="49">
        <f>表1温室气体盘查表!AF61</f>
        <v>0</v>
      </c>
      <c r="AF60" s="49">
        <f>表1温室气体盘查表!AG61</f>
        <v>0</v>
      </c>
      <c r="AG60" s="49">
        <f>表1温室气体盘查表!AH61</f>
        <v>0</v>
      </c>
      <c r="AH60" s="49">
        <f>表1温室气体盘查表!AI61</f>
        <v>0</v>
      </c>
      <c r="AI60" s="49">
        <f>表1温室气体盘查表!AJ61</f>
        <v>0</v>
      </c>
      <c r="AJ60" s="49">
        <f>表1温室气体盘查表!AK61</f>
        <v>0</v>
      </c>
      <c r="AK60" s="49">
        <f>表1温室气体盘查表!AL61</f>
        <v>1153.46638455</v>
      </c>
    </row>
    <row r="61" s="25" customFormat="1" ht="27" spans="1:37">
      <c r="A61" s="36">
        <v>57</v>
      </c>
      <c r="B61" s="37" t="str">
        <f>表1温室气体盘查表!B62</f>
        <v>资本货物</v>
      </c>
      <c r="C61" s="38" t="str">
        <f>表1温室气体盘查表!C62</f>
        <v>测量和测试电力和电气信号的仪器制造</v>
      </c>
      <c r="D61" s="39" t="str">
        <f>表1温室气体盘查表!E62</f>
        <v>范围三 类别2</v>
      </c>
      <c r="E61" s="40">
        <f>表1温室气体盘查表!F62</f>
        <v>560965.85</v>
      </c>
      <c r="F61" s="41" t="str">
        <f>表1温室气体盘查表!G62</f>
        <v>$</v>
      </c>
      <c r="G61" s="42" t="e">
        <f>'附表2-EF'!#REF!*10</f>
        <v>#REF!</v>
      </c>
      <c r="H61" s="41" t="s">
        <v>792</v>
      </c>
      <c r="I61" s="43">
        <f>'附表1-GWP TABLE'!E60</f>
        <v>0</v>
      </c>
      <c r="J61" s="44"/>
      <c r="K61" s="41"/>
      <c r="L61" s="43"/>
      <c r="M61" s="44"/>
      <c r="N61" s="41"/>
      <c r="O61" s="43"/>
      <c r="P61" s="45"/>
      <c r="Q61" s="46"/>
      <c r="R61" s="47"/>
      <c r="S61" s="46"/>
      <c r="T61" s="44"/>
      <c r="U61" s="41"/>
      <c r="V61" s="48"/>
      <c r="W61" s="41"/>
      <c r="X61" s="44"/>
      <c r="Y61" s="41"/>
      <c r="Z61" s="43"/>
      <c r="AA61" s="44"/>
      <c r="AB61" s="46"/>
      <c r="AC61" s="43"/>
      <c r="AD61" s="49">
        <f>表1温室气体盘查表!AE62</f>
        <v>44.31630215</v>
      </c>
      <c r="AE61" s="49">
        <f>表1温室气体盘查表!AF62</f>
        <v>0</v>
      </c>
      <c r="AF61" s="49">
        <f>表1温室气体盘查表!AG62</f>
        <v>0</v>
      </c>
      <c r="AG61" s="49">
        <f>表1温室气体盘查表!AH62</f>
        <v>0</v>
      </c>
      <c r="AH61" s="49">
        <f>表1温室气体盘查表!AI62</f>
        <v>0</v>
      </c>
      <c r="AI61" s="49">
        <f>表1温室气体盘查表!AJ62</f>
        <v>0</v>
      </c>
      <c r="AJ61" s="49">
        <f>表1温室气体盘查表!AK62</f>
        <v>0</v>
      </c>
      <c r="AK61" s="49">
        <f>表1温室气体盘查表!AL62</f>
        <v>44.31630215</v>
      </c>
    </row>
    <row r="62" s="25" customFormat="1" ht="18" spans="1:37">
      <c r="A62" s="36">
        <v>58</v>
      </c>
      <c r="B62" s="37" t="str">
        <f>表1温室气体盘查表!B63</f>
        <v>资本货物</v>
      </c>
      <c r="C62" s="38" t="str">
        <f>表1温室气体盘查表!C63</f>
        <v>计算机系统设计服务</v>
      </c>
      <c r="D62" s="39" t="str">
        <f>表1温室气体盘查表!E63</f>
        <v>范围三 类别2</v>
      </c>
      <c r="E62" s="40">
        <f>表1温室气体盘查表!F63</f>
        <v>631698.52</v>
      </c>
      <c r="F62" s="41" t="str">
        <f>表1温室气体盘查表!G63</f>
        <v>$</v>
      </c>
      <c r="G62" s="42" t="e">
        <f>'附表2-EF'!#REF!*10</f>
        <v>#REF!</v>
      </c>
      <c r="H62" s="41" t="s">
        <v>793</v>
      </c>
      <c r="I62" s="43">
        <f>'附表1-GWP TABLE'!E61</f>
        <v>0</v>
      </c>
      <c r="J62" s="44"/>
      <c r="K62" s="41"/>
      <c r="L62" s="43"/>
      <c r="M62" s="44"/>
      <c r="N62" s="41"/>
      <c r="O62" s="43"/>
      <c r="P62" s="45"/>
      <c r="Q62" s="46"/>
      <c r="R62" s="47"/>
      <c r="S62" s="46"/>
      <c r="T62" s="44"/>
      <c r="U62" s="41"/>
      <c r="V62" s="48"/>
      <c r="W62" s="41"/>
      <c r="X62" s="44"/>
      <c r="Y62" s="41"/>
      <c r="Z62" s="43"/>
      <c r="AA62" s="44"/>
      <c r="AB62" s="46"/>
      <c r="AC62" s="43"/>
      <c r="AD62" s="49">
        <f>表1温室气体盘查表!AE63</f>
        <v>56.22116828</v>
      </c>
      <c r="AE62" s="49">
        <f>表1温室气体盘查表!AF63</f>
        <v>0</v>
      </c>
      <c r="AF62" s="49">
        <f>表1温室气体盘查表!AG63</f>
        <v>0</v>
      </c>
      <c r="AG62" s="49">
        <f>表1温室气体盘查表!AH63</f>
        <v>0</v>
      </c>
      <c r="AH62" s="49">
        <f>表1温室气体盘查表!AI63</f>
        <v>0</v>
      </c>
      <c r="AI62" s="49">
        <f>表1温室气体盘查表!AJ63</f>
        <v>0</v>
      </c>
      <c r="AJ62" s="49">
        <f>表1温室气体盘查表!AK63</f>
        <v>0</v>
      </c>
      <c r="AK62" s="49">
        <f>表1温室气体盘查表!AL63</f>
        <v>56.22116828</v>
      </c>
    </row>
    <row r="63" s="25" customFormat="1" ht="18" spans="1:37">
      <c r="A63" s="36">
        <v>59</v>
      </c>
      <c r="B63" s="37" t="str">
        <f>表1温室气体盘查表!B64</f>
        <v>资本货物</v>
      </c>
      <c r="C63" s="38" t="str">
        <f>表1温室气体盘查表!C64</f>
        <v>机械动力传动设备制造</v>
      </c>
      <c r="D63" s="39" t="str">
        <f>表1温室气体盘查表!E64</f>
        <v>范围三 类别2</v>
      </c>
      <c r="E63" s="40">
        <f>表1温室气体盘查表!F64</f>
        <v>168918.91</v>
      </c>
      <c r="F63" s="41" t="str">
        <f>表1温室气体盘查表!G64</f>
        <v>$</v>
      </c>
      <c r="G63" s="42" t="e">
        <f>'附表2-EF'!#REF!*10</f>
        <v>#REF!</v>
      </c>
      <c r="H63" s="41" t="s">
        <v>794</v>
      </c>
      <c r="I63" s="43">
        <f>'附表1-GWP TABLE'!E62</f>
        <v>0</v>
      </c>
      <c r="J63" s="44"/>
      <c r="K63" s="41"/>
      <c r="L63" s="43"/>
      <c r="M63" s="44"/>
      <c r="N63" s="41"/>
      <c r="O63" s="43"/>
      <c r="P63" s="45"/>
      <c r="Q63" s="46"/>
      <c r="R63" s="47"/>
      <c r="S63" s="46"/>
      <c r="T63" s="44"/>
      <c r="U63" s="41"/>
      <c r="V63" s="48"/>
      <c r="W63" s="41"/>
      <c r="X63" s="44"/>
      <c r="Y63" s="41"/>
      <c r="Z63" s="43"/>
      <c r="AA63" s="44"/>
      <c r="AB63" s="46"/>
      <c r="AC63" s="43"/>
      <c r="AD63" s="49">
        <f>表1温室气体盘查表!AE64</f>
        <v>35.30405219</v>
      </c>
      <c r="AE63" s="49">
        <f>表1温室气体盘查表!AF64</f>
        <v>0</v>
      </c>
      <c r="AF63" s="49">
        <f>表1温室气体盘查表!AG64</f>
        <v>0</v>
      </c>
      <c r="AG63" s="49">
        <f>表1温室气体盘查表!AH64</f>
        <v>0</v>
      </c>
      <c r="AH63" s="49">
        <f>表1温室气体盘查表!AI64</f>
        <v>0</v>
      </c>
      <c r="AI63" s="49">
        <f>表1温室气体盘查表!AJ64</f>
        <v>0</v>
      </c>
      <c r="AJ63" s="49">
        <f>表1温室气体盘查表!AK64</f>
        <v>0</v>
      </c>
      <c r="AK63" s="49">
        <f>表1温室气体盘查表!AL64</f>
        <v>35.30405219</v>
      </c>
    </row>
    <row r="64" s="25" customFormat="1" ht="18" spans="1:37">
      <c r="A64" s="36">
        <v>60</v>
      </c>
      <c r="B64" s="37" t="str">
        <f>表1温室气体盘查表!B65</f>
        <v>资本货物</v>
      </c>
      <c r="C64" s="38" t="str">
        <f>表1温室气体盘查表!C65</f>
        <v>测量、分配及其他泵类设备制造</v>
      </c>
      <c r="D64" s="39" t="str">
        <f>表1温室气体盘查表!E65</f>
        <v>范围三 类别2</v>
      </c>
      <c r="E64" s="40">
        <f>表1温室气体盘查表!F65</f>
        <v>1937496.95</v>
      </c>
      <c r="F64" s="41" t="str">
        <f>表1温室气体盘查表!G65</f>
        <v>$</v>
      </c>
      <c r="G64" s="42" t="e">
        <f>'附表2-EF'!#REF!*10</f>
        <v>#REF!</v>
      </c>
      <c r="H64" s="41" t="s">
        <v>795</v>
      </c>
      <c r="I64" s="43">
        <f>'附表1-GWP TABLE'!E63</f>
        <v>0</v>
      </c>
      <c r="J64" s="44"/>
      <c r="K64" s="41"/>
      <c r="L64" s="43"/>
      <c r="M64" s="44"/>
      <c r="N64" s="41"/>
      <c r="O64" s="43"/>
      <c r="P64" s="45"/>
      <c r="Q64" s="46"/>
      <c r="R64" s="47"/>
      <c r="S64" s="46"/>
      <c r="T64" s="44"/>
      <c r="U64" s="41"/>
      <c r="V64" s="48"/>
      <c r="W64" s="41"/>
      <c r="X64" s="44"/>
      <c r="Y64" s="41"/>
      <c r="Z64" s="43"/>
      <c r="AA64" s="44"/>
      <c r="AB64" s="46"/>
      <c r="AC64" s="43"/>
      <c r="AD64" s="49">
        <f>表1温室气体盘查表!AE65</f>
        <v>432.06181985</v>
      </c>
      <c r="AE64" s="49">
        <f>表1温室气体盘查表!AF65</f>
        <v>0</v>
      </c>
      <c r="AF64" s="49">
        <f>表1温室气体盘查表!AG65</f>
        <v>0</v>
      </c>
      <c r="AG64" s="49">
        <f>表1温室气体盘查表!AH65</f>
        <v>0</v>
      </c>
      <c r="AH64" s="49">
        <f>表1温室气体盘查表!AI65</f>
        <v>0</v>
      </c>
      <c r="AI64" s="49">
        <f>表1温室气体盘查表!AJ65</f>
        <v>0</v>
      </c>
      <c r="AJ64" s="49">
        <f>表1温室气体盘查表!AK65</f>
        <v>0</v>
      </c>
      <c r="AK64" s="49">
        <f>表1温室气体盘查表!AL65</f>
        <v>432.06181985</v>
      </c>
    </row>
    <row r="65" s="25" customFormat="1" ht="36" spans="1:37">
      <c r="A65" s="36">
        <v>61</v>
      </c>
      <c r="B65" s="37" t="str">
        <f>表1温室气体盘查表!B66</f>
        <v>资本货物</v>
      </c>
      <c r="C65" s="38" t="str">
        <f>表1温室气体盘查表!C66</f>
        <v>用于测量、显示和控制工业过程变量的仪器及相关产品制造</v>
      </c>
      <c r="D65" s="39" t="str">
        <f>表1温室气体盘查表!E66</f>
        <v>范围三 类别2</v>
      </c>
      <c r="E65" s="40">
        <f>表1温室气体盘查表!F66</f>
        <v>177532.58</v>
      </c>
      <c r="F65" s="41" t="str">
        <f>表1温室气体盘查表!G66</f>
        <v>$</v>
      </c>
      <c r="G65" s="42" t="e">
        <f>'附表2-EF'!#REF!*10</f>
        <v>#REF!</v>
      </c>
      <c r="H65" s="41" t="s">
        <v>796</v>
      </c>
      <c r="I65" s="43">
        <f>'附表1-GWP TABLE'!E64</f>
        <v>0</v>
      </c>
      <c r="J65" s="44"/>
      <c r="K65" s="41"/>
      <c r="L65" s="43"/>
      <c r="M65" s="44"/>
      <c r="N65" s="41"/>
      <c r="O65" s="43"/>
      <c r="P65" s="45"/>
      <c r="Q65" s="46"/>
      <c r="R65" s="47"/>
      <c r="S65" s="46"/>
      <c r="T65" s="44"/>
      <c r="U65" s="41"/>
      <c r="V65" s="48"/>
      <c r="W65" s="41"/>
      <c r="X65" s="44"/>
      <c r="Y65" s="41"/>
      <c r="Z65" s="43"/>
      <c r="AA65" s="44"/>
      <c r="AB65" s="46"/>
      <c r="AC65" s="43"/>
      <c r="AD65" s="49">
        <f>表1温室气体盘查表!AE66</f>
        <v>11.18455254</v>
      </c>
      <c r="AE65" s="49">
        <f>表1温室气体盘查表!AF66</f>
        <v>0</v>
      </c>
      <c r="AF65" s="49">
        <f>表1温室气体盘查表!AG66</f>
        <v>0</v>
      </c>
      <c r="AG65" s="49">
        <f>表1温室气体盘查表!AH66</f>
        <v>0</v>
      </c>
      <c r="AH65" s="49">
        <f>表1温室气体盘查表!AI66</f>
        <v>0</v>
      </c>
      <c r="AI65" s="49">
        <f>表1温室气体盘查表!AJ66</f>
        <v>0</v>
      </c>
      <c r="AJ65" s="49">
        <f>表1温室气体盘查表!AK66</f>
        <v>0</v>
      </c>
      <c r="AK65" s="49">
        <f>表1温室气体盘查表!AL66</f>
        <v>11.18455254</v>
      </c>
    </row>
    <row r="66" s="25" customFormat="1" ht="27" spans="1:37">
      <c r="A66" s="36">
        <v>62</v>
      </c>
      <c r="B66" s="37" t="str">
        <f>表1温室气体盘查表!B67</f>
        <v>资本货物</v>
      </c>
      <c r="C66" s="38" t="str">
        <f>表1温室气体盘查表!C67</f>
        <v>所有其他杂项电气设备及元件制造</v>
      </c>
      <c r="D66" s="39" t="str">
        <f>表1温室气体盘查表!E67</f>
        <v>范围三 类别2</v>
      </c>
      <c r="E66" s="40">
        <f>表1温室气体盘查表!F67</f>
        <v>4336501.56</v>
      </c>
      <c r="F66" s="41" t="str">
        <f>表1温室气体盘查表!G67</f>
        <v>$</v>
      </c>
      <c r="G66" s="42" t="e">
        <f>'附表2-EF'!#REF!*10</f>
        <v>#REF!</v>
      </c>
      <c r="H66" s="41" t="s">
        <v>797</v>
      </c>
      <c r="I66" s="43">
        <f>'附表1-GWP TABLE'!E65</f>
        <v>0</v>
      </c>
      <c r="J66" s="44"/>
      <c r="K66" s="41"/>
      <c r="L66" s="43"/>
      <c r="M66" s="44"/>
      <c r="N66" s="41"/>
      <c r="O66" s="43"/>
      <c r="P66" s="45"/>
      <c r="Q66" s="46"/>
      <c r="R66" s="47"/>
      <c r="S66" s="46"/>
      <c r="T66" s="44"/>
      <c r="U66" s="41"/>
      <c r="V66" s="48"/>
      <c r="W66" s="41"/>
      <c r="X66" s="44"/>
      <c r="Y66" s="41"/>
      <c r="Z66" s="43"/>
      <c r="AA66" s="44"/>
      <c r="AB66" s="46"/>
      <c r="AC66" s="43"/>
      <c r="AD66" s="49">
        <f>表1温室气体盘查表!AE67</f>
        <v>555.07219968</v>
      </c>
      <c r="AE66" s="49">
        <f>表1温室气体盘查表!AF67</f>
        <v>0</v>
      </c>
      <c r="AF66" s="49">
        <f>表1温室气体盘查表!AG67</f>
        <v>0</v>
      </c>
      <c r="AG66" s="49">
        <f>表1温室气体盘查表!AH67</f>
        <v>0</v>
      </c>
      <c r="AH66" s="49">
        <f>表1温室气体盘查表!AI67</f>
        <v>0</v>
      </c>
      <c r="AI66" s="49">
        <f>表1温室气体盘查表!AJ67</f>
        <v>0</v>
      </c>
      <c r="AJ66" s="49">
        <f>表1温室气体盘查表!AK67</f>
        <v>0</v>
      </c>
      <c r="AK66" s="49">
        <f>表1温室气体盘查表!AL67</f>
        <v>555.07219968</v>
      </c>
    </row>
    <row r="67" s="25" customFormat="1" ht="18" spans="1:37">
      <c r="A67" s="36">
        <v>63</v>
      </c>
      <c r="B67" s="37" t="str">
        <f>表1温室气体盘查表!B68</f>
        <v>资本货物</v>
      </c>
      <c r="C67" s="38" t="str">
        <f>表1温室气体盘查表!C68</f>
        <v>所有其他杂项制造</v>
      </c>
      <c r="D67" s="39" t="str">
        <f>表1温室气体盘查表!E68</f>
        <v>范围三 类别2</v>
      </c>
      <c r="E67" s="40">
        <f>表1温室气体盘查表!F68</f>
        <v>270792923.39</v>
      </c>
      <c r="F67" s="41" t="str">
        <f>表1温室气体盘查表!G68</f>
        <v>$</v>
      </c>
      <c r="G67" s="42" t="e">
        <f>'附表2-EF'!#REF!*10</f>
        <v>#REF!</v>
      </c>
      <c r="H67" s="41" t="s">
        <v>798</v>
      </c>
      <c r="I67" s="43">
        <f>'附表1-GWP TABLE'!E66</f>
        <v>0</v>
      </c>
      <c r="J67" s="44"/>
      <c r="K67" s="41"/>
      <c r="L67" s="43"/>
      <c r="M67" s="44"/>
      <c r="N67" s="41"/>
      <c r="O67" s="43"/>
      <c r="P67" s="45"/>
      <c r="Q67" s="46"/>
      <c r="R67" s="47"/>
      <c r="S67" s="46"/>
      <c r="T67" s="44"/>
      <c r="U67" s="41"/>
      <c r="V67" s="48"/>
      <c r="W67" s="41"/>
      <c r="X67" s="44"/>
      <c r="Y67" s="41"/>
      <c r="Z67" s="43"/>
      <c r="AA67" s="44"/>
      <c r="AB67" s="46"/>
      <c r="AC67" s="43"/>
      <c r="AD67" s="49">
        <f>表1温室气体盘查表!AE68</f>
        <v>49284.31205698</v>
      </c>
      <c r="AE67" s="49">
        <f>表1温室气体盘查表!AF68</f>
        <v>0</v>
      </c>
      <c r="AF67" s="49">
        <f>表1温室气体盘查表!AG68</f>
        <v>0</v>
      </c>
      <c r="AG67" s="49">
        <f>表1温室气体盘查表!AH68</f>
        <v>0</v>
      </c>
      <c r="AH67" s="49">
        <f>表1温室气体盘查表!AI68</f>
        <v>0</v>
      </c>
      <c r="AI67" s="49">
        <f>表1温室气体盘查表!AJ68</f>
        <v>0</v>
      </c>
      <c r="AJ67" s="49">
        <f>表1温室气体盘查表!AK68</f>
        <v>0</v>
      </c>
      <c r="AK67" s="49">
        <f>表1温室气体盘查表!AL68</f>
        <v>49284.31205698</v>
      </c>
    </row>
    <row r="68" s="25" customFormat="1" ht="18" spans="1:37">
      <c r="A68" s="36">
        <v>64</v>
      </c>
      <c r="B68" s="37" t="str">
        <f>表1温室气体盘查表!B69</f>
        <v>范围一、二相关燃料和能源相关的活动产生的排放</v>
      </c>
      <c r="C68" s="38" t="str">
        <f>表1温室气体盘查表!C69</f>
        <v>液化石油气生产</v>
      </c>
      <c r="D68" s="39" t="str">
        <f>表1温室气体盘查表!E69</f>
        <v>范围三 类别3</v>
      </c>
      <c r="E68" s="40">
        <f>表1温室气体盘查表!F69</f>
        <v>9.39</v>
      </c>
      <c r="F68" s="41" t="str">
        <f>表1温室气体盘查表!G69</f>
        <v>t</v>
      </c>
      <c r="G68" s="42" t="e">
        <f>'附表2-EF'!#REF!*10</f>
        <v>#REF!</v>
      </c>
      <c r="H68" s="41" t="s">
        <v>799</v>
      </c>
      <c r="I68" s="43">
        <f>'附表1-GWP TABLE'!E67</f>
        <v>0</v>
      </c>
      <c r="J68" s="44"/>
      <c r="K68" s="41"/>
      <c r="L68" s="43"/>
      <c r="M68" s="44"/>
      <c r="N68" s="41"/>
      <c r="O68" s="43"/>
      <c r="P68" s="45"/>
      <c r="Q68" s="46"/>
      <c r="R68" s="47"/>
      <c r="S68" s="46"/>
      <c r="T68" s="44"/>
      <c r="U68" s="41"/>
      <c r="V68" s="48"/>
      <c r="W68" s="41"/>
      <c r="X68" s="44"/>
      <c r="Y68" s="41"/>
      <c r="Z68" s="43"/>
      <c r="AA68" s="44"/>
      <c r="AB68" s="46"/>
      <c r="AC68" s="43"/>
      <c r="AD68" s="49">
        <f>表1温室气体盘查表!AE69</f>
        <v>9.44845804628386</v>
      </c>
      <c r="AE68" s="49">
        <f>表1温室气体盘查表!AF69</f>
        <v>0</v>
      </c>
      <c r="AF68" s="49">
        <f>表1温室气体盘查表!AG69</f>
        <v>0</v>
      </c>
      <c r="AG68" s="49">
        <f>表1温室气体盘查表!AH69</f>
        <v>0</v>
      </c>
      <c r="AH68" s="49">
        <f>表1温室气体盘查表!AI69</f>
        <v>0</v>
      </c>
      <c r="AI68" s="49">
        <f>表1温室气体盘查表!AJ69</f>
        <v>0</v>
      </c>
      <c r="AJ68" s="49">
        <f>表1温室气体盘查表!AK69</f>
        <v>0</v>
      </c>
      <c r="AK68" s="49">
        <f>表1温室气体盘查表!AL69</f>
        <v>9.44845804628386</v>
      </c>
    </row>
    <row r="69" s="25" customFormat="1" ht="18" spans="1:37">
      <c r="A69" s="36">
        <v>65</v>
      </c>
      <c r="B69" s="37" t="str">
        <f>表1温室气体盘查表!B70</f>
        <v>范围一、二相关燃料和能源相关的活动产生的排放</v>
      </c>
      <c r="C69" s="38" t="str">
        <f>表1温室气体盘查表!C70</f>
        <v>洗精煤生产</v>
      </c>
      <c r="D69" s="39" t="str">
        <f>表1温室气体盘查表!E70</f>
        <v>范围三 类别3</v>
      </c>
      <c r="E69" s="40">
        <f>表1温室气体盘查表!F70</f>
        <v>1946577.05</v>
      </c>
      <c r="F69" s="41" t="str">
        <f>表1温室气体盘查表!G70</f>
        <v>t</v>
      </c>
      <c r="G69" s="42">
        <f>'附表2-EF'!K69*10</f>
        <v>0</v>
      </c>
      <c r="H69" s="41" t="s">
        <v>800</v>
      </c>
      <c r="I69" s="43">
        <f>'附表1-GWP TABLE'!E68</f>
        <v>0</v>
      </c>
      <c r="J69" s="44"/>
      <c r="K69" s="41"/>
      <c r="L69" s="43"/>
      <c r="M69" s="44"/>
      <c r="N69" s="41"/>
      <c r="O69" s="43"/>
      <c r="P69" s="45"/>
      <c r="Q69" s="46"/>
      <c r="R69" s="47"/>
      <c r="S69" s="46"/>
      <c r="T69" s="44"/>
      <c r="U69" s="41"/>
      <c r="V69" s="48"/>
      <c r="W69" s="41"/>
      <c r="X69" s="44"/>
      <c r="Y69" s="41"/>
      <c r="Z69" s="43"/>
      <c r="AA69" s="44"/>
      <c r="AB69" s="46"/>
      <c r="AC69" s="43"/>
      <c r="AD69" s="49">
        <f>表1温室气体盘查表!AE70</f>
        <v>1120352.4211275</v>
      </c>
      <c r="AE69" s="49">
        <f>表1温室气体盘查表!AF70</f>
        <v>0</v>
      </c>
      <c r="AF69" s="49">
        <f>表1温室气体盘查表!AG70</f>
        <v>0</v>
      </c>
      <c r="AG69" s="49">
        <f>表1温室气体盘查表!AH70</f>
        <v>0</v>
      </c>
      <c r="AH69" s="49">
        <f>表1温室气体盘查表!AI70</f>
        <v>0</v>
      </c>
      <c r="AI69" s="49">
        <f>表1温室气体盘查表!AJ70</f>
        <v>0</v>
      </c>
      <c r="AJ69" s="49">
        <f>表1温室气体盘查表!AK70</f>
        <v>0</v>
      </c>
      <c r="AK69" s="49">
        <f>表1温室气体盘查表!AL70</f>
        <v>1120352.4211275</v>
      </c>
    </row>
    <row r="70" s="25" customFormat="1" ht="18" spans="1:37">
      <c r="A70" s="36">
        <v>66</v>
      </c>
      <c r="B70" s="37" t="str">
        <f>表1温室气体盘查表!B71</f>
        <v>范围一、二相关燃料和能源相关的活动产生的排放</v>
      </c>
      <c r="C70" s="38" t="str">
        <f>表1温室气体盘查表!C71</f>
        <v>柴油生产</v>
      </c>
      <c r="D70" s="39" t="str">
        <f>表1温室气体盘查表!E71</f>
        <v>范围三 类别3</v>
      </c>
      <c r="E70" s="40">
        <f>表1温室气体盘查表!F71</f>
        <v>1403.87</v>
      </c>
      <c r="F70" s="41" t="str">
        <f>表1温室气体盘查表!G71</f>
        <v>t</v>
      </c>
      <c r="G70" s="42">
        <f>'附表2-EF'!K70*10</f>
        <v>0</v>
      </c>
      <c r="H70" s="41" t="s">
        <v>801</v>
      </c>
      <c r="I70" s="43">
        <f>'附表1-GWP TABLE'!E69</f>
        <v>0</v>
      </c>
      <c r="J70" s="44"/>
      <c r="K70" s="41"/>
      <c r="L70" s="43"/>
      <c r="M70" s="44"/>
      <c r="N70" s="41"/>
      <c r="O70" s="43"/>
      <c r="P70" s="45"/>
      <c r="Q70" s="46"/>
      <c r="R70" s="47"/>
      <c r="S70" s="46"/>
      <c r="T70" s="44"/>
      <c r="U70" s="41"/>
      <c r="V70" s="48"/>
      <c r="W70" s="41"/>
      <c r="X70" s="44"/>
      <c r="Y70" s="41"/>
      <c r="Z70" s="43"/>
      <c r="AA70" s="44"/>
      <c r="AB70" s="46"/>
      <c r="AC70" s="43"/>
      <c r="AD70" s="49">
        <f>表1温室气体盘查表!AE71</f>
        <v>1182.2270044</v>
      </c>
      <c r="AE70" s="49">
        <f>表1温室气体盘查表!AF71</f>
        <v>0</v>
      </c>
      <c r="AF70" s="49">
        <f>表1温室气体盘查表!AG71</f>
        <v>0</v>
      </c>
      <c r="AG70" s="49">
        <f>表1温室气体盘查表!AH71</f>
        <v>0</v>
      </c>
      <c r="AH70" s="49">
        <f>表1温室气体盘查表!AI71</f>
        <v>0</v>
      </c>
      <c r="AI70" s="49">
        <f>表1温室气体盘查表!AJ71</f>
        <v>0</v>
      </c>
      <c r="AJ70" s="49">
        <f>表1温室气体盘查表!AK71</f>
        <v>0</v>
      </c>
      <c r="AK70" s="49">
        <f>表1温室气体盘查表!AL71</f>
        <v>1182.2270044</v>
      </c>
    </row>
    <row r="71" s="25" customFormat="1" ht="18" spans="1:37">
      <c r="A71" s="36">
        <v>67</v>
      </c>
      <c r="B71" s="37" t="str">
        <f>表1温室气体盘查表!B72</f>
        <v>范围一、二相关燃料和能源相关的活动产生的排放</v>
      </c>
      <c r="C71" s="38" t="str">
        <f>表1温室气体盘查表!C72</f>
        <v>汽油生产</v>
      </c>
      <c r="D71" s="39" t="str">
        <f>表1温室气体盘查表!E72</f>
        <v>范围三 类别3</v>
      </c>
      <c r="E71" s="40">
        <f>表1温室气体盘查表!F72</f>
        <v>49.06</v>
      </c>
      <c r="F71" s="41" t="str">
        <f>表1温室气体盘查表!G72</f>
        <v>t</v>
      </c>
      <c r="G71" s="42" t="e">
        <f>'附表2-EF'!#REF!*10</f>
        <v>#REF!</v>
      </c>
      <c r="H71" s="41" t="s">
        <v>802</v>
      </c>
      <c r="I71" s="43">
        <f>'附表1-GWP TABLE'!E70</f>
        <v>0</v>
      </c>
      <c r="J71" s="44"/>
      <c r="K71" s="41"/>
      <c r="L71" s="43"/>
      <c r="M71" s="44"/>
      <c r="N71" s="41"/>
      <c r="O71" s="43"/>
      <c r="P71" s="45"/>
      <c r="Q71" s="46"/>
      <c r="R71" s="47"/>
      <c r="S71" s="46"/>
      <c r="T71" s="44"/>
      <c r="U71" s="41"/>
      <c r="V71" s="48"/>
      <c r="W71" s="41"/>
      <c r="X71" s="44"/>
      <c r="Y71" s="41"/>
      <c r="Z71" s="43"/>
      <c r="AA71" s="44"/>
      <c r="AB71" s="46"/>
      <c r="AC71" s="43"/>
      <c r="AD71" s="49">
        <f>表1温室气体盘查表!AE72</f>
        <v>48.4384247743095</v>
      </c>
      <c r="AE71" s="49">
        <f>表1温室气体盘查表!AF72</f>
        <v>0</v>
      </c>
      <c r="AF71" s="49">
        <f>表1温室气体盘查表!AG72</f>
        <v>0</v>
      </c>
      <c r="AG71" s="49">
        <f>表1温室气体盘查表!AH72</f>
        <v>0</v>
      </c>
      <c r="AH71" s="49">
        <f>表1温室气体盘查表!AI72</f>
        <v>0</v>
      </c>
      <c r="AI71" s="49">
        <f>表1温室气体盘查表!AJ72</f>
        <v>0</v>
      </c>
      <c r="AJ71" s="49">
        <f>表1温室气体盘查表!AK72</f>
        <v>0</v>
      </c>
      <c r="AK71" s="49">
        <f>表1温室气体盘查表!AL72</f>
        <v>48.4384247743095</v>
      </c>
    </row>
    <row r="72" s="25" customFormat="1" ht="18" spans="1:37">
      <c r="A72" s="36">
        <v>68</v>
      </c>
      <c r="B72" s="37" t="str">
        <f>表1温室气体盘查表!B73</f>
        <v>范围一、二相关燃料和能源相关的活动产生的排放</v>
      </c>
      <c r="C72" s="38" t="str">
        <f>表1温室气体盘查表!C73</f>
        <v>焦炭生产</v>
      </c>
      <c r="D72" s="39" t="str">
        <f>表1温室气体盘查表!E73</f>
        <v>范围三 类别3</v>
      </c>
      <c r="E72" s="40">
        <f>表1温室气体盘查表!F73</f>
        <v>145430.2</v>
      </c>
      <c r="F72" s="41" t="str">
        <f>表1温室气体盘查表!G73</f>
        <v>t</v>
      </c>
      <c r="G72" s="42" t="e">
        <f>'附表2-EF'!#REF!*10</f>
        <v>#REF!</v>
      </c>
      <c r="H72" s="41" t="s">
        <v>803</v>
      </c>
      <c r="I72" s="43">
        <f>'附表1-GWP TABLE'!E71</f>
        <v>0</v>
      </c>
      <c r="J72" s="44"/>
      <c r="K72" s="41"/>
      <c r="L72" s="43"/>
      <c r="M72" s="44"/>
      <c r="N72" s="41"/>
      <c r="O72" s="43"/>
      <c r="P72" s="45"/>
      <c r="Q72" s="46"/>
      <c r="R72" s="47"/>
      <c r="S72" s="46"/>
      <c r="T72" s="44"/>
      <c r="U72" s="41"/>
      <c r="V72" s="48"/>
      <c r="W72" s="41"/>
      <c r="X72" s="44"/>
      <c r="Y72" s="41"/>
      <c r="Z72" s="43"/>
      <c r="AA72" s="44"/>
      <c r="AB72" s="46"/>
      <c r="AC72" s="43"/>
      <c r="AD72" s="49">
        <f>表1温室气体盘查表!AE73</f>
        <v>184347.32152</v>
      </c>
      <c r="AE72" s="49">
        <f>表1温室气体盘查表!AF73</f>
        <v>0</v>
      </c>
      <c r="AF72" s="49">
        <f>表1温室气体盘查表!AG73</f>
        <v>0</v>
      </c>
      <c r="AG72" s="49">
        <f>表1温室气体盘查表!AH73</f>
        <v>0</v>
      </c>
      <c r="AH72" s="49">
        <f>表1温室气体盘查表!AI73</f>
        <v>0</v>
      </c>
      <c r="AI72" s="49">
        <f>表1温室气体盘查表!AJ73</f>
        <v>0</v>
      </c>
      <c r="AJ72" s="49">
        <f>表1温室气体盘查表!AK73</f>
        <v>0</v>
      </c>
      <c r="AK72" s="49">
        <f>表1温室气体盘查表!AL73</f>
        <v>184347.32152</v>
      </c>
    </row>
    <row r="73" s="25" customFormat="1" ht="18" spans="1:37">
      <c r="A73" s="36">
        <v>69</v>
      </c>
      <c r="B73" s="37" t="str">
        <f>表1温室气体盘查表!B74</f>
        <v>范围一、二相关燃料和能源相关的活动产生的排放</v>
      </c>
      <c r="C73" s="38" t="str">
        <f>表1温室气体盘查表!C74</f>
        <v>焦屑生产</v>
      </c>
      <c r="D73" s="39" t="str">
        <f>表1温室气体盘查表!E74</f>
        <v>范围三 类别3</v>
      </c>
      <c r="E73" s="40">
        <f>表1温室气体盘查表!F74</f>
        <v>120570.5</v>
      </c>
      <c r="F73" s="41" t="str">
        <f>表1温室气体盘查表!G74</f>
        <v>t</v>
      </c>
      <c r="G73" s="42" t="e">
        <f>'附表2-EF'!#REF!*10</f>
        <v>#REF!</v>
      </c>
      <c r="H73" s="41" t="s">
        <v>804</v>
      </c>
      <c r="I73" s="43">
        <f>'附表1-GWP TABLE'!E72</f>
        <v>0</v>
      </c>
      <c r="J73" s="44"/>
      <c r="K73" s="41"/>
      <c r="L73" s="43"/>
      <c r="M73" s="44"/>
      <c r="N73" s="41"/>
      <c r="O73" s="43"/>
      <c r="P73" s="45"/>
      <c r="Q73" s="46"/>
      <c r="R73" s="47"/>
      <c r="S73" s="46"/>
      <c r="T73" s="44"/>
      <c r="U73" s="41"/>
      <c r="V73" s="48"/>
      <c r="W73" s="41"/>
      <c r="X73" s="44"/>
      <c r="Y73" s="41"/>
      <c r="Z73" s="43"/>
      <c r="AA73" s="44"/>
      <c r="AB73" s="46"/>
      <c r="AC73" s="43"/>
      <c r="AD73" s="49">
        <f>表1温室气体盘查表!AE74</f>
        <v>152835.1658</v>
      </c>
      <c r="AE73" s="49">
        <f>表1温室气体盘查表!AF74</f>
        <v>0</v>
      </c>
      <c r="AF73" s="49">
        <f>表1温室气体盘查表!AG74</f>
        <v>0</v>
      </c>
      <c r="AG73" s="49">
        <f>表1温室气体盘查表!AH74</f>
        <v>0</v>
      </c>
      <c r="AH73" s="49">
        <f>表1温室气体盘查表!AI74</f>
        <v>0</v>
      </c>
      <c r="AI73" s="49">
        <f>表1温室气体盘查表!AJ74</f>
        <v>0</v>
      </c>
      <c r="AJ73" s="49">
        <f>表1温室气体盘查表!AK74</f>
        <v>0</v>
      </c>
      <c r="AK73" s="49">
        <f>表1温室气体盘查表!AL74</f>
        <v>152835.1658</v>
      </c>
    </row>
    <row r="74" s="25" customFormat="1" ht="18" spans="1:37">
      <c r="A74" s="36">
        <v>70</v>
      </c>
      <c r="B74" s="37" t="str">
        <f>表1温室气体盘查表!B75</f>
        <v>范围一、二相关燃料和能源相关的活动产生的排放</v>
      </c>
      <c r="C74" s="38" t="str">
        <f>表1温室气体盘查表!C75</f>
        <v>烟煤生产</v>
      </c>
      <c r="D74" s="39" t="str">
        <f>表1温室气体盘查表!E75</f>
        <v>范围三 类别3</v>
      </c>
      <c r="E74" s="40">
        <f>表1温室气体盘查表!F75</f>
        <v>399079.16</v>
      </c>
      <c r="F74" s="41" t="str">
        <f>表1温室气体盘查表!G75</f>
        <v>t</v>
      </c>
      <c r="G74" s="42" t="e">
        <f>'附表2-EF'!#REF!*10</f>
        <v>#REF!</v>
      </c>
      <c r="H74" s="41" t="s">
        <v>805</v>
      </c>
      <c r="I74" s="43">
        <f>'附表1-GWP TABLE'!E73</f>
        <v>0</v>
      </c>
      <c r="J74" s="44"/>
      <c r="K74" s="41"/>
      <c r="L74" s="43"/>
      <c r="M74" s="44"/>
      <c r="N74" s="41"/>
      <c r="O74" s="43"/>
      <c r="P74" s="45"/>
      <c r="Q74" s="46"/>
      <c r="R74" s="47"/>
      <c r="S74" s="46"/>
      <c r="T74" s="44"/>
      <c r="U74" s="41"/>
      <c r="V74" s="48"/>
      <c r="W74" s="41"/>
      <c r="X74" s="44"/>
      <c r="Y74" s="41"/>
      <c r="Z74" s="43"/>
      <c r="AA74" s="44"/>
      <c r="AB74" s="46"/>
      <c r="AC74" s="43"/>
      <c r="AD74" s="49">
        <f>表1温室气体盘查表!AE75</f>
        <v>229690.010538</v>
      </c>
      <c r="AE74" s="49">
        <f>表1温室气体盘查表!AF75</f>
        <v>0</v>
      </c>
      <c r="AF74" s="49">
        <f>表1温室气体盘查表!AG75</f>
        <v>0</v>
      </c>
      <c r="AG74" s="49">
        <f>表1温室气体盘查表!AH75</f>
        <v>0</v>
      </c>
      <c r="AH74" s="49">
        <f>表1温室气体盘查表!AI75</f>
        <v>0</v>
      </c>
      <c r="AI74" s="49">
        <f>表1温室气体盘查表!AJ75</f>
        <v>0</v>
      </c>
      <c r="AJ74" s="49">
        <f>表1温室气体盘查表!AK75</f>
        <v>0</v>
      </c>
      <c r="AK74" s="49">
        <f>表1温室气体盘查表!AL75</f>
        <v>229690.010538</v>
      </c>
    </row>
    <row r="75" s="25" customFormat="1" ht="18" spans="1:37">
      <c r="A75" s="36">
        <v>71</v>
      </c>
      <c r="B75" s="37" t="str">
        <f>表1温室气体盘查表!B76</f>
        <v>范围一、二相关燃料和能源相关的活动产生的排放</v>
      </c>
      <c r="C75" s="38" t="str">
        <f>表1温室气体盘查表!C76</f>
        <v>无烟煤生产</v>
      </c>
      <c r="D75" s="39" t="str">
        <f>表1温室气体盘查表!E76</f>
        <v>范围三 类别3</v>
      </c>
      <c r="E75" s="40">
        <f>表1温室气体盘查表!F76</f>
        <v>260530.34</v>
      </c>
      <c r="F75" s="41" t="str">
        <f>表1温室气体盘查表!G76</f>
        <v>t</v>
      </c>
      <c r="G75" s="42" t="e">
        <f>'附表2-EF'!#REF!*10</f>
        <v>#REF!</v>
      </c>
      <c r="H75" s="41" t="s">
        <v>806</v>
      </c>
      <c r="I75" s="43">
        <f>'附表1-GWP TABLE'!E74</f>
        <v>0</v>
      </c>
      <c r="J75" s="44"/>
      <c r="K75" s="41"/>
      <c r="L75" s="43"/>
      <c r="M75" s="44"/>
      <c r="N75" s="41"/>
      <c r="O75" s="43"/>
      <c r="P75" s="45"/>
      <c r="Q75" s="46"/>
      <c r="R75" s="47"/>
      <c r="S75" s="46"/>
      <c r="T75" s="44"/>
      <c r="U75" s="41"/>
      <c r="V75" s="48"/>
      <c r="W75" s="41"/>
      <c r="X75" s="44"/>
      <c r="Y75" s="41"/>
      <c r="Z75" s="43"/>
      <c r="AA75" s="44"/>
      <c r="AB75" s="46"/>
      <c r="AC75" s="43"/>
      <c r="AD75" s="49">
        <f>表1温室气体盘查表!AE76</f>
        <v>149948.237187</v>
      </c>
      <c r="AE75" s="49">
        <f>表1温室气体盘查表!AF76</f>
        <v>0</v>
      </c>
      <c r="AF75" s="49">
        <f>表1温室气体盘查表!AG76</f>
        <v>0</v>
      </c>
      <c r="AG75" s="49">
        <f>表1温室气体盘查表!AH76</f>
        <v>0</v>
      </c>
      <c r="AH75" s="49">
        <f>表1温室气体盘查表!AI76</f>
        <v>0</v>
      </c>
      <c r="AI75" s="49">
        <f>表1温室气体盘查表!AJ76</f>
        <v>0</v>
      </c>
      <c r="AJ75" s="49">
        <f>表1温室气体盘查表!AK76</f>
        <v>0</v>
      </c>
      <c r="AK75" s="49">
        <f>表1温室气体盘查表!AL76</f>
        <v>149948.237187</v>
      </c>
    </row>
    <row r="76" s="25" customFormat="1" ht="18" spans="1:37">
      <c r="A76" s="36">
        <v>72</v>
      </c>
      <c r="B76" s="37" t="str">
        <f>表1温室气体盘查表!B77</f>
        <v>范围一、二相关燃料和能源相关的活动产生的排放</v>
      </c>
      <c r="C76" s="38" t="str">
        <f>表1温室气体盘查表!C77</f>
        <v>天然气生产</v>
      </c>
      <c r="D76" s="39" t="str">
        <f>表1温室气体盘查表!E77</f>
        <v>范围三 类别3</v>
      </c>
      <c r="E76" s="40">
        <f>表1温室气体盘查表!F77</f>
        <v>1796.49</v>
      </c>
      <c r="F76" s="41" t="str">
        <f>表1温室气体盘查表!G77</f>
        <v>10000Nm3</v>
      </c>
      <c r="G76" s="42" t="e">
        <f>'附表2-EF'!#REF!*10</f>
        <v>#REF!</v>
      </c>
      <c r="H76" s="41" t="s">
        <v>807</v>
      </c>
      <c r="I76" s="43">
        <f>'附表1-GWP TABLE'!E75</f>
        <v>0</v>
      </c>
      <c r="J76" s="44"/>
      <c r="K76" s="41"/>
      <c r="L76" s="43"/>
      <c r="M76" s="44"/>
      <c r="N76" s="41"/>
      <c r="O76" s="43"/>
      <c r="P76" s="45"/>
      <c r="Q76" s="46"/>
      <c r="R76" s="47"/>
      <c r="S76" s="46"/>
      <c r="T76" s="44"/>
      <c r="U76" s="41"/>
      <c r="V76" s="48"/>
      <c r="W76" s="41"/>
      <c r="X76" s="44"/>
      <c r="Y76" s="41"/>
      <c r="Z76" s="43"/>
      <c r="AA76" s="44"/>
      <c r="AB76" s="46"/>
      <c r="AC76" s="43"/>
      <c r="AD76" s="49">
        <f>表1温室气体盘查表!AE77</f>
        <v>11120.2731</v>
      </c>
      <c r="AE76" s="49">
        <f>表1温室气体盘查表!AF77</f>
        <v>0</v>
      </c>
      <c r="AF76" s="49">
        <f>表1温室气体盘查表!AG77</f>
        <v>0</v>
      </c>
      <c r="AG76" s="49">
        <f>表1温室气体盘查表!AH77</f>
        <v>0</v>
      </c>
      <c r="AH76" s="49">
        <f>表1温室气体盘查表!AI77</f>
        <v>0</v>
      </c>
      <c r="AI76" s="49">
        <f>表1温室气体盘查表!AJ77</f>
        <v>0</v>
      </c>
      <c r="AJ76" s="49">
        <f>表1温室气体盘查表!AK77</f>
        <v>0</v>
      </c>
      <c r="AK76" s="49">
        <f>表1温室气体盘查表!AL77</f>
        <v>11120.2731</v>
      </c>
    </row>
    <row r="77" s="25" customFormat="1" ht="18" spans="1:37">
      <c r="A77" s="36">
        <v>73</v>
      </c>
      <c r="B77" s="37" t="str">
        <f>表1温室气体盘查表!B78</f>
        <v>范围一、二相关燃料和能源相关的活动产生的排放</v>
      </c>
      <c r="C77" s="38" t="str">
        <f>表1温室气体盘查表!C78</f>
        <v>外购电力上游排放</v>
      </c>
      <c r="D77" s="39" t="str">
        <f>表1温室气体盘查表!E78</f>
        <v>范围三 类别3</v>
      </c>
      <c r="E77" s="40">
        <f>表1温室气体盘查表!F78</f>
        <v>1992878.77</v>
      </c>
      <c r="F77" s="41" t="str">
        <f>表1温室气体盘查表!G78</f>
        <v>MWh</v>
      </c>
      <c r="G77" s="42" t="e">
        <f>'附表2-EF'!#REF!*10</f>
        <v>#REF!</v>
      </c>
      <c r="H77" s="41" t="s">
        <v>808</v>
      </c>
      <c r="I77" s="43">
        <f>'附表1-GWP TABLE'!E76</f>
        <v>0</v>
      </c>
      <c r="J77" s="44"/>
      <c r="K77" s="41"/>
      <c r="L77" s="43"/>
      <c r="M77" s="44"/>
      <c r="N77" s="41"/>
      <c r="O77" s="43"/>
      <c r="P77" s="45"/>
      <c r="Q77" s="46"/>
      <c r="R77" s="47"/>
      <c r="S77" s="46"/>
      <c r="T77" s="44"/>
      <c r="U77" s="41"/>
      <c r="V77" s="48"/>
      <c r="W77" s="41"/>
      <c r="X77" s="44"/>
      <c r="Y77" s="41"/>
      <c r="Z77" s="43"/>
      <c r="AA77" s="44"/>
      <c r="AB77" s="46"/>
      <c r="AC77" s="43"/>
      <c r="AD77" s="49">
        <f>表1温室气体盘查表!AE78</f>
        <v>167202.528803</v>
      </c>
      <c r="AE77" s="49">
        <f>表1温室气体盘查表!AF78</f>
        <v>0</v>
      </c>
      <c r="AF77" s="49">
        <f>表1温室气体盘查表!AG78</f>
        <v>0</v>
      </c>
      <c r="AG77" s="49">
        <f>表1温室气体盘查表!AH78</f>
        <v>0</v>
      </c>
      <c r="AH77" s="49">
        <f>表1温室气体盘查表!AI78</f>
        <v>0</v>
      </c>
      <c r="AI77" s="49">
        <f>表1温室气体盘查表!AJ78</f>
        <v>0</v>
      </c>
      <c r="AJ77" s="49">
        <f>表1温室气体盘查表!AK78</f>
        <v>0</v>
      </c>
      <c r="AK77" s="49">
        <f>表1温室气体盘查表!AL78</f>
        <v>167202.528803</v>
      </c>
    </row>
    <row r="78" s="25" customFormat="1" ht="18" spans="1:37">
      <c r="A78" s="36">
        <v>74</v>
      </c>
      <c r="B78" s="37" t="str">
        <f>表1温室气体盘查表!B79</f>
        <v>上游运输配送产生的排放</v>
      </c>
      <c r="C78" s="38" t="str">
        <f>表1温室气体盘查表!C79</f>
        <v>船运</v>
      </c>
      <c r="D78" s="39" t="str">
        <f>表1温室气体盘查表!E79</f>
        <v>范围三 类别4</v>
      </c>
      <c r="E78" s="40">
        <f>表1温室气体盘查表!F79</f>
        <v>4937773501.3</v>
      </c>
      <c r="F78" s="41" t="str">
        <f>表1温室气体盘查表!G79</f>
        <v>tkm</v>
      </c>
      <c r="G78" s="42" t="e">
        <f>'附表2-EF'!#REF!*10</f>
        <v>#REF!</v>
      </c>
      <c r="H78" s="41" t="s">
        <v>809</v>
      </c>
      <c r="I78" s="43">
        <f>'附表1-GWP TABLE'!E77</f>
        <v>0</v>
      </c>
      <c r="J78" s="44"/>
      <c r="K78" s="41"/>
      <c r="L78" s="43"/>
      <c r="M78" s="44"/>
      <c r="N78" s="41"/>
      <c r="O78" s="43"/>
      <c r="P78" s="45"/>
      <c r="Q78" s="46"/>
      <c r="R78" s="47"/>
      <c r="S78" s="46"/>
      <c r="T78" s="44"/>
      <c r="U78" s="41"/>
      <c r="V78" s="48"/>
      <c r="W78" s="41"/>
      <c r="X78" s="44"/>
      <c r="Y78" s="41"/>
      <c r="Z78" s="43"/>
      <c r="AA78" s="44"/>
      <c r="AB78" s="46"/>
      <c r="AC78" s="43"/>
      <c r="AD78" s="49">
        <f>表1温室气体盘查表!AE79</f>
        <v>256608.969086949</v>
      </c>
      <c r="AE78" s="49">
        <f>表1温室气体盘查表!AF79</f>
        <v>0</v>
      </c>
      <c r="AF78" s="49">
        <f>表1温室气体盘查表!AG79</f>
        <v>0</v>
      </c>
      <c r="AG78" s="49">
        <f>表1温室气体盘查表!AH79</f>
        <v>0</v>
      </c>
      <c r="AH78" s="49">
        <f>表1温室气体盘查表!AI79</f>
        <v>0</v>
      </c>
      <c r="AI78" s="49">
        <f>表1温室气体盘查表!AJ79</f>
        <v>0</v>
      </c>
      <c r="AJ78" s="49">
        <f>表1温室气体盘查表!AK79</f>
        <v>0</v>
      </c>
      <c r="AK78" s="49">
        <f>表1温室气体盘查表!AL79</f>
        <v>256608.969086949</v>
      </c>
    </row>
    <row r="79" s="25" customFormat="1" ht="18" spans="1:37">
      <c r="A79" s="36">
        <v>75</v>
      </c>
      <c r="B79" s="37" t="str">
        <f>表1温室气体盘查表!B80</f>
        <v>上游运输配送产生的排放</v>
      </c>
      <c r="C79" s="38" t="str">
        <f>表1温室气体盘查表!C80</f>
        <v>汽运</v>
      </c>
      <c r="D79" s="39" t="str">
        <f>表1温室气体盘查表!E80</f>
        <v>范围三 类别4</v>
      </c>
      <c r="E79" s="40">
        <f>表1温室气体盘查表!F80</f>
        <v>303695957.78</v>
      </c>
      <c r="F79" s="41" t="str">
        <f>表1温室气体盘查表!G80</f>
        <v>tkm</v>
      </c>
      <c r="G79" s="42" t="e">
        <f>'附表2-EF'!#REF!*10</f>
        <v>#REF!</v>
      </c>
      <c r="H79" s="41" t="s">
        <v>810</v>
      </c>
      <c r="I79" s="43">
        <f>'附表1-GWP TABLE'!E78</f>
        <v>0</v>
      </c>
      <c r="J79" s="44"/>
      <c r="K79" s="41"/>
      <c r="L79" s="43"/>
      <c r="M79" s="44"/>
      <c r="N79" s="41"/>
      <c r="O79" s="43"/>
      <c r="P79" s="45"/>
      <c r="Q79" s="46"/>
      <c r="R79" s="47"/>
      <c r="S79" s="46"/>
      <c r="T79" s="44"/>
      <c r="U79" s="41"/>
      <c r="V79" s="48"/>
      <c r="W79" s="41"/>
      <c r="X79" s="44"/>
      <c r="Y79" s="41"/>
      <c r="Z79" s="43"/>
      <c r="AA79" s="44"/>
      <c r="AB79" s="46"/>
      <c r="AC79" s="43"/>
      <c r="AD79" s="49">
        <f>表1温室气体盘查表!AE80</f>
        <v>46150.5118723241</v>
      </c>
      <c r="AE79" s="49">
        <f>表1温室气体盘查表!AF80</f>
        <v>0</v>
      </c>
      <c r="AF79" s="49">
        <f>表1温室气体盘查表!AG80</f>
        <v>0</v>
      </c>
      <c r="AG79" s="49">
        <f>表1温室气体盘查表!AH80</f>
        <v>0</v>
      </c>
      <c r="AH79" s="49">
        <f>表1温室气体盘查表!AI80</f>
        <v>0</v>
      </c>
      <c r="AI79" s="49">
        <f>表1温室气体盘查表!AJ80</f>
        <v>0</v>
      </c>
      <c r="AJ79" s="49">
        <f>表1温室气体盘查表!AK80</f>
        <v>0</v>
      </c>
      <c r="AK79" s="49">
        <f>表1温室气体盘查表!AL80</f>
        <v>46150.5118723241</v>
      </c>
    </row>
    <row r="80" s="25" customFormat="1" ht="18" spans="1:37">
      <c r="A80" s="36">
        <v>76</v>
      </c>
      <c r="B80" s="37" t="str">
        <f>表1温室气体盘查表!B81</f>
        <v>上游运输配送产生的排放</v>
      </c>
      <c r="C80" s="38" t="str">
        <f>表1温室气体盘查表!C81</f>
        <v>铁路运输</v>
      </c>
      <c r="D80" s="39" t="str">
        <f>表1温室气体盘查表!E81</f>
        <v>范围三 类别4</v>
      </c>
      <c r="E80" s="40">
        <f>表1温室气体盘查表!F81</f>
        <v>1226509412.23</v>
      </c>
      <c r="F80" s="41" t="str">
        <f>表1温室气体盘查表!G81</f>
        <v>tkm</v>
      </c>
      <c r="G80" s="42" t="e">
        <f>'附表2-EF'!#REF!*10</f>
        <v>#REF!</v>
      </c>
      <c r="H80" s="41" t="s">
        <v>811</v>
      </c>
      <c r="I80" s="43">
        <f>'附表1-GWP TABLE'!E79</f>
        <v>0</v>
      </c>
      <c r="J80" s="44"/>
      <c r="K80" s="41"/>
      <c r="L80" s="43"/>
      <c r="M80" s="44"/>
      <c r="N80" s="41"/>
      <c r="O80" s="43"/>
      <c r="P80" s="45"/>
      <c r="Q80" s="46"/>
      <c r="R80" s="47"/>
      <c r="S80" s="46"/>
      <c r="T80" s="44"/>
      <c r="U80" s="41"/>
      <c r="V80" s="48"/>
      <c r="W80" s="41"/>
      <c r="X80" s="44"/>
      <c r="Y80" s="41"/>
      <c r="Z80" s="43"/>
      <c r="AA80" s="44"/>
      <c r="AB80" s="46"/>
      <c r="AC80" s="43"/>
      <c r="AD80" s="49">
        <f>表1温室气体盘查表!AE81</f>
        <v>59524.7717110272</v>
      </c>
      <c r="AE80" s="49">
        <f>表1温室气体盘查表!AF81</f>
        <v>0</v>
      </c>
      <c r="AF80" s="49">
        <f>表1温室气体盘查表!AG81</f>
        <v>0</v>
      </c>
      <c r="AG80" s="49">
        <f>表1温室气体盘查表!AH81</f>
        <v>0</v>
      </c>
      <c r="AH80" s="49">
        <f>表1温室气体盘查表!AI81</f>
        <v>0</v>
      </c>
      <c r="AI80" s="49">
        <f>表1温室气体盘查表!AJ81</f>
        <v>0</v>
      </c>
      <c r="AJ80" s="49">
        <f>表1温室气体盘查表!AK81</f>
        <v>0</v>
      </c>
      <c r="AK80" s="49">
        <f>表1温室气体盘查表!AL81</f>
        <v>59524.7717110272</v>
      </c>
    </row>
    <row r="81" s="25" customFormat="1" ht="18" spans="1:37">
      <c r="A81" s="36">
        <v>77</v>
      </c>
      <c r="B81" s="37" t="str">
        <f>表1温室气体盘查表!B82</f>
        <v>运营中产生的废物排放</v>
      </c>
      <c r="C81" s="38" t="str">
        <f>表1温室气体盘查表!C82</f>
        <v>生活垃圾和厨余垃圾</v>
      </c>
      <c r="D81" s="39" t="str">
        <f>表1温室气体盘查表!E82</f>
        <v>范围三 类别5</v>
      </c>
      <c r="E81" s="40">
        <f>表1温室气体盘查表!F82</f>
        <v>2610.16</v>
      </c>
      <c r="F81" s="41" t="str">
        <f>表1温室气体盘查表!G82</f>
        <v>t</v>
      </c>
      <c r="G81" s="42" t="e">
        <f>'附表2-EF'!#REF!*10</f>
        <v>#REF!</v>
      </c>
      <c r="H81" s="41" t="s">
        <v>812</v>
      </c>
      <c r="I81" s="43">
        <f>'附表1-GWP TABLE'!E80</f>
        <v>0</v>
      </c>
      <c r="J81" s="44"/>
      <c r="K81" s="41"/>
      <c r="L81" s="43"/>
      <c r="M81" s="44"/>
      <c r="N81" s="41"/>
      <c r="O81" s="43"/>
      <c r="P81" s="45"/>
      <c r="Q81" s="46"/>
      <c r="R81" s="47"/>
      <c r="S81" s="46"/>
      <c r="T81" s="44"/>
      <c r="U81" s="41"/>
      <c r="V81" s="48"/>
      <c r="W81" s="41"/>
      <c r="X81" s="44"/>
      <c r="Y81" s="41"/>
      <c r="Z81" s="43"/>
      <c r="AA81" s="44"/>
      <c r="AB81" s="46"/>
      <c r="AC81" s="43"/>
      <c r="AD81" s="49">
        <f>表1温室气体盘查表!AE82</f>
        <v>969.241929689684</v>
      </c>
      <c r="AE81" s="49">
        <f>表1温室气体盘查表!AF82</f>
        <v>0</v>
      </c>
      <c r="AF81" s="49">
        <f>表1温室气体盘查表!AG82</f>
        <v>0</v>
      </c>
      <c r="AG81" s="49">
        <f>表1温室气体盘查表!AH82</f>
        <v>0</v>
      </c>
      <c r="AH81" s="49">
        <f>表1温室气体盘查表!AI82</f>
        <v>0</v>
      </c>
      <c r="AI81" s="49">
        <f>表1温室气体盘查表!AJ82</f>
        <v>0</v>
      </c>
      <c r="AJ81" s="49">
        <f>表1温室气体盘查表!AK82</f>
        <v>0</v>
      </c>
      <c r="AK81" s="49">
        <f>表1温室气体盘查表!AL82</f>
        <v>969.241929689684</v>
      </c>
    </row>
    <row r="82" s="25" customFormat="1" ht="18" spans="1:37">
      <c r="A82" s="36">
        <v>78</v>
      </c>
      <c r="B82" s="37" t="str">
        <f>表1温室气体盘查表!B83</f>
        <v>运营中产生的废物排放</v>
      </c>
      <c r="C82" s="38" t="str">
        <f>表1温室气体盘查表!C83</f>
        <v>废油</v>
      </c>
      <c r="D82" s="39" t="str">
        <f>表1温室气体盘查表!E83</f>
        <v>范围三 类别5</v>
      </c>
      <c r="E82" s="40">
        <f>表1温室气体盘查表!F83</f>
        <v>36.75</v>
      </c>
      <c r="F82" s="41" t="str">
        <f>表1温室气体盘查表!G83</f>
        <v>t</v>
      </c>
      <c r="G82" s="42" t="e">
        <f>'附表2-EF'!#REF!*10</f>
        <v>#REF!</v>
      </c>
      <c r="H82" s="41" t="s">
        <v>813</v>
      </c>
      <c r="I82" s="43">
        <f>'附表1-GWP TABLE'!E81</f>
        <v>0</v>
      </c>
      <c r="J82" s="44"/>
      <c r="K82" s="41"/>
      <c r="L82" s="43"/>
      <c r="M82" s="44"/>
      <c r="N82" s="41"/>
      <c r="O82" s="43"/>
      <c r="P82" s="45"/>
      <c r="Q82" s="46"/>
      <c r="R82" s="47"/>
      <c r="S82" s="46"/>
      <c r="T82" s="44"/>
      <c r="U82" s="41"/>
      <c r="V82" s="48"/>
      <c r="W82" s="41"/>
      <c r="X82" s="44"/>
      <c r="Y82" s="41"/>
      <c r="Z82" s="43"/>
      <c r="AA82" s="44"/>
      <c r="AB82" s="46"/>
      <c r="AC82" s="43"/>
      <c r="AD82" s="49">
        <f>表1温室气体盘查表!AE83</f>
        <v>104.702845570361</v>
      </c>
      <c r="AE82" s="49">
        <f>表1温室气体盘查表!AF83</f>
        <v>0</v>
      </c>
      <c r="AF82" s="49">
        <f>表1温室气体盘查表!AG83</f>
        <v>0</v>
      </c>
      <c r="AG82" s="49">
        <f>表1温室气体盘查表!AH83</f>
        <v>0</v>
      </c>
      <c r="AH82" s="49">
        <f>表1温室气体盘查表!AI83</f>
        <v>0</v>
      </c>
      <c r="AI82" s="49">
        <f>表1温室气体盘查表!AJ83</f>
        <v>0</v>
      </c>
      <c r="AJ82" s="49">
        <f>表1温室气体盘查表!AK83</f>
        <v>0</v>
      </c>
      <c r="AK82" s="49">
        <f>表1温室气体盘查表!AL83</f>
        <v>104.702845570361</v>
      </c>
    </row>
    <row r="83" s="25" customFormat="1" ht="18" spans="1:37">
      <c r="A83" s="36">
        <v>79</v>
      </c>
      <c r="B83" s="37" t="str">
        <f>表1温室气体盘查表!B84</f>
        <v>运营中产生的废物排放</v>
      </c>
      <c r="C83" s="38" t="str">
        <f>表1温室气体盘查表!C84</f>
        <v>废油水</v>
      </c>
      <c r="D83" s="39" t="str">
        <f>表1温室气体盘查表!E84</f>
        <v>范围三 类别5</v>
      </c>
      <c r="E83" s="40">
        <f>表1温室气体盘查表!F84</f>
        <v>229.5</v>
      </c>
      <c r="F83" s="41" t="str">
        <f>表1温室气体盘查表!G84</f>
        <v>t</v>
      </c>
      <c r="G83" s="42" t="e">
        <f>'附表2-EF'!#REF!*10</f>
        <v>#REF!</v>
      </c>
      <c r="H83" s="41" t="s">
        <v>814</v>
      </c>
      <c r="I83" s="43">
        <f>'附表1-GWP TABLE'!E82</f>
        <v>0</v>
      </c>
      <c r="J83" s="44"/>
      <c r="K83" s="41"/>
      <c r="L83" s="43"/>
      <c r="M83" s="44"/>
      <c r="N83" s="41"/>
      <c r="O83" s="43"/>
      <c r="P83" s="45"/>
      <c r="Q83" s="46"/>
      <c r="R83" s="47"/>
      <c r="S83" s="46"/>
      <c r="T83" s="44"/>
      <c r="U83" s="41"/>
      <c r="V83" s="48"/>
      <c r="W83" s="41"/>
      <c r="X83" s="44"/>
      <c r="Y83" s="41"/>
      <c r="Z83" s="43"/>
      <c r="AA83" s="44"/>
      <c r="AB83" s="46"/>
      <c r="AC83" s="43"/>
      <c r="AD83" s="49">
        <f>表1温室气体盘查表!AE84</f>
        <v>653.858586623069</v>
      </c>
      <c r="AE83" s="49">
        <f>表1温室气体盘查表!AF84</f>
        <v>0</v>
      </c>
      <c r="AF83" s="49">
        <f>表1温室气体盘查表!AG84</f>
        <v>0</v>
      </c>
      <c r="AG83" s="49">
        <f>表1温室气体盘查表!AH84</f>
        <v>0</v>
      </c>
      <c r="AH83" s="49">
        <f>表1温室气体盘查表!AI84</f>
        <v>0</v>
      </c>
      <c r="AI83" s="49">
        <f>表1温室气体盘查表!AJ84</f>
        <v>0</v>
      </c>
      <c r="AJ83" s="49">
        <f>表1温室气体盘查表!AK84</f>
        <v>0</v>
      </c>
      <c r="AK83" s="49">
        <f>表1温室气体盘查表!AL84</f>
        <v>653.858586623069</v>
      </c>
    </row>
    <row r="84" s="29" customFormat="1" ht="14.65" customHeight="1" spans="1:37">
      <c r="A84" s="36">
        <v>80</v>
      </c>
      <c r="B84" s="37" t="str">
        <f>表1温室气体盘查表!B85</f>
        <v>运营中产生的废物排放</v>
      </c>
      <c r="C84" s="38" t="str">
        <f>表1温室气体盘查表!C85</f>
        <v>煤焦油</v>
      </c>
      <c r="D84" s="39" t="str">
        <f>表1温室气体盘查表!E85</f>
        <v>范围三 类别5</v>
      </c>
      <c r="E84" s="40">
        <f>表1温室气体盘查表!F85</f>
        <v>57478.34</v>
      </c>
      <c r="F84" s="41" t="str">
        <f>表1温室气体盘查表!G85</f>
        <v>t</v>
      </c>
      <c r="G84" s="42">
        <f>'附表2-EF'!K84*10</f>
        <v>0</v>
      </c>
      <c r="H84" s="41" t="s">
        <v>815</v>
      </c>
      <c r="I84" s="43">
        <f>'附表1-GWP TABLE'!E83</f>
        <v>0</v>
      </c>
      <c r="J84" s="44"/>
      <c r="K84" s="41"/>
      <c r="L84" s="43"/>
      <c r="M84" s="44"/>
      <c r="N84" s="41"/>
      <c r="O84" s="43"/>
      <c r="P84" s="45"/>
      <c r="Q84" s="46"/>
      <c r="R84" s="47"/>
      <c r="S84" s="46"/>
      <c r="T84" s="44"/>
      <c r="U84" s="41"/>
      <c r="V84" s="48"/>
      <c r="W84" s="41"/>
      <c r="X84" s="44"/>
      <c r="Y84" s="41"/>
      <c r="Z84" s="43"/>
      <c r="AA84" s="44"/>
      <c r="AB84" s="46"/>
      <c r="AC84" s="43"/>
      <c r="AD84" s="49">
        <f>表1温室气体盘查表!AE85</f>
        <v>145058.803127058</v>
      </c>
      <c r="AE84" s="49">
        <f>表1温室气体盘查表!AF85</f>
        <v>0</v>
      </c>
      <c r="AF84" s="49">
        <f>表1温室气体盘查表!AG85</f>
        <v>0</v>
      </c>
      <c r="AG84" s="49">
        <f>表1温室气体盘查表!AH85</f>
        <v>0</v>
      </c>
      <c r="AH84" s="49">
        <f>表1温室气体盘查表!AI85</f>
        <v>0</v>
      </c>
      <c r="AI84" s="49">
        <f>表1温室气体盘查表!AJ85</f>
        <v>0</v>
      </c>
      <c r="AJ84" s="49">
        <f>表1温室气体盘查表!AK85</f>
        <v>0</v>
      </c>
      <c r="AK84" s="49">
        <f>表1温室气体盘查表!AL85</f>
        <v>145058.803127058</v>
      </c>
    </row>
    <row r="85" s="29" customFormat="1" ht="15.4" customHeight="1" spans="1:37">
      <c r="A85" s="36">
        <v>81</v>
      </c>
      <c r="B85" s="37" t="str">
        <f>表1温室气体盘查表!B86</f>
        <v>运营中产生的废物排放</v>
      </c>
      <c r="C85" s="38" t="str">
        <f>表1温室气体盘查表!C86</f>
        <v>废弃物运输</v>
      </c>
      <c r="D85" s="39" t="str">
        <f>表1温室气体盘查表!E86</f>
        <v>范围三 类别5</v>
      </c>
      <c r="E85" s="40">
        <f>表1温室气体盘查表!F86</f>
        <v>5589690.04</v>
      </c>
      <c r="F85" s="41" t="str">
        <f>表1温室气体盘查表!G86</f>
        <v>tkm</v>
      </c>
      <c r="G85" s="42" t="e">
        <f>'附表2-EF'!#REF!*10</f>
        <v>#REF!</v>
      </c>
      <c r="H85" s="41" t="s">
        <v>816</v>
      </c>
      <c r="I85" s="43">
        <f>'附表1-GWP TABLE'!E84</f>
        <v>0</v>
      </c>
      <c r="J85" s="44"/>
      <c r="K85" s="41"/>
      <c r="L85" s="43"/>
      <c r="M85" s="44"/>
      <c r="N85" s="41"/>
      <c r="O85" s="43"/>
      <c r="P85" s="45"/>
      <c r="Q85" s="46"/>
      <c r="R85" s="47"/>
      <c r="S85" s="46"/>
      <c r="T85" s="44"/>
      <c r="U85" s="41"/>
      <c r="V85" s="48"/>
      <c r="W85" s="41"/>
      <c r="X85" s="44"/>
      <c r="Y85" s="41"/>
      <c r="Z85" s="43"/>
      <c r="AA85" s="44"/>
      <c r="AB85" s="46"/>
      <c r="AC85" s="43"/>
      <c r="AD85" s="49">
        <f>表1温室气体盘查表!AE86</f>
        <v>849.425387283242</v>
      </c>
      <c r="AE85" s="49">
        <f>表1温室气体盘查表!AF86</f>
        <v>0</v>
      </c>
      <c r="AF85" s="49">
        <f>表1温室气体盘查表!AG86</f>
        <v>0</v>
      </c>
      <c r="AG85" s="49">
        <f>表1温室气体盘查表!AH86</f>
        <v>0</v>
      </c>
      <c r="AH85" s="49">
        <f>表1温室气体盘查表!AI86</f>
        <v>0</v>
      </c>
      <c r="AI85" s="49">
        <f>表1温室气体盘查表!AJ86</f>
        <v>0</v>
      </c>
      <c r="AJ85" s="49">
        <f>表1温室气体盘查表!AK86</f>
        <v>0</v>
      </c>
      <c r="AK85" s="49">
        <f>表1温室气体盘查表!AL86</f>
        <v>849.425387283242</v>
      </c>
    </row>
    <row r="86" s="29" customFormat="1" ht="18" spans="1:37">
      <c r="A86" s="36">
        <v>82</v>
      </c>
      <c r="B86" s="37" t="str">
        <f>表1温室气体盘查表!B87</f>
        <v>商务旅行产生的排放</v>
      </c>
      <c r="C86" s="38" t="str">
        <f>表1温室气体盘查表!C87</f>
        <v>航运</v>
      </c>
      <c r="D86" s="39" t="str">
        <f>表1温室气体盘查表!E87</f>
        <v>范围三 类别6</v>
      </c>
      <c r="E86" s="40">
        <f>表1温室气体盘查表!F87</f>
        <v>3901916.53</v>
      </c>
      <c r="F86" s="41" t="str">
        <f>表1温室气体盘查表!G87</f>
        <v>passenger*km</v>
      </c>
      <c r="G86" s="42" t="e">
        <f>'附表2-EF'!#REF!*10</f>
        <v>#REF!</v>
      </c>
      <c r="H86" s="41" t="s">
        <v>817</v>
      </c>
      <c r="I86" s="43">
        <f>'附表1-GWP TABLE'!E85</f>
        <v>0</v>
      </c>
      <c r="J86" s="44"/>
      <c r="K86" s="41"/>
      <c r="L86" s="43"/>
      <c r="M86" s="44"/>
      <c r="N86" s="41"/>
      <c r="O86" s="43"/>
      <c r="P86" s="45"/>
      <c r="Q86" s="46"/>
      <c r="R86" s="47"/>
      <c r="S86" s="46"/>
      <c r="T86" s="44"/>
      <c r="U86" s="41"/>
      <c r="V86" s="48"/>
      <c r="W86" s="41"/>
      <c r="X86" s="44"/>
      <c r="Y86" s="41"/>
      <c r="Z86" s="43"/>
      <c r="AA86" s="44"/>
      <c r="AB86" s="46"/>
      <c r="AC86" s="43"/>
      <c r="AD86" s="49">
        <f>表1温室气体盘查表!AE87</f>
        <v>327.76098852</v>
      </c>
      <c r="AE86" s="49">
        <f>表1温室气体盘查表!AF87</f>
        <v>0</v>
      </c>
      <c r="AF86" s="49">
        <f>表1温室气体盘查表!AG87</f>
        <v>0</v>
      </c>
      <c r="AG86" s="49">
        <f>表1温室气体盘查表!AH87</f>
        <v>0</v>
      </c>
      <c r="AH86" s="49">
        <f>表1温室气体盘查表!AI87</f>
        <v>0</v>
      </c>
      <c r="AI86" s="49">
        <f>表1温室气体盘查表!AJ87</f>
        <v>0</v>
      </c>
      <c r="AJ86" s="49">
        <f>表1温室气体盘查表!AK87</f>
        <v>0</v>
      </c>
      <c r="AK86" s="49">
        <f>表1温室气体盘查表!AL87</f>
        <v>327.76098852</v>
      </c>
    </row>
    <row r="87" s="29" customFormat="1" ht="18" spans="1:37">
      <c r="A87" s="36">
        <v>83</v>
      </c>
      <c r="B87" s="37" t="str">
        <f>表1温室气体盘查表!B88</f>
        <v>商务旅行产生的排放</v>
      </c>
      <c r="C87" s="38" t="str">
        <f>表1温室气体盘查表!C88</f>
        <v>铁路运输</v>
      </c>
      <c r="D87" s="39" t="str">
        <f>表1温室气体盘查表!E88</f>
        <v>范围三 类别6</v>
      </c>
      <c r="E87" s="40">
        <f>表1温室气体盘查表!F88</f>
        <v>8277796.53</v>
      </c>
      <c r="F87" s="41" t="str">
        <f>表1温室气体盘查表!G88</f>
        <v>passenger*km</v>
      </c>
      <c r="G87" s="42" t="e">
        <f>'附表2-EF'!#REF!*10</f>
        <v>#REF!</v>
      </c>
      <c r="H87" s="41" t="s">
        <v>818</v>
      </c>
      <c r="I87" s="43">
        <f>'附表1-GWP TABLE'!E86</f>
        <v>0</v>
      </c>
      <c r="J87" s="44"/>
      <c r="K87" s="41"/>
      <c r="L87" s="43"/>
      <c r="M87" s="44"/>
      <c r="N87" s="41"/>
      <c r="O87" s="43"/>
      <c r="P87" s="45"/>
      <c r="Q87" s="46"/>
      <c r="R87" s="47"/>
      <c r="S87" s="46"/>
      <c r="T87" s="44"/>
      <c r="U87" s="41"/>
      <c r="V87" s="48"/>
      <c r="W87" s="41"/>
      <c r="X87" s="44"/>
      <c r="Y87" s="41"/>
      <c r="Z87" s="43"/>
      <c r="AA87" s="44"/>
      <c r="AB87" s="46"/>
      <c r="AC87" s="43"/>
      <c r="AD87" s="49">
        <f>表1温室气体盘查表!AE88</f>
        <v>619.787965215283</v>
      </c>
      <c r="AE87" s="49">
        <f>表1温室气体盘查表!AF88</f>
        <v>0</v>
      </c>
      <c r="AF87" s="49">
        <f>表1温室气体盘查表!AG88</f>
        <v>0</v>
      </c>
      <c r="AG87" s="49">
        <f>表1温室气体盘查表!AH88</f>
        <v>0</v>
      </c>
      <c r="AH87" s="49">
        <f>表1温室气体盘查表!AI88</f>
        <v>0</v>
      </c>
      <c r="AI87" s="49">
        <f>表1温室气体盘查表!AJ88</f>
        <v>0</v>
      </c>
      <c r="AJ87" s="49">
        <f>表1温室气体盘查表!AK88</f>
        <v>0</v>
      </c>
      <c r="AK87" s="49">
        <f>表1温室气体盘查表!AL88</f>
        <v>619.787965215283</v>
      </c>
    </row>
    <row r="88" ht="18" customHeight="1" spans="1:37">
      <c r="A88" s="36">
        <v>84</v>
      </c>
      <c r="B88" s="37" t="str">
        <f>表1温室气体盘查表!B89</f>
        <v>商务旅行产生的排放</v>
      </c>
      <c r="C88" s="38" t="str">
        <f>表1温室气体盘查表!C89</f>
        <v>员工差旅住宿</v>
      </c>
      <c r="D88" s="39" t="str">
        <f>表1温室气体盘查表!E89</f>
        <v>范围三 类别6</v>
      </c>
      <c r="E88" s="40">
        <f>表1温室气体盘查表!F89</f>
        <v>13507</v>
      </c>
      <c r="F88" s="41" t="str">
        <f>表1温室气体盘查表!G89</f>
        <v>总间*晚</v>
      </c>
      <c r="G88" s="42" t="e">
        <f>'附表2-EF'!#REF!*10</f>
        <v>#REF!</v>
      </c>
      <c r="H88" s="41" t="s">
        <v>819</v>
      </c>
      <c r="I88" s="43">
        <f>'附表1-GWP TABLE'!E87</f>
        <v>0</v>
      </c>
      <c r="J88" s="44"/>
      <c r="K88" s="41"/>
      <c r="L88" s="43"/>
      <c r="M88" s="44"/>
      <c r="N88" s="41"/>
      <c r="O88" s="43"/>
      <c r="P88" s="45"/>
      <c r="Q88" s="46"/>
      <c r="R88" s="47"/>
      <c r="S88" s="46"/>
      <c r="T88" s="44"/>
      <c r="U88" s="41"/>
      <c r="V88" s="48"/>
      <c r="W88" s="41"/>
      <c r="X88" s="44"/>
      <c r="Y88" s="41"/>
      <c r="Z88" s="43"/>
      <c r="AA88" s="44"/>
      <c r="AB88" s="46"/>
      <c r="AC88" s="43"/>
      <c r="AD88" s="49">
        <f>表1温室气体盘查表!AE89</f>
        <v>722.6245</v>
      </c>
      <c r="AE88" s="49">
        <f>表1温室气体盘查表!AF89</f>
        <v>0</v>
      </c>
      <c r="AF88" s="49">
        <f>表1温室气体盘查表!AG89</f>
        <v>0</v>
      </c>
      <c r="AG88" s="49">
        <f>表1温室气体盘查表!AH89</f>
        <v>0</v>
      </c>
      <c r="AH88" s="49">
        <f>表1温室气体盘查表!AI89</f>
        <v>0</v>
      </c>
      <c r="AI88" s="49">
        <f>表1温室气体盘查表!AJ89</f>
        <v>0</v>
      </c>
      <c r="AJ88" s="49">
        <f>表1温室气体盘查表!AK89</f>
        <v>0</v>
      </c>
      <c r="AK88" s="49">
        <f>表1温室气体盘查表!AL89</f>
        <v>722.6245</v>
      </c>
    </row>
    <row r="89" ht="18" customHeight="1" spans="1:37">
      <c r="A89" s="36">
        <v>85</v>
      </c>
      <c r="B89" s="37" t="str">
        <f>表1温室气体盘查表!B90</f>
        <v>员工通勤产生的排放</v>
      </c>
      <c r="C89" s="38" t="str">
        <f>表1温室气体盘查表!C90</f>
        <v>通勤车</v>
      </c>
      <c r="D89" s="39" t="str">
        <f>表1温室气体盘查表!E90</f>
        <v>范围三 类别7</v>
      </c>
      <c r="E89" s="40">
        <f>表1温室气体盘查表!F90</f>
        <v>12637097</v>
      </c>
      <c r="F89" s="41" t="str">
        <f>表1温室气体盘查表!G90</f>
        <v>passenger*km</v>
      </c>
      <c r="G89" s="42" t="e">
        <f>'附表2-EF'!#REF!*10</f>
        <v>#REF!</v>
      </c>
      <c r="H89" s="41" t="s">
        <v>820</v>
      </c>
      <c r="I89" s="43">
        <f>'附表1-GWP TABLE'!E88</f>
        <v>0</v>
      </c>
      <c r="J89" s="44"/>
      <c r="K89" s="41"/>
      <c r="L89" s="43"/>
      <c r="M89" s="44"/>
      <c r="N89" s="41"/>
      <c r="O89" s="43"/>
      <c r="P89" s="45"/>
      <c r="Q89" s="46"/>
      <c r="R89" s="47"/>
      <c r="S89" s="46"/>
      <c r="T89" s="44"/>
      <c r="U89" s="41"/>
      <c r="V89" s="48"/>
      <c r="W89" s="41"/>
      <c r="X89" s="44"/>
      <c r="Y89" s="41"/>
      <c r="Z89" s="43"/>
      <c r="AA89" s="44"/>
      <c r="AB89" s="46"/>
      <c r="AC89" s="43"/>
      <c r="AD89" s="49">
        <f>表1温室气体盘查表!AE90</f>
        <v>111.2064536</v>
      </c>
      <c r="AE89" s="49">
        <f>表1温室气体盘查表!AF90</f>
        <v>0</v>
      </c>
      <c r="AF89" s="49">
        <f>表1温室气体盘查表!AG90</f>
        <v>0</v>
      </c>
      <c r="AG89" s="49">
        <f>表1温室气体盘查表!AH90</f>
        <v>0</v>
      </c>
      <c r="AH89" s="49">
        <f>表1温室气体盘查表!AI90</f>
        <v>0</v>
      </c>
      <c r="AI89" s="49">
        <f>表1温室气体盘查表!AJ90</f>
        <v>0</v>
      </c>
      <c r="AJ89" s="49">
        <f>表1温室气体盘查表!AK90</f>
        <v>0</v>
      </c>
      <c r="AK89" s="49">
        <f>表1温室气体盘查表!AL90</f>
        <v>111.2064536</v>
      </c>
    </row>
    <row r="90" ht="18" customHeight="1" spans="1:37">
      <c r="A90" s="36">
        <v>86</v>
      </c>
      <c r="B90" s="37" t="str">
        <f>表1温室气体盘查表!B91</f>
        <v>员工通勤产生的排放</v>
      </c>
      <c r="C90" s="38" t="str">
        <f>表1温室气体盘查表!C91</f>
        <v>电动车</v>
      </c>
      <c r="D90" s="39" t="str">
        <f>表1温室气体盘查表!E91</f>
        <v>范围三 类别7</v>
      </c>
      <c r="E90" s="40">
        <f>表1温室气体盘查表!F91</f>
        <v>17561466</v>
      </c>
      <c r="F90" s="41" t="str">
        <f>表1温室气体盘查表!G91</f>
        <v>passenger*km</v>
      </c>
      <c r="G90" s="42" t="e">
        <f>'附表2-EF'!#REF!*10</f>
        <v>#REF!</v>
      </c>
      <c r="H90" s="41" t="s">
        <v>821</v>
      </c>
      <c r="I90" s="43">
        <f>'附表1-GWP TABLE'!E89</f>
        <v>0</v>
      </c>
      <c r="J90" s="44"/>
      <c r="K90" s="41"/>
      <c r="L90" s="43"/>
      <c r="M90" s="44"/>
      <c r="N90" s="41"/>
      <c r="O90" s="43"/>
      <c r="P90" s="45"/>
      <c r="Q90" s="46"/>
      <c r="R90" s="47"/>
      <c r="S90" s="46"/>
      <c r="T90" s="44"/>
      <c r="U90" s="41"/>
      <c r="V90" s="48"/>
      <c r="W90" s="41"/>
      <c r="X90" s="44"/>
      <c r="Y90" s="41"/>
      <c r="Z90" s="43"/>
      <c r="AA90" s="44"/>
      <c r="AB90" s="46"/>
      <c r="AC90" s="43"/>
      <c r="AD90" s="49">
        <f>表1温室气体盘查表!AE91</f>
        <v>474.515379130203</v>
      </c>
      <c r="AE90" s="49">
        <f>表1温室气体盘查表!AF91</f>
        <v>0</v>
      </c>
      <c r="AF90" s="49">
        <f>表1温室气体盘查表!AG91</f>
        <v>0</v>
      </c>
      <c r="AG90" s="49">
        <f>表1温室气体盘查表!AH91</f>
        <v>0</v>
      </c>
      <c r="AH90" s="49">
        <f>表1温室气体盘查表!AI91</f>
        <v>0</v>
      </c>
      <c r="AI90" s="49">
        <f>表1温室气体盘查表!AJ91</f>
        <v>0</v>
      </c>
      <c r="AJ90" s="49">
        <f>表1温室气体盘查表!AK91</f>
        <v>0</v>
      </c>
      <c r="AK90" s="49">
        <f>表1温室气体盘查表!AL91</f>
        <v>474.515379130203</v>
      </c>
    </row>
    <row r="91" ht="18" customHeight="1" spans="1:37">
      <c r="A91" s="36">
        <v>87</v>
      </c>
      <c r="B91" s="37" t="str">
        <f>表1温室气体盘查表!B92</f>
        <v>员工通勤产生的排放</v>
      </c>
      <c r="C91" s="38" t="str">
        <f>表1温室气体盘查表!C92</f>
        <v>自驾油车</v>
      </c>
      <c r="D91" s="39" t="str">
        <f>表1温室气体盘查表!E92</f>
        <v>范围三 类别7</v>
      </c>
      <c r="E91" s="40">
        <f>表1温室气体盘查表!F92</f>
        <v>31405120</v>
      </c>
      <c r="F91" s="41" t="str">
        <f>表1温室气体盘查表!G92</f>
        <v>km</v>
      </c>
      <c r="G91" s="42" t="e">
        <f>'附表2-EF'!#REF!*10</f>
        <v>#REF!</v>
      </c>
      <c r="H91" s="41" t="s">
        <v>822</v>
      </c>
      <c r="I91" s="43">
        <f>'附表1-GWP TABLE'!E90</f>
        <v>0</v>
      </c>
      <c r="J91" s="44"/>
      <c r="K91" s="41"/>
      <c r="L91" s="43"/>
      <c r="M91" s="44"/>
      <c r="N91" s="41"/>
      <c r="O91" s="43"/>
      <c r="P91" s="45"/>
      <c r="Q91" s="46"/>
      <c r="R91" s="47"/>
      <c r="S91" s="46"/>
      <c r="T91" s="44"/>
      <c r="U91" s="41"/>
      <c r="V91" s="48"/>
      <c r="W91" s="41"/>
      <c r="X91" s="44"/>
      <c r="Y91" s="41"/>
      <c r="Z91" s="43"/>
      <c r="AA91" s="44"/>
      <c r="AB91" s="46"/>
      <c r="AC91" s="43"/>
      <c r="AD91" s="49">
        <f>表1温室气体盘查表!AE92</f>
        <v>11664.7288421612</v>
      </c>
      <c r="AE91" s="49">
        <f>表1温室气体盘查表!AF92</f>
        <v>0</v>
      </c>
      <c r="AF91" s="49">
        <f>表1温室气体盘查表!AG92</f>
        <v>0</v>
      </c>
      <c r="AG91" s="49">
        <f>表1温室气体盘查表!AH92</f>
        <v>0</v>
      </c>
      <c r="AH91" s="49">
        <f>表1温室气体盘查表!AI92</f>
        <v>0</v>
      </c>
      <c r="AI91" s="49">
        <f>表1温室气体盘查表!AJ92</f>
        <v>0</v>
      </c>
      <c r="AJ91" s="49">
        <f>表1温室气体盘查表!AK92</f>
        <v>0</v>
      </c>
      <c r="AK91" s="49">
        <f>表1温室气体盘查表!AL92</f>
        <v>11664.7288421612</v>
      </c>
    </row>
    <row r="92" ht="18" customHeight="1" spans="1:37">
      <c r="A92" s="36">
        <v>88</v>
      </c>
      <c r="B92" s="37" t="str">
        <f>表1温室气体盘查表!B93</f>
        <v>员工通勤产生的排放</v>
      </c>
      <c r="C92" s="38" t="str">
        <f>表1温室气体盘查表!C93</f>
        <v>自驾电车</v>
      </c>
      <c r="D92" s="39" t="str">
        <f>表1温室气体盘查表!E93</f>
        <v>范围三 类别7</v>
      </c>
      <c r="E92" s="40">
        <f>表1温室气体盘查表!F93</f>
        <v>2886500</v>
      </c>
      <c r="F92" s="41" t="str">
        <f>表1温室气体盘查表!G93</f>
        <v>km</v>
      </c>
      <c r="G92" s="42" t="e">
        <f>'附表2-EF'!#REF!*10</f>
        <v>#REF!</v>
      </c>
      <c r="H92" s="41" t="s">
        <v>823</v>
      </c>
      <c r="I92" s="43">
        <f>'附表1-GWP TABLE'!E91</f>
        <v>0</v>
      </c>
      <c r="J92" s="44"/>
      <c r="K92" s="41"/>
      <c r="L92" s="43"/>
      <c r="M92" s="44"/>
      <c r="N92" s="41"/>
      <c r="O92" s="43"/>
      <c r="P92" s="45"/>
      <c r="Q92" s="46"/>
      <c r="R92" s="47"/>
      <c r="S92" s="46"/>
      <c r="T92" s="44"/>
      <c r="U92" s="41"/>
      <c r="V92" s="48"/>
      <c r="W92" s="41"/>
      <c r="X92" s="44"/>
      <c r="Y92" s="41"/>
      <c r="Z92" s="43"/>
      <c r="AA92" s="44"/>
      <c r="AB92" s="46"/>
      <c r="AC92" s="43"/>
      <c r="AD92" s="49">
        <f>表1温室气体盘查表!AE93</f>
        <v>1072.12581269864</v>
      </c>
      <c r="AE92" s="49">
        <f>表1温室气体盘查表!AF93</f>
        <v>0</v>
      </c>
      <c r="AF92" s="49">
        <f>表1温室气体盘查表!AG93</f>
        <v>0</v>
      </c>
      <c r="AG92" s="49">
        <f>表1温室气体盘查表!AH93</f>
        <v>0</v>
      </c>
      <c r="AH92" s="49">
        <f>表1温室气体盘查表!AI93</f>
        <v>0</v>
      </c>
      <c r="AI92" s="49">
        <f>表1温室气体盘查表!AJ93</f>
        <v>0</v>
      </c>
      <c r="AJ92" s="49">
        <f>表1温室气体盘查表!AK93</f>
        <v>0</v>
      </c>
      <c r="AK92" s="49">
        <f>表1温室气体盘查表!AL93</f>
        <v>1072.12581269864</v>
      </c>
    </row>
    <row r="93" ht="18" customHeight="1" spans="1:37">
      <c r="A93" s="36">
        <v>89</v>
      </c>
      <c r="B93" s="37" t="str">
        <f>表1温室气体盘查表!B94</f>
        <v>下游运输配送产生的排放</v>
      </c>
      <c r="C93" s="38" t="str">
        <f>表1温室气体盘查表!C94</f>
        <v>船运</v>
      </c>
      <c r="D93" s="39" t="str">
        <f>表1温室气体盘查表!E94</f>
        <v>范围三 类别9</v>
      </c>
      <c r="E93" s="40">
        <f>表1温室气体盘查表!F94</f>
        <v>1029048283.74</v>
      </c>
      <c r="F93" s="41" t="str">
        <f>表1温室气体盘查表!G94</f>
        <v>tkm</v>
      </c>
      <c r="G93" s="42" t="e">
        <f>'附表2-EF'!#REF!*10</f>
        <v>#REF!</v>
      </c>
      <c r="H93" s="41" t="s">
        <v>824</v>
      </c>
      <c r="I93" s="43">
        <f>'附表1-GWP TABLE'!E92</f>
        <v>0</v>
      </c>
      <c r="J93" s="44"/>
      <c r="K93" s="41"/>
      <c r="L93" s="43"/>
      <c r="M93" s="44"/>
      <c r="N93" s="41"/>
      <c r="O93" s="43"/>
      <c r="P93" s="45"/>
      <c r="Q93" s="46"/>
      <c r="R93" s="47"/>
      <c r="S93" s="46"/>
      <c r="T93" s="44"/>
      <c r="U93" s="41"/>
      <c r="V93" s="48"/>
      <c r="W93" s="41"/>
      <c r="X93" s="44"/>
      <c r="Y93" s="41"/>
      <c r="Z93" s="43"/>
      <c r="AA93" s="44"/>
      <c r="AB93" s="46"/>
      <c r="AC93" s="43"/>
      <c r="AD93" s="49">
        <f>表1温室气体盘查表!AE94</f>
        <v>53478.1555212475</v>
      </c>
      <c r="AE93" s="49">
        <f>表1温室气体盘查表!AF94</f>
        <v>0</v>
      </c>
      <c r="AF93" s="49">
        <f>表1温室气体盘查表!AG94</f>
        <v>0</v>
      </c>
      <c r="AG93" s="49">
        <f>表1温室气体盘查表!AH94</f>
        <v>0</v>
      </c>
      <c r="AH93" s="49">
        <f>表1温室气体盘查表!AI94</f>
        <v>0</v>
      </c>
      <c r="AI93" s="49">
        <f>表1温室气体盘查表!AJ94</f>
        <v>0</v>
      </c>
      <c r="AJ93" s="49">
        <f>表1温室气体盘查表!AK94</f>
        <v>0</v>
      </c>
      <c r="AK93" s="49">
        <f>表1温室气体盘查表!AL94</f>
        <v>53478.1555212475</v>
      </c>
    </row>
    <row r="94" ht="18" customHeight="1" spans="1:37">
      <c r="A94" s="36">
        <v>90</v>
      </c>
      <c r="B94" s="37" t="str">
        <f>表1温室气体盘查表!B95</f>
        <v>下游运输配送产生的排放</v>
      </c>
      <c r="C94" s="38" t="str">
        <f>表1温室气体盘查表!C95</f>
        <v>汽运</v>
      </c>
      <c r="D94" s="39" t="str">
        <f>表1温室气体盘查表!E95</f>
        <v>范围三 类别9</v>
      </c>
      <c r="E94" s="40">
        <f>表1温室气体盘查表!F95</f>
        <v>1369080976.66</v>
      </c>
      <c r="F94" s="41" t="str">
        <f>表1温室气体盘查表!G95</f>
        <v>tkm</v>
      </c>
      <c r="G94" s="42" t="e">
        <f>'附表2-EF'!#REF!*10</f>
        <v>#REF!</v>
      </c>
      <c r="H94" s="41" t="s">
        <v>825</v>
      </c>
      <c r="I94" s="43">
        <f>'附表1-GWP TABLE'!E93</f>
        <v>0</v>
      </c>
      <c r="J94" s="44"/>
      <c r="K94" s="41"/>
      <c r="L94" s="43"/>
      <c r="M94" s="44"/>
      <c r="N94" s="41"/>
      <c r="O94" s="43"/>
      <c r="P94" s="45"/>
      <c r="Q94" s="46"/>
      <c r="R94" s="47"/>
      <c r="S94" s="46"/>
      <c r="T94" s="44"/>
      <c r="U94" s="41"/>
      <c r="V94" s="48"/>
      <c r="W94" s="41"/>
      <c r="X94" s="44"/>
      <c r="Y94" s="41"/>
      <c r="Z94" s="43"/>
      <c r="AA94" s="44"/>
      <c r="AB94" s="46"/>
      <c r="AC94" s="43"/>
      <c r="AD94" s="49">
        <f>表1温室气体盘查表!AE95</f>
        <v>208049.485839029</v>
      </c>
      <c r="AE94" s="49">
        <f>表1温室气体盘查表!AF95</f>
        <v>0</v>
      </c>
      <c r="AF94" s="49">
        <f>表1温室气体盘查表!AG95</f>
        <v>0</v>
      </c>
      <c r="AG94" s="49">
        <f>表1温室气体盘查表!AH95</f>
        <v>0</v>
      </c>
      <c r="AH94" s="49">
        <f>表1温室气体盘查表!AI95</f>
        <v>0</v>
      </c>
      <c r="AI94" s="49">
        <f>表1温室气体盘查表!AJ95</f>
        <v>0</v>
      </c>
      <c r="AJ94" s="49">
        <f>表1温室气体盘查表!AK95</f>
        <v>0</v>
      </c>
      <c r="AK94" s="49">
        <f>表1温室气体盘查表!AL95</f>
        <v>208049.485839029</v>
      </c>
    </row>
    <row r="95" ht="18" customHeight="1" spans="1:37">
      <c r="A95" s="36">
        <v>91</v>
      </c>
      <c r="B95" s="37" t="str">
        <f>表1温室气体盘查表!B96</f>
        <v>下游运输配送产生的排放</v>
      </c>
      <c r="C95" s="38" t="str">
        <f>表1温室气体盘查表!C96</f>
        <v>铁路运输</v>
      </c>
      <c r="D95" s="39" t="str">
        <f>表1温室气体盘查表!E96</f>
        <v>范围三 类别9</v>
      </c>
      <c r="E95" s="40">
        <f>表1温室气体盘查表!F96</f>
        <v>228437028.19</v>
      </c>
      <c r="F95" s="41" t="str">
        <f>表1温室气体盘查表!G96</f>
        <v>tkm</v>
      </c>
      <c r="G95" s="42" t="e">
        <f>'附表2-EF'!#REF!*10</f>
        <v>#REF!</v>
      </c>
      <c r="H95" s="41" t="s">
        <v>826</v>
      </c>
      <c r="I95" s="43">
        <f>'附表1-GWP TABLE'!E94</f>
        <v>0</v>
      </c>
      <c r="J95" s="44"/>
      <c r="K95" s="41"/>
      <c r="L95" s="43"/>
      <c r="M95" s="44"/>
      <c r="N95" s="41"/>
      <c r="O95" s="43"/>
      <c r="P95" s="45"/>
      <c r="Q95" s="46"/>
      <c r="R95" s="47"/>
      <c r="S95" s="46"/>
      <c r="T95" s="44"/>
      <c r="U95" s="41"/>
      <c r="V95" s="48"/>
      <c r="W95" s="41"/>
      <c r="X95" s="44"/>
      <c r="Y95" s="41"/>
      <c r="Z95" s="43"/>
      <c r="AA95" s="44"/>
      <c r="AB95" s="46"/>
      <c r="AC95" s="43"/>
      <c r="AD95" s="49">
        <f>表1温室气体盘查表!AE96</f>
        <v>11086.4717529011</v>
      </c>
      <c r="AE95" s="49">
        <f>表1温室气体盘查表!AF96</f>
        <v>0</v>
      </c>
      <c r="AF95" s="49">
        <f>表1温室气体盘查表!AG96</f>
        <v>0</v>
      </c>
      <c r="AG95" s="49">
        <f>表1温室气体盘查表!AH96</f>
        <v>0</v>
      </c>
      <c r="AH95" s="49">
        <f>表1温室气体盘查表!AI96</f>
        <v>0</v>
      </c>
      <c r="AI95" s="49">
        <f>表1温室气体盘查表!AJ96</f>
        <v>0</v>
      </c>
      <c r="AJ95" s="49">
        <f>表1温室气体盘查表!AK96</f>
        <v>0</v>
      </c>
      <c r="AK95" s="49">
        <f>表1温室气体盘查表!AL96</f>
        <v>11086.4717529011</v>
      </c>
    </row>
    <row r="96" ht="18" customHeight="1" spans="1:37">
      <c r="A96" s="36">
        <v>92</v>
      </c>
      <c r="B96" s="37" t="str">
        <f>表1温室气体盘查表!B97</f>
        <v>下游运输配送产生的排放</v>
      </c>
      <c r="C96" s="38" t="str">
        <f>表1温室气体盘查表!C97</f>
        <v>汽运-副产品</v>
      </c>
      <c r="D96" s="39" t="str">
        <f>表1温室气体盘查表!E97</f>
        <v>范围三 类别9</v>
      </c>
      <c r="E96" s="40">
        <f>表1温室气体盘查表!F97</f>
        <v>12973524</v>
      </c>
      <c r="F96" s="41" t="str">
        <f>表1温室气体盘查表!G97</f>
        <v>tkm</v>
      </c>
      <c r="G96" s="42" t="e">
        <f>'附表2-EF'!#REF!*10</f>
        <v>#REF!</v>
      </c>
      <c r="H96" s="41" t="s">
        <v>827</v>
      </c>
      <c r="I96" s="43">
        <f>'附表1-GWP TABLE'!E95</f>
        <v>0</v>
      </c>
      <c r="J96" s="44"/>
      <c r="K96" s="41"/>
      <c r="L96" s="43"/>
      <c r="M96" s="44"/>
      <c r="N96" s="41"/>
      <c r="O96" s="43"/>
      <c r="P96" s="45"/>
      <c r="Q96" s="46"/>
      <c r="R96" s="47"/>
      <c r="S96" s="46"/>
      <c r="T96" s="44"/>
      <c r="U96" s="41"/>
      <c r="V96" s="48"/>
      <c r="W96" s="41"/>
      <c r="X96" s="44"/>
      <c r="Y96" s="41"/>
      <c r="Z96" s="43"/>
      <c r="AA96" s="44"/>
      <c r="AB96" s="46"/>
      <c r="AC96" s="43"/>
      <c r="AD96" s="49">
        <f>表1温室气体盘查表!AE97</f>
        <v>1971.49404873413</v>
      </c>
      <c r="AE96" s="49">
        <f>表1温室气体盘查表!AF97</f>
        <v>0</v>
      </c>
      <c r="AF96" s="49">
        <f>表1温室气体盘查表!AG97</f>
        <v>0</v>
      </c>
      <c r="AG96" s="49">
        <f>表1温室气体盘查表!AH97</f>
        <v>0</v>
      </c>
      <c r="AH96" s="49">
        <f>表1温室气体盘查表!AI97</f>
        <v>0</v>
      </c>
      <c r="AI96" s="49">
        <f>表1温室气体盘查表!AJ97</f>
        <v>0</v>
      </c>
      <c r="AJ96" s="49">
        <f>表1温室气体盘查表!AK97</f>
        <v>0</v>
      </c>
      <c r="AK96" s="49">
        <f>表1温室气体盘查表!AL97</f>
        <v>1971.49404873413</v>
      </c>
    </row>
    <row r="97" ht="18" customHeight="1" spans="1:37">
      <c r="A97" s="36">
        <v>93</v>
      </c>
      <c r="B97" s="37" t="str">
        <f>表1温室气体盘查表!B98</f>
        <v>外销产品加工产生的排放</v>
      </c>
      <c r="C97" s="38" t="str">
        <f>表1温室气体盘查表!C98</f>
        <v>锻材加工</v>
      </c>
      <c r="D97" s="39" t="str">
        <f>表1温室气体盘查表!E98</f>
        <v>范围三 类别10</v>
      </c>
      <c r="E97" s="40">
        <f>表1温室气体盘查表!F98</f>
        <v>149966</v>
      </c>
      <c r="F97" s="41" t="str">
        <f>表1温室气体盘查表!G98</f>
        <v>t</v>
      </c>
      <c r="G97" s="42">
        <f>'附表2-EF'!K97*10</f>
        <v>0</v>
      </c>
      <c r="H97" s="41" t="s">
        <v>828</v>
      </c>
      <c r="I97" s="43">
        <f>'附表1-GWP TABLE'!E96</f>
        <v>0</v>
      </c>
      <c r="J97" s="44"/>
      <c r="K97" s="41"/>
      <c r="L97" s="43"/>
      <c r="M97" s="44"/>
      <c r="N97" s="41"/>
      <c r="O97" s="43"/>
      <c r="P97" s="45"/>
      <c r="Q97" s="46"/>
      <c r="R97" s="47"/>
      <c r="S97" s="46"/>
      <c r="T97" s="44"/>
      <c r="U97" s="41"/>
      <c r="V97" s="48"/>
      <c r="W97" s="41"/>
      <c r="X97" s="44"/>
      <c r="Y97" s="41"/>
      <c r="Z97" s="43"/>
      <c r="AA97" s="44"/>
      <c r="AB97" s="46"/>
      <c r="AC97" s="43"/>
      <c r="AD97" s="49">
        <f>表1温室气体盘查表!AE98</f>
        <v>113275.661420512</v>
      </c>
      <c r="AE97" s="49">
        <f>表1温室气体盘查表!AF98</f>
        <v>0</v>
      </c>
      <c r="AF97" s="49">
        <f>表1温室气体盘查表!AG98</f>
        <v>0</v>
      </c>
      <c r="AG97" s="49">
        <f>表1温室气体盘查表!AH98</f>
        <v>0</v>
      </c>
      <c r="AH97" s="49">
        <f>表1温室气体盘查表!AI98</f>
        <v>0</v>
      </c>
      <c r="AI97" s="49">
        <f>表1温室气体盘查表!AJ98</f>
        <v>0</v>
      </c>
      <c r="AJ97" s="49">
        <f>表1温室气体盘查表!AK98</f>
        <v>0</v>
      </c>
      <c r="AK97" s="49">
        <f>表1温室气体盘查表!AL98</f>
        <v>113275.661420512</v>
      </c>
    </row>
    <row r="98" ht="18" customHeight="1" spans="1:37">
      <c r="A98" s="36">
        <v>94</v>
      </c>
      <c r="B98" s="37" t="str">
        <f>表1温室气体盘查表!B99</f>
        <v>外销产品加工产生的排放</v>
      </c>
      <c r="C98" s="38" t="str">
        <f>表1温室气体盘查表!C99</f>
        <v>棒材加工</v>
      </c>
      <c r="D98" s="39" t="str">
        <f>表1温室气体盘查表!E99</f>
        <v>范围三 类别10</v>
      </c>
      <c r="E98" s="40">
        <f>表1温室气体盘查表!F99</f>
        <v>2033971</v>
      </c>
      <c r="F98" s="41" t="str">
        <f>表1温室气体盘查表!G99</f>
        <v>t</v>
      </c>
      <c r="G98" s="42" t="e">
        <f>'附表2-EF'!#REF!*10</f>
        <v>#REF!</v>
      </c>
      <c r="H98" s="41" t="s">
        <v>829</v>
      </c>
      <c r="I98" s="43">
        <f>'附表1-GWP TABLE'!E97</f>
        <v>0</v>
      </c>
      <c r="J98" s="44"/>
      <c r="K98" s="41"/>
      <c r="L98" s="43"/>
      <c r="M98" s="44"/>
      <c r="N98" s="41"/>
      <c r="O98" s="43"/>
      <c r="P98" s="45"/>
      <c r="Q98" s="46"/>
      <c r="R98" s="47"/>
      <c r="S98" s="46"/>
      <c r="T98" s="44"/>
      <c r="U98" s="41"/>
      <c r="V98" s="48"/>
      <c r="W98" s="41"/>
      <c r="X98" s="44"/>
      <c r="Y98" s="41"/>
      <c r="Z98" s="43"/>
      <c r="AA98" s="44"/>
      <c r="AB98" s="46"/>
      <c r="AC98" s="43"/>
      <c r="AD98" s="49">
        <f>表1温室气体盘查表!AE99</f>
        <v>1357195.22298588</v>
      </c>
      <c r="AE98" s="49">
        <f>表1温室气体盘查表!AF99</f>
        <v>0</v>
      </c>
      <c r="AF98" s="49">
        <f>表1温室气体盘查表!AG99</f>
        <v>0</v>
      </c>
      <c r="AG98" s="49">
        <f>表1温室气体盘查表!AH99</f>
        <v>0</v>
      </c>
      <c r="AH98" s="49">
        <f>表1温室气体盘查表!AI99</f>
        <v>0</v>
      </c>
      <c r="AI98" s="49">
        <f>表1温室气体盘查表!AJ99</f>
        <v>0</v>
      </c>
      <c r="AJ98" s="49">
        <f>表1温室气体盘查表!AK99</f>
        <v>0</v>
      </c>
      <c r="AK98" s="49">
        <f>表1温室气体盘查表!AL99</f>
        <v>1357195.22298588</v>
      </c>
    </row>
    <row r="99" ht="18" customHeight="1" spans="1:37">
      <c r="A99" s="36">
        <v>95</v>
      </c>
      <c r="B99" s="37" t="str">
        <f>表1温室气体盘查表!B100</f>
        <v>外销产品加工产生的排放</v>
      </c>
      <c r="C99" s="38" t="str">
        <f>表1温室气体盘查表!C100</f>
        <v>钢管加工</v>
      </c>
      <c r="D99" s="39" t="str">
        <f>表1温室气体盘查表!E100</f>
        <v>范围三 类别10</v>
      </c>
      <c r="E99" s="40">
        <f>表1温室气体盘查表!F100</f>
        <v>760435.74</v>
      </c>
      <c r="F99" s="41" t="str">
        <f>表1温室气体盘查表!G100</f>
        <v>t</v>
      </c>
      <c r="G99" s="42" t="e">
        <f>'附表2-EF'!#REF!*10</f>
        <v>#REF!</v>
      </c>
      <c r="H99" s="41" t="s">
        <v>830</v>
      </c>
      <c r="I99" s="43">
        <f>'附表1-GWP TABLE'!E98</f>
        <v>0</v>
      </c>
      <c r="J99" s="44"/>
      <c r="K99" s="41"/>
      <c r="L99" s="43"/>
      <c r="M99" s="44"/>
      <c r="N99" s="41"/>
      <c r="O99" s="43"/>
      <c r="P99" s="45"/>
      <c r="Q99" s="46"/>
      <c r="R99" s="47"/>
      <c r="S99" s="46"/>
      <c r="T99" s="44"/>
      <c r="U99" s="41"/>
      <c r="V99" s="48"/>
      <c r="W99" s="41"/>
      <c r="X99" s="44"/>
      <c r="Y99" s="41"/>
      <c r="Z99" s="43"/>
      <c r="AA99" s="44"/>
      <c r="AB99" s="46"/>
      <c r="AC99" s="43"/>
      <c r="AD99" s="49">
        <f>表1温室气体盘查表!AE100</f>
        <v>72250.3406477739</v>
      </c>
      <c r="AE99" s="49">
        <f>表1温室气体盘查表!AF100</f>
        <v>0</v>
      </c>
      <c r="AF99" s="49">
        <f>表1温室气体盘查表!AG100</f>
        <v>0</v>
      </c>
      <c r="AG99" s="49">
        <f>表1温室气体盘查表!AH100</f>
        <v>0</v>
      </c>
      <c r="AH99" s="49">
        <f>表1温室气体盘查表!AI100</f>
        <v>0</v>
      </c>
      <c r="AI99" s="49">
        <f>表1温室气体盘查表!AJ100</f>
        <v>0</v>
      </c>
      <c r="AJ99" s="49">
        <f>表1温室气体盘查表!AK100</f>
        <v>0</v>
      </c>
      <c r="AK99" s="49">
        <f>表1温室气体盘查表!AL100</f>
        <v>72250.3406477739</v>
      </c>
    </row>
    <row r="100" ht="18" customHeight="1" spans="1:37">
      <c r="A100" s="36">
        <v>96</v>
      </c>
      <c r="B100" s="37" t="str">
        <f>表1温室气体盘查表!B101</f>
        <v>外销产品加工产生的排放</v>
      </c>
      <c r="C100" s="38" t="str">
        <f>表1温室气体盘查表!C101</f>
        <v>钢坯加工</v>
      </c>
      <c r="D100" s="39" t="str">
        <f>表1温室气体盘查表!E101</f>
        <v>范围三 类别10</v>
      </c>
      <c r="E100" s="40">
        <f>表1温室气体盘查表!F101</f>
        <v>702589.87</v>
      </c>
      <c r="F100" s="41" t="str">
        <f>表1温室气体盘查表!G101</f>
        <v>t</v>
      </c>
      <c r="G100" s="42" t="e">
        <f>'附表2-EF'!#REF!*10</f>
        <v>#REF!</v>
      </c>
      <c r="H100" s="41" t="s">
        <v>831</v>
      </c>
      <c r="I100" s="43">
        <f>'附表1-GWP TABLE'!E99</f>
        <v>0</v>
      </c>
      <c r="J100" s="44"/>
      <c r="K100" s="41"/>
      <c r="L100" s="43"/>
      <c r="M100" s="44"/>
      <c r="N100" s="41"/>
      <c r="O100" s="43"/>
      <c r="P100" s="45"/>
      <c r="Q100" s="46"/>
      <c r="R100" s="47"/>
      <c r="S100" s="46"/>
      <c r="T100" s="44"/>
      <c r="U100" s="41"/>
      <c r="V100" s="48"/>
      <c r="W100" s="41"/>
      <c r="X100" s="44"/>
      <c r="Y100" s="41"/>
      <c r="Z100" s="43"/>
      <c r="AA100" s="44"/>
      <c r="AB100" s="46"/>
      <c r="AC100" s="43"/>
      <c r="AD100" s="49">
        <f>表1温室气体盘查表!AE101</f>
        <v>203898.734635364</v>
      </c>
      <c r="AE100" s="49">
        <f>表1温室气体盘查表!AF101</f>
        <v>0</v>
      </c>
      <c r="AF100" s="49">
        <f>表1温室气体盘查表!AG101</f>
        <v>0</v>
      </c>
      <c r="AG100" s="49">
        <f>表1温室气体盘查表!AH101</f>
        <v>0</v>
      </c>
      <c r="AH100" s="49">
        <f>表1温室气体盘查表!AI101</f>
        <v>0</v>
      </c>
      <c r="AI100" s="49">
        <f>表1温室气体盘查表!AJ101</f>
        <v>0</v>
      </c>
      <c r="AJ100" s="49">
        <f>表1温室气体盘查表!AK101</f>
        <v>0</v>
      </c>
      <c r="AK100" s="49">
        <f>表1温室气体盘查表!AL101</f>
        <v>203898.734635364</v>
      </c>
    </row>
    <row r="101" ht="18" customHeight="1" spans="1:37">
      <c r="A101" s="36">
        <v>97</v>
      </c>
      <c r="B101" s="37" t="str">
        <f>表1温室气体盘查表!B102</f>
        <v>外销产品使用产生的排放</v>
      </c>
      <c r="C101" s="38" t="str">
        <f>表1温室气体盘查表!C102</f>
        <v>外售焦炉煤气燃烧</v>
      </c>
      <c r="D101" s="39" t="str">
        <f>表1温室气体盘查表!E102</f>
        <v>范围三 类别11</v>
      </c>
      <c r="E101" s="40">
        <f>表1温室气体盘查表!F102</f>
        <v>500.97</v>
      </c>
      <c r="F101" s="41" t="str">
        <f>表1温室气体盘查表!G102</f>
        <v>10000Nm3</v>
      </c>
      <c r="G101" s="42"/>
      <c r="H101" s="41"/>
      <c r="I101" s="43"/>
      <c r="J101" s="44"/>
      <c r="K101" s="41"/>
      <c r="L101" s="43"/>
      <c r="M101" s="44"/>
      <c r="N101" s="41"/>
      <c r="O101" s="43"/>
      <c r="P101" s="45"/>
      <c r="Q101" s="46"/>
      <c r="R101" s="47"/>
      <c r="S101" s="46"/>
      <c r="T101" s="44"/>
      <c r="U101" s="41"/>
      <c r="V101" s="48"/>
      <c r="W101" s="41"/>
      <c r="X101" s="44"/>
      <c r="Y101" s="41"/>
      <c r="Z101" s="43"/>
      <c r="AA101" s="44"/>
      <c r="AB101" s="46"/>
      <c r="AC101" s="43"/>
      <c r="AD101" s="49">
        <f>表1温室气体盘查表!AE102</f>
        <v>3828.37588063128</v>
      </c>
      <c r="AE101" s="49">
        <f>表1温室气体盘查表!AF102</f>
        <v>2.40566862769398</v>
      </c>
      <c r="AF101" s="49">
        <f>表1温室气体盘查表!AG102</f>
        <v>2.35393381849626</v>
      </c>
      <c r="AG101" s="49">
        <f>表1温室气体盘查表!AH102</f>
        <v>0</v>
      </c>
      <c r="AH101" s="49">
        <f>表1温室气体盘查表!AI102</f>
        <v>0</v>
      </c>
      <c r="AI101" s="49">
        <f>表1温室气体盘查表!AJ102</f>
        <v>0</v>
      </c>
      <c r="AJ101" s="49">
        <f>表1温室气体盘查表!AK102</f>
        <v>0</v>
      </c>
      <c r="AK101" s="49">
        <f>表1温室气体盘查表!AL102</f>
        <v>3833.13548307747</v>
      </c>
    </row>
    <row r="102" ht="18" customHeight="1" spans="1:37">
      <c r="A102" s="36">
        <v>98</v>
      </c>
      <c r="B102" s="37" t="str">
        <f>表1温室气体盘查表!B103</f>
        <v>外售产品报废产生的排放</v>
      </c>
      <c r="C102" s="38" t="str">
        <f>表1温室气体盘查表!C103</f>
        <v>产品报废</v>
      </c>
      <c r="D102" s="39" t="str">
        <f>表1温室气体盘查表!E103</f>
        <v>范围三 类别12</v>
      </c>
      <c r="E102" s="40">
        <f>表1温室气体盘查表!F103</f>
        <v>598329.8</v>
      </c>
      <c r="F102" s="41" t="str">
        <f>表1温室气体盘查表!G103</f>
        <v>t</v>
      </c>
      <c r="G102" s="42" t="e">
        <f>'附表2-EF'!#REF!*10</f>
        <v>#REF!</v>
      </c>
      <c r="H102" s="41" t="s">
        <v>832</v>
      </c>
      <c r="I102" s="43">
        <f>'附表1-GWP TABLE'!E100</f>
        <v>0</v>
      </c>
      <c r="J102" s="44"/>
      <c r="K102" s="41"/>
      <c r="L102" s="43"/>
      <c r="M102" s="44"/>
      <c r="N102" s="41"/>
      <c r="O102" s="43"/>
      <c r="P102" s="45"/>
      <c r="Q102" s="46"/>
      <c r="R102" s="47"/>
      <c r="S102" s="46"/>
      <c r="T102" s="44"/>
      <c r="U102" s="41"/>
      <c r="V102" s="48"/>
      <c r="W102" s="41"/>
      <c r="X102" s="44"/>
      <c r="Y102" s="41"/>
      <c r="Z102" s="43"/>
      <c r="AA102" s="44"/>
      <c r="AB102" s="46"/>
      <c r="AC102" s="43"/>
      <c r="AD102" s="49">
        <f>表1温室气体盘查表!AE103</f>
        <v>3747.34695958894</v>
      </c>
      <c r="AE102" s="49">
        <f>表1温室气体盘查表!AF103</f>
        <v>0</v>
      </c>
      <c r="AF102" s="49">
        <f>表1温室气体盘查表!AG103</f>
        <v>0</v>
      </c>
      <c r="AG102" s="49">
        <f>表1温室气体盘查表!AH103</f>
        <v>0</v>
      </c>
      <c r="AH102" s="49">
        <f>表1温室气体盘查表!AI103</f>
        <v>0</v>
      </c>
      <c r="AI102" s="49">
        <f>表1温室气体盘查表!AJ103</f>
        <v>0</v>
      </c>
      <c r="AJ102" s="49">
        <f>表1温室气体盘查表!AK103</f>
        <v>0</v>
      </c>
      <c r="AK102" s="49">
        <f>表1温室气体盘查表!AL103</f>
        <v>3747.34695958894</v>
      </c>
    </row>
    <row r="103" ht="18" customHeight="1" spans="1:37">
      <c r="A103" s="50"/>
      <c r="B103" s="50"/>
      <c r="C103" s="50"/>
      <c r="D103" s="51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2">
        <f>SUM(AD5:AD102)</f>
        <v>15487862.0789469</v>
      </c>
      <c r="AE103" s="52">
        <f t="shared" ref="AE103:AK103" si="0">SUM(AE5:AE102)</f>
        <v>2572.08920348666</v>
      </c>
      <c r="AF103" s="52">
        <f t="shared" si="0"/>
        <v>30424.9692562055</v>
      </c>
      <c r="AG103" s="52">
        <f t="shared" si="0"/>
        <v>717.03</v>
      </c>
      <c r="AH103" s="52">
        <f t="shared" si="0"/>
        <v>0</v>
      </c>
      <c r="AI103" s="52">
        <f t="shared" si="0"/>
        <v>2459.16</v>
      </c>
      <c r="AJ103" s="52">
        <f t="shared" si="0"/>
        <v>0</v>
      </c>
      <c r="AK103" s="53">
        <f t="shared" si="0"/>
        <v>15524035.3274066</v>
      </c>
    </row>
    <row r="104" ht="18" customHeight="1" spans="1:37">
      <c r="C104" s="30"/>
    </row>
    <row r="105" ht="18" customHeight="1" spans="1:37">
      <c r="C105" s="30"/>
    </row>
    <row r="106" ht="18" customHeight="1" spans="1:37">
      <c r="C106" s="30"/>
    </row>
    <row r="107" ht="18" customHeight="1" spans="1:37">
      <c r="C107" s="30"/>
    </row>
    <row r="108" ht="18" customHeight="1" spans="1:37">
      <c r="C108" s="30"/>
    </row>
    <row r="109" ht="18" customHeight="1" spans="1:37">
      <c r="C109" s="30"/>
    </row>
    <row r="110" ht="18" customHeight="1" spans="1:37">
      <c r="C110" s="30"/>
    </row>
    <row r="111" ht="18" customHeight="1" spans="1:37">
      <c r="C111" s="30"/>
    </row>
    <row r="112" ht="18" customHeight="1" spans="1:37">
      <c r="C112" s="30"/>
    </row>
    <row r="113" ht="18" customHeight="1" spans="3:3">
      <c r="C113" s="30"/>
    </row>
    <row r="114" ht="18" customHeight="1" spans="3:3">
      <c r="C114" s="30"/>
    </row>
    <row r="115" ht="18" customHeight="1" spans="3:3">
      <c r="C115" s="30"/>
    </row>
    <row r="116" ht="18" customHeight="1" spans="3:3">
      <c r="C116" s="30"/>
    </row>
    <row r="117" ht="18" customHeight="1" spans="3:3">
      <c r="C117" s="30"/>
    </row>
    <row r="118" ht="18" customHeight="1" spans="3:3">
      <c r="C118" s="30"/>
    </row>
    <row r="119" ht="18" customHeight="1" spans="3:3">
      <c r="C119" s="30"/>
    </row>
    <row r="120" ht="18" customHeight="1" spans="3:3">
      <c r="C120" s="30"/>
    </row>
    <row r="121" ht="18" customHeight="1" spans="3:3">
      <c r="C121" s="30"/>
    </row>
    <row r="122" ht="18" customHeight="1" spans="3:3">
      <c r="C122" s="30"/>
    </row>
    <row r="123" ht="18" customHeight="1" spans="3:3">
      <c r="C123" s="30"/>
    </row>
    <row r="124" ht="18" customHeight="1" spans="3:3">
      <c r="C124" s="30"/>
    </row>
    <row r="125" ht="18" customHeight="1" spans="3:3">
      <c r="C125" s="30"/>
    </row>
    <row r="126" ht="18" customHeight="1" spans="3:3">
      <c r="C126" s="30"/>
    </row>
    <row r="127" ht="18" customHeight="1" spans="3:3">
      <c r="C127" s="30"/>
    </row>
    <row r="128" spans="3:3">
      <c r="C128" s="30"/>
    </row>
    <row r="129" spans="3:3">
      <c r="C129" s="30"/>
    </row>
    <row r="130" spans="3:3">
      <c r="C130" s="30"/>
    </row>
    <row r="131" spans="3:3">
      <c r="C131" s="30"/>
    </row>
    <row r="132" spans="3:3">
      <c r="C132" s="30"/>
    </row>
    <row r="133" spans="3:3">
      <c r="C133" s="30"/>
    </row>
    <row r="134" spans="3:3">
      <c r="C134" s="30"/>
    </row>
    <row r="135" spans="3:3">
      <c r="C135" s="30"/>
    </row>
    <row r="136" spans="3:3">
      <c r="C136" s="30"/>
    </row>
    <row r="137" spans="3:3">
      <c r="C137" s="30"/>
    </row>
    <row r="138" spans="3:3">
      <c r="C138" s="30"/>
    </row>
    <row r="139" spans="3:3">
      <c r="C139" s="30"/>
    </row>
    <row r="140" spans="3:3">
      <c r="C140" s="30"/>
    </row>
    <row r="141" spans="3:3">
      <c r="C141" s="30"/>
    </row>
    <row r="142" spans="3:3">
      <c r="C142" s="30"/>
    </row>
    <row r="143" spans="3:3">
      <c r="C143" s="30"/>
    </row>
    <row r="144" spans="3:3">
      <c r="C144" s="30"/>
    </row>
    <row r="145" spans="3:3">
      <c r="C145" s="30"/>
    </row>
    <row r="146" spans="3:3">
      <c r="C146" s="30"/>
    </row>
    <row r="147" spans="3:3">
      <c r="C147" s="30"/>
    </row>
    <row r="148" spans="3:3">
      <c r="C148" s="30"/>
    </row>
    <row r="149" spans="3:3">
      <c r="C149" s="30"/>
    </row>
    <row r="150" spans="3:3">
      <c r="C150" s="30"/>
    </row>
    <row r="151" spans="3:3">
      <c r="C151" s="30"/>
    </row>
    <row r="152" spans="3:3">
      <c r="C152" s="30"/>
    </row>
    <row r="153" spans="3:3">
      <c r="C153" s="30"/>
    </row>
    <row r="154" spans="3:3">
      <c r="C154" s="30"/>
    </row>
    <row r="155" spans="3:3">
      <c r="C155" s="30"/>
    </row>
    <row r="156" spans="3:3">
      <c r="C156" s="30"/>
    </row>
    <row r="157" spans="3:3">
      <c r="C157" s="30"/>
    </row>
    <row r="158" spans="3:3">
      <c r="C158" s="30"/>
    </row>
    <row r="159" spans="3:3">
      <c r="C159" s="30"/>
    </row>
    <row r="160" spans="3:3">
      <c r="C160" s="30"/>
    </row>
    <row r="161" spans="3:3">
      <c r="C161" s="30"/>
    </row>
    <row r="162" spans="3:3">
      <c r="C162" s="30"/>
    </row>
    <row r="163" spans="3:3">
      <c r="C163" s="30"/>
    </row>
    <row r="164" spans="3:3">
      <c r="C164" s="30"/>
    </row>
    <row r="165" spans="3:3">
      <c r="C165" s="30"/>
    </row>
    <row r="166" spans="3:3">
      <c r="C166" s="30"/>
    </row>
    <row r="167" spans="3:3">
      <c r="C167" s="30"/>
    </row>
    <row r="168" spans="3:3">
      <c r="C168" s="30"/>
    </row>
    <row r="169" spans="3:3">
      <c r="C169" s="30"/>
    </row>
    <row r="170" spans="3:3">
      <c r="C170" s="30"/>
    </row>
  </sheetData>
  <mergeCells count="16">
    <mergeCell ref="A1:AK1"/>
    <mergeCell ref="G2:AC2"/>
    <mergeCell ref="AD2:AK2"/>
    <mergeCell ref="G3:I3"/>
    <mergeCell ref="J3:L3"/>
    <mergeCell ref="M3:O3"/>
    <mergeCell ref="P3:S3"/>
    <mergeCell ref="T3:W3"/>
    <mergeCell ref="X3:Z3"/>
    <mergeCell ref="AA3:AC3"/>
    <mergeCell ref="AD4:AK4"/>
    <mergeCell ref="A2:A4"/>
    <mergeCell ref="B2:B4"/>
    <mergeCell ref="C2:C4"/>
    <mergeCell ref="D2:D4"/>
    <mergeCell ref="E2:F3"/>
  </mergeCells>
  <printOptions horizontalCentered="1"/>
  <pageMargins left="0" right="0" top="0.708661417322835" bottom="0.511811023622047" header="0.393700787401575" footer="0.354330708661417"/>
  <pageSetup paperSize="9" scale="64" fitToWidth="3" orientation="landscape"/>
  <headerFooter alignWithMargins="0">
    <oddFooter>&amp;L文件名称：温室气体盘查表V1.0_20111226</oddFooter>
  </headerFooter>
  <colBreaks count="1" manualBreakCount="1">
    <brk id="29" max="53" man="1"/>
  </colBreak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170"/>
  <sheetViews>
    <sheetView showGridLines="0" zoomScale="145" zoomScaleNormal="145" zoomScalePageLayoutView="85" topLeftCell="A13" workbookViewId="0">
      <selection activeCell="AG100" sqref="AG100"/>
    </sheetView>
  </sheetViews>
  <sheetFormatPr defaultColWidth="8.75" defaultRowHeight="15"/>
  <cols>
    <col min="1" max="1" width="3.375" style="30" customWidth="1"/>
    <col min="2" max="2" width="18.625" style="30" customWidth="1"/>
    <col min="3" max="3" width="8.5" style="31" customWidth="1"/>
    <col min="4" max="4" width="5.375" style="31" customWidth="1"/>
    <col min="5" max="5" width="11.375" style="30" customWidth="1"/>
    <col min="6" max="6" width="4.875" style="30" customWidth="1"/>
    <col min="7" max="7" width="12.375" style="30" hidden="1" customWidth="1"/>
    <col min="8" max="8" width="29.875" style="30" hidden="1" customWidth="1"/>
    <col min="9" max="9" width="6.625" style="30" hidden="1" customWidth="1"/>
    <col min="10" max="10" width="11.125" style="30" hidden="1" customWidth="1"/>
    <col min="11" max="11" width="13.5" style="30" hidden="1" customWidth="1"/>
    <col min="12" max="12" width="7.5" style="30" hidden="1" customWidth="1"/>
    <col min="13" max="13" width="9.75" style="30" hidden="1" customWidth="1"/>
    <col min="14" max="14" width="11.5" style="30" hidden="1" customWidth="1"/>
    <col min="15" max="15" width="8.125" style="30" hidden="1" customWidth="1"/>
    <col min="16" max="16" width="8.5" style="30" hidden="1" customWidth="1"/>
    <col min="17" max="17" width="10.375" style="30" hidden="1" customWidth="1"/>
    <col min="18" max="18" width="9.375" style="30" hidden="1" customWidth="1"/>
    <col min="19" max="19" width="10.125" style="30" hidden="1" customWidth="1"/>
    <col min="20" max="20" width="8.5" style="30" hidden="1" customWidth="1"/>
    <col min="21" max="21" width="10.375" style="30" hidden="1" customWidth="1"/>
    <col min="22" max="22" width="6.5" style="30" hidden="1" customWidth="1"/>
    <col min="23" max="23" width="14.625" style="30" hidden="1" customWidth="1"/>
    <col min="24" max="24" width="8.5" style="30" hidden="1" customWidth="1"/>
    <col min="25" max="25" width="10.375" style="30" hidden="1" customWidth="1"/>
    <col min="26" max="26" width="6.5" style="30" hidden="1" customWidth="1"/>
    <col min="27" max="27" width="8.5" style="30" hidden="1" customWidth="1"/>
    <col min="28" max="28" width="10.375" style="30" hidden="1" customWidth="1"/>
    <col min="29" max="29" width="6.5" style="30" hidden="1" customWidth="1"/>
    <col min="30" max="31" width="8.75" style="30"/>
    <col min="32" max="32" width="5.875" style="30" customWidth="1"/>
    <col min="33" max="16384" width="8.75" style="30"/>
  </cols>
  <sheetData>
    <row r="1" ht="33.75" customHeight="1" spans="1:37">
      <c r="A1" s="32" t="s">
        <v>725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</row>
    <row r="2" s="24" customFormat="1" ht="16.5" customHeight="1" spans="1:37">
      <c r="A2" s="34" t="s">
        <v>726</v>
      </c>
      <c r="B2" s="34" t="s">
        <v>727</v>
      </c>
      <c r="C2" s="35" t="s">
        <v>728</v>
      </c>
      <c r="D2" s="35" t="s">
        <v>729</v>
      </c>
      <c r="E2" s="34" t="s">
        <v>730</v>
      </c>
      <c r="F2" s="34"/>
      <c r="G2" s="34" t="s">
        <v>731</v>
      </c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 t="s">
        <v>732</v>
      </c>
      <c r="AE2" s="34"/>
      <c r="AF2" s="34"/>
      <c r="AG2" s="34"/>
      <c r="AH2" s="34"/>
      <c r="AI2" s="34"/>
      <c r="AJ2" s="34"/>
      <c r="AK2" s="34"/>
    </row>
    <row r="3" s="24" customFormat="1" ht="15.75" spans="1:37">
      <c r="A3" s="34"/>
      <c r="B3" s="34"/>
      <c r="C3" s="35"/>
      <c r="D3" s="35"/>
      <c r="E3" s="34"/>
      <c r="F3" s="34"/>
      <c r="G3" s="34" t="s">
        <v>203</v>
      </c>
      <c r="H3" s="34"/>
      <c r="I3" s="34"/>
      <c r="J3" s="34" t="s">
        <v>204</v>
      </c>
      <c r="K3" s="34"/>
      <c r="L3" s="34"/>
      <c r="M3" s="34" t="s">
        <v>205</v>
      </c>
      <c r="N3" s="34"/>
      <c r="O3" s="34"/>
      <c r="P3" s="34" t="s">
        <v>29</v>
      </c>
      <c r="Q3" s="34"/>
      <c r="R3" s="34"/>
      <c r="S3" s="34"/>
      <c r="T3" s="34" t="s">
        <v>30</v>
      </c>
      <c r="U3" s="34"/>
      <c r="V3" s="34"/>
      <c r="W3" s="34"/>
      <c r="X3" s="34" t="s">
        <v>206</v>
      </c>
      <c r="Y3" s="34"/>
      <c r="Z3" s="34"/>
      <c r="AA3" s="34" t="s">
        <v>207</v>
      </c>
      <c r="AB3" s="34"/>
      <c r="AC3" s="34"/>
      <c r="AD3" s="34" t="str">
        <f>G3</f>
        <v>CO2</v>
      </c>
      <c r="AE3" s="34" t="str">
        <f>J3</f>
        <v>CH4</v>
      </c>
      <c r="AF3" s="34" t="str">
        <f>M3</f>
        <v>N2O</v>
      </c>
      <c r="AG3" s="34" t="str">
        <f>P3</f>
        <v>HFCs</v>
      </c>
      <c r="AH3" s="34" t="str">
        <f>T3</f>
        <v>PFCs</v>
      </c>
      <c r="AI3" s="34" t="str">
        <f>X3</f>
        <v>SF6</v>
      </c>
      <c r="AJ3" s="34" t="str">
        <f>AA3</f>
        <v>NF3</v>
      </c>
      <c r="AK3" s="34" t="s">
        <v>733</v>
      </c>
    </row>
    <row r="4" s="24" customFormat="1" ht="15.75" spans="1:37">
      <c r="A4" s="34"/>
      <c r="B4" s="34"/>
      <c r="C4" s="35"/>
      <c r="D4" s="35"/>
      <c r="E4" s="34" t="s">
        <v>734</v>
      </c>
      <c r="F4" s="34" t="s">
        <v>735</v>
      </c>
      <c r="G4" s="34" t="s">
        <v>211</v>
      </c>
      <c r="H4" s="34" t="s">
        <v>735</v>
      </c>
      <c r="I4" s="34" t="s">
        <v>212</v>
      </c>
      <c r="J4" s="34" t="s">
        <v>211</v>
      </c>
      <c r="K4" s="34" t="s">
        <v>735</v>
      </c>
      <c r="L4" s="34" t="s">
        <v>212</v>
      </c>
      <c r="M4" s="34" t="s">
        <v>211</v>
      </c>
      <c r="N4" s="34" t="s">
        <v>735</v>
      </c>
      <c r="O4" s="34" t="s">
        <v>212</v>
      </c>
      <c r="P4" s="34" t="s">
        <v>211</v>
      </c>
      <c r="Q4" s="34" t="s">
        <v>735</v>
      </c>
      <c r="R4" s="34" t="s">
        <v>212</v>
      </c>
      <c r="S4" s="34" t="s">
        <v>736</v>
      </c>
      <c r="T4" s="34" t="s">
        <v>211</v>
      </c>
      <c r="U4" s="34" t="s">
        <v>735</v>
      </c>
      <c r="V4" s="34" t="s">
        <v>212</v>
      </c>
      <c r="W4" s="34" t="s">
        <v>736</v>
      </c>
      <c r="X4" s="34" t="s">
        <v>211</v>
      </c>
      <c r="Y4" s="34" t="s">
        <v>735</v>
      </c>
      <c r="Z4" s="34" t="s">
        <v>212</v>
      </c>
      <c r="AA4" s="34" t="s">
        <v>211</v>
      </c>
      <c r="AB4" s="34" t="s">
        <v>735</v>
      </c>
      <c r="AC4" s="34" t="s">
        <v>212</v>
      </c>
      <c r="AD4" s="34" t="s">
        <v>214</v>
      </c>
      <c r="AE4" s="34"/>
      <c r="AF4" s="34"/>
      <c r="AG4" s="34"/>
      <c r="AH4" s="34"/>
      <c r="AI4" s="34"/>
      <c r="AJ4" s="34"/>
      <c r="AK4" s="34"/>
    </row>
    <row r="5" s="24" customFormat="1" ht="15.75" spans="1:37">
      <c r="A5" s="36">
        <v>1</v>
      </c>
      <c r="B5" s="37" t="str">
        <f>表1温室气体盘查表!B5</f>
        <v>固定燃烧</v>
      </c>
      <c r="C5" s="38" t="str">
        <f>表1温室气体盘查表!C5</f>
        <v>天然气燃烧</v>
      </c>
      <c r="D5" s="39" t="str">
        <f>表1温室气体盘查表!E5</f>
        <v>范围一</v>
      </c>
      <c r="E5" s="40">
        <f>表1温室气体盘查表!F5</f>
        <v>1796.49</v>
      </c>
      <c r="F5" s="41" t="str">
        <f>表1温室气体盘查表!G5</f>
        <v>10000Nm3</v>
      </c>
      <c r="G5" s="42">
        <f>'附表2-EF'!K5*10</f>
        <v>1e-6</v>
      </c>
      <c r="H5" s="41" t="s">
        <v>220</v>
      </c>
      <c r="I5" s="43">
        <f>'附表1-GWP TABLE'!E3</f>
        <v>1</v>
      </c>
      <c r="J5" s="44"/>
      <c r="K5" s="41"/>
      <c r="L5" s="43"/>
      <c r="M5" s="44"/>
      <c r="N5" s="41"/>
      <c r="O5" s="43"/>
      <c r="P5" s="45"/>
      <c r="Q5" s="46"/>
      <c r="R5" s="47"/>
      <c r="S5" s="46"/>
      <c r="T5" s="44"/>
      <c r="U5" s="41"/>
      <c r="V5" s="48"/>
      <c r="W5" s="41"/>
      <c r="X5" s="44"/>
      <c r="Y5" s="41"/>
      <c r="Z5" s="43"/>
      <c r="AA5" s="44"/>
      <c r="AB5" s="46"/>
      <c r="AC5" s="43"/>
      <c r="AD5" s="49">
        <f>表1温室气体盘查表!AE5</f>
        <v>38843.5057348041</v>
      </c>
      <c r="AE5" s="49">
        <f>表1温室气体盘查表!AF5</f>
        <v>19.3178932263999</v>
      </c>
      <c r="AF5" s="49">
        <f>表1温室气体盘查表!AG5</f>
        <v>18.9024546623913</v>
      </c>
      <c r="AG5" s="49">
        <f>表1温室气体盘查表!AH5</f>
        <v>0</v>
      </c>
      <c r="AH5" s="49">
        <f>表1温室气体盘查表!AI5</f>
        <v>0</v>
      </c>
      <c r="AI5" s="49">
        <f>表1温室气体盘查表!AJ5</f>
        <v>0</v>
      </c>
      <c r="AJ5" s="49">
        <f>表1温室气体盘查表!AK5</f>
        <v>0</v>
      </c>
      <c r="AK5" s="49">
        <f>表1温室气体盘查表!AL5</f>
        <v>38881.7260826929</v>
      </c>
    </row>
    <row r="6" s="25" customFormat="1" ht="14.25" spans="1:37">
      <c r="A6" s="36">
        <v>2</v>
      </c>
      <c r="B6" s="37" t="str">
        <f>表1温室气体盘查表!B6</f>
        <v>固定燃烧</v>
      </c>
      <c r="C6" s="38" t="str">
        <f>表1温室气体盘查表!C6</f>
        <v>液化石油气燃烧</v>
      </c>
      <c r="D6" s="39" t="str">
        <f>表1温室气体盘查表!E6</f>
        <v>范围一</v>
      </c>
      <c r="E6" s="40">
        <f>表1温室气体盘查表!F6</f>
        <v>9.39</v>
      </c>
      <c r="F6" s="41" t="str">
        <f>表1温室气体盘查表!G6</f>
        <v>t</v>
      </c>
      <c r="G6" s="42">
        <f>'附表2-EF'!K6*10</f>
        <v>1e-6</v>
      </c>
      <c r="H6" s="41" t="s">
        <v>737</v>
      </c>
      <c r="I6" s="43">
        <f>'附表1-GWP TABLE'!E4</f>
        <v>27.9</v>
      </c>
      <c r="J6" s="44"/>
      <c r="K6" s="41"/>
      <c r="L6" s="43"/>
      <c r="M6" s="44"/>
      <c r="N6" s="41"/>
      <c r="O6" s="43"/>
      <c r="P6" s="45"/>
      <c r="Q6" s="46"/>
      <c r="R6" s="47"/>
      <c r="S6" s="46"/>
      <c r="T6" s="44"/>
      <c r="U6" s="41"/>
      <c r="V6" s="48"/>
      <c r="W6" s="41"/>
      <c r="X6" s="44"/>
      <c r="Y6" s="41"/>
      <c r="Z6" s="43"/>
      <c r="AA6" s="44"/>
      <c r="AB6" s="46"/>
      <c r="AC6" s="43"/>
      <c r="AD6" s="49">
        <f>表1温室气体盘查表!AE6</f>
        <v>29.13687892878</v>
      </c>
      <c r="AE6" s="49">
        <f>表1温室气体盘查表!AF6</f>
        <v>0.01288302570702</v>
      </c>
      <c r="AF6" s="49">
        <f>表1温室气体盘查表!AG6</f>
        <v>0.01260597139074</v>
      </c>
      <c r="AG6" s="49">
        <f>表1温室气体盘查表!AH6</f>
        <v>0</v>
      </c>
      <c r="AH6" s="49">
        <f>表1温室气体盘查表!AI6</f>
        <v>0</v>
      </c>
      <c r="AI6" s="49">
        <f>表1温室气体盘查表!AJ6</f>
        <v>0</v>
      </c>
      <c r="AJ6" s="49">
        <f>表1温室气体盘查表!AK6</f>
        <v>0</v>
      </c>
      <c r="AK6" s="49">
        <f>表1温室气体盘查表!AL6</f>
        <v>29.1623679258778</v>
      </c>
    </row>
    <row r="7" s="24" customFormat="1" ht="15.75" spans="1:37">
      <c r="A7" s="36">
        <v>3</v>
      </c>
      <c r="B7" s="37" t="str">
        <f>表1温室气体盘查表!B7</f>
        <v>固定燃烧</v>
      </c>
      <c r="C7" s="38" t="str">
        <f>表1温室气体盘查表!C7</f>
        <v>烟煤燃烧</v>
      </c>
      <c r="D7" s="39" t="str">
        <f>表1温室气体盘查表!E7</f>
        <v>范围一</v>
      </c>
      <c r="E7" s="40">
        <f>表1温室气体盘查表!F7</f>
        <v>399079.16</v>
      </c>
      <c r="F7" s="41" t="str">
        <f>表1温室气体盘查表!G7</f>
        <v>t</v>
      </c>
      <c r="G7" s="42">
        <f>'附表2-EF'!K7*10</f>
        <v>1.5e-5</v>
      </c>
      <c r="H7" s="41" t="s">
        <v>738</v>
      </c>
      <c r="I7" s="43">
        <f>'附表1-GWP TABLE'!E5</f>
        <v>273</v>
      </c>
      <c r="J7" s="44"/>
      <c r="K7" s="41"/>
      <c r="L7" s="43"/>
      <c r="M7" s="44"/>
      <c r="N7" s="41"/>
      <c r="O7" s="43"/>
      <c r="P7" s="45"/>
      <c r="Q7" s="46"/>
      <c r="R7" s="47"/>
      <c r="S7" s="46"/>
      <c r="T7" s="44"/>
      <c r="U7" s="41"/>
      <c r="V7" s="48"/>
      <c r="W7" s="41"/>
      <c r="X7" s="44"/>
      <c r="Y7" s="41"/>
      <c r="Z7" s="43"/>
      <c r="AA7" s="44"/>
      <c r="AB7" s="46"/>
      <c r="AC7" s="43"/>
      <c r="AD7" s="49">
        <f>表1温室气体盘查表!AE7</f>
        <v>921839.461463258</v>
      </c>
      <c r="AE7" s="49">
        <f>表1温室气体盘查表!AF7</f>
        <v>261.641108594353</v>
      </c>
      <c r="AF7" s="49">
        <f>表1温室气体盘查表!AG7</f>
        <v>3840.21627130421</v>
      </c>
      <c r="AG7" s="49">
        <f>表1温室气体盘查表!AH7</f>
        <v>0</v>
      </c>
      <c r="AH7" s="49">
        <f>表1温室气体盘查表!AI7</f>
        <v>0</v>
      </c>
      <c r="AI7" s="49">
        <f>表1温室气体盘查表!AJ7</f>
        <v>0</v>
      </c>
      <c r="AJ7" s="49">
        <f>表1温室气体盘查表!AK7</f>
        <v>0</v>
      </c>
      <c r="AK7" s="49">
        <f>表1温室气体盘查表!AL7</f>
        <v>925941.318843156</v>
      </c>
    </row>
    <row r="8" s="24" customFormat="1" ht="15.75" spans="1:37">
      <c r="A8" s="36">
        <v>4</v>
      </c>
      <c r="B8" s="37" t="str">
        <f>表1温室气体盘查表!B8</f>
        <v>固定燃烧</v>
      </c>
      <c r="C8" s="38" t="str">
        <f>表1温室气体盘查表!C8</f>
        <v>无烟煤燃烧</v>
      </c>
      <c r="D8" s="39" t="str">
        <f>表1温室气体盘查表!E8</f>
        <v>范围一</v>
      </c>
      <c r="E8" s="40">
        <f>表1温室气体盘查表!F8</f>
        <v>260530.34</v>
      </c>
      <c r="F8" s="41" t="str">
        <f>表1温室气体盘查表!G8</f>
        <v>t</v>
      </c>
      <c r="G8" s="42">
        <f>'附表2-EF'!K8*10</f>
        <v>1.5e-5</v>
      </c>
      <c r="H8" s="41" t="s">
        <v>739</v>
      </c>
      <c r="I8" s="43">
        <f>'附表1-GWP TABLE'!E6</f>
        <v>0</v>
      </c>
      <c r="J8" s="44"/>
      <c r="K8" s="41"/>
      <c r="L8" s="43"/>
      <c r="M8" s="44"/>
      <c r="N8" s="41"/>
      <c r="O8" s="43"/>
      <c r="P8" s="45"/>
      <c r="Q8" s="46"/>
      <c r="R8" s="47"/>
      <c r="S8" s="46"/>
      <c r="T8" s="44"/>
      <c r="U8" s="41"/>
      <c r="V8" s="48"/>
      <c r="W8" s="41"/>
      <c r="X8" s="44"/>
      <c r="Y8" s="41"/>
      <c r="Z8" s="43"/>
      <c r="AA8" s="44"/>
      <c r="AB8" s="46"/>
      <c r="AC8" s="43"/>
      <c r="AD8" s="49">
        <f>表1温室气体盘查表!AE8</f>
        <v>634459.274190847</v>
      </c>
      <c r="AE8" s="49">
        <f>表1温室气体盘查表!AF8</f>
        <v>180.075419633007</v>
      </c>
      <c r="AF8" s="49">
        <f>表1温室气体盘查表!AG8</f>
        <v>2643.0424494522</v>
      </c>
      <c r="AG8" s="49">
        <f>表1温室气体盘查表!AH8</f>
        <v>0</v>
      </c>
      <c r="AH8" s="49">
        <f>表1温室气体盘查表!AI8</f>
        <v>0</v>
      </c>
      <c r="AI8" s="49">
        <f>表1温室气体盘查表!AJ8</f>
        <v>0</v>
      </c>
      <c r="AJ8" s="49">
        <f>表1温室气体盘查表!AK8</f>
        <v>0</v>
      </c>
      <c r="AK8" s="49">
        <f>表1温室气体盘查表!AL8</f>
        <v>637282.392059932</v>
      </c>
    </row>
    <row r="9" s="26" customFormat="1" ht="14.25" spans="1:37">
      <c r="A9" s="36">
        <v>5</v>
      </c>
      <c r="B9" s="37" t="str">
        <f>表1温室气体盘查表!B9</f>
        <v>固定燃烧</v>
      </c>
      <c r="C9" s="38" t="str">
        <f>表1温室气体盘查表!C9</f>
        <v>洗精煤燃烧</v>
      </c>
      <c r="D9" s="39" t="str">
        <f>表1温室气体盘查表!E9</f>
        <v>范围一</v>
      </c>
      <c r="E9" s="40">
        <f>表1温室气体盘查表!F9</f>
        <v>1946577.05</v>
      </c>
      <c r="F9" s="41" t="str">
        <f>表1温室气体盘查表!G9</f>
        <v>t</v>
      </c>
      <c r="G9" s="42">
        <f>'附表2-EF'!K9*10</f>
        <v>1.5e-5</v>
      </c>
      <c r="H9" s="41" t="s">
        <v>740</v>
      </c>
      <c r="I9" s="43">
        <f>'附表1-GWP TABLE'!E7</f>
        <v>0</v>
      </c>
      <c r="J9" s="44"/>
      <c r="K9" s="41"/>
      <c r="L9" s="43"/>
      <c r="M9" s="44"/>
      <c r="N9" s="41"/>
      <c r="O9" s="43"/>
      <c r="P9" s="45"/>
      <c r="Q9" s="46"/>
      <c r="R9" s="47"/>
      <c r="S9" s="46"/>
      <c r="T9" s="44"/>
      <c r="U9" s="41"/>
      <c r="V9" s="48"/>
      <c r="W9" s="41"/>
      <c r="X9" s="44"/>
      <c r="Y9" s="41"/>
      <c r="Z9" s="43"/>
      <c r="AA9" s="44"/>
      <c r="AB9" s="46"/>
      <c r="AC9" s="43"/>
      <c r="AD9" s="49">
        <f>表1温室气体盘查表!AE9</f>
        <v>4802635.7291602</v>
      </c>
      <c r="AE9" s="49">
        <f>表1温室气体盘查表!AF9</f>
        <v>1416.42216536543</v>
      </c>
      <c r="AF9" s="49">
        <f>表1温室气体盘查表!AG9</f>
        <v>20789.4221045571</v>
      </c>
      <c r="AG9" s="49">
        <f>表1温室气体盘查表!AH9</f>
        <v>0</v>
      </c>
      <c r="AH9" s="49">
        <f>表1温室气体盘查表!AI9</f>
        <v>0</v>
      </c>
      <c r="AI9" s="49">
        <f>表1温室气体盘查表!AJ9</f>
        <v>0</v>
      </c>
      <c r="AJ9" s="49">
        <f>表1温室气体盘查表!AK9</f>
        <v>0</v>
      </c>
      <c r="AK9" s="49">
        <f>表1温室气体盘查表!AL9</f>
        <v>4824841.57343012</v>
      </c>
    </row>
    <row r="10" s="24" customFormat="1" ht="15.75" spans="1:37">
      <c r="A10" s="36">
        <v>6</v>
      </c>
      <c r="B10" s="37" t="str">
        <f>表1温室气体盘查表!B10</f>
        <v>固定燃烧</v>
      </c>
      <c r="C10" s="38" t="str">
        <f>表1温室气体盘查表!C10</f>
        <v>焦炭燃烧</v>
      </c>
      <c r="D10" s="39" t="str">
        <f>表1温室气体盘查表!E10</f>
        <v>范围一</v>
      </c>
      <c r="E10" s="40">
        <f>表1温室气体盘查表!F10</f>
        <v>145430.2</v>
      </c>
      <c r="F10" s="41" t="str">
        <f>表1温室气体盘查表!G10</f>
        <v>t</v>
      </c>
      <c r="G10" s="42">
        <f>'附表2-EF'!K10*10</f>
        <v>1.5e-5</v>
      </c>
      <c r="H10" s="41" t="s">
        <v>741</v>
      </c>
      <c r="I10" s="43">
        <f>'附表1-GWP TABLE'!E8</f>
        <v>0</v>
      </c>
      <c r="J10" s="44"/>
      <c r="K10" s="41"/>
      <c r="L10" s="43"/>
      <c r="M10" s="44"/>
      <c r="N10" s="41"/>
      <c r="O10" s="43"/>
      <c r="P10" s="45"/>
      <c r="Q10" s="46"/>
      <c r="R10" s="47"/>
      <c r="S10" s="46"/>
      <c r="T10" s="44"/>
      <c r="U10" s="41"/>
      <c r="V10" s="48"/>
      <c r="W10" s="41"/>
      <c r="X10" s="44"/>
      <c r="Y10" s="41"/>
      <c r="Z10" s="43"/>
      <c r="AA10" s="44"/>
      <c r="AB10" s="46"/>
      <c r="AC10" s="43"/>
      <c r="AD10" s="49">
        <f>表1温室气体盘查表!AE10</f>
        <v>438053.14858041</v>
      </c>
      <c r="AE10" s="49">
        <f>表1温室气体盘查表!AF10</f>
        <v>114.221335003677</v>
      </c>
      <c r="AF10" s="49">
        <f>表1温室气体盘查表!AG10</f>
        <v>1676.47443311848</v>
      </c>
      <c r="AG10" s="49">
        <f>表1温室气体盘查表!AH10</f>
        <v>0</v>
      </c>
      <c r="AH10" s="49">
        <f>表1温室气体盘查表!AI10</f>
        <v>0</v>
      </c>
      <c r="AI10" s="49">
        <f>表1温室气体盘查表!AJ10</f>
        <v>0</v>
      </c>
      <c r="AJ10" s="49">
        <f>表1温室气体盘查表!AK10</f>
        <v>0</v>
      </c>
      <c r="AK10" s="49">
        <f>表1温室气体盘查表!AL10</f>
        <v>439843.844348532</v>
      </c>
    </row>
    <row r="11" s="24" customFormat="1" ht="15.75" spans="1:37">
      <c r="A11" s="36">
        <v>7</v>
      </c>
      <c r="B11" s="37" t="str">
        <f>表1温室气体盘查表!B11</f>
        <v>固定燃烧</v>
      </c>
      <c r="C11" s="38" t="str">
        <f>表1温室气体盘查表!C11</f>
        <v>焦屑燃烧</v>
      </c>
      <c r="D11" s="39" t="str">
        <f>表1温室气体盘查表!E11</f>
        <v>范围一</v>
      </c>
      <c r="E11" s="40">
        <f>表1温室气体盘查表!F11</f>
        <v>120570.5</v>
      </c>
      <c r="F11" s="41" t="str">
        <f>表1温室气体盘查表!G11</f>
        <v>t</v>
      </c>
      <c r="G11" s="42">
        <f>'附表2-EF'!K11*10</f>
        <v>1e-6</v>
      </c>
      <c r="H11" s="41" t="s">
        <v>742</v>
      </c>
      <c r="I11" s="43">
        <f>'附表1-GWP TABLE'!E9</f>
        <v>0</v>
      </c>
      <c r="J11" s="44"/>
      <c r="K11" s="41"/>
      <c r="L11" s="43"/>
      <c r="M11" s="44"/>
      <c r="N11" s="41"/>
      <c r="O11" s="43"/>
      <c r="P11" s="45"/>
      <c r="Q11" s="46"/>
      <c r="R11" s="47"/>
      <c r="S11" s="46"/>
      <c r="T11" s="44"/>
      <c r="U11" s="41"/>
      <c r="V11" s="48"/>
      <c r="W11" s="41"/>
      <c r="X11" s="44"/>
      <c r="Y11" s="41"/>
      <c r="Z11" s="43"/>
      <c r="AA11" s="44"/>
      <c r="AB11" s="46"/>
      <c r="AC11" s="43"/>
      <c r="AD11" s="49">
        <f>表1温室气体盘查表!AE11</f>
        <v>363172.760203275</v>
      </c>
      <c r="AE11" s="49">
        <f>表1温室气体盘查表!AF11</f>
        <v>94.6964486885175</v>
      </c>
      <c r="AF11" s="49">
        <f>表1温室气体盘查表!AG11</f>
        <v>1389.89948881534</v>
      </c>
      <c r="AG11" s="49">
        <f>表1温室气体盘查表!AH11</f>
        <v>0</v>
      </c>
      <c r="AH11" s="49">
        <f>表1温室气体盘查表!AI11</f>
        <v>0</v>
      </c>
      <c r="AI11" s="49">
        <f>表1温室气体盘查表!AJ11</f>
        <v>0</v>
      </c>
      <c r="AJ11" s="49">
        <f>表1温室气体盘查表!AK11</f>
        <v>0</v>
      </c>
      <c r="AK11" s="49">
        <f>表1温室气体盘查表!AL11</f>
        <v>364657.356140779</v>
      </c>
    </row>
    <row r="12" s="27" customFormat="1" ht="15.75" spans="1:37">
      <c r="A12" s="36">
        <v>8</v>
      </c>
      <c r="B12" s="37" t="str">
        <f>表1温室气体盘查表!B12</f>
        <v>固定燃烧</v>
      </c>
      <c r="C12" s="38" t="str">
        <f>表1温室气体盘查表!C12</f>
        <v>焦炉煤气燃烧</v>
      </c>
      <c r="D12" s="39" t="str">
        <f>表1温室气体盘查表!E12</f>
        <v>范围一</v>
      </c>
      <c r="E12" s="40">
        <f>表1温室气体盘查表!F12</f>
        <v>-500.97</v>
      </c>
      <c r="F12" s="41" t="str">
        <f>表1温室气体盘查表!G12</f>
        <v>10000Nm3</v>
      </c>
      <c r="G12" s="42">
        <f>'附表2-EF'!K12*10</f>
        <v>3.9e-5</v>
      </c>
      <c r="H12" s="41" t="s">
        <v>743</v>
      </c>
      <c r="I12" s="43">
        <f>'附表1-GWP TABLE'!E10</f>
        <v>0</v>
      </c>
      <c r="J12" s="44"/>
      <c r="K12" s="41"/>
      <c r="L12" s="43"/>
      <c r="M12" s="44"/>
      <c r="N12" s="41"/>
      <c r="O12" s="43"/>
      <c r="P12" s="45"/>
      <c r="Q12" s="46"/>
      <c r="R12" s="47"/>
      <c r="S12" s="46"/>
      <c r="T12" s="44"/>
      <c r="U12" s="41"/>
      <c r="V12" s="48"/>
      <c r="W12" s="41"/>
      <c r="X12" s="44"/>
      <c r="Y12" s="41"/>
      <c r="Z12" s="43"/>
      <c r="AA12" s="44"/>
      <c r="AB12" s="46"/>
      <c r="AC12" s="43"/>
      <c r="AD12" s="49">
        <f>表1温室气体盘查表!AE12</f>
        <v>-3828.37588063128</v>
      </c>
      <c r="AE12" s="49">
        <f>表1温室气体盘查表!AF12</f>
        <v>-2.40566862769398</v>
      </c>
      <c r="AF12" s="49">
        <f>表1温室气体盘查表!AG12</f>
        <v>-2.35393381849626</v>
      </c>
      <c r="AG12" s="49">
        <f>表1温室气体盘查表!AH12</f>
        <v>0</v>
      </c>
      <c r="AH12" s="49">
        <f>表1温室气体盘查表!AI12</f>
        <v>0</v>
      </c>
      <c r="AI12" s="49">
        <f>表1温室气体盘查表!AJ12</f>
        <v>0</v>
      </c>
      <c r="AJ12" s="49">
        <f>表1温室气体盘查表!AK12</f>
        <v>0</v>
      </c>
      <c r="AK12" s="49">
        <f>表1温室气体盘查表!AL12</f>
        <v>-3833.13548307747</v>
      </c>
    </row>
    <row r="13" s="24" customFormat="1" ht="15.75" spans="1:37">
      <c r="A13" s="36">
        <v>9</v>
      </c>
      <c r="B13" s="37" t="str">
        <f>表1温室气体盘查表!B13</f>
        <v>移动燃烧</v>
      </c>
      <c r="C13" s="38" t="str">
        <f>表1温室气体盘查表!C13</f>
        <v>0#柴油燃烧</v>
      </c>
      <c r="D13" s="39" t="str">
        <f>表1温室气体盘查表!E13</f>
        <v>范围一</v>
      </c>
      <c r="E13" s="40">
        <f>表1温室气体盘查表!F13</f>
        <v>1403.87</v>
      </c>
      <c r="F13" s="41" t="str">
        <f>表1温室气体盘查表!G13</f>
        <v>t</v>
      </c>
      <c r="G13" s="42">
        <f>'附表2-EF'!K13*10</f>
        <v>8e-5</v>
      </c>
      <c r="H13" s="41" t="s">
        <v>744</v>
      </c>
      <c r="I13" s="43">
        <f>'附表1-GWP TABLE'!E11</f>
        <v>0</v>
      </c>
      <c r="J13" s="44"/>
      <c r="K13" s="41"/>
      <c r="L13" s="43"/>
      <c r="M13" s="44"/>
      <c r="N13" s="41"/>
      <c r="O13" s="43"/>
      <c r="P13" s="45"/>
      <c r="Q13" s="46"/>
      <c r="R13" s="47"/>
      <c r="S13" s="46"/>
      <c r="T13" s="44"/>
      <c r="U13" s="41"/>
      <c r="V13" s="48"/>
      <c r="W13" s="41"/>
      <c r="X13" s="44"/>
      <c r="Y13" s="41"/>
      <c r="Z13" s="43"/>
      <c r="AA13" s="44"/>
      <c r="AB13" s="46"/>
      <c r="AC13" s="43"/>
      <c r="AD13" s="49">
        <f>表1温室气体盘查表!AE13</f>
        <v>4348.21067276232</v>
      </c>
      <c r="AE13" s="49">
        <f>表1温室气体盘查表!AF13</f>
        <v>6.38500409316151</v>
      </c>
      <c r="AF13" s="49">
        <f>表1温室气体盘查表!AG13</f>
        <v>62.4769217717954</v>
      </c>
      <c r="AG13" s="49">
        <f>表1温室气体盘查表!AH13</f>
        <v>0</v>
      </c>
      <c r="AH13" s="49">
        <f>表1温室气体盘查表!AI13</f>
        <v>0</v>
      </c>
      <c r="AI13" s="49">
        <f>表1温室气体盘查表!AJ13</f>
        <v>0</v>
      </c>
      <c r="AJ13" s="49">
        <f>表1温室气体盘查表!AK13</f>
        <v>0</v>
      </c>
      <c r="AK13" s="49">
        <f>表1温室气体盘查表!AL13</f>
        <v>4417.07259862728</v>
      </c>
    </row>
    <row r="14" s="27" customFormat="1" ht="15.75" spans="1:37">
      <c r="A14" s="36">
        <v>10</v>
      </c>
      <c r="B14" s="37" t="str">
        <f>表1温室气体盘查表!B14</f>
        <v>移动燃烧</v>
      </c>
      <c r="C14" s="38" t="str">
        <f>表1温室气体盘查表!C14</f>
        <v>92#汽油燃烧</v>
      </c>
      <c r="D14" s="39" t="str">
        <f>表1温室气体盘查表!E14</f>
        <v>范围一</v>
      </c>
      <c r="E14" s="40">
        <f>表1温室气体盘查表!F14</f>
        <v>49.06</v>
      </c>
      <c r="F14" s="41" t="str">
        <f>表1温室气体盘查表!G14</f>
        <v>t</v>
      </c>
      <c r="G14" s="42">
        <f>'附表2-EF'!K14*10</f>
        <v>0</v>
      </c>
      <c r="H14" s="41" t="s">
        <v>745</v>
      </c>
      <c r="I14" s="43">
        <f>'附表1-GWP TABLE'!E12</f>
        <v>0</v>
      </c>
      <c r="J14" s="44"/>
      <c r="K14" s="41"/>
      <c r="L14" s="43"/>
      <c r="M14" s="44"/>
      <c r="N14" s="41"/>
      <c r="O14" s="43"/>
      <c r="P14" s="45"/>
      <c r="Q14" s="46"/>
      <c r="R14" s="47"/>
      <c r="S14" s="46"/>
      <c r="T14" s="44"/>
      <c r="U14" s="41"/>
      <c r="V14" s="48"/>
      <c r="W14" s="41"/>
      <c r="X14" s="44"/>
      <c r="Y14" s="41"/>
      <c r="Z14" s="43"/>
      <c r="AA14" s="44"/>
      <c r="AB14" s="46"/>
      <c r="AC14" s="43"/>
      <c r="AD14" s="49">
        <f>表1温室气体盘查表!AE14</f>
        <v>143.5032463788</v>
      </c>
      <c r="AE14" s="49">
        <f>表1温室气体盘查表!AF14</f>
        <v>1.44435085641</v>
      </c>
      <c r="AF14" s="49">
        <f>表1温室气体盘查表!AG14</f>
        <v>4.522526552544</v>
      </c>
      <c r="AG14" s="49">
        <f>表1温室气体盘查表!AH14</f>
        <v>0</v>
      </c>
      <c r="AH14" s="49">
        <f>表1温室气体盘查表!AI14</f>
        <v>0</v>
      </c>
      <c r="AI14" s="49">
        <f>表1温室气体盘查表!AJ14</f>
        <v>0</v>
      </c>
      <c r="AJ14" s="49">
        <f>表1温室气体盘查表!AK14</f>
        <v>0</v>
      </c>
      <c r="AK14" s="49">
        <f>表1温室气体盘查表!AL14</f>
        <v>149.470123787754</v>
      </c>
    </row>
    <row r="15" s="27" customFormat="1" ht="18" spans="1:37">
      <c r="A15" s="36">
        <v>11</v>
      </c>
      <c r="B15" s="37" t="str">
        <f>表1温室气体盘查表!B15</f>
        <v>逸散排放</v>
      </c>
      <c r="C15" s="38" t="str">
        <f>表1温室气体盘查表!C15</f>
        <v>制冷剂逸散（R32）</v>
      </c>
      <c r="D15" s="39" t="str">
        <f>表1温室气体盘查表!E15</f>
        <v>范围一</v>
      </c>
      <c r="E15" s="40">
        <f>表1温室气体盘查表!F15</f>
        <v>0.93</v>
      </c>
      <c r="F15" s="41" t="str">
        <f>表1温室气体盘查表!G15</f>
        <v>t</v>
      </c>
      <c r="G15" s="42">
        <f>'附表2-EF'!K15*10</f>
        <v>0</v>
      </c>
      <c r="H15" s="41" t="s">
        <v>746</v>
      </c>
      <c r="I15" s="43">
        <f>'附表1-GWP TABLE'!E13</f>
        <v>0</v>
      </c>
      <c r="J15" s="44"/>
      <c r="K15" s="41"/>
      <c r="L15" s="43"/>
      <c r="M15" s="44"/>
      <c r="N15" s="41"/>
      <c r="O15" s="43"/>
      <c r="P15" s="45"/>
      <c r="Q15" s="46"/>
      <c r="R15" s="47"/>
      <c r="S15" s="46"/>
      <c r="T15" s="44"/>
      <c r="U15" s="41"/>
      <c r="V15" s="48"/>
      <c r="W15" s="41"/>
      <c r="X15" s="44"/>
      <c r="Y15" s="41"/>
      <c r="Z15" s="43"/>
      <c r="AA15" s="44"/>
      <c r="AB15" s="46"/>
      <c r="AC15" s="43"/>
      <c r="AD15" s="49">
        <f>表1温室气体盘查表!AE15</f>
        <v>0</v>
      </c>
      <c r="AE15" s="49">
        <f>表1温室气体盘查表!AF15</f>
        <v>0</v>
      </c>
      <c r="AF15" s="49">
        <f>表1温室气体盘查表!AG15</f>
        <v>0</v>
      </c>
      <c r="AG15" s="49">
        <f>表1温室气体盘查表!AH15</f>
        <v>717.03</v>
      </c>
      <c r="AH15" s="49">
        <f>表1温室气体盘查表!AI15</f>
        <v>0</v>
      </c>
      <c r="AI15" s="49">
        <f>表1温室气体盘查表!AJ15</f>
        <v>0</v>
      </c>
      <c r="AJ15" s="49">
        <f>表1温室气体盘查表!AK15</f>
        <v>0</v>
      </c>
      <c r="AK15" s="49">
        <f>表1温室气体盘查表!AL15</f>
        <v>717.03</v>
      </c>
    </row>
    <row r="16" s="28" customFormat="1" ht="14.25" spans="1:37">
      <c r="A16" s="36">
        <v>12</v>
      </c>
      <c r="B16" s="37" t="str">
        <f>表1温室气体盘查表!B16</f>
        <v>逸散排放</v>
      </c>
      <c r="C16" s="38" t="str">
        <f>表1温室气体盘查表!C16</f>
        <v>CO2逸散</v>
      </c>
      <c r="D16" s="39" t="str">
        <f>表1温室气体盘查表!E16</f>
        <v>范围一</v>
      </c>
      <c r="E16" s="40">
        <f>表1温室气体盘查表!F16</f>
        <v>0.66</v>
      </c>
      <c r="F16" s="41" t="str">
        <f>表1温室气体盘查表!G16</f>
        <v>t</v>
      </c>
      <c r="G16" s="42">
        <f>'附表2-EF'!K16*10</f>
        <v>0</v>
      </c>
      <c r="H16" s="41" t="s">
        <v>747</v>
      </c>
      <c r="I16" s="43">
        <f>'附表1-GWP TABLE'!E14</f>
        <v>0</v>
      </c>
      <c r="J16" s="44"/>
      <c r="K16" s="41"/>
      <c r="L16" s="43"/>
      <c r="M16" s="44"/>
      <c r="N16" s="41"/>
      <c r="O16" s="43"/>
      <c r="P16" s="45"/>
      <c r="Q16" s="46"/>
      <c r="R16" s="47"/>
      <c r="S16" s="46"/>
      <c r="T16" s="44"/>
      <c r="U16" s="41"/>
      <c r="V16" s="48"/>
      <c r="W16" s="41"/>
      <c r="X16" s="44"/>
      <c r="Y16" s="41"/>
      <c r="Z16" s="43"/>
      <c r="AA16" s="44"/>
      <c r="AB16" s="46"/>
      <c r="AC16" s="43"/>
      <c r="AD16" s="49">
        <f>表1温室气体盘查表!AE16</f>
        <v>0.66</v>
      </c>
      <c r="AE16" s="49">
        <f>表1温室气体盘查表!AF16</f>
        <v>0</v>
      </c>
      <c r="AF16" s="49">
        <f>表1温室气体盘查表!AG16</f>
        <v>0</v>
      </c>
      <c r="AG16" s="49">
        <f>表1温室气体盘查表!AH16</f>
        <v>0</v>
      </c>
      <c r="AH16" s="49">
        <f>表1温室气体盘查表!AI16</f>
        <v>0</v>
      </c>
      <c r="AI16" s="49">
        <f>表1温室气体盘查表!AJ16</f>
        <v>0</v>
      </c>
      <c r="AJ16" s="49">
        <f>表1温室气体盘查表!AK16</f>
        <v>0</v>
      </c>
      <c r="AK16" s="49">
        <f>表1温室气体盘查表!AL16</f>
        <v>0.66</v>
      </c>
    </row>
    <row r="17" s="28" customFormat="1" ht="14.25" spans="1:37">
      <c r="A17" s="36">
        <v>13</v>
      </c>
      <c r="B17" s="37" t="str">
        <f>表1温室气体盘查表!B17</f>
        <v>逸散排放</v>
      </c>
      <c r="C17" s="38" t="str">
        <f>表1温室气体盘查表!C17</f>
        <v>CH4逸散</v>
      </c>
      <c r="D17" s="39" t="str">
        <f>表1温室气体盘查表!E17</f>
        <v>范围一</v>
      </c>
      <c r="E17" s="40">
        <f>表1温室气体盘查表!F17</f>
        <v>22.36</v>
      </c>
      <c r="F17" s="41" t="str">
        <f>表1温室气体盘查表!G17</f>
        <v>tBOD</v>
      </c>
      <c r="G17" s="42">
        <f>'附表2-EF'!K17*10</f>
        <v>0</v>
      </c>
      <c r="H17" s="41" t="s">
        <v>748</v>
      </c>
      <c r="I17" s="43">
        <f>'附表1-GWP TABLE'!E15</f>
        <v>0</v>
      </c>
      <c r="J17" s="44"/>
      <c r="K17" s="41"/>
      <c r="L17" s="43"/>
      <c r="M17" s="44"/>
      <c r="N17" s="41"/>
      <c r="O17" s="43"/>
      <c r="P17" s="45"/>
      <c r="Q17" s="46"/>
      <c r="R17" s="47"/>
      <c r="S17" s="46"/>
      <c r="T17" s="44"/>
      <c r="U17" s="41"/>
      <c r="V17" s="48"/>
      <c r="W17" s="41"/>
      <c r="X17" s="44"/>
      <c r="Y17" s="41"/>
      <c r="Z17" s="43"/>
      <c r="AA17" s="44"/>
      <c r="AB17" s="46"/>
      <c r="AC17" s="43"/>
      <c r="AD17" s="49">
        <f>表1温室气体盘查表!AE17</f>
        <v>0</v>
      </c>
      <c r="AE17" s="49">
        <f>表1温室气体盘查表!AF17</f>
        <v>112.29192</v>
      </c>
      <c r="AF17" s="49">
        <f>表1温室气体盘查表!AG17</f>
        <v>0</v>
      </c>
      <c r="AG17" s="49">
        <f>表1温室气体盘查表!AH17</f>
        <v>0</v>
      </c>
      <c r="AH17" s="49">
        <f>表1温室气体盘查表!AI17</f>
        <v>0</v>
      </c>
      <c r="AI17" s="49">
        <f>表1温室气体盘查表!AJ17</f>
        <v>0</v>
      </c>
      <c r="AJ17" s="49">
        <f>表1温室气体盘查表!AK17</f>
        <v>0</v>
      </c>
      <c r="AK17" s="49">
        <f>表1温室气体盘查表!AL17</f>
        <v>112.29192</v>
      </c>
    </row>
    <row r="18" s="28" customFormat="1" ht="14.25" spans="1:37">
      <c r="A18" s="36">
        <v>14</v>
      </c>
      <c r="B18" s="37" t="str">
        <f>表1温室气体盘查表!B18</f>
        <v>逸散排放</v>
      </c>
      <c r="C18" s="38" t="str">
        <f>表1温室气体盘查表!C18</f>
        <v>CH4逸散</v>
      </c>
      <c r="D18" s="39" t="str">
        <f>表1温室气体盘查表!E18</f>
        <v>范围一</v>
      </c>
      <c r="E18" s="40">
        <f>表1温室气体盘查表!F18</f>
        <v>174.71</v>
      </c>
      <c r="F18" s="41" t="str">
        <f>表1温室气体盘查表!G18</f>
        <v>tCOD</v>
      </c>
      <c r="G18" s="42">
        <f>'附表2-EF'!K18*10</f>
        <v>0</v>
      </c>
      <c r="H18" s="41" t="s">
        <v>749</v>
      </c>
      <c r="I18" s="43">
        <f>'附表1-GWP TABLE'!E16</f>
        <v>0</v>
      </c>
      <c r="J18" s="44"/>
      <c r="K18" s="41"/>
      <c r="L18" s="43"/>
      <c r="M18" s="44"/>
      <c r="N18" s="41"/>
      <c r="O18" s="43"/>
      <c r="P18" s="45"/>
      <c r="Q18" s="46"/>
      <c r="R18" s="47"/>
      <c r="S18" s="46"/>
      <c r="T18" s="44"/>
      <c r="U18" s="41"/>
      <c r="V18" s="48"/>
      <c r="W18" s="41"/>
      <c r="X18" s="44"/>
      <c r="Y18" s="41"/>
      <c r="Z18" s="43"/>
      <c r="AA18" s="44"/>
      <c r="AB18" s="46"/>
      <c r="AC18" s="43"/>
      <c r="AD18" s="49">
        <f>表1温室气体盘查表!AE18</f>
        <v>0</v>
      </c>
      <c r="AE18" s="49">
        <f>表1温室气体盘查表!AF18</f>
        <v>365.580675</v>
      </c>
      <c r="AF18" s="49">
        <f>表1温室气体盘查表!AG18</f>
        <v>0</v>
      </c>
      <c r="AG18" s="49">
        <f>表1温室气体盘查表!AH18</f>
        <v>0</v>
      </c>
      <c r="AH18" s="49">
        <f>表1温室气体盘查表!AI18</f>
        <v>0</v>
      </c>
      <c r="AI18" s="49">
        <f>表1温室气体盘查表!AJ18</f>
        <v>0</v>
      </c>
      <c r="AJ18" s="49">
        <f>表1温室气体盘查表!AK18</f>
        <v>0</v>
      </c>
      <c r="AK18" s="49">
        <f>表1温室气体盘查表!AL18</f>
        <v>365.580675</v>
      </c>
    </row>
    <row r="19" s="28" customFormat="1" ht="14.25" spans="1:37">
      <c r="A19" s="36">
        <v>15</v>
      </c>
      <c r="B19" s="37" t="str">
        <f>表1温室气体盘查表!B19</f>
        <v>逸散排放</v>
      </c>
      <c r="C19" s="38" t="str">
        <f>表1温室气体盘查表!C19</f>
        <v>SF6逸散</v>
      </c>
      <c r="D19" s="39" t="str">
        <f>表1温室气体盘查表!E19</f>
        <v>范围一</v>
      </c>
      <c r="E19" s="40">
        <f>表1温室气体盘查表!F19</f>
        <v>20.24</v>
      </c>
      <c r="F19" s="41" t="str">
        <f>表1温室气体盘查表!G19</f>
        <v>t</v>
      </c>
      <c r="G19" s="42">
        <f>'附表2-EF'!K19*10</f>
        <v>0</v>
      </c>
      <c r="H19" s="41" t="s">
        <v>750</v>
      </c>
      <c r="I19" s="43">
        <f>'附表1-GWP TABLE'!E17</f>
        <v>0</v>
      </c>
      <c r="J19" s="44"/>
      <c r="K19" s="41"/>
      <c r="L19" s="43"/>
      <c r="M19" s="44"/>
      <c r="N19" s="41"/>
      <c r="O19" s="43"/>
      <c r="P19" s="45"/>
      <c r="Q19" s="46"/>
      <c r="R19" s="47"/>
      <c r="S19" s="46"/>
      <c r="T19" s="44"/>
      <c r="U19" s="41"/>
      <c r="V19" s="48"/>
      <c r="W19" s="41"/>
      <c r="X19" s="44"/>
      <c r="Y19" s="41"/>
      <c r="Z19" s="43"/>
      <c r="AA19" s="44"/>
      <c r="AB19" s="46"/>
      <c r="AC19" s="43"/>
      <c r="AD19" s="49">
        <f>表1温室气体盘查表!AE19</f>
        <v>0</v>
      </c>
      <c r="AE19" s="49">
        <f>表1温室气体盘查表!AF19</f>
        <v>0</v>
      </c>
      <c r="AF19" s="49">
        <f>表1温室气体盘查表!AG19</f>
        <v>0</v>
      </c>
      <c r="AG19" s="49">
        <f>表1温室气体盘查表!AH19</f>
        <v>0</v>
      </c>
      <c r="AH19" s="49">
        <f>表1温室气体盘查表!AI19</f>
        <v>0</v>
      </c>
      <c r="AI19" s="49">
        <f>表1温室气体盘查表!AJ19</f>
        <v>2459.16</v>
      </c>
      <c r="AJ19" s="49">
        <f>表1温室气体盘查表!AK19</f>
        <v>0</v>
      </c>
      <c r="AK19" s="49">
        <f>表1温室气体盘查表!AL19</f>
        <v>2459.16</v>
      </c>
    </row>
    <row r="20" s="28" customFormat="1" ht="14.25" spans="1:37">
      <c r="A20" s="36">
        <v>16</v>
      </c>
      <c r="B20" s="37" t="str">
        <f>表1温室气体盘查表!B20</f>
        <v>制程排放</v>
      </c>
      <c r="C20" s="38" t="str">
        <f>表1温室气体盘查表!C20</f>
        <v>石灰石</v>
      </c>
      <c r="D20" s="39" t="str">
        <f>表1温室气体盘查表!E20</f>
        <v>范围一</v>
      </c>
      <c r="E20" s="40">
        <f>表1温室气体盘查表!F20</f>
        <v>19365.77</v>
      </c>
      <c r="F20" s="41" t="str">
        <f>表1温室气体盘查表!G20</f>
        <v>t</v>
      </c>
      <c r="G20" s="42">
        <f>'附表2-EF'!K20*10</f>
        <v>0</v>
      </c>
      <c r="H20" s="41" t="s">
        <v>751</v>
      </c>
      <c r="I20" s="43">
        <f>'附表1-GWP TABLE'!E18</f>
        <v>0</v>
      </c>
      <c r="J20" s="44"/>
      <c r="K20" s="41"/>
      <c r="L20" s="43"/>
      <c r="M20" s="44"/>
      <c r="N20" s="41"/>
      <c r="O20" s="43"/>
      <c r="P20" s="45"/>
      <c r="Q20" s="46"/>
      <c r="R20" s="47"/>
      <c r="S20" s="46"/>
      <c r="T20" s="44"/>
      <c r="U20" s="41"/>
      <c r="V20" s="48"/>
      <c r="W20" s="41"/>
      <c r="X20" s="44"/>
      <c r="Y20" s="41"/>
      <c r="Z20" s="43"/>
      <c r="AA20" s="44"/>
      <c r="AB20" s="46"/>
      <c r="AC20" s="43"/>
      <c r="AD20" s="49">
        <f>表1温室气体盘查表!AE20</f>
        <v>8520.9388</v>
      </c>
      <c r="AE20" s="49">
        <f>表1温室气体盘查表!AF20</f>
        <v>0</v>
      </c>
      <c r="AF20" s="49">
        <f>表1温室气体盘查表!AG20</f>
        <v>0</v>
      </c>
      <c r="AG20" s="49">
        <f>表1温室气体盘查表!AH20</f>
        <v>0</v>
      </c>
      <c r="AH20" s="49">
        <f>表1温室气体盘查表!AI20</f>
        <v>0</v>
      </c>
      <c r="AI20" s="49">
        <f>表1温室气体盘查表!AJ20</f>
        <v>0</v>
      </c>
      <c r="AJ20" s="49">
        <f>表1温室气体盘查表!AK20</f>
        <v>0</v>
      </c>
      <c r="AK20" s="49">
        <f>表1温室气体盘查表!AL20</f>
        <v>8520.9388</v>
      </c>
    </row>
    <row r="21" s="28" customFormat="1" ht="14.25" spans="1:37">
      <c r="A21" s="36">
        <v>17</v>
      </c>
      <c r="B21" s="37" t="str">
        <f>表1温室气体盘查表!B21</f>
        <v>制程排放</v>
      </c>
      <c r="C21" s="38" t="str">
        <f>表1温室气体盘查表!C21</f>
        <v>白云石</v>
      </c>
      <c r="D21" s="39" t="str">
        <f>表1温室气体盘查表!E21</f>
        <v>范围一</v>
      </c>
      <c r="E21" s="40">
        <f>表1温室气体盘查表!F21</f>
        <v>356289.39</v>
      </c>
      <c r="F21" s="41" t="str">
        <f>表1温室气体盘查表!G21</f>
        <v>t</v>
      </c>
      <c r="G21" s="42">
        <f>'附表2-EF'!K21*10</f>
        <v>0</v>
      </c>
      <c r="H21" s="41" t="s">
        <v>752</v>
      </c>
      <c r="I21" s="43">
        <f>'附表1-GWP TABLE'!E19</f>
        <v>0</v>
      </c>
      <c r="J21" s="44"/>
      <c r="K21" s="41"/>
      <c r="L21" s="43"/>
      <c r="M21" s="44"/>
      <c r="N21" s="41"/>
      <c r="O21" s="43"/>
      <c r="P21" s="45"/>
      <c r="Q21" s="46"/>
      <c r="R21" s="47"/>
      <c r="S21" s="46"/>
      <c r="T21" s="44"/>
      <c r="U21" s="41"/>
      <c r="V21" s="48"/>
      <c r="W21" s="41"/>
      <c r="X21" s="44"/>
      <c r="Y21" s="41"/>
      <c r="Z21" s="43"/>
      <c r="AA21" s="44"/>
      <c r="AB21" s="46"/>
      <c r="AC21" s="43"/>
      <c r="AD21" s="49">
        <f>表1温室气体盘查表!AE21</f>
        <v>169593.74964</v>
      </c>
      <c r="AE21" s="49">
        <f>表1温室气体盘查表!AF21</f>
        <v>0</v>
      </c>
      <c r="AF21" s="49">
        <f>表1温室气体盘查表!AG21</f>
        <v>0</v>
      </c>
      <c r="AG21" s="49">
        <f>表1温室气体盘查表!AH21</f>
        <v>0</v>
      </c>
      <c r="AH21" s="49">
        <f>表1温室气体盘查表!AI21</f>
        <v>0</v>
      </c>
      <c r="AI21" s="49">
        <f>表1温室气体盘查表!AJ21</f>
        <v>0</v>
      </c>
      <c r="AJ21" s="49">
        <f>表1温室气体盘查表!AK21</f>
        <v>0</v>
      </c>
      <c r="AK21" s="49">
        <f>表1温室气体盘查表!AL21</f>
        <v>169593.74964</v>
      </c>
    </row>
    <row r="22" s="28" customFormat="1" ht="14.25" spans="1:37">
      <c r="A22" s="36">
        <v>18</v>
      </c>
      <c r="B22" s="37" t="str">
        <f>表1温室气体盘查表!B22</f>
        <v>制程排放</v>
      </c>
      <c r="C22" s="38" t="str">
        <f>表1温室气体盘查表!C22</f>
        <v>电极</v>
      </c>
      <c r="D22" s="39" t="str">
        <f>表1温室气体盘查表!E22</f>
        <v>范围一</v>
      </c>
      <c r="E22" s="40">
        <f>表1温室气体盘查表!F22</f>
        <v>4763.07</v>
      </c>
      <c r="F22" s="41" t="str">
        <f>表1温室气体盘查表!G22</f>
        <v>t</v>
      </c>
      <c r="G22" s="42">
        <f>'附表2-EF'!K22*10</f>
        <v>0</v>
      </c>
      <c r="H22" s="41" t="s">
        <v>753</v>
      </c>
      <c r="I22" s="43">
        <f>'附表1-GWP TABLE'!E20</f>
        <v>0</v>
      </c>
      <c r="J22" s="44"/>
      <c r="K22" s="41"/>
      <c r="L22" s="43"/>
      <c r="M22" s="44"/>
      <c r="N22" s="41"/>
      <c r="O22" s="43"/>
      <c r="P22" s="45"/>
      <c r="Q22" s="46"/>
      <c r="R22" s="47"/>
      <c r="S22" s="46"/>
      <c r="T22" s="44"/>
      <c r="U22" s="41"/>
      <c r="V22" s="48"/>
      <c r="W22" s="41"/>
      <c r="X22" s="44"/>
      <c r="Y22" s="41"/>
      <c r="Z22" s="43"/>
      <c r="AA22" s="44"/>
      <c r="AB22" s="46"/>
      <c r="AC22" s="43"/>
      <c r="AD22" s="49">
        <f>表1温室气体盘查表!AE22</f>
        <v>17447.12541</v>
      </c>
      <c r="AE22" s="49">
        <f>表1温室气体盘查表!AF22</f>
        <v>0</v>
      </c>
      <c r="AF22" s="49">
        <f>表1温室气体盘查表!AG22</f>
        <v>0</v>
      </c>
      <c r="AG22" s="49">
        <f>表1温室气体盘查表!AH22</f>
        <v>0</v>
      </c>
      <c r="AH22" s="49">
        <f>表1温室气体盘查表!AI22</f>
        <v>0</v>
      </c>
      <c r="AI22" s="49">
        <f>表1温室气体盘查表!AJ22</f>
        <v>0</v>
      </c>
      <c r="AJ22" s="49">
        <f>表1温室气体盘查表!AK22</f>
        <v>0</v>
      </c>
      <c r="AK22" s="49">
        <f>表1温室气体盘查表!AL22</f>
        <v>17447.12541</v>
      </c>
    </row>
    <row r="23" s="28" customFormat="1" ht="14.25" spans="1:37">
      <c r="A23" s="36">
        <v>19</v>
      </c>
      <c r="B23" s="37" t="str">
        <f>表1温室气体盘查表!B23</f>
        <v>制程排放</v>
      </c>
      <c r="C23" s="38" t="str">
        <f>表1温室气体盘查表!C23</f>
        <v>废钢</v>
      </c>
      <c r="D23" s="39" t="str">
        <f>表1温室气体盘查表!E23</f>
        <v>范围一</v>
      </c>
      <c r="E23" s="40">
        <f>表1温室气体盘查表!F23</f>
        <v>1077722.6430978</v>
      </c>
      <c r="F23" s="41" t="str">
        <f>表1温室气体盘查表!G23</f>
        <v>t</v>
      </c>
      <c r="G23" s="42">
        <f>'附表2-EF'!K23*10</f>
        <v>0</v>
      </c>
      <c r="H23" s="41" t="s">
        <v>754</v>
      </c>
      <c r="I23" s="43">
        <f>'附表1-GWP TABLE'!E21</f>
        <v>0</v>
      </c>
      <c r="J23" s="44"/>
      <c r="K23" s="41"/>
      <c r="L23" s="43"/>
      <c r="M23" s="44"/>
      <c r="N23" s="41"/>
      <c r="O23" s="43"/>
      <c r="P23" s="45"/>
      <c r="Q23" s="46"/>
      <c r="R23" s="47"/>
      <c r="S23" s="46"/>
      <c r="T23" s="44"/>
      <c r="U23" s="41"/>
      <c r="V23" s="48"/>
      <c r="W23" s="41"/>
      <c r="X23" s="44"/>
      <c r="Y23" s="41"/>
      <c r="Z23" s="43"/>
      <c r="AA23" s="44"/>
      <c r="AB23" s="46"/>
      <c r="AC23" s="43"/>
      <c r="AD23" s="49">
        <f>表1温室气体盘查表!AE23</f>
        <v>39875.7377946186</v>
      </c>
      <c r="AE23" s="49">
        <f>表1温室气体盘查表!AF23</f>
        <v>0</v>
      </c>
      <c r="AF23" s="49">
        <f>表1温室气体盘查表!AG23</f>
        <v>0</v>
      </c>
      <c r="AG23" s="49">
        <f>表1温室气体盘查表!AH23</f>
        <v>0</v>
      </c>
      <c r="AH23" s="49">
        <f>表1温室气体盘查表!AI23</f>
        <v>0</v>
      </c>
      <c r="AI23" s="49">
        <f>表1温室气体盘查表!AJ23</f>
        <v>0</v>
      </c>
      <c r="AJ23" s="49">
        <f>表1温室气体盘查表!AK23</f>
        <v>0</v>
      </c>
      <c r="AK23" s="49">
        <f>表1温室气体盘查表!AL23</f>
        <v>39875.7377946186</v>
      </c>
    </row>
    <row r="24" s="28" customFormat="1" ht="14.25" spans="1:37">
      <c r="A24" s="36">
        <v>20</v>
      </c>
      <c r="B24" s="37" t="str">
        <f>表1温室气体盘查表!B24</f>
        <v>制程排放</v>
      </c>
      <c r="C24" s="38" t="str">
        <f>表1温室气体盘查表!C24</f>
        <v>锰铁</v>
      </c>
      <c r="D24" s="39" t="str">
        <f>表1温室气体盘查表!E24</f>
        <v>范围一</v>
      </c>
      <c r="E24" s="40">
        <f>表1温室气体盘查表!F24</f>
        <v>47687.64</v>
      </c>
      <c r="F24" s="41" t="str">
        <f>表1温室气体盘查表!G24</f>
        <v>t</v>
      </c>
      <c r="G24" s="42">
        <f>'附表2-EF'!K24*10</f>
        <v>0</v>
      </c>
      <c r="H24" s="41" t="s">
        <v>755</v>
      </c>
      <c r="I24" s="43">
        <f>'附表1-GWP TABLE'!E22</f>
        <v>0</v>
      </c>
      <c r="J24" s="44"/>
      <c r="K24" s="41"/>
      <c r="L24" s="43"/>
      <c r="M24" s="44"/>
      <c r="N24" s="41"/>
      <c r="O24" s="43"/>
      <c r="P24" s="45"/>
      <c r="Q24" s="46"/>
      <c r="R24" s="47"/>
      <c r="S24" s="46"/>
      <c r="T24" s="44"/>
      <c r="U24" s="41"/>
      <c r="V24" s="48"/>
      <c r="W24" s="41"/>
      <c r="X24" s="44"/>
      <c r="Y24" s="41"/>
      <c r="Z24" s="43"/>
      <c r="AA24" s="44"/>
      <c r="AB24" s="46"/>
      <c r="AC24" s="43"/>
      <c r="AD24" s="49">
        <f>表1温室气体盘查表!AE24</f>
        <v>13114.101</v>
      </c>
      <c r="AE24" s="49">
        <f>表1温室气体盘查表!AF24</f>
        <v>0</v>
      </c>
      <c r="AF24" s="49">
        <f>表1温室气体盘查表!AG24</f>
        <v>0</v>
      </c>
      <c r="AG24" s="49">
        <f>表1温室气体盘查表!AH24</f>
        <v>0</v>
      </c>
      <c r="AH24" s="49">
        <f>表1温室气体盘查表!AI24</f>
        <v>0</v>
      </c>
      <c r="AI24" s="49">
        <f>表1温室气体盘查表!AJ24</f>
        <v>0</v>
      </c>
      <c r="AJ24" s="49">
        <f>表1温室气体盘查表!AK24</f>
        <v>0</v>
      </c>
      <c r="AK24" s="49">
        <f>表1温室气体盘查表!AL24</f>
        <v>13114.101</v>
      </c>
    </row>
    <row r="25" s="28" customFormat="1" ht="14.25" spans="1:37">
      <c r="A25" s="36">
        <v>21</v>
      </c>
      <c r="B25" s="37" t="str">
        <f>表1温室气体盘查表!B25</f>
        <v>制程排放</v>
      </c>
      <c r="C25" s="38" t="str">
        <f>表1温室气体盘查表!C25</f>
        <v>镍铁</v>
      </c>
      <c r="D25" s="39" t="str">
        <f>表1温室气体盘查表!E25</f>
        <v>范围一</v>
      </c>
      <c r="E25" s="40">
        <f>表1温室气体盘查表!F25</f>
        <v>9445.11</v>
      </c>
      <c r="F25" s="41" t="str">
        <f>表1温室气体盘查表!G25</f>
        <v>t</v>
      </c>
      <c r="G25" s="42">
        <f>'附表2-EF'!K25*10</f>
        <v>0</v>
      </c>
      <c r="H25" s="41" t="s">
        <v>756</v>
      </c>
      <c r="I25" s="43">
        <f>'附表1-GWP TABLE'!E23</f>
        <v>0</v>
      </c>
      <c r="J25" s="44"/>
      <c r="K25" s="41"/>
      <c r="L25" s="43"/>
      <c r="M25" s="44"/>
      <c r="N25" s="41"/>
      <c r="O25" s="43"/>
      <c r="P25" s="45"/>
      <c r="Q25" s="46"/>
      <c r="R25" s="47"/>
      <c r="S25" s="46"/>
      <c r="T25" s="44"/>
      <c r="U25" s="41"/>
      <c r="V25" s="48"/>
      <c r="W25" s="41"/>
      <c r="X25" s="44"/>
      <c r="Y25" s="41"/>
      <c r="Z25" s="43"/>
      <c r="AA25" s="44"/>
      <c r="AB25" s="46"/>
      <c r="AC25" s="43"/>
      <c r="AD25" s="49">
        <f>表1温室气体盘查表!AE25</f>
        <v>349.46907</v>
      </c>
      <c r="AE25" s="49">
        <f>表1温室气体盘查表!AF25</f>
        <v>0</v>
      </c>
      <c r="AF25" s="49">
        <f>表1温室气体盘查表!AG25</f>
        <v>0</v>
      </c>
      <c r="AG25" s="49">
        <f>表1温室气体盘查表!AH25</f>
        <v>0</v>
      </c>
      <c r="AH25" s="49">
        <f>表1温室气体盘查表!AI25</f>
        <v>0</v>
      </c>
      <c r="AI25" s="49">
        <f>表1温室气体盘查表!AJ25</f>
        <v>0</v>
      </c>
      <c r="AJ25" s="49">
        <f>表1温室气体盘查表!AK25</f>
        <v>0</v>
      </c>
      <c r="AK25" s="49">
        <f>表1温室气体盘查表!AL25</f>
        <v>349.46907</v>
      </c>
    </row>
    <row r="26" s="28" customFormat="1" ht="14.25" spans="1:37">
      <c r="A26" s="36">
        <v>22</v>
      </c>
      <c r="B26" s="37" t="str">
        <f>表1温室气体盘查表!B26</f>
        <v>制程排放</v>
      </c>
      <c r="C26" s="38" t="str">
        <f>表1温室气体盘查表!C26</f>
        <v>铬铁</v>
      </c>
      <c r="D26" s="39" t="str">
        <f>表1温室气体盘查表!E26</f>
        <v>范围一</v>
      </c>
      <c r="E26" s="40">
        <f>表1温室气体盘查表!F26</f>
        <v>65858.929</v>
      </c>
      <c r="F26" s="41" t="str">
        <f>表1温室气体盘查表!G26</f>
        <v>t</v>
      </c>
      <c r="G26" s="42">
        <f>'附表2-EF'!K26*10</f>
        <v>0</v>
      </c>
      <c r="H26" s="41" t="s">
        <v>757</v>
      </c>
      <c r="I26" s="43">
        <f>'附表1-GWP TABLE'!E24</f>
        <v>0</v>
      </c>
      <c r="J26" s="44"/>
      <c r="K26" s="41"/>
      <c r="L26" s="43"/>
      <c r="M26" s="44"/>
      <c r="N26" s="41"/>
      <c r="O26" s="43"/>
      <c r="P26" s="45"/>
      <c r="Q26" s="46"/>
      <c r="R26" s="47"/>
      <c r="S26" s="46"/>
      <c r="T26" s="44"/>
      <c r="U26" s="41"/>
      <c r="V26" s="48"/>
      <c r="W26" s="41"/>
      <c r="X26" s="44"/>
      <c r="Y26" s="41"/>
      <c r="Z26" s="43"/>
      <c r="AA26" s="44"/>
      <c r="AB26" s="46"/>
      <c r="AC26" s="43"/>
      <c r="AD26" s="49">
        <f>表1温室气体盘查表!AE26</f>
        <v>22918.907292</v>
      </c>
      <c r="AE26" s="49">
        <f>表1温室气体盘查表!AF26</f>
        <v>0</v>
      </c>
      <c r="AF26" s="49">
        <f>表1温室气体盘查表!AG26</f>
        <v>0</v>
      </c>
      <c r="AG26" s="49">
        <f>表1温室气体盘查表!AH26</f>
        <v>0</v>
      </c>
      <c r="AH26" s="49">
        <f>表1温室气体盘查表!AI26</f>
        <v>0</v>
      </c>
      <c r="AI26" s="49">
        <f>表1温室气体盘查表!AJ26</f>
        <v>0</v>
      </c>
      <c r="AJ26" s="49">
        <f>表1温室气体盘查表!AK26</f>
        <v>0</v>
      </c>
      <c r="AK26" s="49">
        <f>表1温室气体盘查表!AL26</f>
        <v>22918.907292</v>
      </c>
    </row>
    <row r="27" s="28" customFormat="1" ht="14.25" spans="1:37">
      <c r="A27" s="36">
        <v>23</v>
      </c>
      <c r="B27" s="37" t="str">
        <f>表1温室气体盘查表!B27</f>
        <v>制程排放</v>
      </c>
      <c r="C27" s="38" t="str">
        <f>表1温室气体盘查表!C27</f>
        <v>硅铁</v>
      </c>
      <c r="D27" s="39" t="str">
        <f>表1温室气体盘查表!E27</f>
        <v>范围一</v>
      </c>
      <c r="E27" s="40">
        <f>表1温室气体盘查表!F27</f>
        <v>10672.48</v>
      </c>
      <c r="F27" s="41" t="str">
        <f>表1温室气体盘查表!G27</f>
        <v>t</v>
      </c>
      <c r="G27" s="42">
        <f>'附表2-EF'!K27*10</f>
        <v>0</v>
      </c>
      <c r="H27" s="41" t="s">
        <v>758</v>
      </c>
      <c r="I27" s="43">
        <f>'附表1-GWP TABLE'!E25</f>
        <v>0</v>
      </c>
      <c r="J27" s="44"/>
      <c r="K27" s="41"/>
      <c r="L27" s="43"/>
      <c r="M27" s="44"/>
      <c r="N27" s="41"/>
      <c r="O27" s="43"/>
      <c r="P27" s="45"/>
      <c r="Q27" s="46"/>
      <c r="R27" s="47"/>
      <c r="S27" s="46"/>
      <c r="T27" s="44"/>
      <c r="U27" s="41"/>
      <c r="V27" s="48"/>
      <c r="W27" s="41"/>
      <c r="X27" s="44"/>
      <c r="Y27" s="41"/>
      <c r="Z27" s="43"/>
      <c r="AA27" s="44"/>
      <c r="AB27" s="46"/>
      <c r="AC27" s="43"/>
      <c r="AD27" s="49">
        <f>表1温室气体盘查表!AE27</f>
        <v>74.70736</v>
      </c>
      <c r="AE27" s="49">
        <f>表1温室气体盘查表!AF27</f>
        <v>0</v>
      </c>
      <c r="AF27" s="49">
        <f>表1温室气体盘查表!AG27</f>
        <v>0</v>
      </c>
      <c r="AG27" s="49">
        <f>表1温室气体盘查表!AH27</f>
        <v>0</v>
      </c>
      <c r="AH27" s="49">
        <f>表1温室气体盘查表!AI27</f>
        <v>0</v>
      </c>
      <c r="AI27" s="49">
        <f>表1温室气体盘查表!AJ27</f>
        <v>0</v>
      </c>
      <c r="AJ27" s="49">
        <f>表1温室气体盘查表!AK27</f>
        <v>0</v>
      </c>
      <c r="AK27" s="49">
        <f>表1温室气体盘查表!AL27</f>
        <v>74.70736</v>
      </c>
    </row>
    <row r="28" s="25" customFormat="1" ht="14.25" spans="1:37">
      <c r="A28" s="36">
        <v>24</v>
      </c>
      <c r="B28" s="37" t="str">
        <f>表1温室气体盘查表!B28</f>
        <v>制程排放</v>
      </c>
      <c r="C28" s="38" t="str">
        <f>表1温室气体盘查表!C28</f>
        <v>钼铁</v>
      </c>
      <c r="D28" s="39" t="str">
        <f>表1温室气体盘查表!E28</f>
        <v>范围一</v>
      </c>
      <c r="E28" s="40">
        <f>表1温室气体盘查表!F28</f>
        <v>7945.164</v>
      </c>
      <c r="F28" s="41" t="str">
        <f>表1温室气体盘查表!G28</f>
        <v>t</v>
      </c>
      <c r="G28" s="42">
        <f>'附表2-EF'!K28*10</f>
        <v>0</v>
      </c>
      <c r="H28" s="41" t="s">
        <v>759</v>
      </c>
      <c r="I28" s="43">
        <f>'附表1-GWP TABLE'!E26</f>
        <v>0</v>
      </c>
      <c r="J28" s="44"/>
      <c r="K28" s="41"/>
      <c r="L28" s="43"/>
      <c r="M28" s="44"/>
      <c r="N28" s="41"/>
      <c r="O28" s="43"/>
      <c r="P28" s="45"/>
      <c r="Q28" s="46"/>
      <c r="R28" s="47"/>
      <c r="S28" s="46"/>
      <c r="T28" s="44"/>
      <c r="U28" s="41"/>
      <c r="V28" s="48"/>
      <c r="W28" s="41"/>
      <c r="X28" s="44"/>
      <c r="Y28" s="41"/>
      <c r="Z28" s="43"/>
      <c r="AA28" s="44"/>
      <c r="AB28" s="46"/>
      <c r="AC28" s="43"/>
      <c r="AD28" s="49">
        <f>表1温室气体盘查表!AE28</f>
        <v>143.012952</v>
      </c>
      <c r="AE28" s="49">
        <f>表1温室气体盘查表!AF28</f>
        <v>0</v>
      </c>
      <c r="AF28" s="49">
        <f>表1温室气体盘查表!AG28</f>
        <v>0</v>
      </c>
      <c r="AG28" s="49">
        <f>表1温室气体盘查表!AH28</f>
        <v>0</v>
      </c>
      <c r="AH28" s="49">
        <f>表1温室气体盘查表!AI28</f>
        <v>0</v>
      </c>
      <c r="AI28" s="49">
        <f>表1温室气体盘查表!AJ28</f>
        <v>0</v>
      </c>
      <c r="AJ28" s="49">
        <f>表1温室气体盘查表!AK28</f>
        <v>0</v>
      </c>
      <c r="AK28" s="49">
        <f>表1温室气体盘查表!AL28</f>
        <v>143.012952</v>
      </c>
    </row>
    <row r="29" s="25" customFormat="1" ht="14.25" spans="1:37">
      <c r="A29" s="36">
        <v>25</v>
      </c>
      <c r="B29" s="37" t="str">
        <f>表1温室气体盘查表!B29</f>
        <v>制程排放</v>
      </c>
      <c r="C29" s="38" t="str">
        <f>表1温室气体盘查表!C29</f>
        <v>钢坯</v>
      </c>
      <c r="D29" s="39" t="str">
        <f>表1温室气体盘查表!E29</f>
        <v>范围一</v>
      </c>
      <c r="E29" s="40">
        <f>表1温室气体盘查表!F29</f>
        <v>-4332821.94</v>
      </c>
      <c r="F29" s="41" t="str">
        <f>表1温室气体盘查表!G29</f>
        <v>t</v>
      </c>
      <c r="G29" s="42">
        <f>'附表2-EF'!K29*10</f>
        <v>0</v>
      </c>
      <c r="H29" s="41" t="s">
        <v>760</v>
      </c>
      <c r="I29" s="43">
        <f>'附表1-GWP TABLE'!E27</f>
        <v>0</v>
      </c>
      <c r="J29" s="44"/>
      <c r="K29" s="41"/>
      <c r="L29" s="43"/>
      <c r="M29" s="44"/>
      <c r="N29" s="41"/>
      <c r="O29" s="43"/>
      <c r="P29" s="45"/>
      <c r="Q29" s="46"/>
      <c r="R29" s="47"/>
      <c r="S29" s="46"/>
      <c r="T29" s="44"/>
      <c r="U29" s="41"/>
      <c r="V29" s="48"/>
      <c r="W29" s="41"/>
      <c r="X29" s="44"/>
      <c r="Y29" s="41"/>
      <c r="Z29" s="43"/>
      <c r="AA29" s="44"/>
      <c r="AB29" s="46"/>
      <c r="AC29" s="43"/>
      <c r="AD29" s="49">
        <f>表1温室气体盘查表!AE29</f>
        <v>-160314.41178</v>
      </c>
      <c r="AE29" s="49">
        <f>表1温室气体盘查表!AF29</f>
        <v>0</v>
      </c>
      <c r="AF29" s="49">
        <f>表1温室气体盘查表!AG29</f>
        <v>0</v>
      </c>
      <c r="AG29" s="49">
        <f>表1温室气体盘查表!AH29</f>
        <v>0</v>
      </c>
      <c r="AH29" s="49">
        <f>表1温室气体盘查表!AI29</f>
        <v>0</v>
      </c>
      <c r="AI29" s="49">
        <f>表1温室气体盘查表!AJ29</f>
        <v>0</v>
      </c>
      <c r="AJ29" s="49">
        <f>表1温室气体盘查表!AK29</f>
        <v>0</v>
      </c>
      <c r="AK29" s="49">
        <f>表1温室气体盘查表!AL29</f>
        <v>-160314.41178</v>
      </c>
    </row>
    <row r="30" s="25" customFormat="1" ht="14.25" spans="1:37">
      <c r="A30" s="36">
        <v>26</v>
      </c>
      <c r="B30" s="37" t="str">
        <f>表1温室气体盘查表!B30</f>
        <v>制程排放</v>
      </c>
      <c r="C30" s="38" t="str">
        <f>表1温室气体盘查表!C30</f>
        <v>粗苯</v>
      </c>
      <c r="D30" s="39" t="str">
        <f>表1温室气体盘查表!E30</f>
        <v>范围一</v>
      </c>
      <c r="E30" s="40">
        <f>表1温室气体盘查表!F30</f>
        <v>-19501.18</v>
      </c>
      <c r="F30" s="41" t="str">
        <f>表1温室气体盘查表!G30</f>
        <v>t</v>
      </c>
      <c r="G30" s="42">
        <f>'附表2-EF'!K30*10</f>
        <v>0</v>
      </c>
      <c r="H30" s="41" t="s">
        <v>761</v>
      </c>
      <c r="I30" s="43">
        <f>'附表1-GWP TABLE'!E28</f>
        <v>0</v>
      </c>
      <c r="J30" s="44"/>
      <c r="K30" s="41"/>
      <c r="L30" s="43"/>
      <c r="M30" s="44"/>
      <c r="N30" s="41"/>
      <c r="O30" s="43"/>
      <c r="P30" s="45"/>
      <c r="Q30" s="46"/>
      <c r="R30" s="47"/>
      <c r="S30" s="46"/>
      <c r="T30" s="44"/>
      <c r="U30" s="41"/>
      <c r="V30" s="48"/>
      <c r="W30" s="41"/>
      <c r="X30" s="44"/>
      <c r="Y30" s="41"/>
      <c r="Z30" s="43"/>
      <c r="AA30" s="44"/>
      <c r="AB30" s="46"/>
      <c r="AC30" s="43"/>
      <c r="AD30" s="49">
        <f>表1温室气体盘查表!AE30</f>
        <v>-65952.99076</v>
      </c>
      <c r="AE30" s="49">
        <f>表1温室气体盘查表!AF30</f>
        <v>0</v>
      </c>
      <c r="AF30" s="49">
        <f>表1温室气体盘查表!AG30</f>
        <v>0</v>
      </c>
      <c r="AG30" s="49">
        <f>表1温室气体盘查表!AH30</f>
        <v>0</v>
      </c>
      <c r="AH30" s="49">
        <f>表1温室气体盘查表!AI30</f>
        <v>0</v>
      </c>
      <c r="AI30" s="49">
        <f>表1温室气体盘查表!AJ30</f>
        <v>0</v>
      </c>
      <c r="AJ30" s="49">
        <f>表1温室气体盘查表!AK30</f>
        <v>0</v>
      </c>
      <c r="AK30" s="49">
        <f>表1温室气体盘查表!AL30</f>
        <v>-65952.99076</v>
      </c>
    </row>
    <row r="31" s="25" customFormat="1" ht="14.25" spans="1:37">
      <c r="A31" s="36">
        <v>27</v>
      </c>
      <c r="B31" s="37" t="str">
        <f>表1温室气体盘查表!B31</f>
        <v>制程排放</v>
      </c>
      <c r="C31" s="38" t="str">
        <f>表1温室气体盘查表!C31</f>
        <v>煤焦油</v>
      </c>
      <c r="D31" s="39" t="str">
        <f>表1温室气体盘查表!E31</f>
        <v>范围一</v>
      </c>
      <c r="E31" s="40">
        <f>表1温室气体盘查表!F31</f>
        <v>-59054.1</v>
      </c>
      <c r="F31" s="41" t="str">
        <f>表1温室气体盘查表!G31</f>
        <v>t</v>
      </c>
      <c r="G31" s="42">
        <f>'附表2-EF'!G31*10</f>
        <v>0</v>
      </c>
      <c r="H31" s="41" t="s">
        <v>762</v>
      </c>
      <c r="I31" s="43">
        <f>'附表1-GWP TABLE'!E29</f>
        <v>0</v>
      </c>
      <c r="J31" s="44"/>
      <c r="K31" s="41"/>
      <c r="L31" s="43"/>
      <c r="M31" s="44"/>
      <c r="N31" s="41"/>
      <c r="O31" s="43"/>
      <c r="P31" s="45"/>
      <c r="Q31" s="46"/>
      <c r="R31" s="47"/>
      <c r="S31" s="46"/>
      <c r="T31" s="44"/>
      <c r="U31" s="41"/>
      <c r="V31" s="48"/>
      <c r="W31" s="41"/>
      <c r="X31" s="44"/>
      <c r="Y31" s="41"/>
      <c r="Z31" s="43"/>
      <c r="AA31" s="44"/>
      <c r="AB31" s="46"/>
      <c r="AC31" s="43"/>
      <c r="AD31" s="49">
        <f>表1温室气体盘查表!AE31</f>
        <v>-159387.0159</v>
      </c>
      <c r="AE31" s="49">
        <f>表1温室气体盘查表!AF31</f>
        <v>0</v>
      </c>
      <c r="AF31" s="49">
        <f>表1温室气体盘查表!AG31</f>
        <v>0</v>
      </c>
      <c r="AG31" s="49">
        <f>表1温室气体盘查表!AH31</f>
        <v>0</v>
      </c>
      <c r="AH31" s="49">
        <f>表1温室气体盘查表!AI31</f>
        <v>0</v>
      </c>
      <c r="AI31" s="49">
        <f>表1温室气体盘查表!AJ31</f>
        <v>0</v>
      </c>
      <c r="AJ31" s="49">
        <f>表1温室气体盘查表!AK31</f>
        <v>0</v>
      </c>
      <c r="AK31" s="49">
        <f>表1温室气体盘查表!AL31</f>
        <v>-159387.0159</v>
      </c>
    </row>
    <row r="32" s="25" customFormat="1" ht="18" spans="1:37">
      <c r="A32" s="36">
        <v>28</v>
      </c>
      <c r="B32" s="37" t="str">
        <f>表1温室气体盘查表!B32</f>
        <v>输入能源间接温室气体排放</v>
      </c>
      <c r="C32" s="38" t="str">
        <f>表1温室气体盘查表!C33</f>
        <v>外购电力（基于市场）</v>
      </c>
      <c r="D32" s="39" t="str">
        <f>表1温室气体盘查表!E33</f>
        <v>范围二</v>
      </c>
      <c r="E32" s="40">
        <f>表1温室气体盘查表!F33</f>
        <v>1984119.42</v>
      </c>
      <c r="F32" s="41" t="str">
        <f>表1温室气体盘查表!G33</f>
        <v>MWh</v>
      </c>
      <c r="G32" s="42" t="e">
        <f>'附表2-EF'!G33*10</f>
        <v>#VALUE!</v>
      </c>
      <c r="H32" s="41" t="s">
        <v>833</v>
      </c>
      <c r="I32" s="43">
        <f>'附表1-GWP TABLE'!E31</f>
        <v>0</v>
      </c>
      <c r="J32" s="44"/>
      <c r="K32" s="41"/>
      <c r="L32" s="43"/>
      <c r="M32" s="44"/>
      <c r="N32" s="41"/>
      <c r="O32" s="43"/>
      <c r="P32" s="45"/>
      <c r="Q32" s="46"/>
      <c r="R32" s="47"/>
      <c r="S32" s="46"/>
      <c r="T32" s="44"/>
      <c r="U32" s="41"/>
      <c r="V32" s="48"/>
      <c r="W32" s="41"/>
      <c r="X32" s="44"/>
      <c r="Y32" s="41"/>
      <c r="Z32" s="43"/>
      <c r="AA32" s="44"/>
      <c r="AB32" s="46"/>
      <c r="AC32" s="43"/>
      <c r="AD32" s="49">
        <f>表1温室气体盘查表!AE33</f>
        <v>1161900.332352</v>
      </c>
      <c r="AE32" s="49">
        <f>表1温室气体盘查表!AF33</f>
        <v>0</v>
      </c>
      <c r="AF32" s="49">
        <f>表1温室气体盘查表!AG33</f>
        <v>0</v>
      </c>
      <c r="AG32" s="49">
        <f>表1温室气体盘查表!AH33</f>
        <v>0</v>
      </c>
      <c r="AH32" s="49">
        <f>表1温室气体盘查表!AI33</f>
        <v>0</v>
      </c>
      <c r="AI32" s="49">
        <f>表1温室气体盘查表!AJ33</f>
        <v>0</v>
      </c>
      <c r="AJ32" s="49">
        <f>表1温室气体盘查表!AK33</f>
        <v>0</v>
      </c>
      <c r="AK32" s="49">
        <f>表1温室气体盘查表!AL33</f>
        <v>1161900.332352</v>
      </c>
    </row>
    <row r="33" s="25" customFormat="1" ht="18" spans="1:37">
      <c r="A33" s="36">
        <v>29</v>
      </c>
      <c r="B33" s="37" t="str">
        <f>表1温室气体盘查表!B34</f>
        <v>外购商品和服务的上游排放</v>
      </c>
      <c r="C33" s="38" t="str">
        <f>表1温室气体盘查表!C34</f>
        <v>铁矿石生产</v>
      </c>
      <c r="D33" s="39" t="str">
        <f>表1温室气体盘查表!E34</f>
        <v>范围三 类别1</v>
      </c>
      <c r="E33" s="40">
        <f>表1温室气体盘查表!F34</f>
        <v>4538211.34</v>
      </c>
      <c r="F33" s="41" t="str">
        <f>表1温室气体盘查表!G34</f>
        <v>t</v>
      </c>
      <c r="G33" s="42" t="e">
        <f>'附表2-EF'!G34*10</f>
        <v>#VALUE!</v>
      </c>
      <c r="H33" s="41" t="s">
        <v>764</v>
      </c>
      <c r="I33" s="43">
        <f>'附表1-GWP TABLE'!E32</f>
        <v>0</v>
      </c>
      <c r="J33" s="44"/>
      <c r="K33" s="41"/>
      <c r="L33" s="43"/>
      <c r="M33" s="44"/>
      <c r="N33" s="41"/>
      <c r="O33" s="43"/>
      <c r="P33" s="45"/>
      <c r="Q33" s="46"/>
      <c r="R33" s="47"/>
      <c r="S33" s="46"/>
      <c r="T33" s="44"/>
      <c r="U33" s="41"/>
      <c r="V33" s="48"/>
      <c r="W33" s="41"/>
      <c r="X33" s="44"/>
      <c r="Y33" s="41"/>
      <c r="Z33" s="43"/>
      <c r="AA33" s="44"/>
      <c r="AB33" s="46"/>
      <c r="AC33" s="43"/>
      <c r="AD33" s="49">
        <f>表1温室气体盘查表!AE34</f>
        <v>448588.57632498</v>
      </c>
      <c r="AE33" s="49">
        <f>表1温室气体盘查表!AF34</f>
        <v>0</v>
      </c>
      <c r="AF33" s="49">
        <f>表1温室气体盘查表!AG34</f>
        <v>0</v>
      </c>
      <c r="AG33" s="49">
        <f>表1温室气体盘查表!AH34</f>
        <v>0</v>
      </c>
      <c r="AH33" s="49">
        <f>表1温室气体盘查表!AI34</f>
        <v>0</v>
      </c>
      <c r="AI33" s="49">
        <f>表1温室气体盘查表!AJ34</f>
        <v>0</v>
      </c>
      <c r="AJ33" s="49">
        <f>表1温室气体盘查表!AK34</f>
        <v>0</v>
      </c>
      <c r="AK33" s="49">
        <f>表1温室气体盘查表!AL34</f>
        <v>448588.57632498</v>
      </c>
    </row>
    <row r="34" s="25" customFormat="1" ht="18" spans="1:37">
      <c r="A34" s="36">
        <v>30</v>
      </c>
      <c r="B34" s="37" t="str">
        <f>表1温室气体盘查表!B35</f>
        <v>外购商品和服务的上游排放</v>
      </c>
      <c r="C34" s="38" t="str">
        <f>表1温室气体盘查表!C35</f>
        <v>生石灰生产</v>
      </c>
      <c r="D34" s="39" t="str">
        <f>表1温室气体盘查表!E35</f>
        <v>范围三 类别1</v>
      </c>
      <c r="E34" s="40">
        <f>表1温室气体盘查表!F35</f>
        <v>611514.48</v>
      </c>
      <c r="F34" s="41" t="str">
        <f>表1温室气体盘查表!G35</f>
        <v>t</v>
      </c>
      <c r="G34" s="42">
        <f>'附表2-EF'!G36*10</f>
        <v>0</v>
      </c>
      <c r="H34" s="41" t="s">
        <v>765</v>
      </c>
      <c r="I34" s="43">
        <f>'附表1-GWP TABLE'!E33</f>
        <v>0</v>
      </c>
      <c r="J34" s="44"/>
      <c r="K34" s="41"/>
      <c r="L34" s="43"/>
      <c r="M34" s="44"/>
      <c r="N34" s="41"/>
      <c r="O34" s="43"/>
      <c r="P34" s="45"/>
      <c r="Q34" s="46"/>
      <c r="R34" s="47"/>
      <c r="S34" s="46"/>
      <c r="T34" s="44"/>
      <c r="U34" s="41"/>
      <c r="V34" s="48"/>
      <c r="W34" s="41"/>
      <c r="X34" s="44"/>
      <c r="Y34" s="41"/>
      <c r="Z34" s="43"/>
      <c r="AA34" s="44"/>
      <c r="AB34" s="46"/>
      <c r="AC34" s="43"/>
      <c r="AD34" s="49">
        <f>表1温室气体盘查表!AE35</f>
        <v>727500.380476304</v>
      </c>
      <c r="AE34" s="49">
        <f>表1温室气体盘查表!AF35</f>
        <v>0</v>
      </c>
      <c r="AF34" s="49">
        <f>表1温室气体盘查表!AG35</f>
        <v>0</v>
      </c>
      <c r="AG34" s="49">
        <f>表1温室气体盘查表!AH35</f>
        <v>0</v>
      </c>
      <c r="AH34" s="49">
        <f>表1温室气体盘查表!AI35</f>
        <v>0</v>
      </c>
      <c r="AI34" s="49">
        <f>表1温室气体盘查表!AJ35</f>
        <v>0</v>
      </c>
      <c r="AJ34" s="49">
        <f>表1温室气体盘查表!AK35</f>
        <v>0</v>
      </c>
      <c r="AK34" s="49">
        <f>表1温室气体盘查表!AL35</f>
        <v>727500.380476304</v>
      </c>
    </row>
    <row r="35" s="25" customFormat="1" ht="18" spans="1:37">
      <c r="A35" s="36">
        <v>31</v>
      </c>
      <c r="B35" s="37" t="str">
        <f>表1温室气体盘查表!B36</f>
        <v>外购商品和服务的上游排放</v>
      </c>
      <c r="C35" s="38" t="str">
        <f>表1温室气体盘查表!C36</f>
        <v>石灰石生产</v>
      </c>
      <c r="D35" s="39" t="str">
        <f>表1温室气体盘查表!E36</f>
        <v>范围三 类别1</v>
      </c>
      <c r="E35" s="40">
        <f>表1温室气体盘查表!F36</f>
        <v>19365.77</v>
      </c>
      <c r="F35" s="41" t="str">
        <f>表1温室气体盘查表!G36</f>
        <v>t</v>
      </c>
      <c r="G35" s="42">
        <f>'附表2-EF'!G37*10</f>
        <v>0</v>
      </c>
      <c r="H35" s="41" t="s">
        <v>766</v>
      </c>
      <c r="I35" s="43">
        <f>'附表1-GWP TABLE'!E34</f>
        <v>0</v>
      </c>
      <c r="J35" s="44"/>
      <c r="K35" s="41"/>
      <c r="L35" s="43"/>
      <c r="M35" s="44"/>
      <c r="N35" s="41"/>
      <c r="O35" s="43"/>
      <c r="P35" s="45"/>
      <c r="Q35" s="46"/>
      <c r="R35" s="47"/>
      <c r="S35" s="46"/>
      <c r="T35" s="44"/>
      <c r="U35" s="41"/>
      <c r="V35" s="48"/>
      <c r="W35" s="41"/>
      <c r="X35" s="44"/>
      <c r="Y35" s="41"/>
      <c r="Z35" s="43"/>
      <c r="AA35" s="44"/>
      <c r="AB35" s="46"/>
      <c r="AC35" s="43"/>
      <c r="AD35" s="49">
        <f>表1温室气体盘查表!AE36</f>
        <v>58.676346523</v>
      </c>
      <c r="AE35" s="49">
        <f>表1温室气体盘查表!AF36</f>
        <v>0</v>
      </c>
      <c r="AF35" s="49">
        <f>表1温室气体盘查表!AG36</f>
        <v>0</v>
      </c>
      <c r="AG35" s="49">
        <f>表1温室气体盘查表!AH36</f>
        <v>0</v>
      </c>
      <c r="AH35" s="49">
        <f>表1温室气体盘查表!AI36</f>
        <v>0</v>
      </c>
      <c r="AI35" s="49">
        <f>表1温室气体盘查表!AJ36</f>
        <v>0</v>
      </c>
      <c r="AJ35" s="49">
        <f>表1温室气体盘查表!AK36</f>
        <v>0</v>
      </c>
      <c r="AK35" s="49">
        <f>表1温室气体盘查表!AL36</f>
        <v>58.676346523</v>
      </c>
    </row>
    <row r="36" s="25" customFormat="1" ht="18" spans="1:37">
      <c r="A36" s="36">
        <v>32</v>
      </c>
      <c r="B36" s="37" t="str">
        <f>表1温室气体盘查表!B37</f>
        <v>外购商品和服务的上游排放</v>
      </c>
      <c r="C36" s="38" t="str">
        <f>表1温室气体盘查表!C37</f>
        <v>白云石生产</v>
      </c>
      <c r="D36" s="39" t="str">
        <f>表1温室气体盘查表!E37</f>
        <v>范围三 类别1</v>
      </c>
      <c r="E36" s="40">
        <f>表1温室气体盘查表!F37</f>
        <v>356289.39</v>
      </c>
      <c r="F36" s="41" t="str">
        <f>表1温室气体盘查表!G37</f>
        <v>t</v>
      </c>
      <c r="G36" s="42">
        <f>'附表2-EF'!G38*10</f>
        <v>0</v>
      </c>
      <c r="H36" s="41" t="s">
        <v>767</v>
      </c>
      <c r="I36" s="43">
        <f>'附表1-GWP TABLE'!E35</f>
        <v>0</v>
      </c>
      <c r="J36" s="44"/>
      <c r="K36" s="41"/>
      <c r="L36" s="43"/>
      <c r="M36" s="44"/>
      <c r="N36" s="41"/>
      <c r="O36" s="43"/>
      <c r="P36" s="45"/>
      <c r="Q36" s="46"/>
      <c r="R36" s="47"/>
      <c r="S36" s="46"/>
      <c r="T36" s="44"/>
      <c r="U36" s="41"/>
      <c r="V36" s="48"/>
      <c r="W36" s="41"/>
      <c r="X36" s="44"/>
      <c r="Y36" s="41"/>
      <c r="Z36" s="43"/>
      <c r="AA36" s="44"/>
      <c r="AB36" s="46"/>
      <c r="AC36" s="43"/>
      <c r="AD36" s="49">
        <f>表1温室气体盘查表!AE37</f>
        <v>46435.1961987</v>
      </c>
      <c r="AE36" s="49">
        <f>表1温室气体盘查表!AF37</f>
        <v>0</v>
      </c>
      <c r="AF36" s="49">
        <f>表1温室气体盘查表!AG37</f>
        <v>0</v>
      </c>
      <c r="AG36" s="49">
        <f>表1温室气体盘查表!AH37</f>
        <v>0</v>
      </c>
      <c r="AH36" s="49">
        <f>表1温室气体盘查表!AI37</f>
        <v>0</v>
      </c>
      <c r="AI36" s="49">
        <f>表1温室气体盘查表!AJ37</f>
        <v>0</v>
      </c>
      <c r="AJ36" s="49">
        <f>表1温室气体盘查表!AK37</f>
        <v>0</v>
      </c>
      <c r="AK36" s="49">
        <f>表1温室气体盘查表!AL37</f>
        <v>46435.1961987</v>
      </c>
    </row>
    <row r="37" s="25" customFormat="1" ht="18" spans="1:37">
      <c r="A37" s="36">
        <v>33</v>
      </c>
      <c r="B37" s="37" t="str">
        <f>表1温室气体盘查表!B38</f>
        <v>外购商品和服务的上游排放</v>
      </c>
      <c r="C37" s="38" t="str">
        <f>表1温室气体盘查表!C38</f>
        <v>轻烧白云石生产</v>
      </c>
      <c r="D37" s="39" t="str">
        <f>表1温室气体盘查表!E38</f>
        <v>范围三 类别1</v>
      </c>
      <c r="E37" s="40">
        <f>表1温室气体盘查表!F38</f>
        <v>2786.84</v>
      </c>
      <c r="F37" s="41" t="str">
        <f>表1温室气体盘查表!G38</f>
        <v>t</v>
      </c>
      <c r="G37" s="42">
        <f>'附表2-EF'!K39*10</f>
        <v>0</v>
      </c>
      <c r="H37" s="41" t="s">
        <v>768</v>
      </c>
      <c r="I37" s="43">
        <f>'附表1-GWP TABLE'!E36</f>
        <v>0</v>
      </c>
      <c r="J37" s="44"/>
      <c r="K37" s="41"/>
      <c r="L37" s="43"/>
      <c r="M37" s="44"/>
      <c r="N37" s="41"/>
      <c r="O37" s="43"/>
      <c r="P37" s="45"/>
      <c r="Q37" s="46"/>
      <c r="R37" s="47"/>
      <c r="S37" s="46"/>
      <c r="T37" s="44"/>
      <c r="U37" s="41"/>
      <c r="V37" s="48"/>
      <c r="W37" s="41"/>
      <c r="X37" s="44"/>
      <c r="Y37" s="41"/>
      <c r="Z37" s="43"/>
      <c r="AA37" s="44"/>
      <c r="AB37" s="46"/>
      <c r="AC37" s="43"/>
      <c r="AD37" s="49">
        <f>表1温室气体盘查表!AE38</f>
        <v>363.2088572</v>
      </c>
      <c r="AE37" s="49">
        <f>表1温室气体盘查表!AF38</f>
        <v>0</v>
      </c>
      <c r="AF37" s="49">
        <f>表1温室气体盘查表!AG38</f>
        <v>0</v>
      </c>
      <c r="AG37" s="49">
        <f>表1温室气体盘查表!AH38</f>
        <v>0</v>
      </c>
      <c r="AH37" s="49">
        <f>表1温室气体盘查表!AI38</f>
        <v>0</v>
      </c>
      <c r="AI37" s="49">
        <f>表1温室气体盘查表!AJ38</f>
        <v>0</v>
      </c>
      <c r="AJ37" s="49">
        <f>表1温室气体盘查表!AK38</f>
        <v>0</v>
      </c>
      <c r="AK37" s="49">
        <f>表1温室气体盘查表!AL38</f>
        <v>363.2088572</v>
      </c>
    </row>
    <row r="38" s="25" customFormat="1" ht="18" spans="1:37">
      <c r="A38" s="36">
        <v>34</v>
      </c>
      <c r="B38" s="37" t="str">
        <f>表1温室气体盘查表!B39</f>
        <v>外购商品和服务的上游排放</v>
      </c>
      <c r="C38" s="38" t="str">
        <f>表1温室气体盘查表!C39</f>
        <v>球团生产</v>
      </c>
      <c r="D38" s="39" t="str">
        <f>表1温室气体盘查表!E39</f>
        <v>范围三 类别1</v>
      </c>
      <c r="E38" s="40">
        <f>表1温室气体盘查表!F39</f>
        <v>685439.89</v>
      </c>
      <c r="F38" s="41" t="str">
        <f>表1温室气体盘查表!G39</f>
        <v>t</v>
      </c>
      <c r="G38" s="42">
        <f>'附表2-EF'!K40*10</f>
        <v>0</v>
      </c>
      <c r="H38" s="41" t="s">
        <v>769</v>
      </c>
      <c r="I38" s="43">
        <f>'附表1-GWP TABLE'!E37</f>
        <v>0</v>
      </c>
      <c r="J38" s="44"/>
      <c r="K38" s="41"/>
      <c r="L38" s="43"/>
      <c r="M38" s="44"/>
      <c r="N38" s="41"/>
      <c r="O38" s="43"/>
      <c r="P38" s="45"/>
      <c r="Q38" s="46"/>
      <c r="R38" s="47"/>
      <c r="S38" s="46"/>
      <c r="T38" s="44"/>
      <c r="U38" s="41"/>
      <c r="V38" s="48"/>
      <c r="W38" s="41"/>
      <c r="X38" s="44"/>
      <c r="Y38" s="41"/>
      <c r="Z38" s="43"/>
      <c r="AA38" s="44"/>
      <c r="AB38" s="46"/>
      <c r="AC38" s="43"/>
      <c r="AD38" s="49">
        <f>表1温室气体盘查表!AE39</f>
        <v>71601.0509094</v>
      </c>
      <c r="AE38" s="49">
        <f>表1温室气体盘查表!AF39</f>
        <v>0</v>
      </c>
      <c r="AF38" s="49">
        <f>表1温室气体盘查表!AG39</f>
        <v>0</v>
      </c>
      <c r="AG38" s="49">
        <f>表1温室气体盘查表!AH39</f>
        <v>0</v>
      </c>
      <c r="AH38" s="49">
        <f>表1温室气体盘查表!AI39</f>
        <v>0</v>
      </c>
      <c r="AI38" s="49">
        <f>表1温室气体盘查表!AJ39</f>
        <v>0</v>
      </c>
      <c r="AJ38" s="49">
        <f>表1温室气体盘查表!AK39</f>
        <v>0</v>
      </c>
      <c r="AK38" s="49">
        <f>表1温室气体盘查表!AL39</f>
        <v>71601.0509094</v>
      </c>
    </row>
    <row r="39" s="25" customFormat="1" ht="18" spans="1:37">
      <c r="A39" s="36">
        <v>35</v>
      </c>
      <c r="B39" s="37" t="str">
        <f>表1温室气体盘查表!B40</f>
        <v>外购商品和服务的上游排放</v>
      </c>
      <c r="C39" s="38" t="str">
        <f>表1温室气体盘查表!C40</f>
        <v>废钢生产</v>
      </c>
      <c r="D39" s="39" t="str">
        <f>表1温室气体盘查表!E40</f>
        <v>范围三 类别1</v>
      </c>
      <c r="E39" s="40">
        <f>表1温室气体盘查表!F40</f>
        <v>1077722.6430978</v>
      </c>
      <c r="F39" s="41" t="str">
        <f>表1温室气体盘查表!G40</f>
        <v>t</v>
      </c>
      <c r="G39" s="42">
        <f>'附表2-EF'!K41*10</f>
        <v>0</v>
      </c>
      <c r="H39" s="41" t="s">
        <v>770</v>
      </c>
      <c r="I39" s="43">
        <f>'附表1-GWP TABLE'!E38</f>
        <v>0</v>
      </c>
      <c r="J39" s="44"/>
      <c r="K39" s="41"/>
      <c r="L39" s="43"/>
      <c r="M39" s="44"/>
      <c r="N39" s="41"/>
      <c r="O39" s="43"/>
      <c r="P39" s="45"/>
      <c r="Q39" s="46"/>
      <c r="R39" s="47"/>
      <c r="S39" s="46"/>
      <c r="T39" s="44"/>
      <c r="U39" s="41"/>
      <c r="V39" s="48"/>
      <c r="W39" s="41"/>
      <c r="X39" s="44"/>
      <c r="Y39" s="41"/>
      <c r="Z39" s="43"/>
      <c r="AA39" s="44"/>
      <c r="AB39" s="46"/>
      <c r="AC39" s="43"/>
      <c r="AD39" s="49">
        <f>表1温室气体盘查表!AE40</f>
        <v>79944.3879423517</v>
      </c>
      <c r="AE39" s="49">
        <f>表1温室气体盘查表!AF40</f>
        <v>0</v>
      </c>
      <c r="AF39" s="49">
        <f>表1温室气体盘查表!AG40</f>
        <v>0</v>
      </c>
      <c r="AG39" s="49">
        <f>表1温室气体盘查表!AH40</f>
        <v>0</v>
      </c>
      <c r="AH39" s="49">
        <f>表1温室气体盘查表!AI40</f>
        <v>0</v>
      </c>
      <c r="AI39" s="49">
        <f>表1温室气体盘查表!AJ40</f>
        <v>0</v>
      </c>
      <c r="AJ39" s="49">
        <f>表1温室气体盘查表!AK40</f>
        <v>0</v>
      </c>
      <c r="AK39" s="49">
        <f>表1温室气体盘查表!AL40</f>
        <v>79944.3879423517</v>
      </c>
    </row>
    <row r="40" s="25" customFormat="1" ht="18" spans="1:37">
      <c r="A40" s="36">
        <v>36</v>
      </c>
      <c r="B40" s="37" t="str">
        <f>表1温室气体盘查表!B41</f>
        <v>外购商品和服务的上游排放</v>
      </c>
      <c r="C40" s="38" t="str">
        <f>表1温室气体盘查表!C41</f>
        <v>电极生产</v>
      </c>
      <c r="D40" s="39" t="str">
        <f>表1温室气体盘查表!E41</f>
        <v>范围三 类别1</v>
      </c>
      <c r="E40" s="40">
        <f>表1温室气体盘查表!F41</f>
        <v>4473.46</v>
      </c>
      <c r="F40" s="41" t="str">
        <f>表1温室气体盘查表!G41</f>
        <v>t</v>
      </c>
      <c r="G40" s="42">
        <f>'附表2-EF'!K42*10</f>
        <v>0</v>
      </c>
      <c r="H40" s="41" t="s">
        <v>771</v>
      </c>
      <c r="I40" s="43">
        <f>'附表1-GWP TABLE'!E39</f>
        <v>0</v>
      </c>
      <c r="J40" s="44"/>
      <c r="K40" s="41"/>
      <c r="L40" s="43"/>
      <c r="M40" s="44"/>
      <c r="N40" s="41"/>
      <c r="O40" s="43"/>
      <c r="P40" s="45"/>
      <c r="Q40" s="46"/>
      <c r="R40" s="47"/>
      <c r="S40" s="46"/>
      <c r="T40" s="44"/>
      <c r="U40" s="41"/>
      <c r="V40" s="48"/>
      <c r="W40" s="41"/>
      <c r="X40" s="44"/>
      <c r="Y40" s="41"/>
      <c r="Z40" s="43"/>
      <c r="AA40" s="44"/>
      <c r="AB40" s="46"/>
      <c r="AC40" s="43"/>
      <c r="AD40" s="49">
        <f>表1温室气体盘查表!AE41</f>
        <v>37742.8121526018</v>
      </c>
      <c r="AE40" s="49">
        <f>表1温室气体盘查表!AF41</f>
        <v>0</v>
      </c>
      <c r="AF40" s="49">
        <f>表1温室气体盘查表!AG41</f>
        <v>0</v>
      </c>
      <c r="AG40" s="49">
        <f>表1温室气体盘查表!AH41</f>
        <v>0</v>
      </c>
      <c r="AH40" s="49">
        <f>表1温室气体盘查表!AI41</f>
        <v>0</v>
      </c>
      <c r="AI40" s="49">
        <f>表1温室气体盘查表!AJ41</f>
        <v>0</v>
      </c>
      <c r="AJ40" s="49">
        <f>表1温室气体盘查表!AK41</f>
        <v>0</v>
      </c>
      <c r="AK40" s="49">
        <f>表1温室气体盘查表!AL41</f>
        <v>37742.8121526018</v>
      </c>
    </row>
    <row r="41" s="25" customFormat="1" ht="18" spans="1:37">
      <c r="A41" s="36">
        <v>37</v>
      </c>
      <c r="B41" s="37" t="str">
        <f>表1温室气体盘查表!B42</f>
        <v>外购商品和服务的上游排放</v>
      </c>
      <c r="C41" s="38" t="str">
        <f>表1温室气体盘查表!C42</f>
        <v>锰铁生产</v>
      </c>
      <c r="D41" s="39" t="str">
        <f>表1温室气体盘查表!E42</f>
        <v>范围三 类别1</v>
      </c>
      <c r="E41" s="40">
        <f>表1温室气体盘查表!F42</f>
        <v>47651.68</v>
      </c>
      <c r="F41" s="41" t="str">
        <f>表1温室气体盘查表!G42</f>
        <v>t</v>
      </c>
      <c r="G41" s="42" t="e">
        <f>'附表2-EF'!#REF!*10</f>
        <v>#REF!</v>
      </c>
      <c r="H41" s="41" t="s">
        <v>772</v>
      </c>
      <c r="I41" s="43">
        <f>'附表1-GWP TABLE'!E40</f>
        <v>0</v>
      </c>
      <c r="J41" s="44"/>
      <c r="K41" s="41"/>
      <c r="L41" s="43"/>
      <c r="M41" s="44"/>
      <c r="N41" s="41"/>
      <c r="O41" s="43"/>
      <c r="P41" s="45"/>
      <c r="Q41" s="46"/>
      <c r="R41" s="47"/>
      <c r="S41" s="46"/>
      <c r="T41" s="44"/>
      <c r="U41" s="41"/>
      <c r="V41" s="48"/>
      <c r="W41" s="41"/>
      <c r="X41" s="44"/>
      <c r="Y41" s="41"/>
      <c r="Z41" s="43"/>
      <c r="AA41" s="44"/>
      <c r="AB41" s="46"/>
      <c r="AC41" s="43"/>
      <c r="AD41" s="49">
        <f>表1温室气体盘查表!AE42</f>
        <v>141868.581696</v>
      </c>
      <c r="AE41" s="49">
        <f>表1温室气体盘查表!AF42</f>
        <v>0</v>
      </c>
      <c r="AF41" s="49">
        <f>表1温室气体盘查表!AG42</f>
        <v>0</v>
      </c>
      <c r="AG41" s="49">
        <f>表1温室气体盘查表!AH42</f>
        <v>0</v>
      </c>
      <c r="AH41" s="49">
        <f>表1温室气体盘查表!AI42</f>
        <v>0</v>
      </c>
      <c r="AI41" s="49">
        <f>表1温室气体盘查表!AJ42</f>
        <v>0</v>
      </c>
      <c r="AJ41" s="49">
        <f>表1温室气体盘查表!AK42</f>
        <v>0</v>
      </c>
      <c r="AK41" s="49">
        <f>表1温室气体盘查表!AL42</f>
        <v>141868.581696</v>
      </c>
    </row>
    <row r="42" s="25" customFormat="1" ht="18" spans="1:37">
      <c r="A42" s="36">
        <v>38</v>
      </c>
      <c r="B42" s="37" t="str">
        <f>表1温室气体盘查表!B43</f>
        <v>外购商品和服务的上游排放</v>
      </c>
      <c r="C42" s="38" t="str">
        <f>表1温室气体盘查表!C43</f>
        <v>镍铁生产</v>
      </c>
      <c r="D42" s="39" t="str">
        <f>表1温室气体盘查表!E43</f>
        <v>范围三 类别1</v>
      </c>
      <c r="E42" s="40">
        <f>表1温室气体盘查表!F43</f>
        <v>9688.41</v>
      </c>
      <c r="F42" s="41" t="str">
        <f>表1温室气体盘查表!G43</f>
        <v>t</v>
      </c>
      <c r="G42" s="42" t="e">
        <f>'附表2-EF'!#REF!*10</f>
        <v>#REF!</v>
      </c>
      <c r="H42" s="41" t="s">
        <v>773</v>
      </c>
      <c r="I42" s="43">
        <f>'附表1-GWP TABLE'!E41</f>
        <v>0</v>
      </c>
      <c r="J42" s="44"/>
      <c r="K42" s="41"/>
      <c r="L42" s="43"/>
      <c r="M42" s="44"/>
      <c r="N42" s="41"/>
      <c r="O42" s="43"/>
      <c r="P42" s="45"/>
      <c r="Q42" s="46"/>
      <c r="R42" s="47"/>
      <c r="S42" s="46"/>
      <c r="T42" s="44"/>
      <c r="U42" s="41"/>
      <c r="V42" s="48"/>
      <c r="W42" s="41"/>
      <c r="X42" s="44"/>
      <c r="Y42" s="41"/>
      <c r="Z42" s="43"/>
      <c r="AA42" s="44"/>
      <c r="AB42" s="46"/>
      <c r="AC42" s="43"/>
      <c r="AD42" s="49">
        <f>表1温室气体盘查表!AE43</f>
        <v>84819.123027</v>
      </c>
      <c r="AE42" s="49">
        <f>表1温室气体盘查表!AF43</f>
        <v>0</v>
      </c>
      <c r="AF42" s="49">
        <f>表1温室气体盘查表!AG43</f>
        <v>0</v>
      </c>
      <c r="AG42" s="49">
        <f>表1温室气体盘查表!AH43</f>
        <v>0</v>
      </c>
      <c r="AH42" s="49">
        <f>表1温室气体盘查表!AI43</f>
        <v>0</v>
      </c>
      <c r="AI42" s="49">
        <f>表1温室气体盘查表!AJ43</f>
        <v>0</v>
      </c>
      <c r="AJ42" s="49">
        <f>表1温室气体盘查表!AK43</f>
        <v>0</v>
      </c>
      <c r="AK42" s="49">
        <f>表1温室气体盘查表!AL43</f>
        <v>84819.123027</v>
      </c>
    </row>
    <row r="43" s="25" customFormat="1" ht="18" spans="1:37">
      <c r="A43" s="36">
        <v>39</v>
      </c>
      <c r="B43" s="37" t="str">
        <f>表1温室气体盘查表!B44</f>
        <v>外购商品和服务的上游排放</v>
      </c>
      <c r="C43" s="38" t="str">
        <f>表1温室气体盘查表!C44</f>
        <v>铬铁生产</v>
      </c>
      <c r="D43" s="39" t="str">
        <f>表1温室气体盘查表!E44</f>
        <v>范围三 类别1</v>
      </c>
      <c r="E43" s="40">
        <f>表1温室气体盘查表!F44</f>
        <v>67771.93</v>
      </c>
      <c r="F43" s="41" t="str">
        <f>表1温室气体盘查表!G44</f>
        <v>t</v>
      </c>
      <c r="G43" s="42">
        <f>'附表2-EF'!K43*10</f>
        <v>0</v>
      </c>
      <c r="H43" s="41" t="s">
        <v>774</v>
      </c>
      <c r="I43" s="43">
        <f>'附表1-GWP TABLE'!E42</f>
        <v>0</v>
      </c>
      <c r="J43" s="44"/>
      <c r="K43" s="41"/>
      <c r="L43" s="43"/>
      <c r="M43" s="44"/>
      <c r="N43" s="41"/>
      <c r="O43" s="43"/>
      <c r="P43" s="45"/>
      <c r="Q43" s="46"/>
      <c r="R43" s="47"/>
      <c r="S43" s="46"/>
      <c r="T43" s="44"/>
      <c r="U43" s="41"/>
      <c r="V43" s="48"/>
      <c r="W43" s="41"/>
      <c r="X43" s="44"/>
      <c r="Y43" s="41"/>
      <c r="Z43" s="43"/>
      <c r="AA43" s="44"/>
      <c r="AB43" s="46"/>
      <c r="AC43" s="43"/>
      <c r="AD43" s="49">
        <f>表1温室气体盘查表!AE44</f>
        <v>345101.444753</v>
      </c>
      <c r="AE43" s="49">
        <f>表1温室气体盘查表!AF44</f>
        <v>0</v>
      </c>
      <c r="AF43" s="49">
        <f>表1温室气体盘查表!AG44</f>
        <v>0</v>
      </c>
      <c r="AG43" s="49">
        <f>表1温室气体盘查表!AH44</f>
        <v>0</v>
      </c>
      <c r="AH43" s="49">
        <f>表1温室气体盘查表!AI44</f>
        <v>0</v>
      </c>
      <c r="AI43" s="49">
        <f>表1温室气体盘查表!AJ44</f>
        <v>0</v>
      </c>
      <c r="AJ43" s="49">
        <f>表1温室气体盘查表!AK44</f>
        <v>0</v>
      </c>
      <c r="AK43" s="49">
        <f>表1温室气体盘查表!AL44</f>
        <v>345101.444753</v>
      </c>
    </row>
    <row r="44" s="25" customFormat="1" ht="18" spans="1:37">
      <c r="A44" s="36">
        <v>40</v>
      </c>
      <c r="B44" s="37" t="str">
        <f>表1温室气体盘查表!B45</f>
        <v>外购商品和服务的上游排放</v>
      </c>
      <c r="C44" s="38" t="str">
        <f>表1温室气体盘查表!C45</f>
        <v>萤石生产</v>
      </c>
      <c r="D44" s="39" t="str">
        <f>表1温室气体盘查表!E45</f>
        <v>范围三 类别1</v>
      </c>
      <c r="E44" s="40">
        <f>表1温室气体盘查表!F45</f>
        <v>3237.84</v>
      </c>
      <c r="F44" s="41" t="str">
        <f>表1温室气体盘查表!G45</f>
        <v>t</v>
      </c>
      <c r="G44" s="42" t="e">
        <f>'附表2-EF'!#REF!*10</f>
        <v>#REF!</v>
      </c>
      <c r="H44" s="41" t="s">
        <v>775</v>
      </c>
      <c r="I44" s="43">
        <f>'附表1-GWP TABLE'!E43</f>
        <v>0</v>
      </c>
      <c r="J44" s="44"/>
      <c r="K44" s="41"/>
      <c r="L44" s="43"/>
      <c r="M44" s="44"/>
      <c r="N44" s="41"/>
      <c r="O44" s="43"/>
      <c r="P44" s="45"/>
      <c r="Q44" s="46"/>
      <c r="R44" s="47"/>
      <c r="S44" s="46"/>
      <c r="T44" s="44"/>
      <c r="U44" s="41"/>
      <c r="V44" s="48"/>
      <c r="W44" s="41"/>
      <c r="X44" s="44"/>
      <c r="Y44" s="41"/>
      <c r="Z44" s="43"/>
      <c r="AA44" s="44"/>
      <c r="AB44" s="46"/>
      <c r="AC44" s="43"/>
      <c r="AD44" s="49">
        <f>表1温室气体盘查表!AE45</f>
        <v>685.0621872</v>
      </c>
      <c r="AE44" s="49">
        <f>表1温室气体盘查表!AF45</f>
        <v>0</v>
      </c>
      <c r="AF44" s="49">
        <f>表1温室气体盘查表!AG45</f>
        <v>0</v>
      </c>
      <c r="AG44" s="49">
        <f>表1温室气体盘查表!AH45</f>
        <v>0</v>
      </c>
      <c r="AH44" s="49">
        <f>表1温室气体盘查表!AI45</f>
        <v>0</v>
      </c>
      <c r="AI44" s="49">
        <f>表1温室气体盘查表!AJ45</f>
        <v>0</v>
      </c>
      <c r="AJ44" s="49">
        <f>表1温室气体盘查表!AK45</f>
        <v>0</v>
      </c>
      <c r="AK44" s="49">
        <f>表1温室气体盘查表!AL45</f>
        <v>685.0621872</v>
      </c>
    </row>
    <row r="45" s="25" customFormat="1" ht="18" spans="1:37">
      <c r="A45" s="36">
        <v>41</v>
      </c>
      <c r="B45" s="37" t="str">
        <f>表1温室气体盘查表!B46</f>
        <v>外购商品和服务的上游排放</v>
      </c>
      <c r="C45" s="38" t="str">
        <f>表1温室气体盘查表!C46</f>
        <v>硅铁生产</v>
      </c>
      <c r="D45" s="39" t="str">
        <f>表1温室气体盘查表!E46</f>
        <v>范围三 类别1</v>
      </c>
      <c r="E45" s="40">
        <f>表1温室气体盘查表!F46</f>
        <v>10209.54</v>
      </c>
      <c r="F45" s="41" t="str">
        <f>表1温室气体盘查表!G46</f>
        <v>t</v>
      </c>
      <c r="G45" s="42" t="e">
        <f>'附表2-EF'!#REF!*10</f>
        <v>#REF!</v>
      </c>
      <c r="H45" s="41" t="s">
        <v>776</v>
      </c>
      <c r="I45" s="43">
        <f>'附表1-GWP TABLE'!E44</f>
        <v>0</v>
      </c>
      <c r="J45" s="44"/>
      <c r="K45" s="41"/>
      <c r="L45" s="43"/>
      <c r="M45" s="44"/>
      <c r="N45" s="41"/>
      <c r="O45" s="43"/>
      <c r="P45" s="45"/>
      <c r="Q45" s="46"/>
      <c r="R45" s="47"/>
      <c r="S45" s="46"/>
      <c r="T45" s="44"/>
      <c r="U45" s="41"/>
      <c r="V45" s="48"/>
      <c r="W45" s="41"/>
      <c r="X45" s="44"/>
      <c r="Y45" s="41"/>
      <c r="Z45" s="43"/>
      <c r="AA45" s="44"/>
      <c r="AB45" s="46"/>
      <c r="AC45" s="43"/>
      <c r="AD45" s="49">
        <f>表1温室气体盘查表!AE46</f>
        <v>103575.7833</v>
      </c>
      <c r="AE45" s="49">
        <f>表1温室气体盘查表!AF46</f>
        <v>0</v>
      </c>
      <c r="AF45" s="49">
        <f>表1温室气体盘查表!AG46</f>
        <v>0</v>
      </c>
      <c r="AG45" s="49">
        <f>表1温室气体盘查表!AH46</f>
        <v>0</v>
      </c>
      <c r="AH45" s="49">
        <f>表1温室气体盘查表!AI46</f>
        <v>0</v>
      </c>
      <c r="AI45" s="49">
        <f>表1温室气体盘查表!AJ46</f>
        <v>0</v>
      </c>
      <c r="AJ45" s="49">
        <f>表1温室气体盘查表!AK46</f>
        <v>0</v>
      </c>
      <c r="AK45" s="49">
        <f>表1温室气体盘查表!AL46</f>
        <v>103575.7833</v>
      </c>
    </row>
    <row r="46" s="25" customFormat="1" ht="18" spans="1:37">
      <c r="A46" s="36">
        <v>42</v>
      </c>
      <c r="B46" s="37" t="str">
        <f>表1温室气体盘查表!B47</f>
        <v>外购商品和服务的上游排放</v>
      </c>
      <c r="C46" s="38" t="str">
        <f>表1温室气体盘查表!C47</f>
        <v>钼铁生产</v>
      </c>
      <c r="D46" s="39" t="str">
        <f>表1温室气体盘查表!E47</f>
        <v>范围三 类别1</v>
      </c>
      <c r="E46" s="40">
        <f>表1温室气体盘查表!F47</f>
        <v>7772.4</v>
      </c>
      <c r="F46" s="41" t="str">
        <f>表1温室气体盘查表!G47</f>
        <v>t</v>
      </c>
      <c r="G46" s="42" t="e">
        <f>'附表2-EF'!#REF!*10</f>
        <v>#REF!</v>
      </c>
      <c r="H46" s="41" t="s">
        <v>777</v>
      </c>
      <c r="I46" s="43">
        <f>'附表1-GWP TABLE'!E45</f>
        <v>0</v>
      </c>
      <c r="J46" s="44"/>
      <c r="K46" s="41"/>
      <c r="L46" s="43"/>
      <c r="M46" s="44"/>
      <c r="N46" s="41"/>
      <c r="O46" s="43"/>
      <c r="P46" s="45"/>
      <c r="Q46" s="46"/>
      <c r="R46" s="47"/>
      <c r="S46" s="46"/>
      <c r="T46" s="44"/>
      <c r="U46" s="41"/>
      <c r="V46" s="48"/>
      <c r="W46" s="41"/>
      <c r="X46" s="44"/>
      <c r="Y46" s="41"/>
      <c r="Z46" s="43"/>
      <c r="AA46" s="44"/>
      <c r="AB46" s="46"/>
      <c r="AC46" s="43"/>
      <c r="AD46" s="49">
        <f>表1温室气体盘查表!AE47</f>
        <v>66065.4</v>
      </c>
      <c r="AE46" s="49">
        <f>表1温室气体盘查表!AF47</f>
        <v>0</v>
      </c>
      <c r="AF46" s="49">
        <f>表1温室气体盘查表!AG47</f>
        <v>0</v>
      </c>
      <c r="AG46" s="49">
        <f>表1温室气体盘查表!AH47</f>
        <v>0</v>
      </c>
      <c r="AH46" s="49">
        <f>表1温室气体盘查表!AI47</f>
        <v>0</v>
      </c>
      <c r="AI46" s="49">
        <f>表1温室气体盘查表!AJ47</f>
        <v>0</v>
      </c>
      <c r="AJ46" s="49">
        <f>表1温室气体盘查表!AK47</f>
        <v>0</v>
      </c>
      <c r="AK46" s="49">
        <f>表1温室气体盘查表!AL47</f>
        <v>66065.4</v>
      </c>
    </row>
    <row r="47" s="25" customFormat="1" ht="60.75" customHeight="1" spans="1:37">
      <c r="A47" s="36">
        <v>43</v>
      </c>
      <c r="B47" s="37" t="str">
        <f>表1温室气体盘查表!B48</f>
        <v>外购商品和服务的上游排放</v>
      </c>
      <c r="C47" s="38" t="str">
        <f>表1温室气体盘查表!C48</f>
        <v>铝铁生产</v>
      </c>
      <c r="D47" s="39" t="str">
        <f>表1温室气体盘查表!E48</f>
        <v>范围三 类别1</v>
      </c>
      <c r="E47" s="40">
        <f>表1温室气体盘查表!F48</f>
        <v>11018.51</v>
      </c>
      <c r="F47" s="41" t="str">
        <f>表1温室气体盘查表!G48</f>
        <v>t</v>
      </c>
      <c r="G47" s="42" t="e">
        <f>'附表2-EF'!#REF!*10</f>
        <v>#REF!</v>
      </c>
      <c r="H47" s="41" t="s">
        <v>778</v>
      </c>
      <c r="I47" s="43">
        <f>'附表1-GWP TABLE'!E46</f>
        <v>0</v>
      </c>
      <c r="J47" s="44"/>
      <c r="K47" s="41"/>
      <c r="L47" s="43"/>
      <c r="M47" s="44"/>
      <c r="N47" s="41"/>
      <c r="O47" s="43"/>
      <c r="P47" s="45"/>
      <c r="Q47" s="46"/>
      <c r="R47" s="47"/>
      <c r="S47" s="46"/>
      <c r="T47" s="44"/>
      <c r="U47" s="41"/>
      <c r="V47" s="48"/>
      <c r="W47" s="41"/>
      <c r="X47" s="44"/>
      <c r="Y47" s="41"/>
      <c r="Z47" s="43"/>
      <c r="AA47" s="44"/>
      <c r="AB47" s="46"/>
      <c r="AC47" s="43"/>
      <c r="AD47" s="49">
        <f>表1温室气体盘查表!AE48</f>
        <v>63158.1901075051</v>
      </c>
      <c r="AE47" s="49">
        <f>表1温室气体盘查表!AF48</f>
        <v>0</v>
      </c>
      <c r="AF47" s="49">
        <f>表1温室气体盘查表!AG48</f>
        <v>0</v>
      </c>
      <c r="AG47" s="49">
        <f>表1温室气体盘查表!AH48</f>
        <v>0</v>
      </c>
      <c r="AH47" s="49">
        <f>表1温室气体盘查表!AI48</f>
        <v>0</v>
      </c>
      <c r="AI47" s="49">
        <f>表1温室气体盘查表!AJ48</f>
        <v>0</v>
      </c>
      <c r="AJ47" s="49">
        <f>表1温室气体盘查表!AK48</f>
        <v>0</v>
      </c>
      <c r="AK47" s="49">
        <f>表1温室气体盘查表!AL48</f>
        <v>63158.1901075051</v>
      </c>
    </row>
    <row r="48" s="25" customFormat="1" ht="18" spans="1:37">
      <c r="A48" s="36">
        <v>44</v>
      </c>
      <c r="B48" s="37" t="str">
        <f>表1温室气体盘查表!B49</f>
        <v>外购商品和服务的上游排放</v>
      </c>
      <c r="C48" s="38" t="str">
        <f>表1温室气体盘查表!C49</f>
        <v>铝生产</v>
      </c>
      <c r="D48" s="39" t="str">
        <f>表1温室气体盘查表!E49</f>
        <v>范围三 类别1</v>
      </c>
      <c r="E48" s="40">
        <f>表1温室气体盘查表!F49</f>
        <v>2841.66</v>
      </c>
      <c r="F48" s="41" t="str">
        <f>表1温室气体盘查表!G49</f>
        <v>t</v>
      </c>
      <c r="G48" s="42" t="e">
        <f>'附表2-EF'!#REF!*10</f>
        <v>#REF!</v>
      </c>
      <c r="H48" s="41" t="s">
        <v>779</v>
      </c>
      <c r="I48" s="43">
        <f>'附表1-GWP TABLE'!E47</f>
        <v>17400</v>
      </c>
      <c r="J48" s="44"/>
      <c r="K48" s="41"/>
      <c r="L48" s="43"/>
      <c r="M48" s="44"/>
      <c r="N48" s="41"/>
      <c r="O48" s="43"/>
      <c r="P48" s="45"/>
      <c r="Q48" s="46"/>
      <c r="R48" s="47"/>
      <c r="S48" s="46"/>
      <c r="T48" s="44"/>
      <c r="U48" s="41"/>
      <c r="V48" s="48"/>
      <c r="W48" s="41"/>
      <c r="X48" s="44"/>
      <c r="Y48" s="41"/>
      <c r="Z48" s="43"/>
      <c r="AA48" s="44"/>
      <c r="AB48" s="46"/>
      <c r="AC48" s="43"/>
      <c r="AD48" s="49">
        <f>表1温室气体盘查表!AE49</f>
        <v>63342.1950321903</v>
      </c>
      <c r="AE48" s="49">
        <f>表1温室气体盘查表!AF49</f>
        <v>0</v>
      </c>
      <c r="AF48" s="49">
        <f>表1温室气体盘查表!AG49</f>
        <v>0</v>
      </c>
      <c r="AG48" s="49">
        <f>表1温室气体盘查表!AH49</f>
        <v>0</v>
      </c>
      <c r="AH48" s="49">
        <f>表1温室气体盘查表!AI49</f>
        <v>0</v>
      </c>
      <c r="AI48" s="49">
        <f>表1温室气体盘查表!AJ49</f>
        <v>0</v>
      </c>
      <c r="AJ48" s="49">
        <f>表1温室气体盘查表!AK49</f>
        <v>0</v>
      </c>
      <c r="AK48" s="49">
        <f>表1温室气体盘查表!AL49</f>
        <v>63342.1950321903</v>
      </c>
    </row>
    <row r="49" s="25" customFormat="1" ht="18" spans="1:37">
      <c r="A49" s="36">
        <v>45</v>
      </c>
      <c r="B49" s="37" t="str">
        <f>表1温室气体盘查表!B50</f>
        <v>外购商品和服务的上游排放</v>
      </c>
      <c r="C49" s="38" t="str">
        <f>表1温室气体盘查表!C50</f>
        <v>增碳剂生产</v>
      </c>
      <c r="D49" s="39" t="str">
        <f>表1温室气体盘查表!E50</f>
        <v>范围三 类别1</v>
      </c>
      <c r="E49" s="40">
        <f>表1温室气体盘查表!F50</f>
        <v>10680.664</v>
      </c>
      <c r="F49" s="41" t="str">
        <f>表1温室气体盘查表!G50</f>
        <v>t</v>
      </c>
      <c r="G49" s="42" t="e">
        <f>'附表2-EF'!#REF!*10</f>
        <v>#REF!</v>
      </c>
      <c r="H49" s="41" t="s">
        <v>780</v>
      </c>
      <c r="I49" s="43">
        <f>'附表1-GWP TABLE'!E48</f>
        <v>24300</v>
      </c>
      <c r="J49" s="44"/>
      <c r="K49" s="41"/>
      <c r="L49" s="43"/>
      <c r="M49" s="44"/>
      <c r="N49" s="41"/>
      <c r="O49" s="43"/>
      <c r="P49" s="45"/>
      <c r="Q49" s="46"/>
      <c r="R49" s="47"/>
      <c r="S49" s="46"/>
      <c r="T49" s="44"/>
      <c r="U49" s="41"/>
      <c r="V49" s="48"/>
      <c r="W49" s="41"/>
      <c r="X49" s="44"/>
      <c r="Y49" s="41"/>
      <c r="Z49" s="43"/>
      <c r="AA49" s="44"/>
      <c r="AB49" s="46"/>
      <c r="AC49" s="43"/>
      <c r="AD49" s="49">
        <f>表1温室气体盘查表!AE50</f>
        <v>17778.3232071154</v>
      </c>
      <c r="AE49" s="49">
        <f>表1温室气体盘查表!AF50</f>
        <v>0</v>
      </c>
      <c r="AF49" s="49">
        <f>表1温室气体盘查表!AG50</f>
        <v>0</v>
      </c>
      <c r="AG49" s="49">
        <f>表1温室气体盘查表!AH50</f>
        <v>0</v>
      </c>
      <c r="AH49" s="49">
        <f>表1温室气体盘查表!AI50</f>
        <v>0</v>
      </c>
      <c r="AI49" s="49">
        <f>表1温室气体盘查表!AJ50</f>
        <v>0</v>
      </c>
      <c r="AJ49" s="49">
        <f>表1温室气体盘查表!AK50</f>
        <v>0</v>
      </c>
      <c r="AK49" s="49">
        <f>表1温室气体盘查表!AL50</f>
        <v>17778.3232071154</v>
      </c>
    </row>
    <row r="50" s="25" customFormat="1" ht="18" spans="1:37">
      <c r="A50" s="36">
        <v>46</v>
      </c>
      <c r="B50" s="37" t="str">
        <f>表1温室气体盘查表!B51</f>
        <v>外购商品和服务的上游排放</v>
      </c>
      <c r="C50" s="38" t="str">
        <f>表1温室气体盘查表!C51</f>
        <v>铁鳞生产</v>
      </c>
      <c r="D50" s="39" t="str">
        <f>表1温室气体盘查表!E51</f>
        <v>范围三 类别1</v>
      </c>
      <c r="E50" s="40">
        <f>表1温室气体盘查表!F51</f>
        <v>172683.99</v>
      </c>
      <c r="F50" s="41" t="str">
        <f>表1温室气体盘查表!G51</f>
        <v>t</v>
      </c>
      <c r="G50" s="42" t="e">
        <f>'附表2-EF'!#REF!*10</f>
        <v>#REF!</v>
      </c>
      <c r="H50" s="41" t="s">
        <v>781</v>
      </c>
      <c r="I50" s="43">
        <f>'附表1-GWP TABLE'!E49</f>
        <v>0</v>
      </c>
      <c r="J50" s="44"/>
      <c r="K50" s="41"/>
      <c r="L50" s="43"/>
      <c r="M50" s="44"/>
      <c r="N50" s="41"/>
      <c r="O50" s="43"/>
      <c r="P50" s="45"/>
      <c r="Q50" s="46"/>
      <c r="R50" s="47"/>
      <c r="S50" s="46"/>
      <c r="T50" s="44"/>
      <c r="U50" s="41"/>
      <c r="V50" s="48"/>
      <c r="W50" s="41"/>
      <c r="X50" s="44"/>
      <c r="Y50" s="41"/>
      <c r="Z50" s="43"/>
      <c r="AA50" s="44"/>
      <c r="AB50" s="46"/>
      <c r="AC50" s="43"/>
      <c r="AD50" s="49">
        <f>表1温室气体盘查表!AE51</f>
        <v>608.383942171421</v>
      </c>
      <c r="AE50" s="49">
        <f>表1温室气体盘查表!AF51</f>
        <v>0</v>
      </c>
      <c r="AF50" s="49">
        <f>表1温室气体盘查表!AG51</f>
        <v>0</v>
      </c>
      <c r="AG50" s="49">
        <f>表1温室气体盘查表!AH51</f>
        <v>0</v>
      </c>
      <c r="AH50" s="49">
        <f>表1温室气体盘查表!AI51</f>
        <v>0</v>
      </c>
      <c r="AI50" s="49">
        <f>表1温室气体盘查表!AJ51</f>
        <v>0</v>
      </c>
      <c r="AJ50" s="49">
        <f>表1温室气体盘查表!AK51</f>
        <v>0</v>
      </c>
      <c r="AK50" s="49">
        <f>表1温室气体盘查表!AL51</f>
        <v>608.383942171421</v>
      </c>
    </row>
    <row r="51" s="25" customFormat="1" ht="18" spans="1:37">
      <c r="A51" s="36">
        <v>47</v>
      </c>
      <c r="B51" s="37" t="str">
        <f>表1温室气体盘查表!B52</f>
        <v>外购商品和服务的上游排放</v>
      </c>
      <c r="C51" s="38" t="str">
        <f>表1温室气体盘查表!C52</f>
        <v>氨水生产</v>
      </c>
      <c r="D51" s="39" t="str">
        <f>表1温室气体盘查表!E52</f>
        <v>范围三 类别1</v>
      </c>
      <c r="E51" s="40">
        <f>表1温室气体盘查表!F52</f>
        <v>4496.14</v>
      </c>
      <c r="F51" s="41" t="str">
        <f>表1温室气体盘查表!G52</f>
        <v>t</v>
      </c>
      <c r="G51" s="42" t="e">
        <f>'附表2-EF'!#REF!*10</f>
        <v>#REF!</v>
      </c>
      <c r="H51" s="41" t="s">
        <v>782</v>
      </c>
      <c r="I51" s="43">
        <f>'附表1-GWP TABLE'!E50</f>
        <v>0</v>
      </c>
      <c r="J51" s="44"/>
      <c r="K51" s="41"/>
      <c r="L51" s="43"/>
      <c r="M51" s="44"/>
      <c r="N51" s="41"/>
      <c r="O51" s="43"/>
      <c r="P51" s="45"/>
      <c r="Q51" s="46"/>
      <c r="R51" s="47"/>
      <c r="S51" s="46"/>
      <c r="T51" s="44"/>
      <c r="U51" s="41"/>
      <c r="V51" s="48"/>
      <c r="W51" s="41"/>
      <c r="X51" s="44"/>
      <c r="Y51" s="41"/>
      <c r="Z51" s="43"/>
      <c r="AA51" s="44"/>
      <c r="AB51" s="46"/>
      <c r="AC51" s="43"/>
      <c r="AD51" s="49">
        <f>表1温室气体盘查表!AE52</f>
        <v>24444.8152755637</v>
      </c>
      <c r="AE51" s="49">
        <f>表1温室气体盘查表!AF52</f>
        <v>0</v>
      </c>
      <c r="AF51" s="49">
        <f>表1温室气体盘查表!AG52</f>
        <v>0</v>
      </c>
      <c r="AG51" s="49">
        <f>表1温室气体盘查表!AH52</f>
        <v>0</v>
      </c>
      <c r="AH51" s="49">
        <f>表1温室气体盘查表!AI52</f>
        <v>0</v>
      </c>
      <c r="AI51" s="49">
        <f>表1温室气体盘查表!AJ52</f>
        <v>0</v>
      </c>
      <c r="AJ51" s="49">
        <f>表1温室气体盘查表!AK52</f>
        <v>0</v>
      </c>
      <c r="AK51" s="49">
        <f>表1温室气体盘查表!AL52</f>
        <v>24444.8152755637</v>
      </c>
    </row>
    <row r="52" s="25" customFormat="1" ht="18" spans="1:37">
      <c r="A52" s="36">
        <v>48</v>
      </c>
      <c r="B52" s="37" t="str">
        <f>表1温室气体盘查表!B53</f>
        <v>外购商品和服务的上游排放</v>
      </c>
      <c r="C52" s="38" t="str">
        <f>表1温室气体盘查表!C53</f>
        <v>碳化硅生产</v>
      </c>
      <c r="D52" s="39" t="str">
        <f>表1温室气体盘查表!E53</f>
        <v>范围三 类别1</v>
      </c>
      <c r="E52" s="40">
        <f>表1温室气体盘查表!F53</f>
        <v>6614.798</v>
      </c>
      <c r="F52" s="41" t="str">
        <f>表1温室气体盘查表!G53</f>
        <v>t</v>
      </c>
      <c r="G52" s="42" t="e">
        <f>'附表2-EF'!#REF!*10</f>
        <v>#REF!</v>
      </c>
      <c r="H52" s="41" t="s">
        <v>783</v>
      </c>
      <c r="I52" s="43">
        <f>'附表1-GWP TABLE'!E51</f>
        <v>0</v>
      </c>
      <c r="J52" s="44"/>
      <c r="K52" s="41"/>
      <c r="L52" s="43"/>
      <c r="M52" s="44"/>
      <c r="N52" s="41"/>
      <c r="O52" s="43"/>
      <c r="P52" s="45"/>
      <c r="Q52" s="46"/>
      <c r="R52" s="47"/>
      <c r="S52" s="46"/>
      <c r="T52" s="44"/>
      <c r="U52" s="41"/>
      <c r="V52" s="48"/>
      <c r="W52" s="41"/>
      <c r="X52" s="44"/>
      <c r="Y52" s="41"/>
      <c r="Z52" s="43"/>
      <c r="AA52" s="44"/>
      <c r="AB52" s="46"/>
      <c r="AC52" s="43"/>
      <c r="AD52" s="49">
        <f>表1温室气体盘查表!AE53</f>
        <v>48149.5851242863</v>
      </c>
      <c r="AE52" s="49">
        <f>表1温室气体盘查表!AF53</f>
        <v>0</v>
      </c>
      <c r="AF52" s="49">
        <f>表1温室气体盘查表!AG53</f>
        <v>0</v>
      </c>
      <c r="AG52" s="49">
        <f>表1温室气体盘查表!AH53</f>
        <v>0</v>
      </c>
      <c r="AH52" s="49">
        <f>表1温室气体盘查表!AI53</f>
        <v>0</v>
      </c>
      <c r="AI52" s="49">
        <f>表1温室气体盘查表!AJ53</f>
        <v>0</v>
      </c>
      <c r="AJ52" s="49">
        <f>表1温室气体盘查表!AK53</f>
        <v>0</v>
      </c>
      <c r="AK52" s="49">
        <f>表1温室气体盘查表!AL53</f>
        <v>48149.5851242863</v>
      </c>
    </row>
    <row r="53" s="25" customFormat="1" ht="18" spans="1:37">
      <c r="A53" s="36">
        <v>49</v>
      </c>
      <c r="B53" s="37" t="str">
        <f>表1温室气体盘查表!B54</f>
        <v>外购商品和服务的上游排放</v>
      </c>
      <c r="C53" s="38" t="str">
        <f>表1温室气体盘查表!C54</f>
        <v>镁生产</v>
      </c>
      <c r="D53" s="39" t="str">
        <f>表1温室气体盘查表!E54</f>
        <v>范围三 类别1</v>
      </c>
      <c r="E53" s="40">
        <f>表1温室气体盘查表!F54</f>
        <v>11710.709</v>
      </c>
      <c r="F53" s="41" t="str">
        <f>表1温室气体盘查表!G54</f>
        <v>t</v>
      </c>
      <c r="G53" s="42" t="e">
        <f>'附表2-EF'!#REF!*10</f>
        <v>#REF!</v>
      </c>
      <c r="H53" s="41" t="s">
        <v>784</v>
      </c>
      <c r="I53" s="43">
        <f>'附表1-GWP TABLE'!E52</f>
        <v>0</v>
      </c>
      <c r="J53" s="44"/>
      <c r="K53" s="41"/>
      <c r="L53" s="43"/>
      <c r="M53" s="44"/>
      <c r="N53" s="41"/>
      <c r="O53" s="43"/>
      <c r="P53" s="45"/>
      <c r="Q53" s="46"/>
      <c r="R53" s="47"/>
      <c r="S53" s="46"/>
      <c r="T53" s="44"/>
      <c r="U53" s="41"/>
      <c r="V53" s="48"/>
      <c r="W53" s="41"/>
      <c r="X53" s="44"/>
      <c r="Y53" s="41"/>
      <c r="Z53" s="43"/>
      <c r="AA53" s="44"/>
      <c r="AB53" s="46"/>
      <c r="AC53" s="43"/>
      <c r="AD53" s="49">
        <f>表1温室气体盘查表!AE54</f>
        <v>308520.83395426</v>
      </c>
      <c r="AE53" s="49">
        <f>表1温室气体盘查表!AF54</f>
        <v>0</v>
      </c>
      <c r="AF53" s="49">
        <f>表1温室气体盘查表!AG54</f>
        <v>0</v>
      </c>
      <c r="AG53" s="49">
        <f>表1温室气体盘查表!AH54</f>
        <v>0</v>
      </c>
      <c r="AH53" s="49">
        <f>表1温室气体盘查表!AI54</f>
        <v>0</v>
      </c>
      <c r="AI53" s="49">
        <f>表1温室气体盘查表!AJ54</f>
        <v>0</v>
      </c>
      <c r="AJ53" s="49">
        <f>表1温室气体盘查表!AK54</f>
        <v>0</v>
      </c>
      <c r="AK53" s="49">
        <f>表1温室气体盘查表!AL54</f>
        <v>308520.83395426</v>
      </c>
    </row>
    <row r="54" s="25" customFormat="1" ht="18" spans="1:37">
      <c r="A54" s="36">
        <v>50</v>
      </c>
      <c r="B54" s="37" t="str">
        <f>表1温室气体盘查表!B55</f>
        <v>外购商品和服务的上游排放</v>
      </c>
      <c r="C54" s="38" t="str">
        <f>表1温室气体盘查表!C55</f>
        <v>所有其他纸制品加工制造</v>
      </c>
      <c r="D54" s="39" t="str">
        <f>表1温室气体盘查表!E55</f>
        <v>范围三 类别1</v>
      </c>
      <c r="E54" s="40">
        <f>表1温室气体盘查表!F55</f>
        <v>16162.17</v>
      </c>
      <c r="F54" s="41" t="str">
        <f>表1温室气体盘查表!G55</f>
        <v>$</v>
      </c>
      <c r="G54" s="42" t="e">
        <f>'附表2-EF'!#REF!*10</f>
        <v>#REF!</v>
      </c>
      <c r="H54" s="41" t="s">
        <v>785</v>
      </c>
      <c r="I54" s="43">
        <f>'附表1-GWP TABLE'!E53</f>
        <v>0</v>
      </c>
      <c r="J54" s="44"/>
      <c r="K54" s="41"/>
      <c r="L54" s="43"/>
      <c r="M54" s="44"/>
      <c r="N54" s="41"/>
      <c r="O54" s="43"/>
      <c r="P54" s="45"/>
      <c r="Q54" s="46"/>
      <c r="R54" s="47"/>
      <c r="S54" s="46"/>
      <c r="T54" s="44"/>
      <c r="U54" s="41"/>
      <c r="V54" s="48"/>
      <c r="W54" s="41"/>
      <c r="X54" s="44"/>
      <c r="Y54" s="41"/>
      <c r="Z54" s="43"/>
      <c r="AA54" s="44"/>
      <c r="AB54" s="46"/>
      <c r="AC54" s="43"/>
      <c r="AD54" s="49">
        <f>表1温室气体盘查表!AE55</f>
        <v>5.54362431</v>
      </c>
      <c r="AE54" s="49">
        <f>表1温室气体盘查表!AF55</f>
        <v>0</v>
      </c>
      <c r="AF54" s="49">
        <f>表1温室气体盘查表!AG55</f>
        <v>0</v>
      </c>
      <c r="AG54" s="49">
        <f>表1温室气体盘查表!AH55</f>
        <v>0</v>
      </c>
      <c r="AH54" s="49">
        <f>表1温室气体盘查表!AI55</f>
        <v>0</v>
      </c>
      <c r="AI54" s="49">
        <f>表1温室气体盘查表!AJ55</f>
        <v>0</v>
      </c>
      <c r="AJ54" s="49">
        <f>表1温室气体盘查表!AK55</f>
        <v>0</v>
      </c>
      <c r="AK54" s="49">
        <f>表1温室气体盘查表!AL55</f>
        <v>5.54362431</v>
      </c>
    </row>
    <row r="55" s="25" customFormat="1" ht="18" spans="1:37">
      <c r="A55" s="36">
        <v>51</v>
      </c>
      <c r="B55" s="37" t="str">
        <f>表1温室气体盘查表!B56</f>
        <v>外购商品和服务的上游排放</v>
      </c>
      <c r="C55" s="38" t="str">
        <f>表1温室气体盘查表!C56</f>
        <v>办公用品(纸张除外)制造</v>
      </c>
      <c r="D55" s="39" t="str">
        <f>表1温室气体盘查表!E56</f>
        <v>范围三 类别1</v>
      </c>
      <c r="E55" s="40">
        <f>表1温室气体盘查表!F56</f>
        <v>177487.76</v>
      </c>
      <c r="F55" s="41" t="str">
        <f>表1温室气体盘查表!G56</f>
        <v>$</v>
      </c>
      <c r="G55" s="42" t="e">
        <f>'附表2-EF'!#REF!*10</f>
        <v>#REF!</v>
      </c>
      <c r="H55" s="41" t="s">
        <v>786</v>
      </c>
      <c r="I55" s="43">
        <f>'附表1-GWP TABLE'!E54</f>
        <v>0</v>
      </c>
      <c r="J55" s="44"/>
      <c r="K55" s="41"/>
      <c r="L55" s="43"/>
      <c r="M55" s="44"/>
      <c r="N55" s="41"/>
      <c r="O55" s="43"/>
      <c r="P55" s="45"/>
      <c r="Q55" s="46"/>
      <c r="R55" s="47"/>
      <c r="S55" s="46"/>
      <c r="T55" s="44"/>
      <c r="U55" s="41"/>
      <c r="V55" s="48"/>
      <c r="W55" s="41"/>
      <c r="X55" s="44"/>
      <c r="Y55" s="41"/>
      <c r="Z55" s="43"/>
      <c r="AA55" s="44"/>
      <c r="AB55" s="46"/>
      <c r="AC55" s="43"/>
      <c r="AD55" s="49">
        <f>表1温室气体盘查表!AE56</f>
        <v>47.0342564</v>
      </c>
      <c r="AE55" s="49">
        <f>表1温室气体盘查表!AF56</f>
        <v>0</v>
      </c>
      <c r="AF55" s="49">
        <f>表1温室气体盘查表!AG56</f>
        <v>0</v>
      </c>
      <c r="AG55" s="49">
        <f>表1温室气体盘查表!AH56</f>
        <v>0</v>
      </c>
      <c r="AH55" s="49">
        <f>表1温室气体盘查表!AI56</f>
        <v>0</v>
      </c>
      <c r="AI55" s="49">
        <f>表1温室气体盘查表!AJ56</f>
        <v>0</v>
      </c>
      <c r="AJ55" s="49">
        <f>表1温室气体盘查表!AK56</f>
        <v>0</v>
      </c>
      <c r="AK55" s="49">
        <f>表1温室气体盘查表!AL56</f>
        <v>47.0342564</v>
      </c>
    </row>
    <row r="56" s="25" customFormat="1" ht="18" spans="1:37">
      <c r="A56" s="36">
        <v>52</v>
      </c>
      <c r="B56" s="37" t="str">
        <f>表1温室气体盘查表!B57</f>
        <v>外购商品和服务的上游排放</v>
      </c>
      <c r="C56" s="38" t="str">
        <f>表1温室气体盘查表!C57</f>
        <v>源水</v>
      </c>
      <c r="D56" s="39" t="str">
        <f>表1温室气体盘查表!E57</f>
        <v>范围三 类别1</v>
      </c>
      <c r="E56" s="40">
        <f>表1温室气体盘查表!F57</f>
        <v>23278634</v>
      </c>
      <c r="F56" s="41" t="str">
        <f>表1温室气体盘查表!G57</f>
        <v>t</v>
      </c>
      <c r="G56" s="42" t="e">
        <f>'附表2-EF'!#REF!*10</f>
        <v>#REF!</v>
      </c>
      <c r="H56" s="41" t="s">
        <v>787</v>
      </c>
      <c r="I56" s="43">
        <f>'附表1-GWP TABLE'!E55</f>
        <v>0</v>
      </c>
      <c r="J56" s="44"/>
      <c r="K56" s="41"/>
      <c r="L56" s="43"/>
      <c r="M56" s="44"/>
      <c r="N56" s="41"/>
      <c r="O56" s="43"/>
      <c r="P56" s="45"/>
      <c r="Q56" s="46"/>
      <c r="R56" s="47"/>
      <c r="S56" s="46"/>
      <c r="T56" s="44"/>
      <c r="U56" s="41"/>
      <c r="V56" s="48"/>
      <c r="W56" s="41"/>
      <c r="X56" s="44"/>
      <c r="Y56" s="41"/>
      <c r="Z56" s="43"/>
      <c r="AA56" s="44"/>
      <c r="AB56" s="46"/>
      <c r="AC56" s="43"/>
      <c r="AD56" s="49">
        <f>表1温室气体盘查表!AE57</f>
        <v>29761.0306554007</v>
      </c>
      <c r="AE56" s="49">
        <f>表1温室气体盘查表!AF57</f>
        <v>0</v>
      </c>
      <c r="AF56" s="49">
        <f>表1温室气体盘查表!AG57</f>
        <v>0</v>
      </c>
      <c r="AG56" s="49">
        <f>表1温室气体盘查表!AH57</f>
        <v>0</v>
      </c>
      <c r="AH56" s="49">
        <f>表1温室气体盘查表!AI57</f>
        <v>0</v>
      </c>
      <c r="AI56" s="49">
        <f>表1温室气体盘查表!AJ57</f>
        <v>0</v>
      </c>
      <c r="AJ56" s="49">
        <f>表1温室气体盘查表!AK57</f>
        <v>0</v>
      </c>
      <c r="AK56" s="49">
        <f>表1温室气体盘查表!AL57</f>
        <v>29761.0306554007</v>
      </c>
    </row>
    <row r="57" s="25" customFormat="1" ht="36" spans="1:37">
      <c r="A57" s="36">
        <v>53</v>
      </c>
      <c r="B57" s="37" t="str">
        <f>表1温室气体盘查表!B58</f>
        <v>资本货物</v>
      </c>
      <c r="C57" s="38" t="str">
        <f>表1温室气体盘查表!C58</f>
        <v>采购产品空调和暖空气加热设备和商业和工业制冷设备制造</v>
      </c>
      <c r="D57" s="39" t="str">
        <f>表1温室气体盘查表!E58</f>
        <v>范围三 类别2</v>
      </c>
      <c r="E57" s="40">
        <f>表1温室气体盘查表!F58</f>
        <v>137337.4</v>
      </c>
      <c r="F57" s="41" t="str">
        <f>表1温室气体盘查表!G58</f>
        <v>$</v>
      </c>
      <c r="G57" s="42" t="e">
        <f>'附表2-EF'!#REF!*10</f>
        <v>#REF!</v>
      </c>
      <c r="H57" s="41" t="s">
        <v>788</v>
      </c>
      <c r="I57" s="43">
        <f>'附表1-GWP TABLE'!E56</f>
        <v>0</v>
      </c>
      <c r="J57" s="44"/>
      <c r="K57" s="41"/>
      <c r="L57" s="43"/>
      <c r="M57" s="44"/>
      <c r="N57" s="41"/>
      <c r="O57" s="43"/>
      <c r="P57" s="45"/>
      <c r="Q57" s="46"/>
      <c r="R57" s="47"/>
      <c r="S57" s="46"/>
      <c r="T57" s="44"/>
      <c r="U57" s="41"/>
      <c r="V57" s="48"/>
      <c r="W57" s="41"/>
      <c r="X57" s="44"/>
      <c r="Y57" s="41"/>
      <c r="Z57" s="43"/>
      <c r="AA57" s="44"/>
      <c r="AB57" s="46"/>
      <c r="AC57" s="43"/>
      <c r="AD57" s="49">
        <f>表1温室气体盘查表!AE58</f>
        <v>14.8324392</v>
      </c>
      <c r="AE57" s="49">
        <f>表1温室气体盘查表!AF58</f>
        <v>0</v>
      </c>
      <c r="AF57" s="49">
        <f>表1温室气体盘查表!AG58</f>
        <v>0</v>
      </c>
      <c r="AG57" s="49">
        <f>表1温室气体盘查表!AH58</f>
        <v>0</v>
      </c>
      <c r="AH57" s="49">
        <f>表1温室气体盘查表!AI58</f>
        <v>0</v>
      </c>
      <c r="AI57" s="49">
        <f>表1温室气体盘查表!AJ58</f>
        <v>0</v>
      </c>
      <c r="AJ57" s="49">
        <f>表1温室气体盘查表!AK58</f>
        <v>0</v>
      </c>
      <c r="AK57" s="49">
        <f>表1温室气体盘查表!AL58</f>
        <v>14.8324392</v>
      </c>
    </row>
    <row r="58" s="25" customFormat="1" ht="18" spans="1:37">
      <c r="A58" s="36">
        <v>54</v>
      </c>
      <c r="B58" s="37" t="str">
        <f>表1温室气体盘查表!B59</f>
        <v>资本货物</v>
      </c>
      <c r="C58" s="38" t="str">
        <f>表1温室气体盘查表!C59</f>
        <v>电子计算机制造</v>
      </c>
      <c r="D58" s="39" t="str">
        <f>表1温室气体盘查表!E59</f>
        <v>范围三 类别2</v>
      </c>
      <c r="E58" s="40">
        <f>表1温室气体盘查表!F59</f>
        <v>65311.03</v>
      </c>
      <c r="F58" s="41" t="str">
        <f>表1温室气体盘查表!G59</f>
        <v>$</v>
      </c>
      <c r="G58" s="42" t="e">
        <f>'附表2-EF'!#REF!*10</f>
        <v>#REF!</v>
      </c>
      <c r="H58" s="41" t="s">
        <v>789</v>
      </c>
      <c r="I58" s="43">
        <f>'附表1-GWP TABLE'!E57</f>
        <v>0</v>
      </c>
      <c r="J58" s="44"/>
      <c r="K58" s="41"/>
      <c r="L58" s="43"/>
      <c r="M58" s="44"/>
      <c r="N58" s="41"/>
      <c r="O58" s="43"/>
      <c r="P58" s="45"/>
      <c r="Q58" s="46"/>
      <c r="R58" s="47"/>
      <c r="S58" s="46"/>
      <c r="T58" s="44"/>
      <c r="U58" s="41"/>
      <c r="V58" s="48"/>
      <c r="W58" s="41"/>
      <c r="X58" s="44"/>
      <c r="Y58" s="41"/>
      <c r="Z58" s="43"/>
      <c r="AA58" s="44"/>
      <c r="AB58" s="46"/>
      <c r="AC58" s="43"/>
      <c r="AD58" s="49">
        <f>表1温室气体盘查表!AE59</f>
        <v>3.78803974</v>
      </c>
      <c r="AE58" s="49">
        <f>表1温室气体盘查表!AF59</f>
        <v>0</v>
      </c>
      <c r="AF58" s="49">
        <f>表1温室气体盘查表!AG59</f>
        <v>0</v>
      </c>
      <c r="AG58" s="49">
        <f>表1温室气体盘查表!AH59</f>
        <v>0</v>
      </c>
      <c r="AH58" s="49">
        <f>表1温室气体盘查表!AI59</f>
        <v>0</v>
      </c>
      <c r="AI58" s="49">
        <f>表1温室气体盘查表!AJ59</f>
        <v>0</v>
      </c>
      <c r="AJ58" s="49">
        <f>表1温室气体盘查表!AK59</f>
        <v>0</v>
      </c>
      <c r="AK58" s="49">
        <f>表1温室气体盘查表!AL59</f>
        <v>3.78803974</v>
      </c>
    </row>
    <row r="59" s="25" customFormat="1" ht="18" spans="1:37">
      <c r="A59" s="36">
        <v>55</v>
      </c>
      <c r="B59" s="37" t="str">
        <f>表1温室气体盘查表!B60</f>
        <v>资本货物</v>
      </c>
      <c r="C59" s="38" t="str">
        <f>表1温室气体盘查表!C60</f>
        <v>焊接及焊接设备制造</v>
      </c>
      <c r="D59" s="39" t="str">
        <f>表1温室气体盘查表!E60</f>
        <v>范围三 类别2</v>
      </c>
      <c r="E59" s="40">
        <f>表1温室气体盘查表!F60</f>
        <v>869121.8</v>
      </c>
      <c r="F59" s="41" t="str">
        <f>表1温室气体盘查表!G60</f>
        <v>$</v>
      </c>
      <c r="G59" s="42" t="e">
        <f>'附表2-EF'!#REF!*10</f>
        <v>#REF!</v>
      </c>
      <c r="H59" s="41" t="s">
        <v>790</v>
      </c>
      <c r="I59" s="43">
        <f>'附表1-GWP TABLE'!E58</f>
        <v>0</v>
      </c>
      <c r="J59" s="44"/>
      <c r="K59" s="41"/>
      <c r="L59" s="43"/>
      <c r="M59" s="44"/>
      <c r="N59" s="41"/>
      <c r="O59" s="43"/>
      <c r="P59" s="45"/>
      <c r="Q59" s="46"/>
      <c r="R59" s="47"/>
      <c r="S59" s="46"/>
      <c r="T59" s="44"/>
      <c r="U59" s="41"/>
      <c r="V59" s="48"/>
      <c r="W59" s="41"/>
      <c r="X59" s="44"/>
      <c r="Y59" s="41"/>
      <c r="Z59" s="43"/>
      <c r="AA59" s="44"/>
      <c r="AB59" s="46"/>
      <c r="AC59" s="43"/>
      <c r="AD59" s="49">
        <f>表1温室气体盘查表!AE60</f>
        <v>216.4113282</v>
      </c>
      <c r="AE59" s="49">
        <f>表1温室气体盘查表!AF60</f>
        <v>0</v>
      </c>
      <c r="AF59" s="49">
        <f>表1温室气体盘查表!AG60</f>
        <v>0</v>
      </c>
      <c r="AG59" s="49">
        <f>表1温室气体盘查表!AH60</f>
        <v>0</v>
      </c>
      <c r="AH59" s="49">
        <f>表1温室气体盘查表!AI60</f>
        <v>0</v>
      </c>
      <c r="AI59" s="49">
        <f>表1温室气体盘查表!AJ60</f>
        <v>0</v>
      </c>
      <c r="AJ59" s="49">
        <f>表1温室气体盘查表!AK60</f>
        <v>0</v>
      </c>
      <c r="AK59" s="49">
        <f>表1温室气体盘查表!AL60</f>
        <v>216.4113282</v>
      </c>
    </row>
    <row r="60" s="25" customFormat="1" ht="18" spans="1:37">
      <c r="A60" s="36">
        <v>56</v>
      </c>
      <c r="B60" s="37" t="str">
        <f>表1温室气体盘查表!B61</f>
        <v>资本货物</v>
      </c>
      <c r="C60" s="38" t="str">
        <f>表1温室气体盘查表!C61</f>
        <v>其他工业设备制造</v>
      </c>
      <c r="D60" s="39" t="str">
        <f>表1温室气体盘查表!E61</f>
        <v>范围三 类别2</v>
      </c>
      <c r="E60" s="40">
        <f>表1温室气体盘查表!F61</f>
        <v>6234953.43</v>
      </c>
      <c r="F60" s="41" t="str">
        <f>表1温室气体盘查表!G61</f>
        <v>$</v>
      </c>
      <c r="G60" s="42" t="e">
        <f>'附表2-EF'!#REF!*10</f>
        <v>#REF!</v>
      </c>
      <c r="H60" s="41" t="s">
        <v>791</v>
      </c>
      <c r="I60" s="43">
        <f>'附表1-GWP TABLE'!E59</f>
        <v>0</v>
      </c>
      <c r="J60" s="44"/>
      <c r="K60" s="41"/>
      <c r="L60" s="43"/>
      <c r="M60" s="44"/>
      <c r="N60" s="41"/>
      <c r="O60" s="43"/>
      <c r="P60" s="45"/>
      <c r="Q60" s="46"/>
      <c r="R60" s="47"/>
      <c r="S60" s="46"/>
      <c r="T60" s="44"/>
      <c r="U60" s="41"/>
      <c r="V60" s="48"/>
      <c r="W60" s="41"/>
      <c r="X60" s="44"/>
      <c r="Y60" s="41"/>
      <c r="Z60" s="43"/>
      <c r="AA60" s="44"/>
      <c r="AB60" s="46"/>
      <c r="AC60" s="43"/>
      <c r="AD60" s="49">
        <f>表1温室气体盘查表!AE61</f>
        <v>1153.46638455</v>
      </c>
      <c r="AE60" s="49">
        <f>表1温室气体盘查表!AF61</f>
        <v>0</v>
      </c>
      <c r="AF60" s="49">
        <f>表1温室气体盘查表!AG61</f>
        <v>0</v>
      </c>
      <c r="AG60" s="49">
        <f>表1温室气体盘查表!AH61</f>
        <v>0</v>
      </c>
      <c r="AH60" s="49">
        <f>表1温室气体盘查表!AI61</f>
        <v>0</v>
      </c>
      <c r="AI60" s="49">
        <f>表1温室气体盘查表!AJ61</f>
        <v>0</v>
      </c>
      <c r="AJ60" s="49">
        <f>表1温室气体盘查表!AK61</f>
        <v>0</v>
      </c>
      <c r="AK60" s="49">
        <f>表1温室气体盘查表!AL61</f>
        <v>1153.46638455</v>
      </c>
    </row>
    <row r="61" s="25" customFormat="1" ht="27" spans="1:37">
      <c r="A61" s="36">
        <v>57</v>
      </c>
      <c r="B61" s="37" t="str">
        <f>表1温室气体盘查表!B62</f>
        <v>资本货物</v>
      </c>
      <c r="C61" s="38" t="str">
        <f>表1温室气体盘查表!C62</f>
        <v>测量和测试电力和电气信号的仪器制造</v>
      </c>
      <c r="D61" s="39" t="str">
        <f>表1温室气体盘查表!E62</f>
        <v>范围三 类别2</v>
      </c>
      <c r="E61" s="40">
        <f>表1温室气体盘查表!F62</f>
        <v>560965.85</v>
      </c>
      <c r="F61" s="41" t="str">
        <f>表1温室气体盘查表!G62</f>
        <v>$</v>
      </c>
      <c r="G61" s="42" t="e">
        <f>'附表2-EF'!#REF!*10</f>
        <v>#REF!</v>
      </c>
      <c r="H61" s="41" t="s">
        <v>792</v>
      </c>
      <c r="I61" s="43">
        <f>'附表1-GWP TABLE'!E60</f>
        <v>0</v>
      </c>
      <c r="J61" s="44"/>
      <c r="K61" s="41"/>
      <c r="L61" s="43"/>
      <c r="M61" s="44"/>
      <c r="N61" s="41"/>
      <c r="O61" s="43"/>
      <c r="P61" s="45"/>
      <c r="Q61" s="46"/>
      <c r="R61" s="47"/>
      <c r="S61" s="46"/>
      <c r="T61" s="44"/>
      <c r="U61" s="41"/>
      <c r="V61" s="48"/>
      <c r="W61" s="41"/>
      <c r="X61" s="44"/>
      <c r="Y61" s="41"/>
      <c r="Z61" s="43"/>
      <c r="AA61" s="44"/>
      <c r="AB61" s="46"/>
      <c r="AC61" s="43"/>
      <c r="AD61" s="49">
        <f>表1温室气体盘查表!AE62</f>
        <v>44.31630215</v>
      </c>
      <c r="AE61" s="49">
        <f>表1温室气体盘查表!AF62</f>
        <v>0</v>
      </c>
      <c r="AF61" s="49">
        <f>表1温室气体盘查表!AG62</f>
        <v>0</v>
      </c>
      <c r="AG61" s="49">
        <f>表1温室气体盘查表!AH62</f>
        <v>0</v>
      </c>
      <c r="AH61" s="49">
        <f>表1温室气体盘查表!AI62</f>
        <v>0</v>
      </c>
      <c r="AI61" s="49">
        <f>表1温室气体盘查表!AJ62</f>
        <v>0</v>
      </c>
      <c r="AJ61" s="49">
        <f>表1温室气体盘查表!AK62</f>
        <v>0</v>
      </c>
      <c r="AK61" s="49">
        <f>表1温室气体盘查表!AL62</f>
        <v>44.31630215</v>
      </c>
    </row>
    <row r="62" s="25" customFormat="1" ht="18" spans="1:37">
      <c r="A62" s="36">
        <v>58</v>
      </c>
      <c r="B62" s="37" t="str">
        <f>表1温室气体盘查表!B63</f>
        <v>资本货物</v>
      </c>
      <c r="C62" s="38" t="str">
        <f>表1温室气体盘查表!C63</f>
        <v>计算机系统设计服务</v>
      </c>
      <c r="D62" s="39" t="str">
        <f>表1温室气体盘查表!E63</f>
        <v>范围三 类别2</v>
      </c>
      <c r="E62" s="40">
        <f>表1温室气体盘查表!F63</f>
        <v>631698.52</v>
      </c>
      <c r="F62" s="41" t="str">
        <f>表1温室气体盘查表!G63</f>
        <v>$</v>
      </c>
      <c r="G62" s="42" t="e">
        <f>'附表2-EF'!#REF!*10</f>
        <v>#REF!</v>
      </c>
      <c r="H62" s="41" t="s">
        <v>793</v>
      </c>
      <c r="I62" s="43">
        <f>'附表1-GWP TABLE'!E61</f>
        <v>0</v>
      </c>
      <c r="J62" s="44"/>
      <c r="K62" s="41"/>
      <c r="L62" s="43"/>
      <c r="M62" s="44"/>
      <c r="N62" s="41"/>
      <c r="O62" s="43"/>
      <c r="P62" s="45"/>
      <c r="Q62" s="46"/>
      <c r="R62" s="47"/>
      <c r="S62" s="46"/>
      <c r="T62" s="44"/>
      <c r="U62" s="41"/>
      <c r="V62" s="48"/>
      <c r="W62" s="41"/>
      <c r="X62" s="44"/>
      <c r="Y62" s="41"/>
      <c r="Z62" s="43"/>
      <c r="AA62" s="44"/>
      <c r="AB62" s="46"/>
      <c r="AC62" s="43"/>
      <c r="AD62" s="49">
        <f>表1温室气体盘查表!AE63</f>
        <v>56.22116828</v>
      </c>
      <c r="AE62" s="49">
        <f>表1温室气体盘查表!AF63</f>
        <v>0</v>
      </c>
      <c r="AF62" s="49">
        <f>表1温室气体盘查表!AG63</f>
        <v>0</v>
      </c>
      <c r="AG62" s="49">
        <f>表1温室气体盘查表!AH63</f>
        <v>0</v>
      </c>
      <c r="AH62" s="49">
        <f>表1温室气体盘查表!AI63</f>
        <v>0</v>
      </c>
      <c r="AI62" s="49">
        <f>表1温室气体盘查表!AJ63</f>
        <v>0</v>
      </c>
      <c r="AJ62" s="49">
        <f>表1温室气体盘查表!AK63</f>
        <v>0</v>
      </c>
      <c r="AK62" s="49">
        <f>表1温室气体盘查表!AL63</f>
        <v>56.22116828</v>
      </c>
    </row>
    <row r="63" s="25" customFormat="1" ht="18" spans="1:37">
      <c r="A63" s="36">
        <v>59</v>
      </c>
      <c r="B63" s="37" t="str">
        <f>表1温室气体盘查表!B64</f>
        <v>资本货物</v>
      </c>
      <c r="C63" s="38" t="str">
        <f>表1温室气体盘查表!C64</f>
        <v>机械动力传动设备制造</v>
      </c>
      <c r="D63" s="39" t="str">
        <f>表1温室气体盘查表!E64</f>
        <v>范围三 类别2</v>
      </c>
      <c r="E63" s="40">
        <f>表1温室气体盘查表!F64</f>
        <v>168918.91</v>
      </c>
      <c r="F63" s="41" t="str">
        <f>表1温室气体盘查表!G64</f>
        <v>$</v>
      </c>
      <c r="G63" s="42" t="e">
        <f>'附表2-EF'!#REF!*10</f>
        <v>#REF!</v>
      </c>
      <c r="H63" s="41" t="s">
        <v>794</v>
      </c>
      <c r="I63" s="43">
        <f>'附表1-GWP TABLE'!E62</f>
        <v>0</v>
      </c>
      <c r="J63" s="44"/>
      <c r="K63" s="41"/>
      <c r="L63" s="43"/>
      <c r="M63" s="44"/>
      <c r="N63" s="41"/>
      <c r="O63" s="43"/>
      <c r="P63" s="45"/>
      <c r="Q63" s="46"/>
      <c r="R63" s="47"/>
      <c r="S63" s="46"/>
      <c r="T63" s="44"/>
      <c r="U63" s="41"/>
      <c r="V63" s="48"/>
      <c r="W63" s="41"/>
      <c r="X63" s="44"/>
      <c r="Y63" s="41"/>
      <c r="Z63" s="43"/>
      <c r="AA63" s="44"/>
      <c r="AB63" s="46"/>
      <c r="AC63" s="43"/>
      <c r="AD63" s="49">
        <f>表1温室气体盘查表!AE64</f>
        <v>35.30405219</v>
      </c>
      <c r="AE63" s="49">
        <f>表1温室气体盘查表!AF64</f>
        <v>0</v>
      </c>
      <c r="AF63" s="49">
        <f>表1温室气体盘查表!AG64</f>
        <v>0</v>
      </c>
      <c r="AG63" s="49">
        <f>表1温室气体盘查表!AH64</f>
        <v>0</v>
      </c>
      <c r="AH63" s="49">
        <f>表1温室气体盘查表!AI64</f>
        <v>0</v>
      </c>
      <c r="AI63" s="49">
        <f>表1温室气体盘查表!AJ64</f>
        <v>0</v>
      </c>
      <c r="AJ63" s="49">
        <f>表1温室气体盘查表!AK64</f>
        <v>0</v>
      </c>
      <c r="AK63" s="49">
        <f>表1温室气体盘查表!AL64</f>
        <v>35.30405219</v>
      </c>
    </row>
    <row r="64" s="25" customFormat="1" ht="18" spans="1:37">
      <c r="A64" s="36">
        <v>60</v>
      </c>
      <c r="B64" s="37" t="str">
        <f>表1温室气体盘查表!B65</f>
        <v>资本货物</v>
      </c>
      <c r="C64" s="38" t="str">
        <f>表1温室气体盘查表!C65</f>
        <v>测量、分配及其他泵类设备制造</v>
      </c>
      <c r="D64" s="39" t="str">
        <f>表1温室气体盘查表!E65</f>
        <v>范围三 类别2</v>
      </c>
      <c r="E64" s="40">
        <f>表1温室气体盘查表!F65</f>
        <v>1937496.95</v>
      </c>
      <c r="F64" s="41" t="str">
        <f>表1温室气体盘查表!G65</f>
        <v>$</v>
      </c>
      <c r="G64" s="42" t="e">
        <f>'附表2-EF'!#REF!*10</f>
        <v>#REF!</v>
      </c>
      <c r="H64" s="41" t="s">
        <v>795</v>
      </c>
      <c r="I64" s="43">
        <f>'附表1-GWP TABLE'!E63</f>
        <v>0</v>
      </c>
      <c r="J64" s="44"/>
      <c r="K64" s="41"/>
      <c r="L64" s="43"/>
      <c r="M64" s="44"/>
      <c r="N64" s="41"/>
      <c r="O64" s="43"/>
      <c r="P64" s="45"/>
      <c r="Q64" s="46"/>
      <c r="R64" s="47"/>
      <c r="S64" s="46"/>
      <c r="T64" s="44"/>
      <c r="U64" s="41"/>
      <c r="V64" s="48"/>
      <c r="W64" s="41"/>
      <c r="X64" s="44"/>
      <c r="Y64" s="41"/>
      <c r="Z64" s="43"/>
      <c r="AA64" s="44"/>
      <c r="AB64" s="46"/>
      <c r="AC64" s="43"/>
      <c r="AD64" s="49">
        <f>表1温室气体盘查表!AE65</f>
        <v>432.06181985</v>
      </c>
      <c r="AE64" s="49">
        <f>表1温室气体盘查表!AF65</f>
        <v>0</v>
      </c>
      <c r="AF64" s="49">
        <f>表1温室气体盘查表!AG65</f>
        <v>0</v>
      </c>
      <c r="AG64" s="49">
        <f>表1温室气体盘查表!AH65</f>
        <v>0</v>
      </c>
      <c r="AH64" s="49">
        <f>表1温室气体盘查表!AI65</f>
        <v>0</v>
      </c>
      <c r="AI64" s="49">
        <f>表1温室气体盘查表!AJ65</f>
        <v>0</v>
      </c>
      <c r="AJ64" s="49">
        <f>表1温室气体盘查表!AK65</f>
        <v>0</v>
      </c>
      <c r="AK64" s="49">
        <f>表1温室气体盘查表!AL65</f>
        <v>432.06181985</v>
      </c>
    </row>
    <row r="65" s="25" customFormat="1" ht="36" spans="1:37">
      <c r="A65" s="36">
        <v>61</v>
      </c>
      <c r="B65" s="37" t="str">
        <f>表1温室气体盘查表!B66</f>
        <v>资本货物</v>
      </c>
      <c r="C65" s="38" t="str">
        <f>表1温室气体盘查表!C66</f>
        <v>用于测量、显示和控制工业过程变量的仪器及相关产品制造</v>
      </c>
      <c r="D65" s="39" t="str">
        <f>表1温室气体盘查表!E66</f>
        <v>范围三 类别2</v>
      </c>
      <c r="E65" s="40">
        <f>表1温室气体盘查表!F66</f>
        <v>177532.58</v>
      </c>
      <c r="F65" s="41" t="str">
        <f>表1温室气体盘查表!G66</f>
        <v>$</v>
      </c>
      <c r="G65" s="42" t="e">
        <f>'附表2-EF'!#REF!*10</f>
        <v>#REF!</v>
      </c>
      <c r="H65" s="41" t="s">
        <v>796</v>
      </c>
      <c r="I65" s="43">
        <f>'附表1-GWP TABLE'!E64</f>
        <v>0</v>
      </c>
      <c r="J65" s="44"/>
      <c r="K65" s="41"/>
      <c r="L65" s="43"/>
      <c r="M65" s="44"/>
      <c r="N65" s="41"/>
      <c r="O65" s="43"/>
      <c r="P65" s="45"/>
      <c r="Q65" s="46"/>
      <c r="R65" s="47"/>
      <c r="S65" s="46"/>
      <c r="T65" s="44"/>
      <c r="U65" s="41"/>
      <c r="V65" s="48"/>
      <c r="W65" s="41"/>
      <c r="X65" s="44"/>
      <c r="Y65" s="41"/>
      <c r="Z65" s="43"/>
      <c r="AA65" s="44"/>
      <c r="AB65" s="46"/>
      <c r="AC65" s="43"/>
      <c r="AD65" s="49">
        <f>表1温室气体盘查表!AE66</f>
        <v>11.18455254</v>
      </c>
      <c r="AE65" s="49">
        <f>表1温室气体盘查表!AF66</f>
        <v>0</v>
      </c>
      <c r="AF65" s="49">
        <f>表1温室气体盘查表!AG66</f>
        <v>0</v>
      </c>
      <c r="AG65" s="49">
        <f>表1温室气体盘查表!AH66</f>
        <v>0</v>
      </c>
      <c r="AH65" s="49">
        <f>表1温室气体盘查表!AI66</f>
        <v>0</v>
      </c>
      <c r="AI65" s="49">
        <f>表1温室气体盘查表!AJ66</f>
        <v>0</v>
      </c>
      <c r="AJ65" s="49">
        <f>表1温室气体盘查表!AK66</f>
        <v>0</v>
      </c>
      <c r="AK65" s="49">
        <f>表1温室气体盘查表!AL66</f>
        <v>11.18455254</v>
      </c>
    </row>
    <row r="66" s="25" customFormat="1" ht="27" spans="1:37">
      <c r="A66" s="36">
        <v>62</v>
      </c>
      <c r="B66" s="37" t="str">
        <f>表1温室气体盘查表!B67</f>
        <v>资本货物</v>
      </c>
      <c r="C66" s="38" t="str">
        <f>表1温室气体盘查表!C67</f>
        <v>所有其他杂项电气设备及元件制造</v>
      </c>
      <c r="D66" s="39" t="str">
        <f>表1温室气体盘查表!E67</f>
        <v>范围三 类别2</v>
      </c>
      <c r="E66" s="40">
        <f>表1温室气体盘查表!F67</f>
        <v>4336501.56</v>
      </c>
      <c r="F66" s="41" t="str">
        <f>表1温室气体盘查表!G67</f>
        <v>$</v>
      </c>
      <c r="G66" s="42" t="e">
        <f>'附表2-EF'!#REF!*10</f>
        <v>#REF!</v>
      </c>
      <c r="H66" s="41" t="s">
        <v>797</v>
      </c>
      <c r="I66" s="43">
        <f>'附表1-GWP TABLE'!E65</f>
        <v>0</v>
      </c>
      <c r="J66" s="44"/>
      <c r="K66" s="41"/>
      <c r="L66" s="43"/>
      <c r="M66" s="44"/>
      <c r="N66" s="41"/>
      <c r="O66" s="43"/>
      <c r="P66" s="45"/>
      <c r="Q66" s="46"/>
      <c r="R66" s="47"/>
      <c r="S66" s="46"/>
      <c r="T66" s="44"/>
      <c r="U66" s="41"/>
      <c r="V66" s="48"/>
      <c r="W66" s="41"/>
      <c r="X66" s="44"/>
      <c r="Y66" s="41"/>
      <c r="Z66" s="43"/>
      <c r="AA66" s="44"/>
      <c r="AB66" s="46"/>
      <c r="AC66" s="43"/>
      <c r="AD66" s="49">
        <f>表1温室气体盘查表!AE67</f>
        <v>555.07219968</v>
      </c>
      <c r="AE66" s="49">
        <f>表1温室气体盘查表!AF67</f>
        <v>0</v>
      </c>
      <c r="AF66" s="49">
        <f>表1温室气体盘查表!AG67</f>
        <v>0</v>
      </c>
      <c r="AG66" s="49">
        <f>表1温室气体盘查表!AH67</f>
        <v>0</v>
      </c>
      <c r="AH66" s="49">
        <f>表1温室气体盘查表!AI67</f>
        <v>0</v>
      </c>
      <c r="AI66" s="49">
        <f>表1温室气体盘查表!AJ67</f>
        <v>0</v>
      </c>
      <c r="AJ66" s="49">
        <f>表1温室气体盘查表!AK67</f>
        <v>0</v>
      </c>
      <c r="AK66" s="49">
        <f>表1温室气体盘查表!AL67</f>
        <v>555.07219968</v>
      </c>
    </row>
    <row r="67" s="25" customFormat="1" ht="18" spans="1:37">
      <c r="A67" s="36">
        <v>63</v>
      </c>
      <c r="B67" s="37" t="str">
        <f>表1温室气体盘查表!B68</f>
        <v>资本货物</v>
      </c>
      <c r="C67" s="38" t="str">
        <f>表1温室气体盘查表!C68</f>
        <v>所有其他杂项制造</v>
      </c>
      <c r="D67" s="39" t="str">
        <f>表1温室气体盘查表!E68</f>
        <v>范围三 类别2</v>
      </c>
      <c r="E67" s="40">
        <f>表1温室气体盘查表!F68</f>
        <v>270792923.39</v>
      </c>
      <c r="F67" s="41" t="str">
        <f>表1温室气体盘查表!G68</f>
        <v>$</v>
      </c>
      <c r="G67" s="42" t="e">
        <f>'附表2-EF'!#REF!*10</f>
        <v>#REF!</v>
      </c>
      <c r="H67" s="41" t="s">
        <v>798</v>
      </c>
      <c r="I67" s="43">
        <f>'附表1-GWP TABLE'!E66</f>
        <v>0</v>
      </c>
      <c r="J67" s="44"/>
      <c r="K67" s="41"/>
      <c r="L67" s="43"/>
      <c r="M67" s="44"/>
      <c r="N67" s="41"/>
      <c r="O67" s="43"/>
      <c r="P67" s="45"/>
      <c r="Q67" s="46"/>
      <c r="R67" s="47"/>
      <c r="S67" s="46"/>
      <c r="T67" s="44"/>
      <c r="U67" s="41"/>
      <c r="V67" s="48"/>
      <c r="W67" s="41"/>
      <c r="X67" s="44"/>
      <c r="Y67" s="41"/>
      <c r="Z67" s="43"/>
      <c r="AA67" s="44"/>
      <c r="AB67" s="46"/>
      <c r="AC67" s="43"/>
      <c r="AD67" s="49">
        <f>表1温室气体盘查表!AE68</f>
        <v>49284.31205698</v>
      </c>
      <c r="AE67" s="49">
        <f>表1温室气体盘查表!AF68</f>
        <v>0</v>
      </c>
      <c r="AF67" s="49">
        <f>表1温室气体盘查表!AG68</f>
        <v>0</v>
      </c>
      <c r="AG67" s="49">
        <f>表1温室气体盘查表!AH68</f>
        <v>0</v>
      </c>
      <c r="AH67" s="49">
        <f>表1温室气体盘查表!AI68</f>
        <v>0</v>
      </c>
      <c r="AI67" s="49">
        <f>表1温室气体盘查表!AJ68</f>
        <v>0</v>
      </c>
      <c r="AJ67" s="49">
        <f>表1温室气体盘查表!AK68</f>
        <v>0</v>
      </c>
      <c r="AK67" s="49">
        <f>表1温室气体盘查表!AL68</f>
        <v>49284.31205698</v>
      </c>
    </row>
    <row r="68" s="25" customFormat="1" ht="18" spans="1:37">
      <c r="A68" s="36">
        <v>64</v>
      </c>
      <c r="B68" s="37" t="str">
        <f>表1温室气体盘查表!B69</f>
        <v>范围一、二相关燃料和能源相关的活动产生的排放</v>
      </c>
      <c r="C68" s="38" t="str">
        <f>表1温室气体盘查表!C69</f>
        <v>液化石油气生产</v>
      </c>
      <c r="D68" s="39" t="str">
        <f>表1温室气体盘查表!E69</f>
        <v>范围三 类别3</v>
      </c>
      <c r="E68" s="40">
        <f>表1温室气体盘查表!F69</f>
        <v>9.39</v>
      </c>
      <c r="F68" s="41" t="str">
        <f>表1温室气体盘查表!G69</f>
        <v>t</v>
      </c>
      <c r="G68" s="42" t="e">
        <f>'附表2-EF'!#REF!*10</f>
        <v>#REF!</v>
      </c>
      <c r="H68" s="41" t="s">
        <v>799</v>
      </c>
      <c r="I68" s="43">
        <f>'附表1-GWP TABLE'!E67</f>
        <v>0</v>
      </c>
      <c r="J68" s="44"/>
      <c r="K68" s="41"/>
      <c r="L68" s="43"/>
      <c r="M68" s="44"/>
      <c r="N68" s="41"/>
      <c r="O68" s="43"/>
      <c r="P68" s="45"/>
      <c r="Q68" s="46"/>
      <c r="R68" s="47"/>
      <c r="S68" s="46"/>
      <c r="T68" s="44"/>
      <c r="U68" s="41"/>
      <c r="V68" s="48"/>
      <c r="W68" s="41"/>
      <c r="X68" s="44"/>
      <c r="Y68" s="41"/>
      <c r="Z68" s="43"/>
      <c r="AA68" s="44"/>
      <c r="AB68" s="46"/>
      <c r="AC68" s="43"/>
      <c r="AD68" s="49">
        <f>表1温室气体盘查表!AE69</f>
        <v>9.44845804628386</v>
      </c>
      <c r="AE68" s="49">
        <f>表1温室气体盘查表!AF69</f>
        <v>0</v>
      </c>
      <c r="AF68" s="49">
        <f>表1温室气体盘查表!AG69</f>
        <v>0</v>
      </c>
      <c r="AG68" s="49">
        <f>表1温室气体盘查表!AH69</f>
        <v>0</v>
      </c>
      <c r="AH68" s="49">
        <f>表1温室气体盘查表!AI69</f>
        <v>0</v>
      </c>
      <c r="AI68" s="49">
        <f>表1温室气体盘查表!AJ69</f>
        <v>0</v>
      </c>
      <c r="AJ68" s="49">
        <f>表1温室气体盘查表!AK69</f>
        <v>0</v>
      </c>
      <c r="AK68" s="49">
        <f>表1温室气体盘查表!AL69</f>
        <v>9.44845804628386</v>
      </c>
    </row>
    <row r="69" s="25" customFormat="1" ht="18" spans="1:37">
      <c r="A69" s="36">
        <v>65</v>
      </c>
      <c r="B69" s="37" t="str">
        <f>表1温室气体盘查表!B70</f>
        <v>范围一、二相关燃料和能源相关的活动产生的排放</v>
      </c>
      <c r="C69" s="38" t="str">
        <f>表1温室气体盘查表!C70</f>
        <v>洗精煤生产</v>
      </c>
      <c r="D69" s="39" t="str">
        <f>表1温室气体盘查表!E70</f>
        <v>范围三 类别3</v>
      </c>
      <c r="E69" s="40">
        <f>表1温室气体盘查表!F70</f>
        <v>1946577.05</v>
      </c>
      <c r="F69" s="41" t="str">
        <f>表1温室气体盘查表!G70</f>
        <v>t</v>
      </c>
      <c r="G69" s="42">
        <f>'附表2-EF'!K69*10</f>
        <v>0</v>
      </c>
      <c r="H69" s="41" t="s">
        <v>800</v>
      </c>
      <c r="I69" s="43">
        <f>'附表1-GWP TABLE'!E68</f>
        <v>0</v>
      </c>
      <c r="J69" s="44"/>
      <c r="K69" s="41"/>
      <c r="L69" s="43"/>
      <c r="M69" s="44"/>
      <c r="N69" s="41"/>
      <c r="O69" s="43"/>
      <c r="P69" s="45"/>
      <c r="Q69" s="46"/>
      <c r="R69" s="47"/>
      <c r="S69" s="46"/>
      <c r="T69" s="44"/>
      <c r="U69" s="41"/>
      <c r="V69" s="48"/>
      <c r="W69" s="41"/>
      <c r="X69" s="44"/>
      <c r="Y69" s="41"/>
      <c r="Z69" s="43"/>
      <c r="AA69" s="44"/>
      <c r="AB69" s="46"/>
      <c r="AC69" s="43"/>
      <c r="AD69" s="49">
        <f>表1温室气体盘查表!AE70</f>
        <v>1120352.4211275</v>
      </c>
      <c r="AE69" s="49">
        <f>表1温室气体盘查表!AF70</f>
        <v>0</v>
      </c>
      <c r="AF69" s="49">
        <f>表1温室气体盘查表!AG70</f>
        <v>0</v>
      </c>
      <c r="AG69" s="49">
        <f>表1温室气体盘查表!AH70</f>
        <v>0</v>
      </c>
      <c r="AH69" s="49">
        <f>表1温室气体盘查表!AI70</f>
        <v>0</v>
      </c>
      <c r="AI69" s="49">
        <f>表1温室气体盘查表!AJ70</f>
        <v>0</v>
      </c>
      <c r="AJ69" s="49">
        <f>表1温室气体盘查表!AK70</f>
        <v>0</v>
      </c>
      <c r="AK69" s="49">
        <f>表1温室气体盘查表!AL70</f>
        <v>1120352.4211275</v>
      </c>
    </row>
    <row r="70" s="25" customFormat="1" ht="18" spans="1:37">
      <c r="A70" s="36">
        <v>66</v>
      </c>
      <c r="B70" s="37" t="str">
        <f>表1温室气体盘查表!B71</f>
        <v>范围一、二相关燃料和能源相关的活动产生的排放</v>
      </c>
      <c r="C70" s="38" t="str">
        <f>表1温室气体盘查表!C71</f>
        <v>柴油生产</v>
      </c>
      <c r="D70" s="39" t="str">
        <f>表1温室气体盘查表!E71</f>
        <v>范围三 类别3</v>
      </c>
      <c r="E70" s="40">
        <f>表1温室气体盘查表!F71</f>
        <v>1403.87</v>
      </c>
      <c r="F70" s="41" t="str">
        <f>表1温室气体盘查表!G71</f>
        <v>t</v>
      </c>
      <c r="G70" s="42">
        <f>'附表2-EF'!K70*10</f>
        <v>0</v>
      </c>
      <c r="H70" s="41" t="s">
        <v>801</v>
      </c>
      <c r="I70" s="43">
        <f>'附表1-GWP TABLE'!E69</f>
        <v>0</v>
      </c>
      <c r="J70" s="44"/>
      <c r="K70" s="41"/>
      <c r="L70" s="43"/>
      <c r="M70" s="44"/>
      <c r="N70" s="41"/>
      <c r="O70" s="43"/>
      <c r="P70" s="45"/>
      <c r="Q70" s="46"/>
      <c r="R70" s="47"/>
      <c r="S70" s="46"/>
      <c r="T70" s="44"/>
      <c r="U70" s="41"/>
      <c r="V70" s="48"/>
      <c r="W70" s="41"/>
      <c r="X70" s="44"/>
      <c r="Y70" s="41"/>
      <c r="Z70" s="43"/>
      <c r="AA70" s="44"/>
      <c r="AB70" s="46"/>
      <c r="AC70" s="43"/>
      <c r="AD70" s="49">
        <f>表1温室气体盘查表!AE71</f>
        <v>1182.2270044</v>
      </c>
      <c r="AE70" s="49">
        <f>表1温室气体盘查表!AF71</f>
        <v>0</v>
      </c>
      <c r="AF70" s="49">
        <f>表1温室气体盘查表!AG71</f>
        <v>0</v>
      </c>
      <c r="AG70" s="49">
        <f>表1温室气体盘查表!AH71</f>
        <v>0</v>
      </c>
      <c r="AH70" s="49">
        <f>表1温室气体盘查表!AI71</f>
        <v>0</v>
      </c>
      <c r="AI70" s="49">
        <f>表1温室气体盘查表!AJ71</f>
        <v>0</v>
      </c>
      <c r="AJ70" s="49">
        <f>表1温室气体盘查表!AK71</f>
        <v>0</v>
      </c>
      <c r="AK70" s="49">
        <f>表1温室气体盘查表!AL71</f>
        <v>1182.2270044</v>
      </c>
    </row>
    <row r="71" s="25" customFormat="1" ht="18" spans="1:37">
      <c r="A71" s="36">
        <v>67</v>
      </c>
      <c r="B71" s="37" t="str">
        <f>表1温室气体盘查表!B72</f>
        <v>范围一、二相关燃料和能源相关的活动产生的排放</v>
      </c>
      <c r="C71" s="38" t="str">
        <f>表1温室气体盘查表!C72</f>
        <v>汽油生产</v>
      </c>
      <c r="D71" s="39" t="str">
        <f>表1温室气体盘查表!E72</f>
        <v>范围三 类别3</v>
      </c>
      <c r="E71" s="40">
        <f>表1温室气体盘查表!F72</f>
        <v>49.06</v>
      </c>
      <c r="F71" s="41" t="str">
        <f>表1温室气体盘查表!G72</f>
        <v>t</v>
      </c>
      <c r="G71" s="42" t="e">
        <f>'附表2-EF'!#REF!*10</f>
        <v>#REF!</v>
      </c>
      <c r="H71" s="41" t="s">
        <v>802</v>
      </c>
      <c r="I71" s="43">
        <f>'附表1-GWP TABLE'!E70</f>
        <v>0</v>
      </c>
      <c r="J71" s="44"/>
      <c r="K71" s="41"/>
      <c r="L71" s="43"/>
      <c r="M71" s="44"/>
      <c r="N71" s="41"/>
      <c r="O71" s="43"/>
      <c r="P71" s="45"/>
      <c r="Q71" s="46"/>
      <c r="R71" s="47"/>
      <c r="S71" s="46"/>
      <c r="T71" s="44"/>
      <c r="U71" s="41"/>
      <c r="V71" s="48"/>
      <c r="W71" s="41"/>
      <c r="X71" s="44"/>
      <c r="Y71" s="41"/>
      <c r="Z71" s="43"/>
      <c r="AA71" s="44"/>
      <c r="AB71" s="46"/>
      <c r="AC71" s="43"/>
      <c r="AD71" s="49">
        <f>表1温室气体盘查表!AE72</f>
        <v>48.4384247743095</v>
      </c>
      <c r="AE71" s="49">
        <f>表1温室气体盘查表!AF72</f>
        <v>0</v>
      </c>
      <c r="AF71" s="49">
        <f>表1温室气体盘查表!AG72</f>
        <v>0</v>
      </c>
      <c r="AG71" s="49">
        <f>表1温室气体盘查表!AH72</f>
        <v>0</v>
      </c>
      <c r="AH71" s="49">
        <f>表1温室气体盘查表!AI72</f>
        <v>0</v>
      </c>
      <c r="AI71" s="49">
        <f>表1温室气体盘查表!AJ72</f>
        <v>0</v>
      </c>
      <c r="AJ71" s="49">
        <f>表1温室气体盘查表!AK72</f>
        <v>0</v>
      </c>
      <c r="AK71" s="49">
        <f>表1温室气体盘查表!AL72</f>
        <v>48.4384247743095</v>
      </c>
    </row>
    <row r="72" s="25" customFormat="1" ht="18" spans="1:37">
      <c r="A72" s="36">
        <v>68</v>
      </c>
      <c r="B72" s="37" t="str">
        <f>表1温室气体盘查表!B73</f>
        <v>范围一、二相关燃料和能源相关的活动产生的排放</v>
      </c>
      <c r="C72" s="38" t="str">
        <f>表1温室气体盘查表!C73</f>
        <v>焦炭生产</v>
      </c>
      <c r="D72" s="39" t="str">
        <f>表1温室气体盘查表!E73</f>
        <v>范围三 类别3</v>
      </c>
      <c r="E72" s="40">
        <f>表1温室气体盘查表!F73</f>
        <v>145430.2</v>
      </c>
      <c r="F72" s="41" t="str">
        <f>表1温室气体盘查表!G73</f>
        <v>t</v>
      </c>
      <c r="G72" s="42" t="e">
        <f>'附表2-EF'!#REF!*10</f>
        <v>#REF!</v>
      </c>
      <c r="H72" s="41" t="s">
        <v>803</v>
      </c>
      <c r="I72" s="43">
        <f>'附表1-GWP TABLE'!E71</f>
        <v>0</v>
      </c>
      <c r="J72" s="44"/>
      <c r="K72" s="41"/>
      <c r="L72" s="43"/>
      <c r="M72" s="44"/>
      <c r="N72" s="41"/>
      <c r="O72" s="43"/>
      <c r="P72" s="45"/>
      <c r="Q72" s="46"/>
      <c r="R72" s="47"/>
      <c r="S72" s="46"/>
      <c r="T72" s="44"/>
      <c r="U72" s="41"/>
      <c r="V72" s="48"/>
      <c r="W72" s="41"/>
      <c r="X72" s="44"/>
      <c r="Y72" s="41"/>
      <c r="Z72" s="43"/>
      <c r="AA72" s="44"/>
      <c r="AB72" s="46"/>
      <c r="AC72" s="43"/>
      <c r="AD72" s="49">
        <f>表1温室气体盘查表!AE73</f>
        <v>184347.32152</v>
      </c>
      <c r="AE72" s="49">
        <f>表1温室气体盘查表!AF73</f>
        <v>0</v>
      </c>
      <c r="AF72" s="49">
        <f>表1温室气体盘查表!AG73</f>
        <v>0</v>
      </c>
      <c r="AG72" s="49">
        <f>表1温室气体盘查表!AH73</f>
        <v>0</v>
      </c>
      <c r="AH72" s="49">
        <f>表1温室气体盘查表!AI73</f>
        <v>0</v>
      </c>
      <c r="AI72" s="49">
        <f>表1温室气体盘查表!AJ73</f>
        <v>0</v>
      </c>
      <c r="AJ72" s="49">
        <f>表1温室气体盘查表!AK73</f>
        <v>0</v>
      </c>
      <c r="AK72" s="49">
        <f>表1温室气体盘查表!AL73</f>
        <v>184347.32152</v>
      </c>
    </row>
    <row r="73" s="25" customFormat="1" ht="18" spans="1:37">
      <c r="A73" s="36">
        <v>69</v>
      </c>
      <c r="B73" s="37" t="str">
        <f>表1温室气体盘查表!B74</f>
        <v>范围一、二相关燃料和能源相关的活动产生的排放</v>
      </c>
      <c r="C73" s="38" t="str">
        <f>表1温室气体盘查表!C74</f>
        <v>焦屑生产</v>
      </c>
      <c r="D73" s="39" t="str">
        <f>表1温室气体盘查表!E74</f>
        <v>范围三 类别3</v>
      </c>
      <c r="E73" s="40">
        <f>表1温室气体盘查表!F74</f>
        <v>120570.5</v>
      </c>
      <c r="F73" s="41" t="str">
        <f>表1温室气体盘查表!G74</f>
        <v>t</v>
      </c>
      <c r="G73" s="42" t="e">
        <f>'附表2-EF'!#REF!*10</f>
        <v>#REF!</v>
      </c>
      <c r="H73" s="41" t="s">
        <v>804</v>
      </c>
      <c r="I73" s="43">
        <f>'附表1-GWP TABLE'!E72</f>
        <v>0</v>
      </c>
      <c r="J73" s="44"/>
      <c r="K73" s="41"/>
      <c r="L73" s="43"/>
      <c r="M73" s="44"/>
      <c r="N73" s="41"/>
      <c r="O73" s="43"/>
      <c r="P73" s="45"/>
      <c r="Q73" s="46"/>
      <c r="R73" s="47"/>
      <c r="S73" s="46"/>
      <c r="T73" s="44"/>
      <c r="U73" s="41"/>
      <c r="V73" s="48"/>
      <c r="W73" s="41"/>
      <c r="X73" s="44"/>
      <c r="Y73" s="41"/>
      <c r="Z73" s="43"/>
      <c r="AA73" s="44"/>
      <c r="AB73" s="46"/>
      <c r="AC73" s="43"/>
      <c r="AD73" s="49">
        <f>表1温室气体盘查表!AE74</f>
        <v>152835.1658</v>
      </c>
      <c r="AE73" s="49">
        <f>表1温室气体盘查表!AF74</f>
        <v>0</v>
      </c>
      <c r="AF73" s="49">
        <f>表1温室气体盘查表!AG74</f>
        <v>0</v>
      </c>
      <c r="AG73" s="49">
        <f>表1温室气体盘查表!AH74</f>
        <v>0</v>
      </c>
      <c r="AH73" s="49">
        <f>表1温室气体盘查表!AI74</f>
        <v>0</v>
      </c>
      <c r="AI73" s="49">
        <f>表1温室气体盘查表!AJ74</f>
        <v>0</v>
      </c>
      <c r="AJ73" s="49">
        <f>表1温室气体盘查表!AK74</f>
        <v>0</v>
      </c>
      <c r="AK73" s="49">
        <f>表1温室气体盘查表!AL74</f>
        <v>152835.1658</v>
      </c>
    </row>
    <row r="74" s="25" customFormat="1" ht="18" spans="1:37">
      <c r="A74" s="36">
        <v>70</v>
      </c>
      <c r="B74" s="37" t="str">
        <f>表1温室气体盘查表!B75</f>
        <v>范围一、二相关燃料和能源相关的活动产生的排放</v>
      </c>
      <c r="C74" s="38" t="str">
        <f>表1温室气体盘查表!C75</f>
        <v>烟煤生产</v>
      </c>
      <c r="D74" s="39" t="str">
        <f>表1温室气体盘查表!E75</f>
        <v>范围三 类别3</v>
      </c>
      <c r="E74" s="40">
        <f>表1温室气体盘查表!F75</f>
        <v>399079.16</v>
      </c>
      <c r="F74" s="41" t="str">
        <f>表1温室气体盘查表!G75</f>
        <v>t</v>
      </c>
      <c r="G74" s="42" t="e">
        <f>'附表2-EF'!#REF!*10</f>
        <v>#REF!</v>
      </c>
      <c r="H74" s="41" t="s">
        <v>805</v>
      </c>
      <c r="I74" s="43">
        <f>'附表1-GWP TABLE'!E73</f>
        <v>0</v>
      </c>
      <c r="J74" s="44"/>
      <c r="K74" s="41"/>
      <c r="L74" s="43"/>
      <c r="M74" s="44"/>
      <c r="N74" s="41"/>
      <c r="O74" s="43"/>
      <c r="P74" s="45"/>
      <c r="Q74" s="46"/>
      <c r="R74" s="47"/>
      <c r="S74" s="46"/>
      <c r="T74" s="44"/>
      <c r="U74" s="41"/>
      <c r="V74" s="48"/>
      <c r="W74" s="41"/>
      <c r="X74" s="44"/>
      <c r="Y74" s="41"/>
      <c r="Z74" s="43"/>
      <c r="AA74" s="44"/>
      <c r="AB74" s="46"/>
      <c r="AC74" s="43"/>
      <c r="AD74" s="49">
        <f>表1温室气体盘查表!AE75</f>
        <v>229690.010538</v>
      </c>
      <c r="AE74" s="49">
        <f>表1温室气体盘查表!AF75</f>
        <v>0</v>
      </c>
      <c r="AF74" s="49">
        <f>表1温室气体盘查表!AG75</f>
        <v>0</v>
      </c>
      <c r="AG74" s="49">
        <f>表1温室气体盘查表!AH75</f>
        <v>0</v>
      </c>
      <c r="AH74" s="49">
        <f>表1温室气体盘查表!AI75</f>
        <v>0</v>
      </c>
      <c r="AI74" s="49">
        <f>表1温室气体盘查表!AJ75</f>
        <v>0</v>
      </c>
      <c r="AJ74" s="49">
        <f>表1温室气体盘查表!AK75</f>
        <v>0</v>
      </c>
      <c r="AK74" s="49">
        <f>表1温室气体盘查表!AL75</f>
        <v>229690.010538</v>
      </c>
    </row>
    <row r="75" s="25" customFormat="1" ht="18" spans="1:37">
      <c r="A75" s="36">
        <v>71</v>
      </c>
      <c r="B75" s="37" t="str">
        <f>表1温室气体盘查表!B76</f>
        <v>范围一、二相关燃料和能源相关的活动产生的排放</v>
      </c>
      <c r="C75" s="38" t="str">
        <f>表1温室气体盘查表!C76</f>
        <v>无烟煤生产</v>
      </c>
      <c r="D75" s="39" t="str">
        <f>表1温室气体盘查表!E76</f>
        <v>范围三 类别3</v>
      </c>
      <c r="E75" s="40">
        <f>表1温室气体盘查表!F76</f>
        <v>260530.34</v>
      </c>
      <c r="F75" s="41" t="str">
        <f>表1温室气体盘查表!G76</f>
        <v>t</v>
      </c>
      <c r="G75" s="42" t="e">
        <f>'附表2-EF'!#REF!*10</f>
        <v>#REF!</v>
      </c>
      <c r="H75" s="41" t="s">
        <v>806</v>
      </c>
      <c r="I75" s="43">
        <f>'附表1-GWP TABLE'!E74</f>
        <v>0</v>
      </c>
      <c r="J75" s="44"/>
      <c r="K75" s="41"/>
      <c r="L75" s="43"/>
      <c r="M75" s="44"/>
      <c r="N75" s="41"/>
      <c r="O75" s="43"/>
      <c r="P75" s="45"/>
      <c r="Q75" s="46"/>
      <c r="R75" s="47"/>
      <c r="S75" s="46"/>
      <c r="T75" s="44"/>
      <c r="U75" s="41"/>
      <c r="V75" s="48"/>
      <c r="W75" s="41"/>
      <c r="X75" s="44"/>
      <c r="Y75" s="41"/>
      <c r="Z75" s="43"/>
      <c r="AA75" s="44"/>
      <c r="AB75" s="46"/>
      <c r="AC75" s="43"/>
      <c r="AD75" s="49">
        <f>表1温室气体盘查表!AE76</f>
        <v>149948.237187</v>
      </c>
      <c r="AE75" s="49">
        <f>表1温室气体盘查表!AF76</f>
        <v>0</v>
      </c>
      <c r="AF75" s="49">
        <f>表1温室气体盘查表!AG76</f>
        <v>0</v>
      </c>
      <c r="AG75" s="49">
        <f>表1温室气体盘查表!AH76</f>
        <v>0</v>
      </c>
      <c r="AH75" s="49">
        <f>表1温室气体盘查表!AI76</f>
        <v>0</v>
      </c>
      <c r="AI75" s="49">
        <f>表1温室气体盘查表!AJ76</f>
        <v>0</v>
      </c>
      <c r="AJ75" s="49">
        <f>表1温室气体盘查表!AK76</f>
        <v>0</v>
      </c>
      <c r="AK75" s="49">
        <f>表1温室气体盘查表!AL76</f>
        <v>149948.237187</v>
      </c>
    </row>
    <row r="76" s="25" customFormat="1" ht="18" spans="1:37">
      <c r="A76" s="36">
        <v>72</v>
      </c>
      <c r="B76" s="37" t="str">
        <f>表1温室气体盘查表!B77</f>
        <v>范围一、二相关燃料和能源相关的活动产生的排放</v>
      </c>
      <c r="C76" s="38" t="str">
        <f>表1温室气体盘查表!C77</f>
        <v>天然气生产</v>
      </c>
      <c r="D76" s="39" t="str">
        <f>表1温室气体盘查表!E77</f>
        <v>范围三 类别3</v>
      </c>
      <c r="E76" s="40">
        <f>表1温室气体盘查表!F77</f>
        <v>1796.49</v>
      </c>
      <c r="F76" s="41" t="str">
        <f>表1温室气体盘查表!G77</f>
        <v>10000Nm3</v>
      </c>
      <c r="G76" s="42" t="e">
        <f>'附表2-EF'!#REF!*10</f>
        <v>#REF!</v>
      </c>
      <c r="H76" s="41" t="s">
        <v>807</v>
      </c>
      <c r="I76" s="43">
        <f>'附表1-GWP TABLE'!E75</f>
        <v>0</v>
      </c>
      <c r="J76" s="44"/>
      <c r="K76" s="41"/>
      <c r="L76" s="43"/>
      <c r="M76" s="44"/>
      <c r="N76" s="41"/>
      <c r="O76" s="43"/>
      <c r="P76" s="45"/>
      <c r="Q76" s="46"/>
      <c r="R76" s="47"/>
      <c r="S76" s="46"/>
      <c r="T76" s="44"/>
      <c r="U76" s="41"/>
      <c r="V76" s="48"/>
      <c r="W76" s="41"/>
      <c r="X76" s="44"/>
      <c r="Y76" s="41"/>
      <c r="Z76" s="43"/>
      <c r="AA76" s="44"/>
      <c r="AB76" s="46"/>
      <c r="AC76" s="43"/>
      <c r="AD76" s="49">
        <f>表1温室气体盘查表!AE77</f>
        <v>11120.2731</v>
      </c>
      <c r="AE76" s="49">
        <f>表1温室气体盘查表!AF77</f>
        <v>0</v>
      </c>
      <c r="AF76" s="49">
        <f>表1温室气体盘查表!AG77</f>
        <v>0</v>
      </c>
      <c r="AG76" s="49">
        <f>表1温室气体盘查表!AH77</f>
        <v>0</v>
      </c>
      <c r="AH76" s="49">
        <f>表1温室气体盘查表!AI77</f>
        <v>0</v>
      </c>
      <c r="AI76" s="49">
        <f>表1温室气体盘查表!AJ77</f>
        <v>0</v>
      </c>
      <c r="AJ76" s="49">
        <f>表1温室气体盘查表!AK77</f>
        <v>0</v>
      </c>
      <c r="AK76" s="49">
        <f>表1温室气体盘查表!AL77</f>
        <v>11120.2731</v>
      </c>
    </row>
    <row r="77" s="25" customFormat="1" ht="18" spans="1:37">
      <c r="A77" s="36">
        <v>73</v>
      </c>
      <c r="B77" s="37" t="str">
        <f>表1温室气体盘查表!B78</f>
        <v>范围一、二相关燃料和能源相关的活动产生的排放</v>
      </c>
      <c r="C77" s="38" t="str">
        <f>表1温室气体盘查表!C78</f>
        <v>外购电力上游排放</v>
      </c>
      <c r="D77" s="39" t="str">
        <f>表1温室气体盘查表!E78</f>
        <v>范围三 类别3</v>
      </c>
      <c r="E77" s="40">
        <f>表1温室气体盘查表!F78</f>
        <v>1992878.77</v>
      </c>
      <c r="F77" s="41" t="str">
        <f>表1温室气体盘查表!G78</f>
        <v>MWh</v>
      </c>
      <c r="G77" s="42" t="e">
        <f>'附表2-EF'!#REF!*10</f>
        <v>#REF!</v>
      </c>
      <c r="H77" s="41" t="s">
        <v>808</v>
      </c>
      <c r="I77" s="43">
        <f>'附表1-GWP TABLE'!E76</f>
        <v>0</v>
      </c>
      <c r="J77" s="44"/>
      <c r="K77" s="41"/>
      <c r="L77" s="43"/>
      <c r="M77" s="44"/>
      <c r="N77" s="41"/>
      <c r="O77" s="43"/>
      <c r="P77" s="45"/>
      <c r="Q77" s="46"/>
      <c r="R77" s="47"/>
      <c r="S77" s="46"/>
      <c r="T77" s="44"/>
      <c r="U77" s="41"/>
      <c r="V77" s="48"/>
      <c r="W77" s="41"/>
      <c r="X77" s="44"/>
      <c r="Y77" s="41"/>
      <c r="Z77" s="43"/>
      <c r="AA77" s="44"/>
      <c r="AB77" s="46"/>
      <c r="AC77" s="43"/>
      <c r="AD77" s="49">
        <f>表1温室气体盘查表!AE78</f>
        <v>167202.528803</v>
      </c>
      <c r="AE77" s="49">
        <f>表1温室气体盘查表!AF78</f>
        <v>0</v>
      </c>
      <c r="AF77" s="49">
        <f>表1温室气体盘查表!AG78</f>
        <v>0</v>
      </c>
      <c r="AG77" s="49">
        <f>表1温室气体盘查表!AH78</f>
        <v>0</v>
      </c>
      <c r="AH77" s="49">
        <f>表1温室气体盘查表!AI78</f>
        <v>0</v>
      </c>
      <c r="AI77" s="49">
        <f>表1温室气体盘查表!AJ78</f>
        <v>0</v>
      </c>
      <c r="AJ77" s="49">
        <f>表1温室气体盘查表!AK78</f>
        <v>0</v>
      </c>
      <c r="AK77" s="49">
        <f>表1温室气体盘查表!AL78</f>
        <v>167202.528803</v>
      </c>
    </row>
    <row r="78" s="25" customFormat="1" ht="18" spans="1:37">
      <c r="A78" s="36">
        <v>74</v>
      </c>
      <c r="B78" s="37" t="str">
        <f>表1温室气体盘查表!B79</f>
        <v>上游运输配送产生的排放</v>
      </c>
      <c r="C78" s="38" t="str">
        <f>表1温室气体盘查表!C79</f>
        <v>船运</v>
      </c>
      <c r="D78" s="39" t="str">
        <f>表1温室气体盘查表!E79</f>
        <v>范围三 类别4</v>
      </c>
      <c r="E78" s="40">
        <f>表1温室气体盘查表!F79</f>
        <v>4937773501.3</v>
      </c>
      <c r="F78" s="41" t="str">
        <f>表1温室气体盘查表!G79</f>
        <v>tkm</v>
      </c>
      <c r="G78" s="42" t="e">
        <f>'附表2-EF'!#REF!*10</f>
        <v>#REF!</v>
      </c>
      <c r="H78" s="41" t="s">
        <v>809</v>
      </c>
      <c r="I78" s="43">
        <f>'附表1-GWP TABLE'!E77</f>
        <v>0</v>
      </c>
      <c r="J78" s="44"/>
      <c r="K78" s="41"/>
      <c r="L78" s="43"/>
      <c r="M78" s="44"/>
      <c r="N78" s="41"/>
      <c r="O78" s="43"/>
      <c r="P78" s="45"/>
      <c r="Q78" s="46"/>
      <c r="R78" s="47"/>
      <c r="S78" s="46"/>
      <c r="T78" s="44"/>
      <c r="U78" s="41"/>
      <c r="V78" s="48"/>
      <c r="W78" s="41"/>
      <c r="X78" s="44"/>
      <c r="Y78" s="41"/>
      <c r="Z78" s="43"/>
      <c r="AA78" s="44"/>
      <c r="AB78" s="46"/>
      <c r="AC78" s="43"/>
      <c r="AD78" s="49">
        <f>表1温室气体盘查表!AE79</f>
        <v>256608.969086949</v>
      </c>
      <c r="AE78" s="49">
        <f>表1温室气体盘查表!AF79</f>
        <v>0</v>
      </c>
      <c r="AF78" s="49">
        <f>表1温室气体盘查表!AG79</f>
        <v>0</v>
      </c>
      <c r="AG78" s="49">
        <f>表1温室气体盘查表!AH79</f>
        <v>0</v>
      </c>
      <c r="AH78" s="49">
        <f>表1温室气体盘查表!AI79</f>
        <v>0</v>
      </c>
      <c r="AI78" s="49">
        <f>表1温室气体盘查表!AJ79</f>
        <v>0</v>
      </c>
      <c r="AJ78" s="49">
        <f>表1温室气体盘查表!AK79</f>
        <v>0</v>
      </c>
      <c r="AK78" s="49">
        <f>表1温室气体盘查表!AL79</f>
        <v>256608.969086949</v>
      </c>
    </row>
    <row r="79" s="25" customFormat="1" ht="18" spans="1:37">
      <c r="A79" s="36">
        <v>75</v>
      </c>
      <c r="B79" s="37" t="str">
        <f>表1温室气体盘查表!B80</f>
        <v>上游运输配送产生的排放</v>
      </c>
      <c r="C79" s="38" t="str">
        <f>表1温室气体盘查表!C80</f>
        <v>汽运</v>
      </c>
      <c r="D79" s="39" t="str">
        <f>表1温室气体盘查表!E80</f>
        <v>范围三 类别4</v>
      </c>
      <c r="E79" s="40">
        <f>表1温室气体盘查表!F80</f>
        <v>303695957.78</v>
      </c>
      <c r="F79" s="41" t="str">
        <f>表1温室气体盘查表!G80</f>
        <v>tkm</v>
      </c>
      <c r="G79" s="42" t="e">
        <f>'附表2-EF'!#REF!*10</f>
        <v>#REF!</v>
      </c>
      <c r="H79" s="41" t="s">
        <v>810</v>
      </c>
      <c r="I79" s="43">
        <f>'附表1-GWP TABLE'!E78</f>
        <v>0</v>
      </c>
      <c r="J79" s="44"/>
      <c r="K79" s="41"/>
      <c r="L79" s="43"/>
      <c r="M79" s="44"/>
      <c r="N79" s="41"/>
      <c r="O79" s="43"/>
      <c r="P79" s="45"/>
      <c r="Q79" s="46"/>
      <c r="R79" s="47"/>
      <c r="S79" s="46"/>
      <c r="T79" s="44"/>
      <c r="U79" s="41"/>
      <c r="V79" s="48"/>
      <c r="W79" s="41"/>
      <c r="X79" s="44"/>
      <c r="Y79" s="41"/>
      <c r="Z79" s="43"/>
      <c r="AA79" s="44"/>
      <c r="AB79" s="46"/>
      <c r="AC79" s="43"/>
      <c r="AD79" s="49">
        <f>表1温室气体盘查表!AE80</f>
        <v>46150.5118723241</v>
      </c>
      <c r="AE79" s="49">
        <f>表1温室气体盘查表!AF80</f>
        <v>0</v>
      </c>
      <c r="AF79" s="49">
        <f>表1温室气体盘查表!AG80</f>
        <v>0</v>
      </c>
      <c r="AG79" s="49">
        <f>表1温室气体盘查表!AH80</f>
        <v>0</v>
      </c>
      <c r="AH79" s="49">
        <f>表1温室气体盘查表!AI80</f>
        <v>0</v>
      </c>
      <c r="AI79" s="49">
        <f>表1温室气体盘查表!AJ80</f>
        <v>0</v>
      </c>
      <c r="AJ79" s="49">
        <f>表1温室气体盘查表!AK80</f>
        <v>0</v>
      </c>
      <c r="AK79" s="49">
        <f>表1温室气体盘查表!AL80</f>
        <v>46150.5118723241</v>
      </c>
    </row>
    <row r="80" s="25" customFormat="1" ht="18" spans="1:37">
      <c r="A80" s="36">
        <v>76</v>
      </c>
      <c r="B80" s="37" t="str">
        <f>表1温室气体盘查表!B81</f>
        <v>上游运输配送产生的排放</v>
      </c>
      <c r="C80" s="38" t="str">
        <f>表1温室气体盘查表!C81</f>
        <v>铁路运输</v>
      </c>
      <c r="D80" s="39" t="str">
        <f>表1温室气体盘查表!E81</f>
        <v>范围三 类别4</v>
      </c>
      <c r="E80" s="40">
        <f>表1温室气体盘查表!F81</f>
        <v>1226509412.23</v>
      </c>
      <c r="F80" s="41" t="str">
        <f>表1温室气体盘查表!G81</f>
        <v>tkm</v>
      </c>
      <c r="G80" s="42" t="e">
        <f>'附表2-EF'!#REF!*10</f>
        <v>#REF!</v>
      </c>
      <c r="H80" s="41" t="s">
        <v>811</v>
      </c>
      <c r="I80" s="43">
        <f>'附表1-GWP TABLE'!E79</f>
        <v>0</v>
      </c>
      <c r="J80" s="44"/>
      <c r="K80" s="41"/>
      <c r="L80" s="43"/>
      <c r="M80" s="44"/>
      <c r="N80" s="41"/>
      <c r="O80" s="43"/>
      <c r="P80" s="45"/>
      <c r="Q80" s="46"/>
      <c r="R80" s="47"/>
      <c r="S80" s="46"/>
      <c r="T80" s="44"/>
      <c r="U80" s="41"/>
      <c r="V80" s="48"/>
      <c r="W80" s="41"/>
      <c r="X80" s="44"/>
      <c r="Y80" s="41"/>
      <c r="Z80" s="43"/>
      <c r="AA80" s="44"/>
      <c r="AB80" s="46"/>
      <c r="AC80" s="43"/>
      <c r="AD80" s="49">
        <f>表1温室气体盘查表!AE81</f>
        <v>59524.7717110272</v>
      </c>
      <c r="AE80" s="49">
        <f>表1温室气体盘查表!AF81</f>
        <v>0</v>
      </c>
      <c r="AF80" s="49">
        <f>表1温室气体盘查表!AG81</f>
        <v>0</v>
      </c>
      <c r="AG80" s="49">
        <f>表1温室气体盘查表!AH81</f>
        <v>0</v>
      </c>
      <c r="AH80" s="49">
        <f>表1温室气体盘查表!AI81</f>
        <v>0</v>
      </c>
      <c r="AI80" s="49">
        <f>表1温室气体盘查表!AJ81</f>
        <v>0</v>
      </c>
      <c r="AJ80" s="49">
        <f>表1温室气体盘查表!AK81</f>
        <v>0</v>
      </c>
      <c r="AK80" s="49">
        <f>表1温室气体盘查表!AL81</f>
        <v>59524.7717110272</v>
      </c>
    </row>
    <row r="81" s="25" customFormat="1" ht="18" spans="1:37">
      <c r="A81" s="36">
        <v>77</v>
      </c>
      <c r="B81" s="37" t="str">
        <f>表1温室气体盘查表!B82</f>
        <v>运营中产生的废物排放</v>
      </c>
      <c r="C81" s="38" t="str">
        <f>表1温室气体盘查表!C82</f>
        <v>生活垃圾和厨余垃圾</v>
      </c>
      <c r="D81" s="39" t="str">
        <f>表1温室气体盘查表!E82</f>
        <v>范围三 类别5</v>
      </c>
      <c r="E81" s="40">
        <f>表1温室气体盘查表!F82</f>
        <v>2610.16</v>
      </c>
      <c r="F81" s="41" t="str">
        <f>表1温室气体盘查表!G82</f>
        <v>t</v>
      </c>
      <c r="G81" s="42" t="e">
        <f>'附表2-EF'!#REF!*10</f>
        <v>#REF!</v>
      </c>
      <c r="H81" s="41" t="s">
        <v>812</v>
      </c>
      <c r="I81" s="43">
        <f>'附表1-GWP TABLE'!E80</f>
        <v>0</v>
      </c>
      <c r="J81" s="44"/>
      <c r="K81" s="41"/>
      <c r="L81" s="43"/>
      <c r="M81" s="44"/>
      <c r="N81" s="41"/>
      <c r="O81" s="43"/>
      <c r="P81" s="45"/>
      <c r="Q81" s="46"/>
      <c r="R81" s="47"/>
      <c r="S81" s="46"/>
      <c r="T81" s="44"/>
      <c r="U81" s="41"/>
      <c r="V81" s="48"/>
      <c r="W81" s="41"/>
      <c r="X81" s="44"/>
      <c r="Y81" s="41"/>
      <c r="Z81" s="43"/>
      <c r="AA81" s="44"/>
      <c r="AB81" s="46"/>
      <c r="AC81" s="43"/>
      <c r="AD81" s="49">
        <f>表1温室气体盘查表!AE82</f>
        <v>969.241929689684</v>
      </c>
      <c r="AE81" s="49">
        <f>表1温室气体盘查表!AF82</f>
        <v>0</v>
      </c>
      <c r="AF81" s="49">
        <f>表1温室气体盘查表!AG82</f>
        <v>0</v>
      </c>
      <c r="AG81" s="49">
        <f>表1温室气体盘查表!AH82</f>
        <v>0</v>
      </c>
      <c r="AH81" s="49">
        <f>表1温室气体盘查表!AI82</f>
        <v>0</v>
      </c>
      <c r="AI81" s="49">
        <f>表1温室气体盘查表!AJ82</f>
        <v>0</v>
      </c>
      <c r="AJ81" s="49">
        <f>表1温室气体盘查表!AK82</f>
        <v>0</v>
      </c>
      <c r="AK81" s="49">
        <f>表1温室气体盘查表!AL82</f>
        <v>969.241929689684</v>
      </c>
    </row>
    <row r="82" s="25" customFormat="1" ht="18" spans="1:37">
      <c r="A82" s="36">
        <v>78</v>
      </c>
      <c r="B82" s="37" t="str">
        <f>表1温室气体盘查表!B83</f>
        <v>运营中产生的废物排放</v>
      </c>
      <c r="C82" s="38" t="str">
        <f>表1温室气体盘查表!C83</f>
        <v>废油</v>
      </c>
      <c r="D82" s="39" t="str">
        <f>表1温室气体盘查表!E83</f>
        <v>范围三 类别5</v>
      </c>
      <c r="E82" s="40">
        <f>表1温室气体盘查表!F83</f>
        <v>36.75</v>
      </c>
      <c r="F82" s="41" t="str">
        <f>表1温室气体盘查表!G83</f>
        <v>t</v>
      </c>
      <c r="G82" s="42" t="e">
        <f>'附表2-EF'!#REF!*10</f>
        <v>#REF!</v>
      </c>
      <c r="H82" s="41" t="s">
        <v>813</v>
      </c>
      <c r="I82" s="43">
        <f>'附表1-GWP TABLE'!E81</f>
        <v>0</v>
      </c>
      <c r="J82" s="44"/>
      <c r="K82" s="41"/>
      <c r="L82" s="43"/>
      <c r="M82" s="44"/>
      <c r="N82" s="41"/>
      <c r="O82" s="43"/>
      <c r="P82" s="45"/>
      <c r="Q82" s="46"/>
      <c r="R82" s="47"/>
      <c r="S82" s="46"/>
      <c r="T82" s="44"/>
      <c r="U82" s="41"/>
      <c r="V82" s="48"/>
      <c r="W82" s="41"/>
      <c r="X82" s="44"/>
      <c r="Y82" s="41"/>
      <c r="Z82" s="43"/>
      <c r="AA82" s="44"/>
      <c r="AB82" s="46"/>
      <c r="AC82" s="43"/>
      <c r="AD82" s="49">
        <f>表1温室气体盘查表!AE83</f>
        <v>104.702845570361</v>
      </c>
      <c r="AE82" s="49">
        <f>表1温室气体盘查表!AF83</f>
        <v>0</v>
      </c>
      <c r="AF82" s="49">
        <f>表1温室气体盘查表!AG83</f>
        <v>0</v>
      </c>
      <c r="AG82" s="49">
        <f>表1温室气体盘查表!AH83</f>
        <v>0</v>
      </c>
      <c r="AH82" s="49">
        <f>表1温室气体盘查表!AI83</f>
        <v>0</v>
      </c>
      <c r="AI82" s="49">
        <f>表1温室气体盘查表!AJ83</f>
        <v>0</v>
      </c>
      <c r="AJ82" s="49">
        <f>表1温室气体盘查表!AK83</f>
        <v>0</v>
      </c>
      <c r="AK82" s="49">
        <f>表1温室气体盘查表!AL83</f>
        <v>104.702845570361</v>
      </c>
    </row>
    <row r="83" s="25" customFormat="1" ht="18" spans="1:37">
      <c r="A83" s="36">
        <v>79</v>
      </c>
      <c r="B83" s="37" t="str">
        <f>表1温室气体盘查表!B84</f>
        <v>运营中产生的废物排放</v>
      </c>
      <c r="C83" s="38" t="str">
        <f>表1温室气体盘查表!C84</f>
        <v>废油水</v>
      </c>
      <c r="D83" s="39" t="str">
        <f>表1温室气体盘查表!E84</f>
        <v>范围三 类别5</v>
      </c>
      <c r="E83" s="40">
        <f>表1温室气体盘查表!F84</f>
        <v>229.5</v>
      </c>
      <c r="F83" s="41" t="str">
        <f>表1温室气体盘查表!G84</f>
        <v>t</v>
      </c>
      <c r="G83" s="42" t="e">
        <f>'附表2-EF'!#REF!*10</f>
        <v>#REF!</v>
      </c>
      <c r="H83" s="41" t="s">
        <v>814</v>
      </c>
      <c r="I83" s="43">
        <f>'附表1-GWP TABLE'!E82</f>
        <v>0</v>
      </c>
      <c r="J83" s="44"/>
      <c r="K83" s="41"/>
      <c r="L83" s="43"/>
      <c r="M83" s="44"/>
      <c r="N83" s="41"/>
      <c r="O83" s="43"/>
      <c r="P83" s="45"/>
      <c r="Q83" s="46"/>
      <c r="R83" s="47"/>
      <c r="S83" s="46"/>
      <c r="T83" s="44"/>
      <c r="U83" s="41"/>
      <c r="V83" s="48"/>
      <c r="W83" s="41"/>
      <c r="X83" s="44"/>
      <c r="Y83" s="41"/>
      <c r="Z83" s="43"/>
      <c r="AA83" s="44"/>
      <c r="AB83" s="46"/>
      <c r="AC83" s="43"/>
      <c r="AD83" s="49">
        <f>表1温室气体盘查表!AE84</f>
        <v>653.858586623069</v>
      </c>
      <c r="AE83" s="49">
        <f>表1温室气体盘查表!AF84</f>
        <v>0</v>
      </c>
      <c r="AF83" s="49">
        <f>表1温室气体盘查表!AG84</f>
        <v>0</v>
      </c>
      <c r="AG83" s="49">
        <f>表1温室气体盘查表!AH84</f>
        <v>0</v>
      </c>
      <c r="AH83" s="49">
        <f>表1温室气体盘查表!AI84</f>
        <v>0</v>
      </c>
      <c r="AI83" s="49">
        <f>表1温室气体盘查表!AJ84</f>
        <v>0</v>
      </c>
      <c r="AJ83" s="49">
        <f>表1温室气体盘查表!AK84</f>
        <v>0</v>
      </c>
      <c r="AK83" s="49">
        <f>表1温室气体盘查表!AL84</f>
        <v>653.858586623069</v>
      </c>
    </row>
    <row r="84" s="29" customFormat="1" ht="14.65" customHeight="1" spans="1:37">
      <c r="A84" s="36">
        <v>80</v>
      </c>
      <c r="B84" s="37" t="str">
        <f>表1温室气体盘查表!B85</f>
        <v>运营中产生的废物排放</v>
      </c>
      <c r="C84" s="38" t="str">
        <f>表1温室气体盘查表!C85</f>
        <v>煤焦油</v>
      </c>
      <c r="D84" s="39" t="str">
        <f>表1温室气体盘查表!E85</f>
        <v>范围三 类别5</v>
      </c>
      <c r="E84" s="40">
        <f>表1温室气体盘查表!F85</f>
        <v>57478.34</v>
      </c>
      <c r="F84" s="41" t="str">
        <f>表1温室气体盘查表!G85</f>
        <v>t</v>
      </c>
      <c r="G84" s="42">
        <f>'附表2-EF'!K84*10</f>
        <v>0</v>
      </c>
      <c r="H84" s="41" t="s">
        <v>815</v>
      </c>
      <c r="I84" s="43">
        <f>'附表1-GWP TABLE'!E83</f>
        <v>0</v>
      </c>
      <c r="J84" s="44"/>
      <c r="K84" s="41"/>
      <c r="L84" s="43"/>
      <c r="M84" s="44"/>
      <c r="N84" s="41"/>
      <c r="O84" s="43"/>
      <c r="P84" s="45"/>
      <c r="Q84" s="46"/>
      <c r="R84" s="47"/>
      <c r="S84" s="46"/>
      <c r="T84" s="44"/>
      <c r="U84" s="41"/>
      <c r="V84" s="48"/>
      <c r="W84" s="41"/>
      <c r="X84" s="44"/>
      <c r="Y84" s="41"/>
      <c r="Z84" s="43"/>
      <c r="AA84" s="44"/>
      <c r="AB84" s="46"/>
      <c r="AC84" s="43"/>
      <c r="AD84" s="49">
        <f>表1温室气体盘查表!AE85</f>
        <v>145058.803127058</v>
      </c>
      <c r="AE84" s="49">
        <f>表1温室气体盘查表!AF85</f>
        <v>0</v>
      </c>
      <c r="AF84" s="49">
        <f>表1温室气体盘查表!AG85</f>
        <v>0</v>
      </c>
      <c r="AG84" s="49">
        <f>表1温室气体盘查表!AH85</f>
        <v>0</v>
      </c>
      <c r="AH84" s="49">
        <f>表1温室气体盘查表!AI85</f>
        <v>0</v>
      </c>
      <c r="AI84" s="49">
        <f>表1温室气体盘查表!AJ85</f>
        <v>0</v>
      </c>
      <c r="AJ84" s="49">
        <f>表1温室气体盘查表!AK85</f>
        <v>0</v>
      </c>
      <c r="AK84" s="49">
        <f>表1温室气体盘查表!AL85</f>
        <v>145058.803127058</v>
      </c>
    </row>
    <row r="85" s="29" customFormat="1" ht="15.4" customHeight="1" spans="1:37">
      <c r="A85" s="36">
        <v>81</v>
      </c>
      <c r="B85" s="37" t="str">
        <f>表1温室气体盘查表!B86</f>
        <v>运营中产生的废物排放</v>
      </c>
      <c r="C85" s="38" t="str">
        <f>表1温室气体盘查表!C86</f>
        <v>废弃物运输</v>
      </c>
      <c r="D85" s="39" t="str">
        <f>表1温室气体盘查表!E86</f>
        <v>范围三 类别5</v>
      </c>
      <c r="E85" s="40">
        <f>表1温室气体盘查表!F86</f>
        <v>5589690.04</v>
      </c>
      <c r="F85" s="41" t="str">
        <f>表1温室气体盘查表!G86</f>
        <v>tkm</v>
      </c>
      <c r="G85" s="42" t="e">
        <f>'附表2-EF'!#REF!*10</f>
        <v>#REF!</v>
      </c>
      <c r="H85" s="41" t="s">
        <v>816</v>
      </c>
      <c r="I85" s="43">
        <f>'附表1-GWP TABLE'!E84</f>
        <v>0</v>
      </c>
      <c r="J85" s="44"/>
      <c r="K85" s="41"/>
      <c r="L85" s="43"/>
      <c r="M85" s="44"/>
      <c r="N85" s="41"/>
      <c r="O85" s="43"/>
      <c r="P85" s="45"/>
      <c r="Q85" s="46"/>
      <c r="R85" s="47"/>
      <c r="S85" s="46"/>
      <c r="T85" s="44"/>
      <c r="U85" s="41"/>
      <c r="V85" s="48"/>
      <c r="W85" s="41"/>
      <c r="X85" s="44"/>
      <c r="Y85" s="41"/>
      <c r="Z85" s="43"/>
      <c r="AA85" s="44"/>
      <c r="AB85" s="46"/>
      <c r="AC85" s="43"/>
      <c r="AD85" s="49">
        <f>表1温室气体盘查表!AE86</f>
        <v>849.425387283242</v>
      </c>
      <c r="AE85" s="49">
        <f>表1温室气体盘查表!AF86</f>
        <v>0</v>
      </c>
      <c r="AF85" s="49">
        <f>表1温室气体盘查表!AG86</f>
        <v>0</v>
      </c>
      <c r="AG85" s="49">
        <f>表1温室气体盘查表!AH86</f>
        <v>0</v>
      </c>
      <c r="AH85" s="49">
        <f>表1温室气体盘查表!AI86</f>
        <v>0</v>
      </c>
      <c r="AI85" s="49">
        <f>表1温室气体盘查表!AJ86</f>
        <v>0</v>
      </c>
      <c r="AJ85" s="49">
        <f>表1温室气体盘查表!AK86</f>
        <v>0</v>
      </c>
      <c r="AK85" s="49">
        <f>表1温室气体盘查表!AL86</f>
        <v>849.425387283242</v>
      </c>
    </row>
    <row r="86" s="29" customFormat="1" ht="18" spans="1:37">
      <c r="A86" s="36">
        <v>82</v>
      </c>
      <c r="B86" s="37" t="str">
        <f>表1温室气体盘查表!B87</f>
        <v>商务旅行产生的排放</v>
      </c>
      <c r="C86" s="38" t="str">
        <f>表1温室气体盘查表!C87</f>
        <v>航运</v>
      </c>
      <c r="D86" s="39" t="str">
        <f>表1温室气体盘查表!E87</f>
        <v>范围三 类别6</v>
      </c>
      <c r="E86" s="40">
        <f>表1温室气体盘查表!F87</f>
        <v>3901916.53</v>
      </c>
      <c r="F86" s="41" t="str">
        <f>表1温室气体盘查表!G87</f>
        <v>passenger*km</v>
      </c>
      <c r="G86" s="42" t="e">
        <f>'附表2-EF'!#REF!*10</f>
        <v>#REF!</v>
      </c>
      <c r="H86" s="41" t="s">
        <v>817</v>
      </c>
      <c r="I86" s="43">
        <f>'附表1-GWP TABLE'!E85</f>
        <v>0</v>
      </c>
      <c r="J86" s="44"/>
      <c r="K86" s="41"/>
      <c r="L86" s="43"/>
      <c r="M86" s="44"/>
      <c r="N86" s="41"/>
      <c r="O86" s="43"/>
      <c r="P86" s="45"/>
      <c r="Q86" s="46"/>
      <c r="R86" s="47"/>
      <c r="S86" s="46"/>
      <c r="T86" s="44"/>
      <c r="U86" s="41"/>
      <c r="V86" s="48"/>
      <c r="W86" s="41"/>
      <c r="X86" s="44"/>
      <c r="Y86" s="41"/>
      <c r="Z86" s="43"/>
      <c r="AA86" s="44"/>
      <c r="AB86" s="46"/>
      <c r="AC86" s="43"/>
      <c r="AD86" s="49">
        <f>表1温室气体盘查表!AE87</f>
        <v>327.76098852</v>
      </c>
      <c r="AE86" s="49">
        <f>表1温室气体盘查表!AF87</f>
        <v>0</v>
      </c>
      <c r="AF86" s="49">
        <f>表1温室气体盘查表!AG87</f>
        <v>0</v>
      </c>
      <c r="AG86" s="49">
        <f>表1温室气体盘查表!AH87</f>
        <v>0</v>
      </c>
      <c r="AH86" s="49">
        <f>表1温室气体盘查表!AI87</f>
        <v>0</v>
      </c>
      <c r="AI86" s="49">
        <f>表1温室气体盘查表!AJ87</f>
        <v>0</v>
      </c>
      <c r="AJ86" s="49">
        <f>表1温室气体盘查表!AK87</f>
        <v>0</v>
      </c>
      <c r="AK86" s="49">
        <f>表1温室气体盘查表!AL87</f>
        <v>327.76098852</v>
      </c>
    </row>
    <row r="87" s="29" customFormat="1" ht="18" spans="1:37">
      <c r="A87" s="36">
        <v>83</v>
      </c>
      <c r="B87" s="37" t="str">
        <f>表1温室气体盘查表!B88</f>
        <v>商务旅行产生的排放</v>
      </c>
      <c r="C87" s="38" t="str">
        <f>表1温室气体盘查表!C88</f>
        <v>铁路运输</v>
      </c>
      <c r="D87" s="39" t="str">
        <f>表1温室气体盘查表!E88</f>
        <v>范围三 类别6</v>
      </c>
      <c r="E87" s="40">
        <f>表1温室气体盘查表!F88</f>
        <v>8277796.53</v>
      </c>
      <c r="F87" s="41" t="str">
        <f>表1温室气体盘查表!G88</f>
        <v>passenger*km</v>
      </c>
      <c r="G87" s="42" t="e">
        <f>'附表2-EF'!#REF!*10</f>
        <v>#REF!</v>
      </c>
      <c r="H87" s="41" t="s">
        <v>818</v>
      </c>
      <c r="I87" s="43">
        <f>'附表1-GWP TABLE'!E86</f>
        <v>0</v>
      </c>
      <c r="J87" s="44"/>
      <c r="K87" s="41"/>
      <c r="L87" s="43"/>
      <c r="M87" s="44"/>
      <c r="N87" s="41"/>
      <c r="O87" s="43"/>
      <c r="P87" s="45"/>
      <c r="Q87" s="46"/>
      <c r="R87" s="47"/>
      <c r="S87" s="46"/>
      <c r="T87" s="44"/>
      <c r="U87" s="41"/>
      <c r="V87" s="48"/>
      <c r="W87" s="41"/>
      <c r="X87" s="44"/>
      <c r="Y87" s="41"/>
      <c r="Z87" s="43"/>
      <c r="AA87" s="44"/>
      <c r="AB87" s="46"/>
      <c r="AC87" s="43"/>
      <c r="AD87" s="49">
        <f>表1温室气体盘查表!AE88</f>
        <v>619.787965215283</v>
      </c>
      <c r="AE87" s="49">
        <f>表1温室气体盘查表!AF88</f>
        <v>0</v>
      </c>
      <c r="AF87" s="49">
        <f>表1温室气体盘查表!AG88</f>
        <v>0</v>
      </c>
      <c r="AG87" s="49">
        <f>表1温室气体盘查表!AH88</f>
        <v>0</v>
      </c>
      <c r="AH87" s="49">
        <f>表1温室气体盘查表!AI88</f>
        <v>0</v>
      </c>
      <c r="AI87" s="49">
        <f>表1温室气体盘查表!AJ88</f>
        <v>0</v>
      </c>
      <c r="AJ87" s="49">
        <f>表1温室气体盘查表!AK88</f>
        <v>0</v>
      </c>
      <c r="AK87" s="49">
        <f>表1温室气体盘查表!AL88</f>
        <v>619.787965215283</v>
      </c>
    </row>
    <row r="88" ht="18" customHeight="1" spans="1:37">
      <c r="A88" s="36">
        <v>84</v>
      </c>
      <c r="B88" s="37" t="str">
        <f>表1温室气体盘查表!B89</f>
        <v>商务旅行产生的排放</v>
      </c>
      <c r="C88" s="38" t="str">
        <f>表1温室气体盘查表!C89</f>
        <v>员工差旅住宿</v>
      </c>
      <c r="D88" s="39" t="str">
        <f>表1温室气体盘查表!E89</f>
        <v>范围三 类别6</v>
      </c>
      <c r="E88" s="40">
        <f>表1温室气体盘查表!F89</f>
        <v>13507</v>
      </c>
      <c r="F88" s="41" t="str">
        <f>表1温室气体盘查表!G89</f>
        <v>总间*晚</v>
      </c>
      <c r="G88" s="42" t="e">
        <f>'附表2-EF'!#REF!*10</f>
        <v>#REF!</v>
      </c>
      <c r="H88" s="41" t="s">
        <v>819</v>
      </c>
      <c r="I88" s="43">
        <f>'附表1-GWP TABLE'!E87</f>
        <v>0</v>
      </c>
      <c r="J88" s="44"/>
      <c r="K88" s="41"/>
      <c r="L88" s="43"/>
      <c r="M88" s="44"/>
      <c r="N88" s="41"/>
      <c r="O88" s="43"/>
      <c r="P88" s="45"/>
      <c r="Q88" s="46"/>
      <c r="R88" s="47"/>
      <c r="S88" s="46"/>
      <c r="T88" s="44"/>
      <c r="U88" s="41"/>
      <c r="V88" s="48"/>
      <c r="W88" s="41"/>
      <c r="X88" s="44"/>
      <c r="Y88" s="41"/>
      <c r="Z88" s="43"/>
      <c r="AA88" s="44"/>
      <c r="AB88" s="46"/>
      <c r="AC88" s="43"/>
      <c r="AD88" s="49">
        <f>表1温室气体盘查表!AE89</f>
        <v>722.6245</v>
      </c>
      <c r="AE88" s="49">
        <f>表1温室气体盘查表!AF89</f>
        <v>0</v>
      </c>
      <c r="AF88" s="49">
        <f>表1温室气体盘查表!AG89</f>
        <v>0</v>
      </c>
      <c r="AG88" s="49">
        <f>表1温室气体盘查表!AH89</f>
        <v>0</v>
      </c>
      <c r="AH88" s="49">
        <f>表1温室气体盘查表!AI89</f>
        <v>0</v>
      </c>
      <c r="AI88" s="49">
        <f>表1温室气体盘查表!AJ89</f>
        <v>0</v>
      </c>
      <c r="AJ88" s="49">
        <f>表1温室气体盘查表!AK89</f>
        <v>0</v>
      </c>
      <c r="AK88" s="49">
        <f>表1温室气体盘查表!AL89</f>
        <v>722.6245</v>
      </c>
    </row>
    <row r="89" ht="18" customHeight="1" spans="1:37">
      <c r="A89" s="36">
        <v>85</v>
      </c>
      <c r="B89" s="37" t="str">
        <f>表1温室气体盘查表!B90</f>
        <v>员工通勤产生的排放</v>
      </c>
      <c r="C89" s="38" t="str">
        <f>表1温室气体盘查表!C90</f>
        <v>通勤车</v>
      </c>
      <c r="D89" s="39" t="str">
        <f>表1温室气体盘查表!E90</f>
        <v>范围三 类别7</v>
      </c>
      <c r="E89" s="40">
        <f>表1温室气体盘查表!F90</f>
        <v>12637097</v>
      </c>
      <c r="F89" s="41" t="str">
        <f>表1温室气体盘查表!G90</f>
        <v>passenger*km</v>
      </c>
      <c r="G89" s="42" t="e">
        <f>'附表2-EF'!#REF!*10</f>
        <v>#REF!</v>
      </c>
      <c r="H89" s="41" t="s">
        <v>820</v>
      </c>
      <c r="I89" s="43">
        <f>'附表1-GWP TABLE'!E88</f>
        <v>0</v>
      </c>
      <c r="J89" s="44"/>
      <c r="K89" s="41"/>
      <c r="L89" s="43"/>
      <c r="M89" s="44"/>
      <c r="N89" s="41"/>
      <c r="O89" s="43"/>
      <c r="P89" s="45"/>
      <c r="Q89" s="46"/>
      <c r="R89" s="47"/>
      <c r="S89" s="46"/>
      <c r="T89" s="44"/>
      <c r="U89" s="41"/>
      <c r="V89" s="48"/>
      <c r="W89" s="41"/>
      <c r="X89" s="44"/>
      <c r="Y89" s="41"/>
      <c r="Z89" s="43"/>
      <c r="AA89" s="44"/>
      <c r="AB89" s="46"/>
      <c r="AC89" s="43"/>
      <c r="AD89" s="49">
        <f>表1温室气体盘查表!AE90</f>
        <v>111.2064536</v>
      </c>
      <c r="AE89" s="49">
        <f>表1温室气体盘查表!AF90</f>
        <v>0</v>
      </c>
      <c r="AF89" s="49">
        <f>表1温室气体盘查表!AG90</f>
        <v>0</v>
      </c>
      <c r="AG89" s="49">
        <f>表1温室气体盘查表!AH90</f>
        <v>0</v>
      </c>
      <c r="AH89" s="49">
        <f>表1温室气体盘查表!AI90</f>
        <v>0</v>
      </c>
      <c r="AI89" s="49">
        <f>表1温室气体盘查表!AJ90</f>
        <v>0</v>
      </c>
      <c r="AJ89" s="49">
        <f>表1温室气体盘查表!AK90</f>
        <v>0</v>
      </c>
      <c r="AK89" s="49">
        <f>表1温室气体盘查表!AL90</f>
        <v>111.2064536</v>
      </c>
    </row>
    <row r="90" ht="18" customHeight="1" spans="1:37">
      <c r="A90" s="36">
        <v>86</v>
      </c>
      <c r="B90" s="37" t="str">
        <f>表1温室气体盘查表!B91</f>
        <v>员工通勤产生的排放</v>
      </c>
      <c r="C90" s="38" t="str">
        <f>表1温室气体盘查表!C91</f>
        <v>电动车</v>
      </c>
      <c r="D90" s="39" t="str">
        <f>表1温室气体盘查表!E91</f>
        <v>范围三 类别7</v>
      </c>
      <c r="E90" s="40">
        <f>表1温室气体盘查表!F91</f>
        <v>17561466</v>
      </c>
      <c r="F90" s="41" t="str">
        <f>表1温室气体盘查表!G91</f>
        <v>passenger*km</v>
      </c>
      <c r="G90" s="42" t="e">
        <f>'附表2-EF'!#REF!*10</f>
        <v>#REF!</v>
      </c>
      <c r="H90" s="41" t="s">
        <v>821</v>
      </c>
      <c r="I90" s="43">
        <f>'附表1-GWP TABLE'!E89</f>
        <v>0</v>
      </c>
      <c r="J90" s="44"/>
      <c r="K90" s="41"/>
      <c r="L90" s="43"/>
      <c r="M90" s="44"/>
      <c r="N90" s="41"/>
      <c r="O90" s="43"/>
      <c r="P90" s="45"/>
      <c r="Q90" s="46"/>
      <c r="R90" s="47"/>
      <c r="S90" s="46"/>
      <c r="T90" s="44"/>
      <c r="U90" s="41"/>
      <c r="V90" s="48"/>
      <c r="W90" s="41"/>
      <c r="X90" s="44"/>
      <c r="Y90" s="41"/>
      <c r="Z90" s="43"/>
      <c r="AA90" s="44"/>
      <c r="AB90" s="46"/>
      <c r="AC90" s="43"/>
      <c r="AD90" s="49">
        <f>表1温室气体盘查表!AE91</f>
        <v>474.515379130203</v>
      </c>
      <c r="AE90" s="49">
        <f>表1温室气体盘查表!AF91</f>
        <v>0</v>
      </c>
      <c r="AF90" s="49">
        <f>表1温室气体盘查表!AG91</f>
        <v>0</v>
      </c>
      <c r="AG90" s="49">
        <f>表1温室气体盘查表!AH91</f>
        <v>0</v>
      </c>
      <c r="AH90" s="49">
        <f>表1温室气体盘查表!AI91</f>
        <v>0</v>
      </c>
      <c r="AI90" s="49">
        <f>表1温室气体盘查表!AJ91</f>
        <v>0</v>
      </c>
      <c r="AJ90" s="49">
        <f>表1温室气体盘查表!AK91</f>
        <v>0</v>
      </c>
      <c r="AK90" s="49">
        <f>表1温室气体盘查表!AL91</f>
        <v>474.515379130203</v>
      </c>
    </row>
    <row r="91" ht="18" customHeight="1" spans="1:37">
      <c r="A91" s="36">
        <v>87</v>
      </c>
      <c r="B91" s="37" t="str">
        <f>表1温室气体盘查表!B92</f>
        <v>员工通勤产生的排放</v>
      </c>
      <c r="C91" s="38" t="str">
        <f>表1温室气体盘查表!C92</f>
        <v>自驾油车</v>
      </c>
      <c r="D91" s="39" t="str">
        <f>表1温室气体盘查表!E92</f>
        <v>范围三 类别7</v>
      </c>
      <c r="E91" s="40">
        <f>表1温室气体盘查表!F92</f>
        <v>31405120</v>
      </c>
      <c r="F91" s="41" t="str">
        <f>表1温室气体盘查表!G92</f>
        <v>km</v>
      </c>
      <c r="G91" s="42" t="e">
        <f>'附表2-EF'!#REF!*10</f>
        <v>#REF!</v>
      </c>
      <c r="H91" s="41" t="s">
        <v>822</v>
      </c>
      <c r="I91" s="43">
        <f>'附表1-GWP TABLE'!E90</f>
        <v>0</v>
      </c>
      <c r="J91" s="44"/>
      <c r="K91" s="41"/>
      <c r="L91" s="43"/>
      <c r="M91" s="44"/>
      <c r="N91" s="41"/>
      <c r="O91" s="43"/>
      <c r="P91" s="45"/>
      <c r="Q91" s="46"/>
      <c r="R91" s="47"/>
      <c r="S91" s="46"/>
      <c r="T91" s="44"/>
      <c r="U91" s="41"/>
      <c r="V91" s="48"/>
      <c r="W91" s="41"/>
      <c r="X91" s="44"/>
      <c r="Y91" s="41"/>
      <c r="Z91" s="43"/>
      <c r="AA91" s="44"/>
      <c r="AB91" s="46"/>
      <c r="AC91" s="43"/>
      <c r="AD91" s="49">
        <f>表1温室气体盘查表!AE92</f>
        <v>11664.7288421612</v>
      </c>
      <c r="AE91" s="49">
        <f>表1温室气体盘查表!AF92</f>
        <v>0</v>
      </c>
      <c r="AF91" s="49">
        <f>表1温室气体盘查表!AG92</f>
        <v>0</v>
      </c>
      <c r="AG91" s="49">
        <f>表1温室气体盘查表!AH92</f>
        <v>0</v>
      </c>
      <c r="AH91" s="49">
        <f>表1温室气体盘查表!AI92</f>
        <v>0</v>
      </c>
      <c r="AI91" s="49">
        <f>表1温室气体盘查表!AJ92</f>
        <v>0</v>
      </c>
      <c r="AJ91" s="49">
        <f>表1温室气体盘查表!AK92</f>
        <v>0</v>
      </c>
      <c r="AK91" s="49">
        <f>表1温室气体盘查表!AL92</f>
        <v>11664.7288421612</v>
      </c>
    </row>
    <row r="92" ht="18" customHeight="1" spans="1:37">
      <c r="A92" s="36">
        <v>88</v>
      </c>
      <c r="B92" s="37" t="str">
        <f>表1温室气体盘查表!B93</f>
        <v>员工通勤产生的排放</v>
      </c>
      <c r="C92" s="38" t="str">
        <f>表1温室气体盘查表!C93</f>
        <v>自驾电车</v>
      </c>
      <c r="D92" s="39" t="str">
        <f>表1温室气体盘查表!E93</f>
        <v>范围三 类别7</v>
      </c>
      <c r="E92" s="40">
        <f>表1温室气体盘查表!F93</f>
        <v>2886500</v>
      </c>
      <c r="F92" s="41" t="str">
        <f>表1温室气体盘查表!G93</f>
        <v>km</v>
      </c>
      <c r="G92" s="42" t="e">
        <f>'附表2-EF'!#REF!*10</f>
        <v>#REF!</v>
      </c>
      <c r="H92" s="41" t="s">
        <v>823</v>
      </c>
      <c r="I92" s="43">
        <f>'附表1-GWP TABLE'!E91</f>
        <v>0</v>
      </c>
      <c r="J92" s="44"/>
      <c r="K92" s="41"/>
      <c r="L92" s="43"/>
      <c r="M92" s="44"/>
      <c r="N92" s="41"/>
      <c r="O92" s="43"/>
      <c r="P92" s="45"/>
      <c r="Q92" s="46"/>
      <c r="R92" s="47"/>
      <c r="S92" s="46"/>
      <c r="T92" s="44"/>
      <c r="U92" s="41"/>
      <c r="V92" s="48"/>
      <c r="W92" s="41"/>
      <c r="X92" s="44"/>
      <c r="Y92" s="41"/>
      <c r="Z92" s="43"/>
      <c r="AA92" s="44"/>
      <c r="AB92" s="46"/>
      <c r="AC92" s="43"/>
      <c r="AD92" s="49">
        <f>表1温室气体盘查表!AE93</f>
        <v>1072.12581269864</v>
      </c>
      <c r="AE92" s="49">
        <f>表1温室气体盘查表!AF93</f>
        <v>0</v>
      </c>
      <c r="AF92" s="49">
        <f>表1温室气体盘查表!AG93</f>
        <v>0</v>
      </c>
      <c r="AG92" s="49">
        <f>表1温室气体盘查表!AH93</f>
        <v>0</v>
      </c>
      <c r="AH92" s="49">
        <f>表1温室气体盘查表!AI93</f>
        <v>0</v>
      </c>
      <c r="AI92" s="49">
        <f>表1温室气体盘查表!AJ93</f>
        <v>0</v>
      </c>
      <c r="AJ92" s="49">
        <f>表1温室气体盘查表!AK93</f>
        <v>0</v>
      </c>
      <c r="AK92" s="49">
        <f>表1温室气体盘查表!AL93</f>
        <v>1072.12581269864</v>
      </c>
    </row>
    <row r="93" ht="18" customHeight="1" spans="1:37">
      <c r="A93" s="36">
        <v>89</v>
      </c>
      <c r="B93" s="37" t="str">
        <f>表1温室气体盘查表!B94</f>
        <v>下游运输配送产生的排放</v>
      </c>
      <c r="C93" s="38" t="str">
        <f>表1温室气体盘查表!C94</f>
        <v>船运</v>
      </c>
      <c r="D93" s="39" t="str">
        <f>表1温室气体盘查表!E94</f>
        <v>范围三 类别9</v>
      </c>
      <c r="E93" s="40">
        <f>表1温室气体盘查表!F94</f>
        <v>1029048283.74</v>
      </c>
      <c r="F93" s="41" t="str">
        <f>表1温室气体盘查表!G94</f>
        <v>tkm</v>
      </c>
      <c r="G93" s="42" t="e">
        <f>'附表2-EF'!#REF!*10</f>
        <v>#REF!</v>
      </c>
      <c r="H93" s="41" t="s">
        <v>824</v>
      </c>
      <c r="I93" s="43">
        <f>'附表1-GWP TABLE'!E92</f>
        <v>0</v>
      </c>
      <c r="J93" s="44"/>
      <c r="K93" s="41"/>
      <c r="L93" s="43"/>
      <c r="M93" s="44"/>
      <c r="N93" s="41"/>
      <c r="O93" s="43"/>
      <c r="P93" s="45"/>
      <c r="Q93" s="46"/>
      <c r="R93" s="47"/>
      <c r="S93" s="46"/>
      <c r="T93" s="44"/>
      <c r="U93" s="41"/>
      <c r="V93" s="48"/>
      <c r="W93" s="41"/>
      <c r="X93" s="44"/>
      <c r="Y93" s="41"/>
      <c r="Z93" s="43"/>
      <c r="AA93" s="44"/>
      <c r="AB93" s="46"/>
      <c r="AC93" s="43"/>
      <c r="AD93" s="49">
        <f>表1温室气体盘查表!AE94</f>
        <v>53478.1555212475</v>
      </c>
      <c r="AE93" s="49">
        <f>表1温室气体盘查表!AF94</f>
        <v>0</v>
      </c>
      <c r="AF93" s="49">
        <f>表1温室气体盘查表!AG94</f>
        <v>0</v>
      </c>
      <c r="AG93" s="49">
        <f>表1温室气体盘查表!AH94</f>
        <v>0</v>
      </c>
      <c r="AH93" s="49">
        <f>表1温室气体盘查表!AI94</f>
        <v>0</v>
      </c>
      <c r="AI93" s="49">
        <f>表1温室气体盘查表!AJ94</f>
        <v>0</v>
      </c>
      <c r="AJ93" s="49">
        <f>表1温室气体盘查表!AK94</f>
        <v>0</v>
      </c>
      <c r="AK93" s="49">
        <f>表1温室气体盘查表!AL94</f>
        <v>53478.1555212475</v>
      </c>
    </row>
    <row r="94" ht="18" customHeight="1" spans="1:37">
      <c r="A94" s="36">
        <v>90</v>
      </c>
      <c r="B94" s="37" t="str">
        <f>表1温室气体盘查表!B95</f>
        <v>下游运输配送产生的排放</v>
      </c>
      <c r="C94" s="38" t="str">
        <f>表1温室气体盘查表!C95</f>
        <v>汽运</v>
      </c>
      <c r="D94" s="39" t="str">
        <f>表1温室气体盘查表!E95</f>
        <v>范围三 类别9</v>
      </c>
      <c r="E94" s="40">
        <f>表1温室气体盘查表!F95</f>
        <v>1369080976.66</v>
      </c>
      <c r="F94" s="41" t="str">
        <f>表1温室气体盘查表!G95</f>
        <v>tkm</v>
      </c>
      <c r="G94" s="42" t="e">
        <f>'附表2-EF'!#REF!*10</f>
        <v>#REF!</v>
      </c>
      <c r="H94" s="41" t="s">
        <v>825</v>
      </c>
      <c r="I94" s="43">
        <f>'附表1-GWP TABLE'!E93</f>
        <v>0</v>
      </c>
      <c r="J94" s="44"/>
      <c r="K94" s="41"/>
      <c r="L94" s="43"/>
      <c r="M94" s="44"/>
      <c r="N94" s="41"/>
      <c r="O94" s="43"/>
      <c r="P94" s="45"/>
      <c r="Q94" s="46"/>
      <c r="R94" s="47"/>
      <c r="S94" s="46"/>
      <c r="T94" s="44"/>
      <c r="U94" s="41"/>
      <c r="V94" s="48"/>
      <c r="W94" s="41"/>
      <c r="X94" s="44"/>
      <c r="Y94" s="41"/>
      <c r="Z94" s="43"/>
      <c r="AA94" s="44"/>
      <c r="AB94" s="46"/>
      <c r="AC94" s="43"/>
      <c r="AD94" s="49">
        <f>表1温室气体盘查表!AE95</f>
        <v>208049.485839029</v>
      </c>
      <c r="AE94" s="49">
        <f>表1温室气体盘查表!AF95</f>
        <v>0</v>
      </c>
      <c r="AF94" s="49">
        <f>表1温室气体盘查表!AG95</f>
        <v>0</v>
      </c>
      <c r="AG94" s="49">
        <f>表1温室气体盘查表!AH95</f>
        <v>0</v>
      </c>
      <c r="AH94" s="49">
        <f>表1温室气体盘查表!AI95</f>
        <v>0</v>
      </c>
      <c r="AI94" s="49">
        <f>表1温室气体盘查表!AJ95</f>
        <v>0</v>
      </c>
      <c r="AJ94" s="49">
        <f>表1温室气体盘查表!AK95</f>
        <v>0</v>
      </c>
      <c r="AK94" s="49">
        <f>表1温室气体盘查表!AL95</f>
        <v>208049.485839029</v>
      </c>
    </row>
    <row r="95" ht="18" customHeight="1" spans="1:37">
      <c r="A95" s="36">
        <v>91</v>
      </c>
      <c r="B95" s="37" t="str">
        <f>表1温室气体盘查表!B96</f>
        <v>下游运输配送产生的排放</v>
      </c>
      <c r="C95" s="38" t="str">
        <f>表1温室气体盘查表!C96</f>
        <v>铁路运输</v>
      </c>
      <c r="D95" s="39" t="str">
        <f>表1温室气体盘查表!E96</f>
        <v>范围三 类别9</v>
      </c>
      <c r="E95" s="40">
        <f>表1温室气体盘查表!F96</f>
        <v>228437028.19</v>
      </c>
      <c r="F95" s="41" t="str">
        <f>表1温室气体盘查表!G96</f>
        <v>tkm</v>
      </c>
      <c r="G95" s="42" t="e">
        <f>'附表2-EF'!#REF!*10</f>
        <v>#REF!</v>
      </c>
      <c r="H95" s="41" t="s">
        <v>826</v>
      </c>
      <c r="I95" s="43">
        <f>'附表1-GWP TABLE'!E94</f>
        <v>0</v>
      </c>
      <c r="J95" s="44"/>
      <c r="K95" s="41"/>
      <c r="L95" s="43"/>
      <c r="M95" s="44"/>
      <c r="N95" s="41"/>
      <c r="O95" s="43"/>
      <c r="P95" s="45"/>
      <c r="Q95" s="46"/>
      <c r="R95" s="47"/>
      <c r="S95" s="46"/>
      <c r="T95" s="44"/>
      <c r="U95" s="41"/>
      <c r="V95" s="48"/>
      <c r="W95" s="41"/>
      <c r="X95" s="44"/>
      <c r="Y95" s="41"/>
      <c r="Z95" s="43"/>
      <c r="AA95" s="44"/>
      <c r="AB95" s="46"/>
      <c r="AC95" s="43"/>
      <c r="AD95" s="49">
        <f>表1温室气体盘查表!AE96</f>
        <v>11086.4717529011</v>
      </c>
      <c r="AE95" s="49">
        <f>表1温室气体盘查表!AF96</f>
        <v>0</v>
      </c>
      <c r="AF95" s="49">
        <f>表1温室气体盘查表!AG96</f>
        <v>0</v>
      </c>
      <c r="AG95" s="49">
        <f>表1温室气体盘查表!AH96</f>
        <v>0</v>
      </c>
      <c r="AH95" s="49">
        <f>表1温室气体盘查表!AI96</f>
        <v>0</v>
      </c>
      <c r="AI95" s="49">
        <f>表1温室气体盘查表!AJ96</f>
        <v>0</v>
      </c>
      <c r="AJ95" s="49">
        <f>表1温室气体盘查表!AK96</f>
        <v>0</v>
      </c>
      <c r="AK95" s="49">
        <f>表1温室气体盘查表!AL96</f>
        <v>11086.4717529011</v>
      </c>
    </row>
    <row r="96" ht="18" customHeight="1" spans="1:37">
      <c r="A96" s="36">
        <v>92</v>
      </c>
      <c r="B96" s="37" t="str">
        <f>表1温室气体盘查表!B97</f>
        <v>下游运输配送产生的排放</v>
      </c>
      <c r="C96" s="38" t="str">
        <f>表1温室气体盘查表!C97</f>
        <v>汽运-副产品</v>
      </c>
      <c r="D96" s="39" t="str">
        <f>表1温室气体盘查表!E97</f>
        <v>范围三 类别9</v>
      </c>
      <c r="E96" s="40">
        <f>表1温室气体盘查表!F97</f>
        <v>12973524</v>
      </c>
      <c r="F96" s="41" t="str">
        <f>表1温室气体盘查表!G97</f>
        <v>tkm</v>
      </c>
      <c r="G96" s="42" t="e">
        <f>'附表2-EF'!#REF!*10</f>
        <v>#REF!</v>
      </c>
      <c r="H96" s="41" t="s">
        <v>827</v>
      </c>
      <c r="I96" s="43">
        <f>'附表1-GWP TABLE'!E95</f>
        <v>0</v>
      </c>
      <c r="J96" s="44"/>
      <c r="K96" s="41"/>
      <c r="L96" s="43"/>
      <c r="M96" s="44"/>
      <c r="N96" s="41"/>
      <c r="O96" s="43"/>
      <c r="P96" s="45"/>
      <c r="Q96" s="46"/>
      <c r="R96" s="47"/>
      <c r="S96" s="46"/>
      <c r="T96" s="44"/>
      <c r="U96" s="41"/>
      <c r="V96" s="48"/>
      <c r="W96" s="41"/>
      <c r="X96" s="44"/>
      <c r="Y96" s="41"/>
      <c r="Z96" s="43"/>
      <c r="AA96" s="44"/>
      <c r="AB96" s="46"/>
      <c r="AC96" s="43"/>
      <c r="AD96" s="49">
        <f>表1温室气体盘查表!AE97</f>
        <v>1971.49404873413</v>
      </c>
      <c r="AE96" s="49">
        <f>表1温室气体盘查表!AF97</f>
        <v>0</v>
      </c>
      <c r="AF96" s="49">
        <f>表1温室气体盘查表!AG97</f>
        <v>0</v>
      </c>
      <c r="AG96" s="49">
        <f>表1温室气体盘查表!AH97</f>
        <v>0</v>
      </c>
      <c r="AH96" s="49">
        <f>表1温室气体盘查表!AI97</f>
        <v>0</v>
      </c>
      <c r="AI96" s="49">
        <f>表1温室气体盘查表!AJ97</f>
        <v>0</v>
      </c>
      <c r="AJ96" s="49">
        <f>表1温室气体盘查表!AK97</f>
        <v>0</v>
      </c>
      <c r="AK96" s="49">
        <f>表1温室气体盘查表!AL97</f>
        <v>1971.49404873413</v>
      </c>
    </row>
    <row r="97" ht="18" customHeight="1" spans="1:37">
      <c r="A97" s="36">
        <v>93</v>
      </c>
      <c r="B97" s="37" t="str">
        <f>表1温室气体盘查表!B98</f>
        <v>外销产品加工产生的排放</v>
      </c>
      <c r="C97" s="38" t="str">
        <f>表1温室气体盘查表!C98</f>
        <v>锻材加工</v>
      </c>
      <c r="D97" s="39" t="str">
        <f>表1温室气体盘查表!E98</f>
        <v>范围三 类别10</v>
      </c>
      <c r="E97" s="40">
        <f>表1温室气体盘查表!F98</f>
        <v>149966</v>
      </c>
      <c r="F97" s="41" t="str">
        <f>表1温室气体盘查表!G98</f>
        <v>t</v>
      </c>
      <c r="G97" s="42">
        <f>'附表2-EF'!K97*10</f>
        <v>0</v>
      </c>
      <c r="H97" s="41" t="s">
        <v>828</v>
      </c>
      <c r="I97" s="43">
        <f>'附表1-GWP TABLE'!E96</f>
        <v>0</v>
      </c>
      <c r="J97" s="44"/>
      <c r="K97" s="41"/>
      <c r="L97" s="43"/>
      <c r="M97" s="44"/>
      <c r="N97" s="41"/>
      <c r="O97" s="43"/>
      <c r="P97" s="45"/>
      <c r="Q97" s="46"/>
      <c r="R97" s="47"/>
      <c r="S97" s="46"/>
      <c r="T97" s="44"/>
      <c r="U97" s="41"/>
      <c r="V97" s="48"/>
      <c r="W97" s="41"/>
      <c r="X97" s="44"/>
      <c r="Y97" s="41"/>
      <c r="Z97" s="43"/>
      <c r="AA97" s="44"/>
      <c r="AB97" s="46"/>
      <c r="AC97" s="43"/>
      <c r="AD97" s="49">
        <f>表1温室气体盘查表!AE98</f>
        <v>113275.661420512</v>
      </c>
      <c r="AE97" s="49">
        <f>表1温室气体盘查表!AF98</f>
        <v>0</v>
      </c>
      <c r="AF97" s="49">
        <f>表1温室气体盘查表!AG98</f>
        <v>0</v>
      </c>
      <c r="AG97" s="49">
        <f>表1温室气体盘查表!AH98</f>
        <v>0</v>
      </c>
      <c r="AH97" s="49">
        <f>表1温室气体盘查表!AI98</f>
        <v>0</v>
      </c>
      <c r="AI97" s="49">
        <f>表1温室气体盘查表!AJ98</f>
        <v>0</v>
      </c>
      <c r="AJ97" s="49">
        <f>表1温室气体盘查表!AK98</f>
        <v>0</v>
      </c>
      <c r="AK97" s="49">
        <f>表1温室气体盘查表!AL98</f>
        <v>113275.661420512</v>
      </c>
    </row>
    <row r="98" ht="18" customHeight="1" spans="1:37">
      <c r="A98" s="36">
        <v>94</v>
      </c>
      <c r="B98" s="37" t="str">
        <f>表1温室气体盘查表!B99</f>
        <v>外销产品加工产生的排放</v>
      </c>
      <c r="C98" s="38" t="str">
        <f>表1温室气体盘查表!C99</f>
        <v>棒材加工</v>
      </c>
      <c r="D98" s="39" t="str">
        <f>表1温室气体盘查表!E99</f>
        <v>范围三 类别10</v>
      </c>
      <c r="E98" s="40">
        <f>表1温室气体盘查表!F99</f>
        <v>2033971</v>
      </c>
      <c r="F98" s="41" t="str">
        <f>表1温室气体盘查表!G99</f>
        <v>t</v>
      </c>
      <c r="G98" s="42" t="e">
        <f>'附表2-EF'!#REF!*10</f>
        <v>#REF!</v>
      </c>
      <c r="H98" s="41" t="s">
        <v>829</v>
      </c>
      <c r="I98" s="43">
        <f>'附表1-GWP TABLE'!E97</f>
        <v>0</v>
      </c>
      <c r="J98" s="44"/>
      <c r="K98" s="41"/>
      <c r="L98" s="43"/>
      <c r="M98" s="44"/>
      <c r="N98" s="41"/>
      <c r="O98" s="43"/>
      <c r="P98" s="45"/>
      <c r="Q98" s="46"/>
      <c r="R98" s="47"/>
      <c r="S98" s="46"/>
      <c r="T98" s="44"/>
      <c r="U98" s="41"/>
      <c r="V98" s="48"/>
      <c r="W98" s="41"/>
      <c r="X98" s="44"/>
      <c r="Y98" s="41"/>
      <c r="Z98" s="43"/>
      <c r="AA98" s="44"/>
      <c r="AB98" s="46"/>
      <c r="AC98" s="43"/>
      <c r="AD98" s="49">
        <f>表1温室气体盘查表!AE99</f>
        <v>1357195.22298588</v>
      </c>
      <c r="AE98" s="49">
        <f>表1温室气体盘查表!AF99</f>
        <v>0</v>
      </c>
      <c r="AF98" s="49">
        <f>表1温室气体盘查表!AG99</f>
        <v>0</v>
      </c>
      <c r="AG98" s="49">
        <f>表1温室气体盘查表!AH99</f>
        <v>0</v>
      </c>
      <c r="AH98" s="49">
        <f>表1温室气体盘查表!AI99</f>
        <v>0</v>
      </c>
      <c r="AI98" s="49">
        <f>表1温室气体盘查表!AJ99</f>
        <v>0</v>
      </c>
      <c r="AJ98" s="49">
        <f>表1温室气体盘查表!AK99</f>
        <v>0</v>
      </c>
      <c r="AK98" s="49">
        <f>表1温室气体盘查表!AL99</f>
        <v>1357195.22298588</v>
      </c>
    </row>
    <row r="99" ht="18" customHeight="1" spans="1:37">
      <c r="A99" s="36">
        <v>95</v>
      </c>
      <c r="B99" s="37" t="str">
        <f>表1温室气体盘查表!B100</f>
        <v>外销产品加工产生的排放</v>
      </c>
      <c r="C99" s="38" t="str">
        <f>表1温室气体盘查表!C100</f>
        <v>钢管加工</v>
      </c>
      <c r="D99" s="39" t="str">
        <f>表1温室气体盘查表!E100</f>
        <v>范围三 类别10</v>
      </c>
      <c r="E99" s="40">
        <f>表1温室气体盘查表!F100</f>
        <v>760435.74</v>
      </c>
      <c r="F99" s="41" t="str">
        <f>表1温室气体盘查表!G100</f>
        <v>t</v>
      </c>
      <c r="G99" s="42" t="e">
        <f>'附表2-EF'!#REF!*10</f>
        <v>#REF!</v>
      </c>
      <c r="H99" s="41" t="s">
        <v>830</v>
      </c>
      <c r="I99" s="43">
        <f>'附表1-GWP TABLE'!E98</f>
        <v>0</v>
      </c>
      <c r="J99" s="44"/>
      <c r="K99" s="41"/>
      <c r="L99" s="43"/>
      <c r="M99" s="44"/>
      <c r="N99" s="41"/>
      <c r="O99" s="43"/>
      <c r="P99" s="45"/>
      <c r="Q99" s="46"/>
      <c r="R99" s="47"/>
      <c r="S99" s="46"/>
      <c r="T99" s="44"/>
      <c r="U99" s="41"/>
      <c r="V99" s="48"/>
      <c r="W99" s="41"/>
      <c r="X99" s="44"/>
      <c r="Y99" s="41"/>
      <c r="Z99" s="43"/>
      <c r="AA99" s="44"/>
      <c r="AB99" s="46"/>
      <c r="AC99" s="43"/>
      <c r="AD99" s="49">
        <f>表1温室气体盘查表!AE100</f>
        <v>72250.3406477739</v>
      </c>
      <c r="AE99" s="49">
        <f>表1温室气体盘查表!AF100</f>
        <v>0</v>
      </c>
      <c r="AF99" s="49">
        <f>表1温室气体盘查表!AG100</f>
        <v>0</v>
      </c>
      <c r="AG99" s="49">
        <f>表1温室气体盘查表!AH100</f>
        <v>0</v>
      </c>
      <c r="AH99" s="49">
        <f>表1温室气体盘查表!AI100</f>
        <v>0</v>
      </c>
      <c r="AI99" s="49">
        <f>表1温室气体盘查表!AJ100</f>
        <v>0</v>
      </c>
      <c r="AJ99" s="49">
        <f>表1温室气体盘查表!AK100</f>
        <v>0</v>
      </c>
      <c r="AK99" s="49">
        <f>表1温室气体盘查表!AL100</f>
        <v>72250.3406477739</v>
      </c>
    </row>
    <row r="100" ht="18" customHeight="1" spans="1:37">
      <c r="A100" s="36">
        <v>96</v>
      </c>
      <c r="B100" s="37" t="str">
        <f>表1温室气体盘查表!B101</f>
        <v>外销产品加工产生的排放</v>
      </c>
      <c r="C100" s="38" t="str">
        <f>表1温室气体盘查表!C101</f>
        <v>钢坯加工</v>
      </c>
      <c r="D100" s="39" t="str">
        <f>表1温室气体盘查表!E101</f>
        <v>范围三 类别10</v>
      </c>
      <c r="E100" s="40">
        <f>表1温室气体盘查表!F101</f>
        <v>702589.87</v>
      </c>
      <c r="F100" s="41" t="str">
        <f>表1温室气体盘查表!G101</f>
        <v>t</v>
      </c>
      <c r="G100" s="42" t="e">
        <f>'附表2-EF'!#REF!*10</f>
        <v>#REF!</v>
      </c>
      <c r="H100" s="41" t="s">
        <v>831</v>
      </c>
      <c r="I100" s="43">
        <f>'附表1-GWP TABLE'!E99</f>
        <v>0</v>
      </c>
      <c r="J100" s="44"/>
      <c r="K100" s="41"/>
      <c r="L100" s="43"/>
      <c r="M100" s="44"/>
      <c r="N100" s="41"/>
      <c r="O100" s="43"/>
      <c r="P100" s="45"/>
      <c r="Q100" s="46"/>
      <c r="R100" s="47"/>
      <c r="S100" s="46"/>
      <c r="T100" s="44"/>
      <c r="U100" s="41"/>
      <c r="V100" s="48"/>
      <c r="W100" s="41"/>
      <c r="X100" s="44"/>
      <c r="Y100" s="41"/>
      <c r="Z100" s="43"/>
      <c r="AA100" s="44"/>
      <c r="AB100" s="46"/>
      <c r="AC100" s="43"/>
      <c r="AD100" s="49">
        <f>表1温室气体盘查表!AE101</f>
        <v>203898.734635364</v>
      </c>
      <c r="AE100" s="49">
        <f>表1温室气体盘查表!AF101</f>
        <v>0</v>
      </c>
      <c r="AF100" s="49">
        <f>表1温室气体盘查表!AG101</f>
        <v>0</v>
      </c>
      <c r="AG100" s="49">
        <f>表1温室气体盘查表!AH101</f>
        <v>0</v>
      </c>
      <c r="AH100" s="49">
        <f>表1温室气体盘查表!AI101</f>
        <v>0</v>
      </c>
      <c r="AI100" s="49">
        <f>表1温室气体盘查表!AJ101</f>
        <v>0</v>
      </c>
      <c r="AJ100" s="49">
        <f>表1温室气体盘查表!AK101</f>
        <v>0</v>
      </c>
      <c r="AK100" s="49">
        <f>表1温室气体盘查表!AL101</f>
        <v>203898.734635364</v>
      </c>
    </row>
    <row r="101" ht="18" customHeight="1" spans="1:37">
      <c r="A101" s="36">
        <v>97</v>
      </c>
      <c r="B101" s="37" t="str">
        <f>表1温室气体盘查表!B102</f>
        <v>外销产品使用产生的排放</v>
      </c>
      <c r="C101" s="38" t="str">
        <f>表1温室气体盘查表!C102</f>
        <v>外售焦炉煤气燃烧</v>
      </c>
      <c r="D101" s="39" t="str">
        <f>表1温室气体盘查表!E102</f>
        <v>范围三 类别11</v>
      </c>
      <c r="E101" s="40">
        <f>表1温室气体盘查表!F102</f>
        <v>500.97</v>
      </c>
      <c r="F101" s="41" t="str">
        <f>表1温室气体盘查表!G102</f>
        <v>10000Nm3</v>
      </c>
      <c r="G101" s="42"/>
      <c r="H101" s="41"/>
      <c r="I101" s="43"/>
      <c r="J101" s="44"/>
      <c r="K101" s="41"/>
      <c r="L101" s="43"/>
      <c r="M101" s="44"/>
      <c r="N101" s="41"/>
      <c r="O101" s="43"/>
      <c r="P101" s="45"/>
      <c r="Q101" s="46"/>
      <c r="R101" s="47"/>
      <c r="S101" s="46"/>
      <c r="T101" s="44"/>
      <c r="U101" s="41"/>
      <c r="V101" s="48"/>
      <c r="W101" s="41"/>
      <c r="X101" s="44"/>
      <c r="Y101" s="41"/>
      <c r="Z101" s="43"/>
      <c r="AA101" s="44"/>
      <c r="AB101" s="46"/>
      <c r="AC101" s="43"/>
      <c r="AD101" s="49">
        <f>表1温室气体盘查表!AE102</f>
        <v>3828.37588063128</v>
      </c>
      <c r="AE101" s="49">
        <f>表1温室气体盘查表!AF102</f>
        <v>2.40566862769398</v>
      </c>
      <c r="AF101" s="49">
        <f>表1温室气体盘查表!AG102</f>
        <v>2.35393381849626</v>
      </c>
      <c r="AG101" s="49">
        <f>表1温室气体盘查表!AH102</f>
        <v>0</v>
      </c>
      <c r="AH101" s="49">
        <f>表1温室气体盘查表!AI102</f>
        <v>0</v>
      </c>
      <c r="AI101" s="49">
        <f>表1温室气体盘查表!AJ102</f>
        <v>0</v>
      </c>
      <c r="AJ101" s="49">
        <f>表1温室气体盘查表!AK102</f>
        <v>0</v>
      </c>
      <c r="AK101" s="49">
        <f>表1温室气体盘查表!AL102</f>
        <v>3833.13548307747</v>
      </c>
    </row>
    <row r="102" ht="18" customHeight="1" spans="1:37">
      <c r="A102" s="36">
        <v>98</v>
      </c>
      <c r="B102" s="37" t="str">
        <f>表1温室气体盘查表!B103</f>
        <v>外售产品报废产生的排放</v>
      </c>
      <c r="C102" s="38" t="str">
        <f>表1温室气体盘查表!C103</f>
        <v>产品报废</v>
      </c>
      <c r="D102" s="39" t="str">
        <f>表1温室气体盘查表!E103</f>
        <v>范围三 类别12</v>
      </c>
      <c r="E102" s="40">
        <f>表1温室气体盘查表!F103</f>
        <v>598329.8</v>
      </c>
      <c r="F102" s="41" t="str">
        <f>表1温室气体盘查表!G103</f>
        <v>t</v>
      </c>
      <c r="G102" s="42" t="e">
        <f>'附表2-EF'!#REF!*10</f>
        <v>#REF!</v>
      </c>
      <c r="H102" s="41" t="s">
        <v>832</v>
      </c>
      <c r="I102" s="43">
        <f>'附表1-GWP TABLE'!E100</f>
        <v>0</v>
      </c>
      <c r="J102" s="44"/>
      <c r="K102" s="41"/>
      <c r="L102" s="43"/>
      <c r="M102" s="44"/>
      <c r="N102" s="41"/>
      <c r="O102" s="43"/>
      <c r="P102" s="45"/>
      <c r="Q102" s="46"/>
      <c r="R102" s="47"/>
      <c r="S102" s="46"/>
      <c r="T102" s="44"/>
      <c r="U102" s="41"/>
      <c r="V102" s="48"/>
      <c r="W102" s="41"/>
      <c r="X102" s="44"/>
      <c r="Y102" s="41"/>
      <c r="Z102" s="43"/>
      <c r="AA102" s="44"/>
      <c r="AB102" s="46"/>
      <c r="AC102" s="43"/>
      <c r="AD102" s="49">
        <f>表1温室气体盘查表!AE103</f>
        <v>3747.34695958894</v>
      </c>
      <c r="AE102" s="49">
        <f>表1温室气体盘查表!AF103</f>
        <v>0</v>
      </c>
      <c r="AF102" s="49">
        <f>表1温室气体盘查表!AG103</f>
        <v>0</v>
      </c>
      <c r="AG102" s="49">
        <f>表1温室气体盘查表!AH103</f>
        <v>0</v>
      </c>
      <c r="AH102" s="49">
        <f>表1温室气体盘查表!AI103</f>
        <v>0</v>
      </c>
      <c r="AI102" s="49">
        <f>表1温室气体盘查表!AJ103</f>
        <v>0</v>
      </c>
      <c r="AJ102" s="49">
        <f>表1温室气体盘查表!AK103</f>
        <v>0</v>
      </c>
      <c r="AK102" s="49">
        <f>表1温室气体盘查表!AL103</f>
        <v>3747.34695958894</v>
      </c>
    </row>
    <row r="103" ht="18" customHeight="1" spans="1:37">
      <c r="A103" s="50"/>
      <c r="C103" s="50"/>
      <c r="D103" s="51"/>
      <c r="E103" s="50"/>
      <c r="F103" s="50"/>
      <c r="G103" s="50"/>
      <c r="H103" s="50"/>
      <c r="I103" s="50"/>
      <c r="J103" s="50"/>
      <c r="K103" s="50"/>
      <c r="L103" s="50"/>
      <c r="M103" s="50"/>
      <c r="N103" s="50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2">
        <f>SUM(AD5:AD102)</f>
        <v>15580383.6633169</v>
      </c>
      <c r="AE103" s="52">
        <f t="shared" ref="AE103:AK103" si="0">SUM(AE5:AE102)</f>
        <v>2572.08920348666</v>
      </c>
      <c r="AF103" s="52">
        <f t="shared" si="0"/>
        <v>30424.9692562055</v>
      </c>
      <c r="AG103" s="52">
        <f t="shared" si="0"/>
        <v>717.03</v>
      </c>
      <c r="AH103" s="52">
        <f t="shared" si="0"/>
        <v>0</v>
      </c>
      <c r="AI103" s="52">
        <f t="shared" si="0"/>
        <v>2459.16</v>
      </c>
      <c r="AJ103" s="52">
        <f t="shared" si="0"/>
        <v>0</v>
      </c>
      <c r="AK103" s="53">
        <f t="shared" si="0"/>
        <v>15616556.9117766</v>
      </c>
    </row>
    <row r="104" ht="18" customHeight="1" spans="1:37">
      <c r="C104" s="30"/>
    </row>
    <row r="105" ht="18" customHeight="1" spans="1:37">
      <c r="C105" s="30"/>
    </row>
    <row r="106" ht="18" customHeight="1" spans="1:37">
      <c r="C106" s="30"/>
    </row>
    <row r="107" ht="18" customHeight="1" spans="1:37">
      <c r="C107" s="30"/>
    </row>
    <row r="108" ht="18" customHeight="1" spans="1:37">
      <c r="C108" s="30"/>
    </row>
    <row r="109" ht="18" customHeight="1" spans="1:37">
      <c r="C109" s="30"/>
    </row>
    <row r="110" ht="18" customHeight="1" spans="1:37">
      <c r="C110" s="30"/>
    </row>
    <row r="111" ht="18" customHeight="1" spans="1:37">
      <c r="C111" s="30"/>
    </row>
    <row r="112" ht="18" customHeight="1" spans="1:37">
      <c r="C112" s="30"/>
    </row>
    <row r="113" ht="18" customHeight="1" spans="3:3">
      <c r="C113" s="30"/>
    </row>
    <row r="114" ht="18" customHeight="1" spans="3:3">
      <c r="C114" s="30"/>
    </row>
    <row r="115" ht="18" customHeight="1" spans="3:3">
      <c r="C115" s="30"/>
    </row>
    <row r="116" ht="18" customHeight="1" spans="3:3">
      <c r="C116" s="30"/>
    </row>
    <row r="117" ht="18" customHeight="1" spans="3:3">
      <c r="C117" s="30"/>
    </row>
    <row r="118" ht="18" customHeight="1" spans="3:3">
      <c r="C118" s="30"/>
    </row>
    <row r="119" ht="18" customHeight="1" spans="3:3">
      <c r="C119" s="30"/>
    </row>
    <row r="120" ht="18" customHeight="1" spans="3:3">
      <c r="C120" s="30"/>
    </row>
    <row r="121" ht="18" customHeight="1" spans="3:3">
      <c r="C121" s="30"/>
    </row>
    <row r="122" ht="18" customHeight="1" spans="3:3">
      <c r="C122" s="30"/>
    </row>
    <row r="123" ht="18" customHeight="1" spans="3:3">
      <c r="C123" s="30"/>
    </row>
    <row r="124" ht="18" customHeight="1" spans="3:3">
      <c r="C124" s="30"/>
    </row>
    <row r="125" ht="18" customHeight="1" spans="3:3">
      <c r="C125" s="30"/>
    </row>
    <row r="126" ht="18" customHeight="1" spans="3:3">
      <c r="C126" s="30"/>
    </row>
    <row r="127" ht="18" customHeight="1" spans="3:3">
      <c r="C127" s="30"/>
    </row>
    <row r="128" spans="3:3">
      <c r="C128" s="30"/>
    </row>
    <row r="129" spans="3:3">
      <c r="C129" s="30"/>
    </row>
    <row r="130" spans="3:3">
      <c r="C130" s="30"/>
    </row>
    <row r="131" spans="3:3">
      <c r="C131" s="30"/>
    </row>
    <row r="132" spans="3:3">
      <c r="C132" s="30"/>
    </row>
    <row r="133" spans="3:3">
      <c r="C133" s="30"/>
    </row>
    <row r="134" spans="3:3">
      <c r="C134" s="30"/>
    </row>
    <row r="135" spans="3:3">
      <c r="C135" s="30"/>
    </row>
    <row r="136" spans="3:3">
      <c r="C136" s="30"/>
    </row>
    <row r="137" spans="3:3">
      <c r="C137" s="30"/>
    </row>
    <row r="138" spans="3:3">
      <c r="C138" s="30"/>
    </row>
    <row r="139" spans="3:3">
      <c r="C139" s="30"/>
    </row>
    <row r="140" spans="3:3">
      <c r="C140" s="30"/>
    </row>
    <row r="141" spans="3:3">
      <c r="C141" s="30"/>
    </row>
    <row r="142" spans="3:3">
      <c r="C142" s="30"/>
    </row>
    <row r="143" spans="3:3">
      <c r="C143" s="30"/>
    </row>
    <row r="144" spans="3:3">
      <c r="C144" s="30"/>
    </row>
    <row r="145" spans="3:3">
      <c r="C145" s="30"/>
    </row>
    <row r="146" spans="3:3">
      <c r="C146" s="30"/>
    </row>
    <row r="147" spans="3:3">
      <c r="C147" s="30"/>
    </row>
    <row r="148" spans="3:3">
      <c r="C148" s="30"/>
    </row>
    <row r="149" spans="3:3">
      <c r="C149" s="30"/>
    </row>
    <row r="150" spans="3:3">
      <c r="C150" s="30"/>
    </row>
    <row r="151" spans="3:3">
      <c r="C151" s="30"/>
    </row>
    <row r="152" spans="3:3">
      <c r="C152" s="30"/>
    </row>
    <row r="153" spans="3:3">
      <c r="C153" s="30"/>
    </row>
    <row r="154" spans="3:3">
      <c r="C154" s="30"/>
    </row>
    <row r="155" spans="3:3">
      <c r="C155" s="30"/>
    </row>
    <row r="156" spans="3:3">
      <c r="C156" s="30"/>
    </row>
    <row r="157" spans="3:3">
      <c r="C157" s="30"/>
    </row>
    <row r="158" spans="3:3">
      <c r="C158" s="30"/>
    </row>
    <row r="159" spans="3:3">
      <c r="C159" s="30"/>
    </row>
    <row r="160" spans="3:3">
      <c r="C160" s="30"/>
    </row>
    <row r="161" spans="3:3">
      <c r="C161" s="30"/>
    </row>
    <row r="162" spans="3:3">
      <c r="C162" s="30"/>
    </row>
    <row r="163" spans="3:3">
      <c r="C163" s="30"/>
    </row>
    <row r="164" spans="3:3">
      <c r="C164" s="30"/>
    </row>
    <row r="165" spans="3:3">
      <c r="C165" s="30"/>
    </row>
    <row r="166" spans="3:3">
      <c r="C166" s="30"/>
    </row>
    <row r="167" spans="3:3">
      <c r="C167" s="30"/>
    </row>
    <row r="168" spans="3:3">
      <c r="C168" s="30"/>
    </row>
    <row r="169" spans="3:3">
      <c r="C169" s="30"/>
    </row>
    <row r="170" spans="3:3">
      <c r="C170" s="30"/>
    </row>
  </sheetData>
  <mergeCells count="16">
    <mergeCell ref="A1:AK1"/>
    <mergeCell ref="G2:AC2"/>
    <mergeCell ref="AD2:AK2"/>
    <mergeCell ref="G3:I3"/>
    <mergeCell ref="J3:L3"/>
    <mergeCell ref="M3:O3"/>
    <mergeCell ref="P3:S3"/>
    <mergeCell ref="T3:W3"/>
    <mergeCell ref="X3:Z3"/>
    <mergeCell ref="AA3:AC3"/>
    <mergeCell ref="AD4:AK4"/>
    <mergeCell ref="A2:A4"/>
    <mergeCell ref="B2:B4"/>
    <mergeCell ref="C2:C4"/>
    <mergeCell ref="D2:D4"/>
    <mergeCell ref="E2:F3"/>
  </mergeCells>
  <printOptions horizontalCentered="1"/>
  <pageMargins left="0" right="0" top="0.708661417322835" bottom="0.511811023622047" header="0.393700787401575" footer="0.354330708661417"/>
  <pageSetup paperSize="9" scale="64" fitToWidth="3" orientation="landscape"/>
  <headerFooter alignWithMargins="0">
    <oddFooter>&amp;L文件名称：温室气体盘查表V1.0_20111226</oddFooter>
  </headerFooter>
  <colBreaks count="1" manualBreakCount="1">
    <brk id="29" max="53" man="1"/>
  </colBreak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6"/>
  <sheetViews>
    <sheetView zoomScale="145" zoomScaleNormal="145" topLeftCell="A10" workbookViewId="0">
      <selection activeCell="L18" sqref="L9 L15 L18"/>
    </sheetView>
  </sheetViews>
  <sheetFormatPr defaultColWidth="9" defaultRowHeight="14.25"/>
  <cols>
    <col min="1" max="1" width="7.75" customWidth="1"/>
    <col min="2" max="2" width="8.125" style="1" customWidth="1"/>
    <col min="3" max="3" width="11.25" style="1" customWidth="1"/>
    <col min="4" max="4" width="6.375" style="1" customWidth="1"/>
    <col min="5" max="5" width="7" style="1" customWidth="1"/>
    <col min="6" max="6" width="5" style="1" customWidth="1"/>
    <col min="7" max="7" width="4.125" style="1" customWidth="1"/>
    <col min="8" max="8" width="6" style="1" customWidth="1"/>
    <col min="9" max="9" width="3.75" style="1" customWidth="1"/>
    <col min="10" max="10" width="11.125" style="1" customWidth="1"/>
    <col min="11" max="11" width="9" style="2"/>
    <col min="12" max="12" width="9" customWidth="1"/>
  </cols>
  <sheetData>
    <row r="1" spans="1:12">
      <c r="A1" s="3" t="s">
        <v>218</v>
      </c>
      <c r="B1" s="4" t="s">
        <v>834</v>
      </c>
      <c r="C1" s="4"/>
      <c r="D1" s="4"/>
      <c r="E1" s="4"/>
      <c r="F1" s="4"/>
      <c r="G1" s="4"/>
      <c r="H1" s="4"/>
      <c r="I1" s="4"/>
      <c r="J1" s="4"/>
      <c r="K1" s="5" t="s">
        <v>835</v>
      </c>
      <c r="L1" s="5" t="s">
        <v>835</v>
      </c>
    </row>
    <row r="2" spans="1:12">
      <c r="A2" s="6"/>
      <c r="B2" s="7" t="s">
        <v>836</v>
      </c>
      <c r="C2" s="8" t="s">
        <v>203</v>
      </c>
      <c r="D2" s="8" t="s">
        <v>204</v>
      </c>
      <c r="E2" s="8" t="s">
        <v>205</v>
      </c>
      <c r="F2" s="8" t="s">
        <v>29</v>
      </c>
      <c r="G2" s="8" t="s">
        <v>30</v>
      </c>
      <c r="H2" s="8" t="s">
        <v>206</v>
      </c>
      <c r="I2" s="8" t="s">
        <v>207</v>
      </c>
      <c r="J2" s="7" t="s">
        <v>25</v>
      </c>
    </row>
    <row r="3" spans="1:12">
      <c r="A3" s="9"/>
      <c r="B3" s="10" t="s">
        <v>837</v>
      </c>
      <c r="C3" s="11">
        <f>表1温室气体盘查表!B110</f>
        <v>7086080.34512885</v>
      </c>
      <c r="D3" s="11">
        <f>表1温室气体盘查表!C110</f>
        <v>2569.68353485897</v>
      </c>
      <c r="E3" s="11">
        <f>表1温室气体盘查表!D110</f>
        <v>30422.615322387</v>
      </c>
      <c r="F3" s="11">
        <f>表1温室气体盘查表!E110</f>
        <v>717.03</v>
      </c>
      <c r="G3" s="11">
        <f>表1温室气体盘查表!F110</f>
        <v>0</v>
      </c>
      <c r="H3" s="11">
        <f>表1温室气体盘查表!G110</f>
        <v>2459.16</v>
      </c>
      <c r="I3" s="11">
        <f>表1温室气体盘查表!H110</f>
        <v>0</v>
      </c>
      <c r="J3" s="11">
        <f>表1温室气体盘查表!I110</f>
        <v>7122248.8339861</v>
      </c>
      <c r="K3" s="12">
        <f>J3/$J$56</f>
        <v>0.458788637582123</v>
      </c>
    </row>
    <row r="4" spans="1:12">
      <c r="A4" s="3" t="s">
        <v>280</v>
      </c>
      <c r="B4" s="4" t="s">
        <v>838</v>
      </c>
      <c r="C4" s="4"/>
      <c r="D4" s="4"/>
      <c r="E4" s="4"/>
      <c r="F4" s="4"/>
      <c r="G4" s="4"/>
      <c r="H4" s="4"/>
      <c r="I4" s="4"/>
      <c r="J4" s="4"/>
    </row>
    <row r="5" spans="1:12">
      <c r="A5" s="6"/>
      <c r="B5" s="7" t="s">
        <v>836</v>
      </c>
      <c r="C5" s="8" t="s">
        <v>203</v>
      </c>
      <c r="D5" s="8" t="s">
        <v>204</v>
      </c>
      <c r="E5" s="8" t="s">
        <v>205</v>
      </c>
      <c r="F5" s="8" t="s">
        <v>29</v>
      </c>
      <c r="G5" s="8" t="s">
        <v>30</v>
      </c>
      <c r="H5" s="8" t="s">
        <v>206</v>
      </c>
      <c r="I5" s="8" t="s">
        <v>207</v>
      </c>
      <c r="J5" s="7" t="s">
        <v>25</v>
      </c>
    </row>
    <row r="6" spans="1:12">
      <c r="A6" s="9"/>
      <c r="B6" s="13" t="s">
        <v>837</v>
      </c>
      <c r="C6" s="14">
        <f>表1温室气体盘查表!C114</f>
        <v>1069378.747982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f>表1温室气体盘查表!D114</f>
        <v>1069378.747982</v>
      </c>
      <c r="K6" s="12">
        <f>J6/$J$56</f>
        <v>0.0688853802053072</v>
      </c>
    </row>
    <row r="7" spans="1:12">
      <c r="A7" s="15" t="s">
        <v>839</v>
      </c>
      <c r="B7" s="4" t="s">
        <v>840</v>
      </c>
      <c r="C7" s="4"/>
      <c r="D7" s="4"/>
      <c r="E7" s="4"/>
      <c r="F7" s="4"/>
      <c r="G7" s="4"/>
      <c r="H7" s="4"/>
      <c r="I7" s="4"/>
      <c r="J7" s="4"/>
    </row>
    <row r="8" spans="1:12">
      <c r="A8" s="16"/>
      <c r="B8" s="7" t="s">
        <v>836</v>
      </c>
      <c r="C8" s="8" t="s">
        <v>203</v>
      </c>
      <c r="D8" s="8" t="s">
        <v>204</v>
      </c>
      <c r="E8" s="8" t="s">
        <v>205</v>
      </c>
      <c r="F8" s="8" t="s">
        <v>29</v>
      </c>
      <c r="G8" s="8" t="s">
        <v>30</v>
      </c>
      <c r="H8" s="8" t="s">
        <v>206</v>
      </c>
      <c r="I8" s="8" t="s">
        <v>207</v>
      </c>
      <c r="J8" s="7" t="s">
        <v>25</v>
      </c>
    </row>
    <row r="9" spans="1:12">
      <c r="A9" s="17"/>
      <c r="B9" s="18" t="s">
        <v>837</v>
      </c>
      <c r="C9" s="19">
        <f>表1温室气体盘查表!B120</f>
        <v>2710165.61935046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f>表1温室气体盘查表!C120</f>
        <v>2710165.61935046</v>
      </c>
      <c r="K9" s="12">
        <f>J9/$J$56</f>
        <v>0.174578735046501</v>
      </c>
      <c r="L9" s="23">
        <f>K9/SUM($K$9:$K$51)</f>
        <v>0.369614690486417</v>
      </c>
    </row>
    <row r="10" spans="1:12">
      <c r="A10" s="15" t="s">
        <v>841</v>
      </c>
      <c r="B10" s="4" t="s">
        <v>842</v>
      </c>
      <c r="C10" s="4"/>
      <c r="D10" s="4"/>
      <c r="E10" s="4"/>
      <c r="F10" s="4"/>
      <c r="G10" s="4"/>
      <c r="H10" s="4"/>
      <c r="I10" s="4"/>
      <c r="J10" s="4"/>
    </row>
    <row r="11" spans="1:12">
      <c r="A11" s="16"/>
      <c r="B11" s="7" t="s">
        <v>836</v>
      </c>
      <c r="C11" s="8" t="s">
        <v>203</v>
      </c>
      <c r="D11" s="8" t="s">
        <v>204</v>
      </c>
      <c r="E11" s="8" t="s">
        <v>205</v>
      </c>
      <c r="F11" s="8" t="s">
        <v>29</v>
      </c>
      <c r="G11" s="8" t="s">
        <v>30</v>
      </c>
      <c r="H11" s="8" t="s">
        <v>206</v>
      </c>
      <c r="I11" s="8" t="s">
        <v>207</v>
      </c>
      <c r="J11" s="7" t="s">
        <v>25</v>
      </c>
    </row>
    <row r="12" spans="1:12">
      <c r="A12" s="17"/>
      <c r="B12" s="18" t="s">
        <v>837</v>
      </c>
      <c r="C12" s="19">
        <f>表1温室气体盘查表!B124</f>
        <v>51806.97034336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f>C12</f>
        <v>51806.97034336</v>
      </c>
      <c r="K12" s="12">
        <f>J12/$J$56</f>
        <v>0.00333721130714625</v>
      </c>
      <c r="L12" s="12">
        <f>K12/SUM($K$9:$K$51)</f>
        <v>0.00706547864520888</v>
      </c>
    </row>
    <row r="13" spans="1:12">
      <c r="A13" s="15" t="s">
        <v>843</v>
      </c>
      <c r="B13" s="4" t="s">
        <v>660</v>
      </c>
      <c r="C13" s="4"/>
      <c r="D13" s="4"/>
      <c r="E13" s="4"/>
      <c r="F13" s="4"/>
      <c r="G13" s="4"/>
      <c r="H13" s="4"/>
      <c r="I13" s="4"/>
      <c r="J13" s="4"/>
    </row>
    <row r="14" spans="1:12">
      <c r="A14" s="16"/>
      <c r="B14" s="7" t="s">
        <v>836</v>
      </c>
      <c r="C14" s="8" t="s">
        <v>203</v>
      </c>
      <c r="D14" s="8" t="s">
        <v>204</v>
      </c>
      <c r="E14" s="8" t="s">
        <v>205</v>
      </c>
      <c r="F14" s="8" t="s">
        <v>29</v>
      </c>
      <c r="G14" s="8" t="s">
        <v>30</v>
      </c>
      <c r="H14" s="8" t="s">
        <v>206</v>
      </c>
      <c r="I14" s="8" t="s">
        <v>207</v>
      </c>
      <c r="J14" s="7" t="s">
        <v>25</v>
      </c>
    </row>
    <row r="15" spans="1:12">
      <c r="A15" s="17"/>
      <c r="B15" s="18" t="s">
        <v>837</v>
      </c>
      <c r="C15" s="19">
        <f>表1温室气体盘查表!B128</f>
        <v>2016736.07196272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f>C15</f>
        <v>2016736.07196272</v>
      </c>
      <c r="K15" s="12">
        <f>J15/$J$56</f>
        <v>0.129910596552502</v>
      </c>
      <c r="L15" s="23">
        <f>K15/SUM($K$9:$K$51)</f>
        <v>0.27504417948079</v>
      </c>
    </row>
    <row r="16" spans="1:12">
      <c r="A16" s="15" t="s">
        <v>844</v>
      </c>
      <c r="B16" s="4" t="s">
        <v>347</v>
      </c>
      <c r="C16" s="4"/>
      <c r="D16" s="4"/>
      <c r="E16" s="4"/>
      <c r="F16" s="4"/>
      <c r="G16" s="4"/>
      <c r="H16" s="4"/>
      <c r="I16" s="4"/>
      <c r="J16" s="4"/>
    </row>
    <row r="17" spans="1:12">
      <c r="A17" s="16"/>
      <c r="B17" s="7" t="s">
        <v>836</v>
      </c>
      <c r="C17" s="8" t="s">
        <v>203</v>
      </c>
      <c r="D17" s="8" t="s">
        <v>204</v>
      </c>
      <c r="E17" s="8" t="s">
        <v>205</v>
      </c>
      <c r="F17" s="8" t="s">
        <v>29</v>
      </c>
      <c r="G17" s="8" t="s">
        <v>30</v>
      </c>
      <c r="H17" s="8" t="s">
        <v>206</v>
      </c>
      <c r="I17" s="8" t="s">
        <v>207</v>
      </c>
      <c r="J17" s="7" t="s">
        <v>25</v>
      </c>
    </row>
    <row r="18" spans="1:12">
      <c r="A18" s="17"/>
      <c r="B18" s="18" t="s">
        <v>837</v>
      </c>
      <c r="C18" s="19">
        <f>表1温室气体盘查表!B132</f>
        <v>362284.252670301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f>C18</f>
        <v>362284.252670301</v>
      </c>
      <c r="K18" s="12">
        <f>J18/$J$56</f>
        <v>0.0233369968635372</v>
      </c>
      <c r="L18" s="12">
        <f>K18/SUM($K$9:$K$51)</f>
        <v>0.0494086342778302</v>
      </c>
    </row>
    <row r="19" spans="1:12">
      <c r="A19" s="15" t="s">
        <v>845</v>
      </c>
      <c r="B19" s="4" t="s">
        <v>846</v>
      </c>
      <c r="C19" s="4"/>
      <c r="D19" s="4"/>
      <c r="E19" s="4"/>
      <c r="F19" s="4"/>
      <c r="G19" s="4"/>
      <c r="H19" s="4"/>
      <c r="I19" s="4"/>
      <c r="J19" s="4"/>
    </row>
    <row r="20" spans="1:12">
      <c r="A20" s="16"/>
      <c r="B20" s="7" t="s">
        <v>836</v>
      </c>
      <c r="C20" s="8" t="s">
        <v>203</v>
      </c>
      <c r="D20" s="8" t="s">
        <v>204</v>
      </c>
      <c r="E20" s="8" t="s">
        <v>205</v>
      </c>
      <c r="F20" s="8" t="s">
        <v>29</v>
      </c>
      <c r="G20" s="8" t="s">
        <v>30</v>
      </c>
      <c r="H20" s="8" t="s">
        <v>206</v>
      </c>
      <c r="I20" s="8" t="s">
        <v>207</v>
      </c>
      <c r="J20" s="7" t="s">
        <v>25</v>
      </c>
    </row>
    <row r="21" spans="1:12">
      <c r="A21" s="17"/>
      <c r="B21" s="18" t="s">
        <v>837</v>
      </c>
      <c r="C21" s="19">
        <f>表1温室气体盘查表!B136</f>
        <v>147636.031876224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f>C21</f>
        <v>147636.031876224</v>
      </c>
      <c r="K21" s="12">
        <f>J21/$J$56</f>
        <v>0.00951016111643143</v>
      </c>
      <c r="L21" s="12">
        <f>K21/SUM($K$9:$K$51)</f>
        <v>0.0201347275003996</v>
      </c>
    </row>
    <row r="22" spans="1:12">
      <c r="A22" s="15" t="s">
        <v>847</v>
      </c>
      <c r="B22" s="4" t="s">
        <v>358</v>
      </c>
      <c r="C22" s="4"/>
      <c r="D22" s="4"/>
      <c r="E22" s="4"/>
      <c r="F22" s="4"/>
      <c r="G22" s="4"/>
      <c r="H22" s="4"/>
      <c r="I22" s="4"/>
      <c r="J22" s="4"/>
    </row>
    <row r="23" spans="1:12">
      <c r="A23" s="16"/>
      <c r="B23" s="7" t="s">
        <v>836</v>
      </c>
      <c r="C23" s="8" t="s">
        <v>203</v>
      </c>
      <c r="D23" s="8" t="s">
        <v>204</v>
      </c>
      <c r="E23" s="8" t="s">
        <v>205</v>
      </c>
      <c r="F23" s="8" t="s">
        <v>29</v>
      </c>
      <c r="G23" s="8" t="s">
        <v>30</v>
      </c>
      <c r="H23" s="8" t="s">
        <v>206</v>
      </c>
      <c r="I23" s="8" t="s">
        <v>207</v>
      </c>
      <c r="J23" s="7" t="s">
        <v>25</v>
      </c>
    </row>
    <row r="24" spans="1:12">
      <c r="A24" s="17"/>
      <c r="B24" s="18" t="s">
        <v>837</v>
      </c>
      <c r="C24" s="19">
        <f>表1温室气体盘查表!B140</f>
        <v>1670.17345373528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f>C24</f>
        <v>1670.17345373528</v>
      </c>
      <c r="K24" s="12">
        <f>J24/$J$56</f>
        <v>0.000107586328591694</v>
      </c>
      <c r="L24" s="12">
        <f>K24/SUM($K$9:$K$51)</f>
        <v>0.000227779675069802</v>
      </c>
    </row>
    <row r="25" spans="1:12">
      <c r="A25" s="15" t="s">
        <v>848</v>
      </c>
      <c r="B25" s="4" t="s">
        <v>364</v>
      </c>
      <c r="C25" s="4"/>
      <c r="D25" s="4"/>
      <c r="E25" s="4"/>
      <c r="F25" s="4"/>
      <c r="G25" s="4"/>
      <c r="H25" s="4"/>
      <c r="I25" s="4"/>
      <c r="J25" s="4"/>
    </row>
    <row r="26" spans="1:12">
      <c r="A26" s="16"/>
      <c r="B26" s="7" t="s">
        <v>836</v>
      </c>
      <c r="C26" s="8" t="s">
        <v>203</v>
      </c>
      <c r="D26" s="8" t="s">
        <v>204</v>
      </c>
      <c r="E26" s="8" t="s">
        <v>205</v>
      </c>
      <c r="F26" s="8" t="s">
        <v>29</v>
      </c>
      <c r="G26" s="8" t="s">
        <v>30</v>
      </c>
      <c r="H26" s="8" t="s">
        <v>206</v>
      </c>
      <c r="I26" s="8" t="s">
        <v>207</v>
      </c>
      <c r="J26" s="7" t="s">
        <v>25</v>
      </c>
    </row>
    <row r="27" spans="1:12">
      <c r="A27" s="17"/>
      <c r="B27" s="18" t="s">
        <v>837</v>
      </c>
      <c r="C27" s="19">
        <f>表1温室气体盘查表!B144</f>
        <v>13322.57648759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f>C27</f>
        <v>13322.57648759</v>
      </c>
      <c r="K27" s="12">
        <f>J27/$J$56</f>
        <v>0.000858190560074018</v>
      </c>
      <c r="L27" s="12">
        <f>K27/SUM($K$9:$K$51)</f>
        <v>0.00181694430398773</v>
      </c>
    </row>
    <row r="28" spans="1:12">
      <c r="A28" s="15" t="s">
        <v>849</v>
      </c>
      <c r="B28" s="4" t="s">
        <v>850</v>
      </c>
      <c r="C28" s="4"/>
      <c r="D28" s="4"/>
      <c r="E28" s="4"/>
      <c r="F28" s="4"/>
      <c r="G28" s="4"/>
      <c r="H28" s="4"/>
      <c r="I28" s="4"/>
      <c r="J28" s="4"/>
    </row>
    <row r="29" spans="1:12">
      <c r="A29" s="16"/>
      <c r="B29" s="7" t="s">
        <v>836</v>
      </c>
      <c r="C29" s="8" t="s">
        <v>203</v>
      </c>
      <c r="D29" s="8" t="s">
        <v>204</v>
      </c>
      <c r="E29" s="8" t="s">
        <v>205</v>
      </c>
      <c r="F29" s="8" t="s">
        <v>29</v>
      </c>
      <c r="G29" s="8" t="s">
        <v>30</v>
      </c>
      <c r="H29" s="8" t="s">
        <v>206</v>
      </c>
      <c r="I29" s="8" t="s">
        <v>207</v>
      </c>
      <c r="J29" s="7" t="s">
        <v>25</v>
      </c>
    </row>
    <row r="30" spans="1:12">
      <c r="A30" s="17"/>
      <c r="B30" s="18" t="s">
        <v>837</v>
      </c>
      <c r="C30" s="19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f>C30</f>
        <v>0</v>
      </c>
    </row>
    <row r="31" spans="1:12">
      <c r="A31" s="15" t="s">
        <v>851</v>
      </c>
      <c r="B31" s="4" t="s">
        <v>370</v>
      </c>
      <c r="C31" s="4"/>
      <c r="D31" s="4"/>
      <c r="E31" s="4"/>
      <c r="F31" s="4"/>
      <c r="G31" s="4"/>
      <c r="H31" s="4"/>
      <c r="I31" s="4"/>
      <c r="J31" s="4"/>
    </row>
    <row r="32" spans="1:12">
      <c r="A32" s="16"/>
      <c r="B32" s="7" t="s">
        <v>836</v>
      </c>
      <c r="C32" s="8" t="s">
        <v>203</v>
      </c>
      <c r="D32" s="8" t="s">
        <v>204</v>
      </c>
      <c r="E32" s="8" t="s">
        <v>205</v>
      </c>
      <c r="F32" s="8" t="s">
        <v>29</v>
      </c>
      <c r="G32" s="8" t="s">
        <v>30</v>
      </c>
      <c r="H32" s="8" t="s">
        <v>206</v>
      </c>
      <c r="I32" s="8" t="s">
        <v>207</v>
      </c>
      <c r="J32" s="7" t="s">
        <v>25</v>
      </c>
    </row>
    <row r="33" spans="1:12">
      <c r="A33" s="17"/>
      <c r="B33" s="18" t="s">
        <v>837</v>
      </c>
      <c r="C33" s="19">
        <f>表1温室气体盘查表!B152</f>
        <v>274585.607161911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f>C33</f>
        <v>274585.607161911</v>
      </c>
      <c r="K33" s="12">
        <f>J33/$J$56</f>
        <v>0.0176877780523947</v>
      </c>
      <c r="L33" s="12">
        <f>K33/SUM($K$9:$K$51)</f>
        <v>0.0374482184699468</v>
      </c>
    </row>
    <row r="34" spans="1:12">
      <c r="A34" s="15" t="s">
        <v>852</v>
      </c>
      <c r="B34" s="4" t="s">
        <v>372</v>
      </c>
      <c r="C34" s="4"/>
      <c r="D34" s="4"/>
      <c r="E34" s="4"/>
      <c r="F34" s="4"/>
      <c r="G34" s="4"/>
      <c r="H34" s="4"/>
      <c r="I34" s="4"/>
      <c r="J34" s="4"/>
    </row>
    <row r="35" spans="1:12">
      <c r="A35" s="16"/>
      <c r="B35" s="7" t="s">
        <v>836</v>
      </c>
      <c r="C35" s="8" t="s">
        <v>203</v>
      </c>
      <c r="D35" s="8" t="s">
        <v>204</v>
      </c>
      <c r="E35" s="8" t="s">
        <v>205</v>
      </c>
      <c r="F35" s="8" t="s">
        <v>29</v>
      </c>
      <c r="G35" s="8" t="s">
        <v>30</v>
      </c>
      <c r="H35" s="8" t="s">
        <v>206</v>
      </c>
      <c r="I35" s="8" t="s">
        <v>207</v>
      </c>
      <c r="J35" s="7" t="s">
        <v>25</v>
      </c>
    </row>
    <row r="36" spans="1:12">
      <c r="A36" s="17"/>
      <c r="B36" s="18" t="s">
        <v>837</v>
      </c>
      <c r="C36" s="19">
        <f>表1温室气体盘查表!B156</f>
        <v>1746619.95968953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f>C36</f>
        <v>1746619.95968953</v>
      </c>
      <c r="K36" s="12">
        <f>J36/$J$56</f>
        <v>0.112510726648008</v>
      </c>
      <c r="L36" s="23">
        <f>K36/SUM($K$9:$K$51)</f>
        <v>0.238205514522308</v>
      </c>
    </row>
    <row r="37" spans="1:12">
      <c r="A37" s="15" t="s">
        <v>853</v>
      </c>
      <c r="B37" s="4" t="s">
        <v>378</v>
      </c>
      <c r="C37" s="4"/>
      <c r="D37" s="4"/>
      <c r="E37" s="4"/>
      <c r="F37" s="4"/>
      <c r="G37" s="4"/>
      <c r="H37" s="4"/>
      <c r="I37" s="4"/>
      <c r="J37" s="4"/>
    </row>
    <row r="38" spans="1:12">
      <c r="A38" s="16"/>
      <c r="B38" s="7" t="s">
        <v>836</v>
      </c>
      <c r="C38" s="8" t="s">
        <v>203</v>
      </c>
      <c r="D38" s="8" t="s">
        <v>204</v>
      </c>
      <c r="E38" s="8" t="s">
        <v>205</v>
      </c>
      <c r="F38" s="8" t="s">
        <v>29</v>
      </c>
      <c r="G38" s="8" t="s">
        <v>30</v>
      </c>
      <c r="H38" s="8" t="s">
        <v>206</v>
      </c>
      <c r="I38" s="8" t="s">
        <v>207</v>
      </c>
      <c r="J38" s="7" t="s">
        <v>25</v>
      </c>
    </row>
    <row r="39" spans="1:12">
      <c r="A39" s="17"/>
      <c r="B39" s="18" t="s">
        <v>837</v>
      </c>
      <c r="C39" s="19">
        <f>表1温室气体盘查表!AE102</f>
        <v>3828.37588063128</v>
      </c>
      <c r="D39" s="19">
        <f>表1温室气体盘查表!AF102</f>
        <v>2.40566862769398</v>
      </c>
      <c r="E39" s="19">
        <f>表1温室气体盘查表!AG102</f>
        <v>2.35393381849626</v>
      </c>
      <c r="F39" s="19">
        <f>表1温室气体盘查表!AH102</f>
        <v>0</v>
      </c>
      <c r="G39" s="19">
        <f>表1温室气体盘查表!AI102</f>
        <v>0</v>
      </c>
      <c r="H39" s="19">
        <f>表1温室气体盘查表!AJ102</f>
        <v>0</v>
      </c>
      <c r="I39" s="19">
        <f>表1温室气体盘查表!AK102</f>
        <v>0</v>
      </c>
      <c r="J39" s="14">
        <f>SUM(C39:I39)</f>
        <v>3833.13548307747</v>
      </c>
      <c r="K39" s="12">
        <f>J39/$J$56</f>
        <v>0.000246916254534254</v>
      </c>
      <c r="L39" s="12">
        <f>K39/SUM($K$9:$K$51)</f>
        <v>0.000522766274892727</v>
      </c>
    </row>
    <row r="40" spans="1:12">
      <c r="A40" s="15" t="s">
        <v>854</v>
      </c>
      <c r="B40" s="4" t="s">
        <v>381</v>
      </c>
      <c r="C40" s="4"/>
      <c r="D40" s="4"/>
      <c r="E40" s="4"/>
      <c r="F40" s="4"/>
      <c r="G40" s="4"/>
      <c r="H40" s="4"/>
      <c r="I40" s="4"/>
      <c r="J40" s="4"/>
    </row>
    <row r="41" spans="1:12">
      <c r="A41" s="16"/>
      <c r="B41" s="7" t="s">
        <v>836</v>
      </c>
      <c r="C41" s="8" t="s">
        <v>203</v>
      </c>
      <c r="D41" s="8" t="s">
        <v>204</v>
      </c>
      <c r="E41" s="8" t="s">
        <v>205</v>
      </c>
      <c r="F41" s="8" t="s">
        <v>29</v>
      </c>
      <c r="G41" s="8" t="s">
        <v>30</v>
      </c>
      <c r="H41" s="8" t="s">
        <v>206</v>
      </c>
      <c r="I41" s="8" t="s">
        <v>207</v>
      </c>
      <c r="J41" s="7" t="s">
        <v>25</v>
      </c>
    </row>
    <row r="42" spans="1:12">
      <c r="A42" s="17"/>
      <c r="B42" s="18" t="s">
        <v>837</v>
      </c>
      <c r="C42" s="19">
        <f>表1温室气体盘查表!B164</f>
        <v>3747.34695958894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f>C42</f>
        <v>3747.34695958894</v>
      </c>
      <c r="K42" s="12">
        <f>J42/$J$56</f>
        <v>0.00024139007864109</v>
      </c>
      <c r="L42" s="12">
        <f>K42/SUM($K$9:$K$51)</f>
        <v>0.000511066363149289</v>
      </c>
    </row>
    <row r="43" spans="1:12">
      <c r="A43" s="15" t="s">
        <v>855</v>
      </c>
      <c r="B43" s="4" t="s">
        <v>856</v>
      </c>
      <c r="C43" s="4"/>
      <c r="D43" s="4"/>
      <c r="E43" s="4"/>
      <c r="F43" s="4"/>
      <c r="G43" s="4"/>
      <c r="H43" s="4"/>
      <c r="I43" s="4"/>
      <c r="J43" s="4"/>
    </row>
    <row r="44" spans="1:12">
      <c r="A44" s="16"/>
      <c r="B44" s="7" t="s">
        <v>836</v>
      </c>
      <c r="C44" s="8" t="s">
        <v>203</v>
      </c>
      <c r="D44" s="8" t="s">
        <v>204</v>
      </c>
      <c r="E44" s="8" t="s">
        <v>205</v>
      </c>
      <c r="F44" s="8" t="s">
        <v>29</v>
      </c>
      <c r="G44" s="8" t="s">
        <v>30</v>
      </c>
      <c r="H44" s="8" t="s">
        <v>206</v>
      </c>
      <c r="I44" s="8" t="s">
        <v>207</v>
      </c>
      <c r="J44" s="7" t="s">
        <v>25</v>
      </c>
    </row>
    <row r="45" spans="1:12">
      <c r="A45" s="17"/>
      <c r="B45" s="18" t="s">
        <v>837</v>
      </c>
      <c r="C45" s="19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f>C45</f>
        <v>0</v>
      </c>
    </row>
    <row r="46" spans="1:12">
      <c r="A46" s="15" t="s">
        <v>857</v>
      </c>
      <c r="B46" s="4" t="s">
        <v>858</v>
      </c>
      <c r="C46" s="4"/>
      <c r="D46" s="4"/>
      <c r="E46" s="4"/>
      <c r="F46" s="4"/>
      <c r="G46" s="4"/>
      <c r="H46" s="4"/>
      <c r="I46" s="4"/>
      <c r="J46" s="4"/>
    </row>
    <row r="47" spans="1:12">
      <c r="A47" s="16"/>
      <c r="B47" s="7" t="s">
        <v>836</v>
      </c>
      <c r="C47" s="8" t="s">
        <v>203</v>
      </c>
      <c r="D47" s="8" t="s">
        <v>204</v>
      </c>
      <c r="E47" s="8" t="s">
        <v>205</v>
      </c>
      <c r="F47" s="8" t="s">
        <v>29</v>
      </c>
      <c r="G47" s="8" t="s">
        <v>30</v>
      </c>
      <c r="H47" s="8" t="s">
        <v>206</v>
      </c>
      <c r="I47" s="8" t="s">
        <v>207</v>
      </c>
      <c r="J47" s="7" t="s">
        <v>25</v>
      </c>
    </row>
    <row r="48" spans="1:12">
      <c r="A48" s="17"/>
      <c r="B48" s="18" t="s">
        <v>837</v>
      </c>
      <c r="C48" s="19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f>C48</f>
        <v>0</v>
      </c>
    </row>
    <row r="49" spans="1:10">
      <c r="A49" s="15" t="s">
        <v>859</v>
      </c>
      <c r="B49" s="4" t="s">
        <v>860</v>
      </c>
      <c r="C49" s="4"/>
      <c r="D49" s="4"/>
      <c r="E49" s="4"/>
      <c r="F49" s="4"/>
      <c r="G49" s="4"/>
      <c r="H49" s="4"/>
      <c r="I49" s="4"/>
      <c r="J49" s="4"/>
    </row>
    <row r="50" spans="1:10">
      <c r="A50" s="16"/>
      <c r="B50" s="7" t="s">
        <v>836</v>
      </c>
      <c r="C50" s="8" t="s">
        <v>203</v>
      </c>
      <c r="D50" s="8" t="s">
        <v>204</v>
      </c>
      <c r="E50" s="8" t="s">
        <v>205</v>
      </c>
      <c r="F50" s="8" t="s">
        <v>29</v>
      </c>
      <c r="G50" s="8" t="s">
        <v>30</v>
      </c>
      <c r="H50" s="8" t="s">
        <v>206</v>
      </c>
      <c r="I50" s="8" t="s">
        <v>207</v>
      </c>
      <c r="J50" s="7" t="s">
        <v>25</v>
      </c>
    </row>
    <row r="51" spans="1:10">
      <c r="A51" s="17"/>
      <c r="B51" s="18" t="s">
        <v>837</v>
      </c>
      <c r="C51" s="19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f>C51</f>
        <v>0</v>
      </c>
    </row>
    <row r="52" spans="1:10">
      <c r="A52" s="15" t="s">
        <v>861</v>
      </c>
      <c r="B52" s="7" t="s">
        <v>836</v>
      </c>
      <c r="C52" s="8" t="s">
        <v>203</v>
      </c>
      <c r="D52" s="8" t="s">
        <v>204</v>
      </c>
      <c r="E52" s="8" t="s">
        <v>205</v>
      </c>
      <c r="F52" s="8" t="s">
        <v>29</v>
      </c>
      <c r="G52" s="8" t="s">
        <v>30</v>
      </c>
      <c r="H52" s="8" t="s">
        <v>206</v>
      </c>
      <c r="I52" s="8" t="s">
        <v>207</v>
      </c>
      <c r="J52" s="7" t="s">
        <v>25</v>
      </c>
    </row>
    <row r="53" spans="1:10">
      <c r="A53" s="20"/>
      <c r="B53" s="18" t="s">
        <v>218</v>
      </c>
      <c r="C53" s="19">
        <f>C3</f>
        <v>7086080.34512885</v>
      </c>
      <c r="D53" s="19">
        <f t="shared" ref="D53:J53" si="0">D3</f>
        <v>2569.68353485897</v>
      </c>
      <c r="E53" s="19">
        <f t="shared" si="0"/>
        <v>30422.615322387</v>
      </c>
      <c r="F53" s="19">
        <f t="shared" si="0"/>
        <v>717.03</v>
      </c>
      <c r="G53" s="19">
        <f t="shared" si="0"/>
        <v>0</v>
      </c>
      <c r="H53" s="19">
        <f t="shared" si="0"/>
        <v>2459.16</v>
      </c>
      <c r="I53" s="19">
        <f t="shared" si="0"/>
        <v>0</v>
      </c>
      <c r="J53" s="19">
        <f t="shared" si="0"/>
        <v>7122248.8339861</v>
      </c>
    </row>
    <row r="54" ht="19.5" spans="1:10">
      <c r="A54" s="20"/>
      <c r="B54" s="21" t="s">
        <v>862</v>
      </c>
      <c r="C54" s="19">
        <f>C6</f>
        <v>1069378.747982</v>
      </c>
      <c r="D54" s="19">
        <f t="shared" ref="D54:J54" si="1">D6</f>
        <v>0</v>
      </c>
      <c r="E54" s="19">
        <f t="shared" si="1"/>
        <v>0</v>
      </c>
      <c r="F54" s="19">
        <f t="shared" si="1"/>
        <v>0</v>
      </c>
      <c r="G54" s="19">
        <f t="shared" si="1"/>
        <v>0</v>
      </c>
      <c r="H54" s="19">
        <f t="shared" si="1"/>
        <v>0</v>
      </c>
      <c r="I54" s="19">
        <f t="shared" si="1"/>
        <v>0</v>
      </c>
      <c r="J54" s="19">
        <f t="shared" si="1"/>
        <v>1069378.747982</v>
      </c>
    </row>
    <row r="55" spans="1:10">
      <c r="A55" s="20"/>
      <c r="B55" s="18" t="s">
        <v>418</v>
      </c>
      <c r="C55" s="19">
        <f>SUM(C9,C12,C15,C18,C21,C24,C27,C30,C33,C36,C39,C42,C45,C48,C51)</f>
        <v>7332402.98583606</v>
      </c>
      <c r="D55" s="19">
        <f t="shared" ref="D55:I55" si="2">SUM(D9,D12,D15,D18,D21,D24,D27,D30,D33,D36,D39,D42,D45,D48,D51)</f>
        <v>2.40566862769398</v>
      </c>
      <c r="E55" s="19">
        <f t="shared" si="2"/>
        <v>2.35393381849626</v>
      </c>
      <c r="F55" s="19">
        <f t="shared" si="2"/>
        <v>0</v>
      </c>
      <c r="G55" s="19">
        <f t="shared" si="2"/>
        <v>0</v>
      </c>
      <c r="H55" s="19">
        <f t="shared" si="2"/>
        <v>0</v>
      </c>
      <c r="I55" s="19">
        <f t="shared" si="2"/>
        <v>0</v>
      </c>
      <c r="J55" s="11">
        <f>C55</f>
        <v>7332402.98583606</v>
      </c>
    </row>
    <row r="56" spans="1:10">
      <c r="A56" s="22"/>
      <c r="B56" s="18" t="s">
        <v>863</v>
      </c>
      <c r="C56" s="19">
        <f>SUM(C53:C55)</f>
        <v>15487862.0789469</v>
      </c>
      <c r="D56" s="19">
        <f t="shared" ref="D56:J56" si="3">SUM(D53:D55)</f>
        <v>2572.08920348666</v>
      </c>
      <c r="E56" s="19">
        <f t="shared" si="3"/>
        <v>30424.9692562055</v>
      </c>
      <c r="F56" s="19">
        <f t="shared" si="3"/>
        <v>717.03</v>
      </c>
      <c r="G56" s="19">
        <f t="shared" si="3"/>
        <v>0</v>
      </c>
      <c r="H56" s="19">
        <f t="shared" si="3"/>
        <v>2459.16</v>
      </c>
      <c r="I56" s="19">
        <f t="shared" si="3"/>
        <v>0</v>
      </c>
      <c r="J56" s="19">
        <f t="shared" si="3"/>
        <v>15524030.5678042</v>
      </c>
    </row>
  </sheetData>
  <mergeCells count="35">
    <mergeCell ref="B1:J1"/>
    <mergeCell ref="B4:J4"/>
    <mergeCell ref="B7:J7"/>
    <mergeCell ref="B10:J10"/>
    <mergeCell ref="B13:J13"/>
    <mergeCell ref="B16:J16"/>
    <mergeCell ref="B19:J19"/>
    <mergeCell ref="B22:J22"/>
    <mergeCell ref="B25:J25"/>
    <mergeCell ref="B28:J28"/>
    <mergeCell ref="B31:J31"/>
    <mergeCell ref="B34:J34"/>
    <mergeCell ref="B37:J37"/>
    <mergeCell ref="B40:J40"/>
    <mergeCell ref="B43:J43"/>
    <mergeCell ref="B46:J46"/>
    <mergeCell ref="B49:J49"/>
    <mergeCell ref="A1:A3"/>
    <mergeCell ref="A4:A6"/>
    <mergeCell ref="A7:A9"/>
    <mergeCell ref="A10:A12"/>
    <mergeCell ref="A13:A15"/>
    <mergeCell ref="A16:A18"/>
    <mergeCell ref="A19:A21"/>
    <mergeCell ref="A22:A24"/>
    <mergeCell ref="A25:A27"/>
    <mergeCell ref="A28:A30"/>
    <mergeCell ref="A31:A33"/>
    <mergeCell ref="A34:A36"/>
    <mergeCell ref="A37:A39"/>
    <mergeCell ref="A40:A42"/>
    <mergeCell ref="A43:A45"/>
    <mergeCell ref="A46:A48"/>
    <mergeCell ref="A49:A51"/>
    <mergeCell ref="A52:A56"/>
  </mergeCells>
  <pageMargins left="0.75" right="0.75" top="1" bottom="1" header="0.5" footer="0.5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zoomScale="145" zoomScaleNormal="145" topLeftCell="A37" workbookViewId="0">
      <selection activeCell="N8" sqref="N8"/>
    </sheetView>
  </sheetViews>
  <sheetFormatPr defaultColWidth="9" defaultRowHeight="14.25"/>
  <cols>
    <col min="1" max="1" width="7.75" customWidth="1"/>
    <col min="2" max="2" width="8.125" style="1" customWidth="1"/>
    <col min="3" max="3" width="12.5" style="1" customWidth="1"/>
    <col min="4" max="4" width="6.375" style="1" customWidth="1"/>
    <col min="5" max="5" width="7" style="1" customWidth="1"/>
    <col min="6" max="6" width="5" style="1" customWidth="1"/>
    <col min="7" max="7" width="4.125" style="1" customWidth="1"/>
    <col min="8" max="8" width="6" style="1" customWidth="1"/>
    <col min="9" max="9" width="3.75" style="1" customWidth="1"/>
    <col min="10" max="10" width="13.75" style="1" customWidth="1"/>
    <col min="11" max="11" width="9" style="2"/>
  </cols>
  <sheetData>
    <row r="1" spans="1:11">
      <c r="A1" s="3" t="s">
        <v>218</v>
      </c>
      <c r="B1" s="4" t="s">
        <v>834</v>
      </c>
      <c r="C1" s="4"/>
      <c r="D1" s="4"/>
      <c r="E1" s="4"/>
      <c r="F1" s="4"/>
      <c r="G1" s="4"/>
      <c r="H1" s="4"/>
      <c r="I1" s="4"/>
      <c r="J1" s="4"/>
      <c r="K1" s="5" t="s">
        <v>835</v>
      </c>
    </row>
    <row r="2" spans="1:11">
      <c r="A2" s="6"/>
      <c r="B2" s="7" t="s">
        <v>836</v>
      </c>
      <c r="C2" s="8" t="s">
        <v>203</v>
      </c>
      <c r="D2" s="8" t="s">
        <v>204</v>
      </c>
      <c r="E2" s="8" t="s">
        <v>205</v>
      </c>
      <c r="F2" s="8" t="s">
        <v>29</v>
      </c>
      <c r="G2" s="8" t="s">
        <v>30</v>
      </c>
      <c r="H2" s="8" t="s">
        <v>206</v>
      </c>
      <c r="I2" s="8" t="s">
        <v>207</v>
      </c>
      <c r="J2" s="7" t="s">
        <v>25</v>
      </c>
    </row>
    <row r="3" spans="1:11">
      <c r="A3" s="9"/>
      <c r="B3" s="10" t="s">
        <v>837</v>
      </c>
      <c r="C3" s="11">
        <f>表1温室气体盘查表!B110</f>
        <v>7086080.34512885</v>
      </c>
      <c r="D3" s="11">
        <f>表1温室气体盘查表!C110</f>
        <v>2569.68353485897</v>
      </c>
      <c r="E3" s="11">
        <f>表1温室气体盘查表!D110</f>
        <v>30422.615322387</v>
      </c>
      <c r="F3" s="11">
        <f>表1温室气体盘查表!E110</f>
        <v>717.03</v>
      </c>
      <c r="G3" s="11">
        <f>表1温室气体盘查表!F110</f>
        <v>0</v>
      </c>
      <c r="H3" s="11">
        <f>表1温室气体盘查表!G110</f>
        <v>2459.16</v>
      </c>
      <c r="I3" s="11">
        <f>表1温室气体盘查表!H110</f>
        <v>0</v>
      </c>
      <c r="J3" s="11">
        <f>表1温室气体盘查表!I110</f>
        <v>7122248.8339861</v>
      </c>
      <c r="K3" s="12">
        <f>J3/$J$56</f>
        <v>0.456070505485715</v>
      </c>
    </row>
    <row r="4" spans="1:11">
      <c r="A4" s="3" t="s">
        <v>280</v>
      </c>
      <c r="B4" s="4" t="s">
        <v>864</v>
      </c>
      <c r="C4" s="4"/>
      <c r="D4" s="4"/>
      <c r="E4" s="4"/>
      <c r="F4" s="4"/>
      <c r="G4" s="4"/>
      <c r="H4" s="4"/>
      <c r="I4" s="4"/>
      <c r="J4" s="4"/>
    </row>
    <row r="5" spans="1:11">
      <c r="A5" s="6"/>
      <c r="B5" s="7" t="s">
        <v>836</v>
      </c>
      <c r="C5" s="8" t="s">
        <v>203</v>
      </c>
      <c r="D5" s="8" t="s">
        <v>204</v>
      </c>
      <c r="E5" s="8" t="s">
        <v>205</v>
      </c>
      <c r="F5" s="8" t="s">
        <v>29</v>
      </c>
      <c r="G5" s="8" t="s">
        <v>30</v>
      </c>
      <c r="H5" s="8" t="s">
        <v>206</v>
      </c>
      <c r="I5" s="8" t="s">
        <v>207</v>
      </c>
      <c r="J5" s="7" t="s">
        <v>25</v>
      </c>
    </row>
    <row r="6" spans="1:11">
      <c r="A6" s="9"/>
      <c r="B6" s="13" t="s">
        <v>837</v>
      </c>
      <c r="C6" s="14">
        <f>表1温室气体盘查表!AE33</f>
        <v>1161900.332352</v>
      </c>
      <c r="D6" s="14">
        <v>0</v>
      </c>
      <c r="E6" s="14">
        <v>0</v>
      </c>
      <c r="F6" s="14">
        <v>0</v>
      </c>
      <c r="G6" s="14">
        <v>0</v>
      </c>
      <c r="H6" s="14">
        <v>0</v>
      </c>
      <c r="I6" s="14">
        <v>0</v>
      </c>
      <c r="J6" s="14">
        <f>C6</f>
        <v>1161900.332352</v>
      </c>
      <c r="K6" s="12">
        <f>J6/$J$56</f>
        <v>0.0744018475416316</v>
      </c>
    </row>
    <row r="7" spans="1:11">
      <c r="A7" s="15" t="s">
        <v>839</v>
      </c>
      <c r="B7" s="4" t="s">
        <v>840</v>
      </c>
      <c r="C7" s="4"/>
      <c r="D7" s="4"/>
      <c r="E7" s="4"/>
      <c r="F7" s="4"/>
      <c r="G7" s="4"/>
      <c r="H7" s="4"/>
      <c r="I7" s="4"/>
      <c r="J7" s="4"/>
    </row>
    <row r="8" spans="1:11">
      <c r="A8" s="16"/>
      <c r="B8" s="7" t="s">
        <v>836</v>
      </c>
      <c r="C8" s="8" t="s">
        <v>203</v>
      </c>
      <c r="D8" s="8" t="s">
        <v>204</v>
      </c>
      <c r="E8" s="8" t="s">
        <v>205</v>
      </c>
      <c r="F8" s="8" t="s">
        <v>29</v>
      </c>
      <c r="G8" s="8" t="s">
        <v>30</v>
      </c>
      <c r="H8" s="8" t="s">
        <v>206</v>
      </c>
      <c r="I8" s="8" t="s">
        <v>207</v>
      </c>
      <c r="J8" s="7" t="s">
        <v>25</v>
      </c>
    </row>
    <row r="9" spans="1:11">
      <c r="A9" s="17"/>
      <c r="B9" s="18" t="s">
        <v>837</v>
      </c>
      <c r="C9" s="19">
        <f>表1温室气体盘查表!B120</f>
        <v>2710165.61935046</v>
      </c>
      <c r="D9" s="14">
        <v>0</v>
      </c>
      <c r="E9" s="14">
        <v>0</v>
      </c>
      <c r="F9" s="14">
        <v>0</v>
      </c>
      <c r="G9" s="14">
        <v>0</v>
      </c>
      <c r="H9" s="14">
        <v>0</v>
      </c>
      <c r="I9" s="14">
        <v>0</v>
      </c>
      <c r="J9" s="14">
        <f>表1温室气体盘查表!C120</f>
        <v>2710165.61935046</v>
      </c>
      <c r="K9" s="12">
        <f>J9/$J$56</f>
        <v>0.173544428561534</v>
      </c>
    </row>
    <row r="10" spans="1:11">
      <c r="A10" s="15" t="s">
        <v>841</v>
      </c>
      <c r="B10" s="4" t="s">
        <v>842</v>
      </c>
      <c r="C10" s="4"/>
      <c r="D10" s="4"/>
      <c r="E10" s="4"/>
      <c r="F10" s="4"/>
      <c r="G10" s="4"/>
      <c r="H10" s="4"/>
      <c r="I10" s="4"/>
      <c r="J10" s="4"/>
    </row>
    <row r="11" spans="1:11">
      <c r="A11" s="16"/>
      <c r="B11" s="7" t="s">
        <v>836</v>
      </c>
      <c r="C11" s="8" t="s">
        <v>203</v>
      </c>
      <c r="D11" s="8" t="s">
        <v>204</v>
      </c>
      <c r="E11" s="8" t="s">
        <v>205</v>
      </c>
      <c r="F11" s="8" t="s">
        <v>29</v>
      </c>
      <c r="G11" s="8" t="s">
        <v>30</v>
      </c>
      <c r="H11" s="8" t="s">
        <v>206</v>
      </c>
      <c r="I11" s="8" t="s">
        <v>207</v>
      </c>
      <c r="J11" s="7" t="s">
        <v>25</v>
      </c>
    </row>
    <row r="12" spans="1:11">
      <c r="A12" s="17"/>
      <c r="B12" s="18" t="s">
        <v>837</v>
      </c>
      <c r="C12" s="19">
        <f>表1温室气体盘查表!B124</f>
        <v>51806.97034336</v>
      </c>
      <c r="D12" s="14">
        <v>0</v>
      </c>
      <c r="E12" s="14">
        <v>0</v>
      </c>
      <c r="F12" s="14">
        <v>0</v>
      </c>
      <c r="G12" s="14">
        <v>0</v>
      </c>
      <c r="H12" s="14">
        <v>0</v>
      </c>
      <c r="I12" s="14">
        <v>0</v>
      </c>
      <c r="J12" s="14">
        <f>C12</f>
        <v>51806.97034336</v>
      </c>
      <c r="K12" s="12">
        <f>J12/$J$56</f>
        <v>0.00331743971643237</v>
      </c>
    </row>
    <row r="13" spans="1:11">
      <c r="A13" s="15" t="s">
        <v>843</v>
      </c>
      <c r="B13" s="4" t="s">
        <v>660</v>
      </c>
      <c r="C13" s="4"/>
      <c r="D13" s="4"/>
      <c r="E13" s="4"/>
      <c r="F13" s="4"/>
      <c r="G13" s="4"/>
      <c r="H13" s="4"/>
      <c r="I13" s="4"/>
      <c r="J13" s="4"/>
    </row>
    <row r="14" spans="1:11">
      <c r="A14" s="16"/>
      <c r="B14" s="7" t="s">
        <v>836</v>
      </c>
      <c r="C14" s="8" t="s">
        <v>203</v>
      </c>
      <c r="D14" s="8" t="s">
        <v>204</v>
      </c>
      <c r="E14" s="8" t="s">
        <v>205</v>
      </c>
      <c r="F14" s="8" t="s">
        <v>29</v>
      </c>
      <c r="G14" s="8" t="s">
        <v>30</v>
      </c>
      <c r="H14" s="8" t="s">
        <v>206</v>
      </c>
      <c r="I14" s="8" t="s">
        <v>207</v>
      </c>
      <c r="J14" s="7" t="s">
        <v>25</v>
      </c>
    </row>
    <row r="15" spans="1:11">
      <c r="A15" s="17"/>
      <c r="B15" s="18" t="s">
        <v>837</v>
      </c>
      <c r="C15" s="19">
        <f>表1温室气体盘查表!B128</f>
        <v>2016736.07196272</v>
      </c>
      <c r="D15" s="14">
        <v>0</v>
      </c>
      <c r="E15" s="14">
        <v>0</v>
      </c>
      <c r="F15" s="14">
        <v>0</v>
      </c>
      <c r="G15" s="14">
        <v>0</v>
      </c>
      <c r="H15" s="14">
        <v>0</v>
      </c>
      <c r="I15" s="14">
        <v>0</v>
      </c>
      <c r="J15" s="14">
        <f>C15</f>
        <v>2016736.07196272</v>
      </c>
      <c r="K15" s="12">
        <f>J15/$J$56</f>
        <v>0.129140930232923</v>
      </c>
    </row>
    <row r="16" spans="1:11">
      <c r="A16" s="15" t="s">
        <v>844</v>
      </c>
      <c r="B16" s="4" t="s">
        <v>347</v>
      </c>
      <c r="C16" s="4"/>
      <c r="D16" s="4"/>
      <c r="E16" s="4"/>
      <c r="F16" s="4"/>
      <c r="G16" s="4"/>
      <c r="H16" s="4"/>
      <c r="I16" s="4"/>
      <c r="J16" s="4"/>
    </row>
    <row r="17" spans="1:11">
      <c r="A17" s="16"/>
      <c r="B17" s="7" t="s">
        <v>836</v>
      </c>
      <c r="C17" s="8" t="s">
        <v>203</v>
      </c>
      <c r="D17" s="8" t="s">
        <v>204</v>
      </c>
      <c r="E17" s="8" t="s">
        <v>205</v>
      </c>
      <c r="F17" s="8" t="s">
        <v>29</v>
      </c>
      <c r="G17" s="8" t="s">
        <v>30</v>
      </c>
      <c r="H17" s="8" t="s">
        <v>206</v>
      </c>
      <c r="I17" s="8" t="s">
        <v>207</v>
      </c>
      <c r="J17" s="7" t="s">
        <v>25</v>
      </c>
    </row>
    <row r="18" spans="1:11">
      <c r="A18" s="17"/>
      <c r="B18" s="18" t="s">
        <v>837</v>
      </c>
      <c r="C18" s="19">
        <f>表1温室气体盘查表!B132</f>
        <v>362284.252670301</v>
      </c>
      <c r="D18" s="14">
        <v>0</v>
      </c>
      <c r="E18" s="14">
        <v>0</v>
      </c>
      <c r="F18" s="14">
        <v>0</v>
      </c>
      <c r="G18" s="14">
        <v>0</v>
      </c>
      <c r="H18" s="14">
        <v>0</v>
      </c>
      <c r="I18" s="14">
        <v>0</v>
      </c>
      <c r="J18" s="14">
        <f>C18</f>
        <v>362284.252670301</v>
      </c>
      <c r="K18" s="12">
        <f>J18/$J$56</f>
        <v>0.0231987348513329</v>
      </c>
    </row>
    <row r="19" spans="1:11">
      <c r="A19" s="15" t="s">
        <v>845</v>
      </c>
      <c r="B19" s="4" t="s">
        <v>846</v>
      </c>
      <c r="C19" s="4"/>
      <c r="D19" s="4"/>
      <c r="E19" s="4"/>
      <c r="F19" s="4"/>
      <c r="G19" s="4"/>
      <c r="H19" s="4"/>
      <c r="I19" s="4"/>
      <c r="J19" s="4"/>
    </row>
    <row r="20" spans="1:11">
      <c r="A20" s="16"/>
      <c r="B20" s="7" t="s">
        <v>836</v>
      </c>
      <c r="C20" s="8" t="s">
        <v>203</v>
      </c>
      <c r="D20" s="8" t="s">
        <v>204</v>
      </c>
      <c r="E20" s="8" t="s">
        <v>205</v>
      </c>
      <c r="F20" s="8" t="s">
        <v>29</v>
      </c>
      <c r="G20" s="8" t="s">
        <v>30</v>
      </c>
      <c r="H20" s="8" t="s">
        <v>206</v>
      </c>
      <c r="I20" s="8" t="s">
        <v>207</v>
      </c>
      <c r="J20" s="7" t="s">
        <v>25</v>
      </c>
    </row>
    <row r="21" spans="1:11">
      <c r="A21" s="17"/>
      <c r="B21" s="18" t="s">
        <v>837</v>
      </c>
      <c r="C21" s="19">
        <f>表1温室气体盘查表!B136</f>
        <v>147636.031876224</v>
      </c>
      <c r="D21" s="14">
        <v>0</v>
      </c>
      <c r="E21" s="14">
        <v>0</v>
      </c>
      <c r="F21" s="14">
        <v>0</v>
      </c>
      <c r="G21" s="14">
        <v>0</v>
      </c>
      <c r="H21" s="14">
        <v>0</v>
      </c>
      <c r="I21" s="14">
        <v>0</v>
      </c>
      <c r="J21" s="14">
        <f>C21</f>
        <v>147636.031876224</v>
      </c>
      <c r="K21" s="12">
        <f>J21/$J$56</f>
        <v>0.00945381736234717</v>
      </c>
    </row>
    <row r="22" spans="1:11">
      <c r="A22" s="15" t="s">
        <v>847</v>
      </c>
      <c r="B22" s="4" t="s">
        <v>358</v>
      </c>
      <c r="C22" s="4"/>
      <c r="D22" s="4"/>
      <c r="E22" s="4"/>
      <c r="F22" s="4"/>
      <c r="G22" s="4"/>
      <c r="H22" s="4"/>
      <c r="I22" s="4"/>
      <c r="J22" s="4"/>
    </row>
    <row r="23" spans="1:11">
      <c r="A23" s="16"/>
      <c r="B23" s="7" t="s">
        <v>836</v>
      </c>
      <c r="C23" s="8" t="s">
        <v>203</v>
      </c>
      <c r="D23" s="8" t="s">
        <v>204</v>
      </c>
      <c r="E23" s="8" t="s">
        <v>205</v>
      </c>
      <c r="F23" s="8" t="s">
        <v>29</v>
      </c>
      <c r="G23" s="8" t="s">
        <v>30</v>
      </c>
      <c r="H23" s="8" t="s">
        <v>206</v>
      </c>
      <c r="I23" s="8" t="s">
        <v>207</v>
      </c>
      <c r="J23" s="7" t="s">
        <v>25</v>
      </c>
    </row>
    <row r="24" spans="1:11">
      <c r="A24" s="17"/>
      <c r="B24" s="18" t="s">
        <v>837</v>
      </c>
      <c r="C24" s="19">
        <f>表1温室气体盘查表!B140</f>
        <v>1670.17345373528</v>
      </c>
      <c r="D24" s="14">
        <v>0</v>
      </c>
      <c r="E24" s="14">
        <v>0</v>
      </c>
      <c r="F24" s="14">
        <v>0</v>
      </c>
      <c r="G24" s="14">
        <v>0</v>
      </c>
      <c r="H24" s="14">
        <v>0</v>
      </c>
      <c r="I24" s="14">
        <v>0</v>
      </c>
      <c r="J24" s="14">
        <f>C24</f>
        <v>1670.17345373528</v>
      </c>
      <c r="K24" s="12">
        <f>J24/$J$56</f>
        <v>0.000106948924286259</v>
      </c>
    </row>
    <row r="25" spans="1:11">
      <c r="A25" s="15" t="s">
        <v>848</v>
      </c>
      <c r="B25" s="4" t="s">
        <v>364</v>
      </c>
      <c r="C25" s="4"/>
      <c r="D25" s="4"/>
      <c r="E25" s="4"/>
      <c r="F25" s="4"/>
      <c r="G25" s="4"/>
      <c r="H25" s="4"/>
      <c r="I25" s="4"/>
      <c r="J25" s="4"/>
    </row>
    <row r="26" spans="1:11">
      <c r="A26" s="16"/>
      <c r="B26" s="7" t="s">
        <v>836</v>
      </c>
      <c r="C26" s="8" t="s">
        <v>203</v>
      </c>
      <c r="D26" s="8" t="s">
        <v>204</v>
      </c>
      <c r="E26" s="8" t="s">
        <v>205</v>
      </c>
      <c r="F26" s="8" t="s">
        <v>29</v>
      </c>
      <c r="G26" s="8" t="s">
        <v>30</v>
      </c>
      <c r="H26" s="8" t="s">
        <v>206</v>
      </c>
      <c r="I26" s="8" t="s">
        <v>207</v>
      </c>
      <c r="J26" s="7" t="s">
        <v>25</v>
      </c>
    </row>
    <row r="27" spans="1:11">
      <c r="A27" s="17"/>
      <c r="B27" s="18" t="s">
        <v>837</v>
      </c>
      <c r="C27" s="19">
        <f>表1温室气体盘查表!B144</f>
        <v>13322.57648759</v>
      </c>
      <c r="D27" s="14">
        <v>0</v>
      </c>
      <c r="E27" s="14">
        <v>0</v>
      </c>
      <c r="F27" s="14">
        <v>0</v>
      </c>
      <c r="G27" s="14">
        <v>0</v>
      </c>
      <c r="H27" s="14">
        <v>0</v>
      </c>
      <c r="I27" s="14">
        <v>0</v>
      </c>
      <c r="J27" s="14">
        <f>C27</f>
        <v>13322.57648759</v>
      </c>
      <c r="K27" s="12">
        <f>J27/$J$56</f>
        <v>0.00085310613749881</v>
      </c>
    </row>
    <row r="28" spans="1:11">
      <c r="A28" s="15" t="s">
        <v>849</v>
      </c>
      <c r="B28" s="4" t="s">
        <v>850</v>
      </c>
      <c r="C28" s="4"/>
      <c r="D28" s="4"/>
      <c r="E28" s="4"/>
      <c r="F28" s="4"/>
      <c r="G28" s="4"/>
      <c r="H28" s="4"/>
      <c r="I28" s="4"/>
      <c r="J28" s="4"/>
    </row>
    <row r="29" spans="1:11">
      <c r="A29" s="16"/>
      <c r="B29" s="7" t="s">
        <v>836</v>
      </c>
      <c r="C29" s="8" t="s">
        <v>203</v>
      </c>
      <c r="D29" s="8" t="s">
        <v>204</v>
      </c>
      <c r="E29" s="8" t="s">
        <v>205</v>
      </c>
      <c r="F29" s="8" t="s">
        <v>29</v>
      </c>
      <c r="G29" s="8" t="s">
        <v>30</v>
      </c>
      <c r="H29" s="8" t="s">
        <v>206</v>
      </c>
      <c r="I29" s="8" t="s">
        <v>207</v>
      </c>
      <c r="J29" s="7" t="s">
        <v>25</v>
      </c>
    </row>
    <row r="30" spans="1:11">
      <c r="A30" s="17"/>
      <c r="B30" s="18" t="s">
        <v>837</v>
      </c>
      <c r="C30" s="19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4">
        <v>0</v>
      </c>
      <c r="J30" s="14">
        <f>C30</f>
        <v>0</v>
      </c>
    </row>
    <row r="31" spans="1:11">
      <c r="A31" s="15" t="s">
        <v>851</v>
      </c>
      <c r="B31" s="4" t="s">
        <v>370</v>
      </c>
      <c r="C31" s="4"/>
      <c r="D31" s="4"/>
      <c r="E31" s="4"/>
      <c r="F31" s="4"/>
      <c r="G31" s="4"/>
      <c r="H31" s="4"/>
      <c r="I31" s="4"/>
      <c r="J31" s="4"/>
    </row>
    <row r="32" spans="1:11">
      <c r="A32" s="16"/>
      <c r="B32" s="7" t="s">
        <v>836</v>
      </c>
      <c r="C32" s="8" t="s">
        <v>203</v>
      </c>
      <c r="D32" s="8" t="s">
        <v>204</v>
      </c>
      <c r="E32" s="8" t="s">
        <v>205</v>
      </c>
      <c r="F32" s="8" t="s">
        <v>29</v>
      </c>
      <c r="G32" s="8" t="s">
        <v>30</v>
      </c>
      <c r="H32" s="8" t="s">
        <v>206</v>
      </c>
      <c r="I32" s="8" t="s">
        <v>207</v>
      </c>
      <c r="J32" s="7" t="s">
        <v>25</v>
      </c>
    </row>
    <row r="33" spans="1:11">
      <c r="A33" s="17"/>
      <c r="B33" s="18" t="s">
        <v>837</v>
      </c>
      <c r="C33" s="19">
        <f>表1温室气体盘查表!B152</f>
        <v>274585.607161911</v>
      </c>
      <c r="D33" s="14">
        <v>0</v>
      </c>
      <c r="E33" s="14">
        <v>0</v>
      </c>
      <c r="F33" s="14">
        <v>0</v>
      </c>
      <c r="G33" s="14">
        <v>0</v>
      </c>
      <c r="H33" s="14">
        <v>0</v>
      </c>
      <c r="I33" s="14">
        <v>0</v>
      </c>
      <c r="J33" s="14">
        <f>C33</f>
        <v>274585.607161911</v>
      </c>
      <c r="K33" s="12">
        <f>J33/$J$56</f>
        <v>0.0175829853149553</v>
      </c>
    </row>
    <row r="34" spans="1:11">
      <c r="A34" s="15" t="s">
        <v>852</v>
      </c>
      <c r="B34" s="4" t="s">
        <v>372</v>
      </c>
      <c r="C34" s="4"/>
      <c r="D34" s="4"/>
      <c r="E34" s="4"/>
      <c r="F34" s="4"/>
      <c r="G34" s="4"/>
      <c r="H34" s="4"/>
      <c r="I34" s="4"/>
      <c r="J34" s="4"/>
    </row>
    <row r="35" spans="1:11">
      <c r="A35" s="16"/>
      <c r="B35" s="7" t="s">
        <v>836</v>
      </c>
      <c r="C35" s="8" t="s">
        <v>203</v>
      </c>
      <c r="D35" s="8" t="s">
        <v>204</v>
      </c>
      <c r="E35" s="8" t="s">
        <v>205</v>
      </c>
      <c r="F35" s="8" t="s">
        <v>29</v>
      </c>
      <c r="G35" s="8" t="s">
        <v>30</v>
      </c>
      <c r="H35" s="8" t="s">
        <v>206</v>
      </c>
      <c r="I35" s="8" t="s">
        <v>207</v>
      </c>
      <c r="J35" s="7" t="s">
        <v>25</v>
      </c>
    </row>
    <row r="36" spans="1:11">
      <c r="A36" s="17"/>
      <c r="B36" s="18" t="s">
        <v>837</v>
      </c>
      <c r="C36" s="19">
        <f>表1温室气体盘查表!B156</f>
        <v>1746619.95968953</v>
      </c>
      <c r="D36" s="14">
        <v>0</v>
      </c>
      <c r="E36" s="14">
        <v>0</v>
      </c>
      <c r="F36" s="14">
        <v>0</v>
      </c>
      <c r="G36" s="14">
        <v>0</v>
      </c>
      <c r="H36" s="14">
        <v>0</v>
      </c>
      <c r="I36" s="14">
        <v>0</v>
      </c>
      <c r="J36" s="14">
        <f>C36</f>
        <v>1746619.95968953</v>
      </c>
      <c r="K36" s="12">
        <f>J36/$J$56</f>
        <v>0.111844147329689</v>
      </c>
    </row>
    <row r="37" spans="1:11">
      <c r="A37" s="15" t="s">
        <v>853</v>
      </c>
      <c r="B37" s="4" t="s">
        <v>378</v>
      </c>
      <c r="C37" s="4"/>
      <c r="D37" s="4"/>
      <c r="E37" s="4"/>
      <c r="F37" s="4"/>
      <c r="G37" s="4"/>
      <c r="H37" s="4"/>
      <c r="I37" s="4"/>
      <c r="J37" s="4"/>
    </row>
    <row r="38" spans="1:11">
      <c r="A38" s="16"/>
      <c r="B38" s="7" t="s">
        <v>836</v>
      </c>
      <c r="C38" s="8" t="s">
        <v>203</v>
      </c>
      <c r="D38" s="8" t="s">
        <v>204</v>
      </c>
      <c r="E38" s="8" t="s">
        <v>205</v>
      </c>
      <c r="F38" s="8" t="s">
        <v>29</v>
      </c>
      <c r="G38" s="8" t="s">
        <v>30</v>
      </c>
      <c r="H38" s="8" t="s">
        <v>206</v>
      </c>
      <c r="I38" s="8" t="s">
        <v>207</v>
      </c>
      <c r="J38" s="7" t="s">
        <v>25</v>
      </c>
    </row>
    <row r="39" spans="1:11">
      <c r="A39" s="17"/>
      <c r="B39" s="18" t="s">
        <v>837</v>
      </c>
      <c r="C39" s="19">
        <f>表1温室气体盘查表!B160</f>
        <v>3828.37588063128</v>
      </c>
      <c r="D39" s="19">
        <f>表1温室气体盘查表!C160</f>
        <v>2.40566862769398</v>
      </c>
      <c r="E39" s="19">
        <f>表1温室气体盘查表!D160</f>
        <v>2.35393381849626</v>
      </c>
      <c r="F39" s="19">
        <f>表1温室气体盘查表!E160</f>
        <v>0</v>
      </c>
      <c r="G39" s="19">
        <f>表1温室气体盘查表!F160</f>
        <v>0</v>
      </c>
      <c r="H39" s="19">
        <f>表1温室气体盘查表!G160</f>
        <v>0</v>
      </c>
      <c r="I39" s="19">
        <f>表1温室气体盘查表!H160</f>
        <v>0</v>
      </c>
      <c r="J39" s="14">
        <f>SUM(C39:I39)</f>
        <v>3833.13548307747</v>
      </c>
      <c r="K39" s="12">
        <f>J39/$J$56</f>
        <v>0.000245453378295402</v>
      </c>
    </row>
    <row r="40" spans="1:11">
      <c r="A40" s="15" t="s">
        <v>854</v>
      </c>
      <c r="B40" s="4" t="s">
        <v>381</v>
      </c>
      <c r="C40" s="4"/>
      <c r="D40" s="4"/>
      <c r="E40" s="4"/>
      <c r="F40" s="4"/>
      <c r="G40" s="4"/>
      <c r="H40" s="4"/>
      <c r="I40" s="4"/>
      <c r="J40" s="4"/>
    </row>
    <row r="41" spans="1:11">
      <c r="A41" s="16"/>
      <c r="B41" s="7" t="s">
        <v>836</v>
      </c>
      <c r="C41" s="8" t="s">
        <v>203</v>
      </c>
      <c r="D41" s="8" t="s">
        <v>204</v>
      </c>
      <c r="E41" s="8" t="s">
        <v>205</v>
      </c>
      <c r="F41" s="8" t="s">
        <v>29</v>
      </c>
      <c r="G41" s="8" t="s">
        <v>30</v>
      </c>
      <c r="H41" s="8" t="s">
        <v>206</v>
      </c>
      <c r="I41" s="8" t="s">
        <v>207</v>
      </c>
      <c r="J41" s="7" t="s">
        <v>25</v>
      </c>
    </row>
    <row r="42" spans="1:11">
      <c r="A42" s="17"/>
      <c r="B42" s="18" t="s">
        <v>837</v>
      </c>
      <c r="C42" s="19">
        <f>表1温室气体盘查表!B164</f>
        <v>3747.34695958894</v>
      </c>
      <c r="D42" s="14">
        <v>0</v>
      </c>
      <c r="E42" s="14">
        <v>0</v>
      </c>
      <c r="F42" s="14">
        <v>0</v>
      </c>
      <c r="G42" s="14">
        <v>0</v>
      </c>
      <c r="H42" s="14">
        <v>0</v>
      </c>
      <c r="I42" s="14">
        <v>0</v>
      </c>
      <c r="J42" s="14">
        <f>C42</f>
        <v>3747.34695958894</v>
      </c>
      <c r="K42" s="12">
        <f>J42/$J$56</f>
        <v>0.000239959942698826</v>
      </c>
    </row>
    <row r="43" spans="1:11">
      <c r="A43" s="15" t="s">
        <v>855</v>
      </c>
      <c r="B43" s="4" t="s">
        <v>856</v>
      </c>
      <c r="C43" s="4"/>
      <c r="D43" s="4"/>
      <c r="E43" s="4"/>
      <c r="F43" s="4"/>
      <c r="G43" s="4"/>
      <c r="H43" s="4"/>
      <c r="I43" s="4"/>
      <c r="J43" s="4"/>
    </row>
    <row r="44" spans="1:11">
      <c r="A44" s="16"/>
      <c r="B44" s="7" t="s">
        <v>836</v>
      </c>
      <c r="C44" s="8" t="s">
        <v>203</v>
      </c>
      <c r="D44" s="8" t="s">
        <v>204</v>
      </c>
      <c r="E44" s="8" t="s">
        <v>205</v>
      </c>
      <c r="F44" s="8" t="s">
        <v>29</v>
      </c>
      <c r="G44" s="8" t="s">
        <v>30</v>
      </c>
      <c r="H44" s="8" t="s">
        <v>206</v>
      </c>
      <c r="I44" s="8" t="s">
        <v>207</v>
      </c>
      <c r="J44" s="7" t="s">
        <v>25</v>
      </c>
    </row>
    <row r="45" spans="1:11">
      <c r="A45" s="17"/>
      <c r="B45" s="18" t="s">
        <v>837</v>
      </c>
      <c r="C45" s="19">
        <v>0</v>
      </c>
      <c r="D45" s="14">
        <v>0</v>
      </c>
      <c r="E45" s="14">
        <v>0</v>
      </c>
      <c r="F45" s="14">
        <v>0</v>
      </c>
      <c r="G45" s="14">
        <v>0</v>
      </c>
      <c r="H45" s="14">
        <v>0</v>
      </c>
      <c r="I45" s="14">
        <v>0</v>
      </c>
      <c r="J45" s="14">
        <f>C45</f>
        <v>0</v>
      </c>
    </row>
    <row r="46" spans="1:11">
      <c r="A46" s="15" t="s">
        <v>857</v>
      </c>
      <c r="B46" s="4" t="s">
        <v>858</v>
      </c>
      <c r="C46" s="4"/>
      <c r="D46" s="4"/>
      <c r="E46" s="4"/>
      <c r="F46" s="4"/>
      <c r="G46" s="4"/>
      <c r="H46" s="4"/>
      <c r="I46" s="4"/>
      <c r="J46" s="4"/>
    </row>
    <row r="47" spans="1:11">
      <c r="A47" s="16"/>
      <c r="B47" s="7" t="s">
        <v>836</v>
      </c>
      <c r="C47" s="8" t="s">
        <v>203</v>
      </c>
      <c r="D47" s="8" t="s">
        <v>204</v>
      </c>
      <c r="E47" s="8" t="s">
        <v>205</v>
      </c>
      <c r="F47" s="8" t="s">
        <v>29</v>
      </c>
      <c r="G47" s="8" t="s">
        <v>30</v>
      </c>
      <c r="H47" s="8" t="s">
        <v>206</v>
      </c>
      <c r="I47" s="8" t="s">
        <v>207</v>
      </c>
      <c r="J47" s="7" t="s">
        <v>25</v>
      </c>
    </row>
    <row r="48" spans="1:11">
      <c r="A48" s="17"/>
      <c r="B48" s="18" t="s">
        <v>837</v>
      </c>
      <c r="C48" s="19">
        <v>0</v>
      </c>
      <c r="D48" s="14">
        <v>0</v>
      </c>
      <c r="E48" s="14">
        <v>0</v>
      </c>
      <c r="F48" s="14">
        <v>0</v>
      </c>
      <c r="G48" s="14">
        <v>0</v>
      </c>
      <c r="H48" s="14">
        <v>0</v>
      </c>
      <c r="I48" s="14">
        <v>0</v>
      </c>
      <c r="J48" s="14">
        <f>C48</f>
        <v>0</v>
      </c>
    </row>
    <row r="49" spans="1:10">
      <c r="A49" s="15" t="s">
        <v>859</v>
      </c>
      <c r="B49" s="4" t="s">
        <v>860</v>
      </c>
      <c r="C49" s="4"/>
      <c r="D49" s="4"/>
      <c r="E49" s="4"/>
      <c r="F49" s="4"/>
      <c r="G49" s="4"/>
      <c r="H49" s="4"/>
      <c r="I49" s="4"/>
      <c r="J49" s="4"/>
    </row>
    <row r="50" spans="1:10">
      <c r="A50" s="16"/>
      <c r="B50" s="7" t="s">
        <v>836</v>
      </c>
      <c r="C50" s="8" t="s">
        <v>203</v>
      </c>
      <c r="D50" s="8" t="s">
        <v>204</v>
      </c>
      <c r="E50" s="8" t="s">
        <v>205</v>
      </c>
      <c r="F50" s="8" t="s">
        <v>29</v>
      </c>
      <c r="G50" s="8" t="s">
        <v>30</v>
      </c>
      <c r="H50" s="8" t="s">
        <v>206</v>
      </c>
      <c r="I50" s="8" t="s">
        <v>207</v>
      </c>
      <c r="J50" s="7" t="s">
        <v>25</v>
      </c>
    </row>
    <row r="51" spans="1:10">
      <c r="A51" s="17"/>
      <c r="B51" s="18" t="s">
        <v>837</v>
      </c>
      <c r="C51" s="19">
        <v>0</v>
      </c>
      <c r="D51" s="14">
        <v>0</v>
      </c>
      <c r="E51" s="14">
        <v>0</v>
      </c>
      <c r="F51" s="14">
        <v>0</v>
      </c>
      <c r="G51" s="14">
        <v>0</v>
      </c>
      <c r="H51" s="14">
        <v>0</v>
      </c>
      <c r="I51" s="14">
        <v>0</v>
      </c>
      <c r="J51" s="14">
        <f>C51</f>
        <v>0</v>
      </c>
    </row>
    <row r="52" spans="1:10">
      <c r="A52" s="15" t="s">
        <v>861</v>
      </c>
      <c r="B52" s="7" t="s">
        <v>836</v>
      </c>
      <c r="C52" s="8" t="s">
        <v>203</v>
      </c>
      <c r="D52" s="8" t="s">
        <v>204</v>
      </c>
      <c r="E52" s="8" t="s">
        <v>205</v>
      </c>
      <c r="F52" s="8" t="s">
        <v>29</v>
      </c>
      <c r="G52" s="8" t="s">
        <v>30</v>
      </c>
      <c r="H52" s="8" t="s">
        <v>206</v>
      </c>
      <c r="I52" s="8" t="s">
        <v>207</v>
      </c>
      <c r="J52" s="7" t="s">
        <v>25</v>
      </c>
    </row>
    <row r="53" spans="1:10">
      <c r="A53" s="20"/>
      <c r="B53" s="18" t="s">
        <v>218</v>
      </c>
      <c r="C53" s="19">
        <f t="shared" ref="C53:J53" si="0">C3</f>
        <v>7086080.34512885</v>
      </c>
      <c r="D53" s="19">
        <f t="shared" si="0"/>
        <v>2569.68353485897</v>
      </c>
      <c r="E53" s="19">
        <f t="shared" si="0"/>
        <v>30422.615322387</v>
      </c>
      <c r="F53" s="19">
        <f t="shared" si="0"/>
        <v>717.03</v>
      </c>
      <c r="G53" s="19">
        <f t="shared" si="0"/>
        <v>0</v>
      </c>
      <c r="H53" s="19">
        <f t="shared" si="0"/>
        <v>2459.16</v>
      </c>
      <c r="I53" s="19">
        <f t="shared" si="0"/>
        <v>0</v>
      </c>
      <c r="J53" s="19">
        <f t="shared" si="0"/>
        <v>7122248.8339861</v>
      </c>
    </row>
    <row r="54" ht="19.5" spans="1:10">
      <c r="A54" s="20"/>
      <c r="B54" s="21" t="s">
        <v>865</v>
      </c>
      <c r="C54" s="19">
        <f>C6</f>
        <v>1161900.332352</v>
      </c>
      <c r="D54" s="19">
        <f t="shared" ref="D54:J54" si="1">D6</f>
        <v>0</v>
      </c>
      <c r="E54" s="19">
        <f t="shared" si="1"/>
        <v>0</v>
      </c>
      <c r="F54" s="19">
        <f t="shared" si="1"/>
        <v>0</v>
      </c>
      <c r="G54" s="19">
        <f t="shared" si="1"/>
        <v>0</v>
      </c>
      <c r="H54" s="19">
        <f t="shared" si="1"/>
        <v>0</v>
      </c>
      <c r="I54" s="19">
        <f t="shared" si="1"/>
        <v>0</v>
      </c>
      <c r="J54" s="19">
        <f t="shared" si="1"/>
        <v>1161900.332352</v>
      </c>
    </row>
    <row r="55" spans="1:10">
      <c r="A55" s="20"/>
      <c r="B55" s="18" t="s">
        <v>418</v>
      </c>
      <c r="C55" s="19">
        <f>SUM(C9,C12,C15,C18,C21,C24,C27,C30,C33,C36,C39,C42,C45,C48,C51)</f>
        <v>7332402.98583606</v>
      </c>
      <c r="D55" s="19">
        <f t="shared" ref="D55:I55" si="2">SUM(D9,D12,D15,D18,D21,D24,D27,D30,D33,D36,D39,D42,D45,D48,D51)</f>
        <v>2.40566862769398</v>
      </c>
      <c r="E55" s="19">
        <f t="shared" si="2"/>
        <v>2.35393381849626</v>
      </c>
      <c r="F55" s="19">
        <f t="shared" si="2"/>
        <v>0</v>
      </c>
      <c r="G55" s="19">
        <f t="shared" si="2"/>
        <v>0</v>
      </c>
      <c r="H55" s="19">
        <f t="shared" si="2"/>
        <v>0</v>
      </c>
      <c r="I55" s="19">
        <f t="shared" si="2"/>
        <v>0</v>
      </c>
      <c r="J55" s="11">
        <f>C55</f>
        <v>7332402.98583606</v>
      </c>
    </row>
    <row r="56" spans="1:10">
      <c r="A56" s="22"/>
      <c r="B56" s="18" t="s">
        <v>863</v>
      </c>
      <c r="C56" s="19">
        <f>SUM(C53:C55)</f>
        <v>15580383.6633169</v>
      </c>
      <c r="D56" s="19">
        <f t="shared" ref="D56:J56" si="3">SUM(D53:D55)</f>
        <v>2572.08920348666</v>
      </c>
      <c r="E56" s="19">
        <f t="shared" si="3"/>
        <v>30424.9692562055</v>
      </c>
      <c r="F56" s="19">
        <f t="shared" si="3"/>
        <v>717.03</v>
      </c>
      <c r="G56" s="19">
        <f t="shared" si="3"/>
        <v>0</v>
      </c>
      <c r="H56" s="19">
        <f t="shared" si="3"/>
        <v>2459.16</v>
      </c>
      <c r="I56" s="19">
        <f t="shared" si="3"/>
        <v>0</v>
      </c>
      <c r="J56" s="19">
        <f t="shared" si="3"/>
        <v>15616552.1521742</v>
      </c>
    </row>
  </sheetData>
  <mergeCells count="35">
    <mergeCell ref="B1:J1"/>
    <mergeCell ref="B4:J4"/>
    <mergeCell ref="B7:J7"/>
    <mergeCell ref="B10:J10"/>
    <mergeCell ref="B13:J13"/>
    <mergeCell ref="B16:J16"/>
    <mergeCell ref="B19:J19"/>
    <mergeCell ref="B22:J22"/>
    <mergeCell ref="B25:J25"/>
    <mergeCell ref="B28:J28"/>
    <mergeCell ref="B31:J31"/>
    <mergeCell ref="B34:J34"/>
    <mergeCell ref="B37:J37"/>
    <mergeCell ref="B40:J40"/>
    <mergeCell ref="B43:J43"/>
    <mergeCell ref="B46:J46"/>
    <mergeCell ref="B49:J49"/>
    <mergeCell ref="A1:A3"/>
    <mergeCell ref="A4:A6"/>
    <mergeCell ref="A7:A9"/>
    <mergeCell ref="A10:A12"/>
    <mergeCell ref="A13:A15"/>
    <mergeCell ref="A16:A18"/>
    <mergeCell ref="A19:A21"/>
    <mergeCell ref="A22:A24"/>
    <mergeCell ref="A25:A27"/>
    <mergeCell ref="A28:A30"/>
    <mergeCell ref="A31:A33"/>
    <mergeCell ref="A34:A36"/>
    <mergeCell ref="A37:A39"/>
    <mergeCell ref="A40:A42"/>
    <mergeCell ref="A43:A45"/>
    <mergeCell ref="A46:A48"/>
    <mergeCell ref="A49:A51"/>
    <mergeCell ref="A52:A56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温室气体盘查清册 (2)</vt:lpstr>
      <vt:lpstr>基本信息</vt:lpstr>
      <vt:lpstr>温室气体盘查清册</vt:lpstr>
      <vt:lpstr>表1温室气体盘查表</vt:lpstr>
      <vt:lpstr>表2.1不确定性评估——基于位置</vt:lpstr>
      <vt:lpstr>表2.1不确定性评估——基于市场</vt:lpstr>
      <vt:lpstr>附表1-GWP TABLE</vt:lpstr>
      <vt:lpstr>附表2-EF</vt:lpstr>
      <vt:lpstr>减排行动统计</vt:lpstr>
      <vt:lpstr>活动数据汇总表（GHG基于位置）</vt:lpstr>
      <vt:lpstr>活动数据汇总表（GHG基于市场）</vt:lpstr>
      <vt:lpstr>基准年温室气体清单 (GHG位置)</vt:lpstr>
      <vt:lpstr>基准年温室气体清单（GHG市场）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费玲芳</dc:creator>
  <cp:lastModifiedBy>扬歌</cp:lastModifiedBy>
  <dcterms:created xsi:type="dcterms:W3CDTF">2017-10-24T16:05:00Z</dcterms:created>
  <cp:lastPrinted>2022-03-31T15:43:00Z</cp:lastPrinted>
  <dcterms:modified xsi:type="dcterms:W3CDTF">2026-01-25T09:39:05Z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612626E8CDDE4734A4210BBBE4C2FD8A_13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