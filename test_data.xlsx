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17802\Desktop\2024\A-My report generator\"/>
    </mc:Choice>
  </mc:AlternateContent>
  <xr:revisionPtr revIDLastSave="0" documentId="13_ncr:1_{7504FDF6-0AC7-4E57-B78F-3EE49228EC65}" xr6:coauthVersionLast="47" xr6:coauthVersionMax="47" xr10:uidLastSave="{00000000-0000-0000-0000-000000000000}"/>
  <bookViews>
    <workbookView xWindow="-120" yWindow="-120" windowWidth="29040" windowHeight="15720" tabRatio="789" firstSheet="1" activeTab="1" xr2:uid="{00000000-000D-0000-FFFF-FFFF00000000}"/>
  </bookViews>
  <sheets>
    <sheet name="温室气体盘查清册 (2)" sheetId="24" state="hidden" r:id="rId1"/>
    <sheet name="基本信息" sheetId="25" r:id="rId2"/>
    <sheet name="Sheet1" sheetId="26" r:id="rId3"/>
    <sheet name="温室气体盘查清册" sheetId="8" r:id="rId4"/>
    <sheet name="表1温室气体盘查表" sheetId="2" r:id="rId5"/>
    <sheet name="表2.1不确定性评估——基于位置" sheetId="18" r:id="rId6"/>
    <sheet name="表2.1不确定性评估——基于市场" sheetId="21" r:id="rId7"/>
    <sheet name="附表1-GWP TABLE" sheetId="4" r:id="rId8"/>
    <sheet name="附表2-EF" sheetId="5" r:id="rId9"/>
    <sheet name="减排行动统计" sheetId="13" r:id="rId10"/>
    <sheet name="活动数据汇总表（GHG基于位置）" sheetId="15" r:id="rId11"/>
    <sheet name="活动数据汇总表（GHG基于市场）" sheetId="23" r:id="rId12"/>
    <sheet name="基准年温室气体清单 (GHG位置)" sheetId="22" r:id="rId13"/>
    <sheet name="基准年温室气体清单（GHG市场）" sheetId="14" r:id="rId14"/>
  </sheets>
  <definedNames>
    <definedName name="CONST_CNTR_TotProd">#REF!</definedName>
    <definedName name="CONST_ElecConsumption">#REF!</definedName>
    <definedName name="_xlnm.Print_Area" localSheetId="4">表1温室气体盘查表!$A$1:$AL$104</definedName>
    <definedName name="_xlnm.Print_Area" localSheetId="7">'附表1-GWP TABLE'!$A$1:$J$49</definedName>
    <definedName name="_xlnm.Print_Area" localSheetId="8">'附表2-EF'!$A$1:$Q$39</definedName>
    <definedName name="_xlnm.Print_Area" localSheetId="11">'活动数据汇总表（GHG基于市场）'!$A$1:$AK$84</definedName>
    <definedName name="_xlnm.Print_Area" localSheetId="10">'活动数据汇总表（GHG基于位置）'!$A$1:$AK$84</definedName>
  </definedNames>
  <calcPr calcId="181029"/>
</workbook>
</file>

<file path=xl/calcChain.xml><?xml version="1.0" encoding="utf-8"?>
<calcChain xmlns="http://schemas.openxmlformats.org/spreadsheetml/2006/main">
  <c r="V54" i="14" l="1"/>
  <c r="U54" i="14"/>
  <c r="T54" i="14"/>
  <c r="S54" i="14"/>
  <c r="R54" i="14"/>
  <c r="Q54" i="14"/>
  <c r="P54" i="14"/>
  <c r="O54" i="14"/>
  <c r="V53" i="14"/>
  <c r="U53" i="14"/>
  <c r="T53" i="14"/>
  <c r="S53" i="14"/>
  <c r="R53" i="14"/>
  <c r="Q53" i="14"/>
  <c r="P53" i="14"/>
  <c r="O53" i="14"/>
  <c r="V54" i="22"/>
  <c r="U54" i="22"/>
  <c r="T54" i="22"/>
  <c r="S54" i="22"/>
  <c r="R54" i="22"/>
  <c r="Q54" i="22"/>
  <c r="W54" i="22"/>
  <c r="P54" i="22"/>
  <c r="W53" i="22"/>
  <c r="V53" i="22"/>
  <c r="U53" i="22"/>
  <c r="T53" i="22"/>
  <c r="S53" i="22"/>
  <c r="R53" i="22"/>
  <c r="Q53" i="22"/>
  <c r="P53" i="22"/>
  <c r="J56" i="14"/>
  <c r="I56" i="14"/>
  <c r="H56" i="14"/>
  <c r="G56" i="14"/>
  <c r="F56" i="14"/>
  <c r="E56" i="14"/>
  <c r="D56" i="14"/>
  <c r="C56" i="14"/>
  <c r="J55" i="14"/>
  <c r="I55" i="14"/>
  <c r="H55" i="14"/>
  <c r="G55" i="14"/>
  <c r="F55" i="14"/>
  <c r="E55" i="14"/>
  <c r="D55" i="14"/>
  <c r="C55" i="14"/>
  <c r="J54" i="14"/>
  <c r="I54" i="14"/>
  <c r="H54" i="14"/>
  <c r="G54" i="14"/>
  <c r="F54" i="14"/>
  <c r="E54" i="14"/>
  <c r="D54" i="14"/>
  <c r="C54" i="14"/>
  <c r="J53" i="14"/>
  <c r="I53" i="14"/>
  <c r="H53" i="14"/>
  <c r="G53" i="14"/>
  <c r="F53" i="14"/>
  <c r="E53" i="14"/>
  <c r="D53" i="14"/>
  <c r="C53" i="14"/>
  <c r="J51" i="14"/>
  <c r="J48" i="14"/>
  <c r="J45" i="14"/>
  <c r="K42" i="14"/>
  <c r="J42" i="14"/>
  <c r="C42" i="14"/>
  <c r="K39" i="14"/>
  <c r="J39" i="14"/>
  <c r="I39" i="14"/>
  <c r="H39" i="14"/>
  <c r="G39" i="14"/>
  <c r="F39" i="14"/>
  <c r="E39" i="14"/>
  <c r="D39" i="14"/>
  <c r="C39" i="14"/>
  <c r="K36" i="14"/>
  <c r="J36" i="14"/>
  <c r="C36" i="14"/>
  <c r="K33" i="14"/>
  <c r="J33" i="14"/>
  <c r="C33" i="14"/>
  <c r="J30" i="14"/>
  <c r="K27" i="14"/>
  <c r="J27" i="14"/>
  <c r="C27" i="14"/>
  <c r="K24" i="14"/>
  <c r="J24" i="14"/>
  <c r="C24" i="14"/>
  <c r="K21" i="14"/>
  <c r="J21" i="14"/>
  <c r="C21" i="14"/>
  <c r="K18" i="14"/>
  <c r="J18" i="14"/>
  <c r="C18" i="14"/>
  <c r="K15" i="14"/>
  <c r="J15" i="14"/>
  <c r="C15" i="14"/>
  <c r="K12" i="14"/>
  <c r="J12" i="14"/>
  <c r="C12" i="14"/>
  <c r="K9" i="14"/>
  <c r="J9" i="14"/>
  <c r="C9" i="14"/>
  <c r="K6" i="14"/>
  <c r="J6" i="14"/>
  <c r="C6" i="14"/>
  <c r="K3" i="14"/>
  <c r="J3" i="14"/>
  <c r="I3" i="14"/>
  <c r="H3" i="14"/>
  <c r="G3" i="14"/>
  <c r="F3" i="14"/>
  <c r="E3" i="14"/>
  <c r="D3" i="14"/>
  <c r="C3" i="14"/>
  <c r="J56" i="22"/>
  <c r="I56" i="22"/>
  <c r="H56" i="22"/>
  <c r="G56" i="22"/>
  <c r="F56" i="22"/>
  <c r="E56" i="22"/>
  <c r="D56" i="22"/>
  <c r="C56" i="22"/>
  <c r="J55" i="22"/>
  <c r="I55" i="22"/>
  <c r="H55" i="22"/>
  <c r="G55" i="22"/>
  <c r="F55" i="22"/>
  <c r="E55" i="22"/>
  <c r="D55" i="22"/>
  <c r="C55" i="22"/>
  <c r="J54" i="22"/>
  <c r="I54" i="22"/>
  <c r="H54" i="22"/>
  <c r="G54" i="22"/>
  <c r="F54" i="22"/>
  <c r="E54" i="22"/>
  <c r="D54" i="22"/>
  <c r="C54" i="22"/>
  <c r="J53" i="22"/>
  <c r="I53" i="22"/>
  <c r="H53" i="22"/>
  <c r="G53" i="22"/>
  <c r="F53" i="22"/>
  <c r="E53" i="22"/>
  <c r="D53" i="22"/>
  <c r="C53" i="22"/>
  <c r="J51" i="22"/>
  <c r="J48" i="22"/>
  <c r="J45" i="22"/>
  <c r="L42" i="22"/>
  <c r="K42" i="22"/>
  <c r="J42" i="22"/>
  <c r="C42" i="22"/>
  <c r="L39" i="22"/>
  <c r="K39" i="22"/>
  <c r="J39" i="22"/>
  <c r="I39" i="22"/>
  <c r="H39" i="22"/>
  <c r="G39" i="22"/>
  <c r="F39" i="22"/>
  <c r="E39" i="22"/>
  <c r="D39" i="22"/>
  <c r="C39" i="22"/>
  <c r="L36" i="22"/>
  <c r="K36" i="22"/>
  <c r="J36" i="22"/>
  <c r="C36" i="22"/>
  <c r="L33" i="22"/>
  <c r="K33" i="22"/>
  <c r="J33" i="22"/>
  <c r="C33" i="22"/>
  <c r="J30" i="22"/>
  <c r="L27" i="22"/>
  <c r="K27" i="22"/>
  <c r="J27" i="22"/>
  <c r="C27" i="22"/>
  <c r="L24" i="22"/>
  <c r="K24" i="22"/>
  <c r="J24" i="22"/>
  <c r="C24" i="22"/>
  <c r="L21" i="22"/>
  <c r="K21" i="22"/>
  <c r="J21" i="22"/>
  <c r="C21" i="22"/>
  <c r="L18" i="22"/>
  <c r="K18" i="22"/>
  <c r="J18" i="22"/>
  <c r="C18" i="22"/>
  <c r="L15" i="22"/>
  <c r="K15" i="22"/>
  <c r="J15" i="22"/>
  <c r="C15" i="22"/>
  <c r="L12" i="22"/>
  <c r="K12" i="22"/>
  <c r="J12" i="22"/>
  <c r="C12" i="22"/>
  <c r="L9" i="22"/>
  <c r="K9" i="22"/>
  <c r="J9" i="22"/>
  <c r="C9" i="22"/>
  <c r="K6" i="22"/>
  <c r="J6" i="22"/>
  <c r="C6" i="22"/>
  <c r="K3" i="22"/>
  <c r="J3" i="22"/>
  <c r="I3" i="22"/>
  <c r="H3" i="22"/>
  <c r="G3" i="22"/>
  <c r="F3" i="22"/>
  <c r="E3" i="22"/>
  <c r="D3" i="22"/>
  <c r="C3" i="22"/>
  <c r="AK103" i="23"/>
  <c r="AJ103" i="23"/>
  <c r="AI103" i="23"/>
  <c r="AH103" i="23"/>
  <c r="AG103" i="23"/>
  <c r="AF103" i="23"/>
  <c r="AE103" i="23"/>
  <c r="AD103" i="23"/>
  <c r="AK102" i="23"/>
  <c r="AJ102" i="23"/>
  <c r="AI102" i="23"/>
  <c r="AH102" i="23"/>
  <c r="AG102" i="23"/>
  <c r="AF102" i="23"/>
  <c r="AE102" i="23"/>
  <c r="AD102" i="23"/>
  <c r="I102" i="23"/>
  <c r="G102" i="23"/>
  <c r="F102" i="23"/>
  <c r="E102" i="23"/>
  <c r="D102" i="23"/>
  <c r="C102" i="23"/>
  <c r="B102" i="23"/>
  <c r="AK101" i="23"/>
  <c r="AJ101" i="23"/>
  <c r="AI101" i="23"/>
  <c r="AH101" i="23"/>
  <c r="AG101" i="23"/>
  <c r="AF101" i="23"/>
  <c r="AE101" i="23"/>
  <c r="AD101" i="23"/>
  <c r="F101" i="23"/>
  <c r="E101" i="23"/>
  <c r="D101" i="23"/>
  <c r="C101" i="23"/>
  <c r="B101" i="23"/>
  <c r="AK100" i="23"/>
  <c r="AJ100" i="23"/>
  <c r="AI100" i="23"/>
  <c r="AH100" i="23"/>
  <c r="AG100" i="23"/>
  <c r="AF100" i="23"/>
  <c r="AE100" i="23"/>
  <c r="AD100" i="23"/>
  <c r="I100" i="23"/>
  <c r="G100" i="23"/>
  <c r="F100" i="23"/>
  <c r="E100" i="23"/>
  <c r="D100" i="23"/>
  <c r="C100" i="23"/>
  <c r="B100" i="23"/>
  <c r="AK99" i="23"/>
  <c r="AJ99" i="23"/>
  <c r="AI99" i="23"/>
  <c r="AH99" i="23"/>
  <c r="AG99" i="23"/>
  <c r="AF99" i="23"/>
  <c r="AE99" i="23"/>
  <c r="AD99" i="23"/>
  <c r="I99" i="23"/>
  <c r="G99" i="23"/>
  <c r="F99" i="23"/>
  <c r="E99" i="23"/>
  <c r="D99" i="23"/>
  <c r="C99" i="23"/>
  <c r="B99" i="23"/>
  <c r="AK98" i="23"/>
  <c r="AJ98" i="23"/>
  <c r="AI98" i="23"/>
  <c r="AH98" i="23"/>
  <c r="AG98" i="23"/>
  <c r="AF98" i="23"/>
  <c r="AE98" i="23"/>
  <c r="AD98" i="23"/>
  <c r="I98" i="23"/>
  <c r="G98" i="23"/>
  <c r="F98" i="23"/>
  <c r="E98" i="23"/>
  <c r="D98" i="23"/>
  <c r="C98" i="23"/>
  <c r="B98" i="23"/>
  <c r="AK97" i="23"/>
  <c r="AJ97" i="23"/>
  <c r="AI97" i="23"/>
  <c r="AH97" i="23"/>
  <c r="AG97" i="23"/>
  <c r="AF97" i="23"/>
  <c r="AE97" i="23"/>
  <c r="AD97" i="23"/>
  <c r="I97" i="23"/>
  <c r="G97" i="23"/>
  <c r="F97" i="23"/>
  <c r="E97" i="23"/>
  <c r="D97" i="23"/>
  <c r="C97" i="23"/>
  <c r="B97" i="23"/>
  <c r="AK96" i="23"/>
  <c r="AJ96" i="23"/>
  <c r="AI96" i="23"/>
  <c r="AH96" i="23"/>
  <c r="AG96" i="23"/>
  <c r="AF96" i="23"/>
  <c r="AE96" i="23"/>
  <c r="AD96" i="23"/>
  <c r="I96" i="23"/>
  <c r="G96" i="23"/>
  <c r="F96" i="23"/>
  <c r="E96" i="23"/>
  <c r="D96" i="23"/>
  <c r="C96" i="23"/>
  <c r="B96" i="23"/>
  <c r="AK95" i="23"/>
  <c r="AJ95" i="23"/>
  <c r="AI95" i="23"/>
  <c r="AH95" i="23"/>
  <c r="AG95" i="23"/>
  <c r="AF95" i="23"/>
  <c r="AE95" i="23"/>
  <c r="AD95" i="23"/>
  <c r="I95" i="23"/>
  <c r="G95" i="23"/>
  <c r="F95" i="23"/>
  <c r="E95" i="23"/>
  <c r="D95" i="23"/>
  <c r="C95" i="23"/>
  <c r="B95" i="23"/>
  <c r="AK94" i="23"/>
  <c r="AJ94" i="23"/>
  <c r="AI94" i="23"/>
  <c r="AH94" i="23"/>
  <c r="AG94" i="23"/>
  <c r="AF94" i="23"/>
  <c r="AE94" i="23"/>
  <c r="AD94" i="23"/>
  <c r="I94" i="23"/>
  <c r="G94" i="23"/>
  <c r="F94" i="23"/>
  <c r="E94" i="23"/>
  <c r="D94" i="23"/>
  <c r="C94" i="23"/>
  <c r="B94" i="23"/>
  <c r="AK93" i="23"/>
  <c r="AJ93" i="23"/>
  <c r="AI93" i="23"/>
  <c r="AH93" i="23"/>
  <c r="AG93" i="23"/>
  <c r="AF93" i="23"/>
  <c r="AE93" i="23"/>
  <c r="AD93" i="23"/>
  <c r="I93" i="23"/>
  <c r="G93" i="23"/>
  <c r="F93" i="23"/>
  <c r="E93" i="23"/>
  <c r="D93" i="23"/>
  <c r="C93" i="23"/>
  <c r="B93" i="23"/>
  <c r="AK92" i="23"/>
  <c r="AJ92" i="23"/>
  <c r="AI92" i="23"/>
  <c r="AH92" i="23"/>
  <c r="AG92" i="23"/>
  <c r="AF92" i="23"/>
  <c r="AE92" i="23"/>
  <c r="AD92" i="23"/>
  <c r="I92" i="23"/>
  <c r="G92" i="23"/>
  <c r="F92" i="23"/>
  <c r="E92" i="23"/>
  <c r="D92" i="23"/>
  <c r="C92" i="23"/>
  <c r="B92" i="23"/>
  <c r="AK91" i="23"/>
  <c r="AJ91" i="23"/>
  <c r="AI91" i="23"/>
  <c r="AH91" i="23"/>
  <c r="AG91" i="23"/>
  <c r="AF91" i="23"/>
  <c r="AE91" i="23"/>
  <c r="AD91" i="23"/>
  <c r="I91" i="23"/>
  <c r="G91" i="23"/>
  <c r="F91" i="23"/>
  <c r="E91" i="23"/>
  <c r="D91" i="23"/>
  <c r="C91" i="23"/>
  <c r="B91" i="23"/>
  <c r="AK90" i="23"/>
  <c r="AJ90" i="23"/>
  <c r="AI90" i="23"/>
  <c r="AH90" i="23"/>
  <c r="AG90" i="23"/>
  <c r="AF90" i="23"/>
  <c r="AE90" i="23"/>
  <c r="AD90" i="23"/>
  <c r="I90" i="23"/>
  <c r="G90" i="23"/>
  <c r="F90" i="23"/>
  <c r="E90" i="23"/>
  <c r="D90" i="23"/>
  <c r="C90" i="23"/>
  <c r="B90" i="23"/>
  <c r="AK89" i="23"/>
  <c r="AJ89" i="23"/>
  <c r="AI89" i="23"/>
  <c r="AH89" i="23"/>
  <c r="AG89" i="23"/>
  <c r="AF89" i="23"/>
  <c r="AE89" i="23"/>
  <c r="AD89" i="23"/>
  <c r="I89" i="23"/>
  <c r="G89" i="23"/>
  <c r="F89" i="23"/>
  <c r="E89" i="23"/>
  <c r="D89" i="23"/>
  <c r="C89" i="23"/>
  <c r="B89" i="23"/>
  <c r="AK88" i="23"/>
  <c r="AJ88" i="23"/>
  <c r="AI88" i="23"/>
  <c r="AH88" i="23"/>
  <c r="AG88" i="23"/>
  <c r="AF88" i="23"/>
  <c r="AE88" i="23"/>
  <c r="AD88" i="23"/>
  <c r="I88" i="23"/>
  <c r="G88" i="23"/>
  <c r="F88" i="23"/>
  <c r="E88" i="23"/>
  <c r="D88" i="23"/>
  <c r="C88" i="23"/>
  <c r="B88" i="23"/>
  <c r="AK87" i="23"/>
  <c r="AJ87" i="23"/>
  <c r="AI87" i="23"/>
  <c r="AH87" i="23"/>
  <c r="AG87" i="23"/>
  <c r="AF87" i="23"/>
  <c r="AE87" i="23"/>
  <c r="AD87" i="23"/>
  <c r="I87" i="23"/>
  <c r="G87" i="23"/>
  <c r="F87" i="23"/>
  <c r="E87" i="23"/>
  <c r="D87" i="23"/>
  <c r="C87" i="23"/>
  <c r="B87" i="23"/>
  <c r="AK86" i="23"/>
  <c r="AJ86" i="23"/>
  <c r="AI86" i="23"/>
  <c r="AH86" i="23"/>
  <c r="AG86" i="23"/>
  <c r="AF86" i="23"/>
  <c r="AE86" i="23"/>
  <c r="AD86" i="23"/>
  <c r="I86" i="23"/>
  <c r="G86" i="23"/>
  <c r="F86" i="23"/>
  <c r="E86" i="23"/>
  <c r="D86" i="23"/>
  <c r="C86" i="23"/>
  <c r="B86" i="23"/>
  <c r="AK85" i="23"/>
  <c r="AJ85" i="23"/>
  <c r="AI85" i="23"/>
  <c r="AH85" i="23"/>
  <c r="AG85" i="23"/>
  <c r="AF85" i="23"/>
  <c r="AE85" i="23"/>
  <c r="AD85" i="23"/>
  <c r="I85" i="23"/>
  <c r="G85" i="23"/>
  <c r="F85" i="23"/>
  <c r="E85" i="23"/>
  <c r="D85" i="23"/>
  <c r="C85" i="23"/>
  <c r="B85" i="23"/>
  <c r="AK84" i="23"/>
  <c r="AJ84" i="23"/>
  <c r="AI84" i="23"/>
  <c r="AH84" i="23"/>
  <c r="AG84" i="23"/>
  <c r="AF84" i="23"/>
  <c r="AE84" i="23"/>
  <c r="AD84" i="23"/>
  <c r="I84" i="23"/>
  <c r="G84" i="23"/>
  <c r="F84" i="23"/>
  <c r="E84" i="23"/>
  <c r="D84" i="23"/>
  <c r="C84" i="23"/>
  <c r="B84" i="23"/>
  <c r="AK83" i="23"/>
  <c r="AJ83" i="23"/>
  <c r="AI83" i="23"/>
  <c r="AH83" i="23"/>
  <c r="AG83" i="23"/>
  <c r="AF83" i="23"/>
  <c r="AE83" i="23"/>
  <c r="AD83" i="23"/>
  <c r="I83" i="23"/>
  <c r="G83" i="23"/>
  <c r="F83" i="23"/>
  <c r="E83" i="23"/>
  <c r="D83" i="23"/>
  <c r="C83" i="23"/>
  <c r="B83" i="23"/>
  <c r="AK82" i="23"/>
  <c r="AJ82" i="23"/>
  <c r="AI82" i="23"/>
  <c r="AH82" i="23"/>
  <c r="AG82" i="23"/>
  <c r="AF82" i="23"/>
  <c r="AE82" i="23"/>
  <c r="AD82" i="23"/>
  <c r="I82" i="23"/>
  <c r="G82" i="23"/>
  <c r="F82" i="23"/>
  <c r="E82" i="23"/>
  <c r="D82" i="23"/>
  <c r="C82" i="23"/>
  <c r="B82" i="23"/>
  <c r="AK81" i="23"/>
  <c r="AJ81" i="23"/>
  <c r="AI81" i="23"/>
  <c r="AH81" i="23"/>
  <c r="AG81" i="23"/>
  <c r="AF81" i="23"/>
  <c r="AE81" i="23"/>
  <c r="AD81" i="23"/>
  <c r="I81" i="23"/>
  <c r="G81" i="23"/>
  <c r="F81" i="23"/>
  <c r="E81" i="23"/>
  <c r="D81" i="23"/>
  <c r="C81" i="23"/>
  <c r="B81" i="23"/>
  <c r="AK80" i="23"/>
  <c r="AJ80" i="23"/>
  <c r="AI80" i="23"/>
  <c r="AH80" i="23"/>
  <c r="AG80" i="23"/>
  <c r="AF80" i="23"/>
  <c r="AE80" i="23"/>
  <c r="AD80" i="23"/>
  <c r="I80" i="23"/>
  <c r="G80" i="23"/>
  <c r="F80" i="23"/>
  <c r="E80" i="23"/>
  <c r="D80" i="23"/>
  <c r="C80" i="23"/>
  <c r="B80" i="23"/>
  <c r="AK79" i="23"/>
  <c r="AJ79" i="23"/>
  <c r="AI79" i="23"/>
  <c r="AH79" i="23"/>
  <c r="AG79" i="23"/>
  <c r="AF79" i="23"/>
  <c r="AE79" i="23"/>
  <c r="AD79" i="23"/>
  <c r="I79" i="23"/>
  <c r="G79" i="23"/>
  <c r="F79" i="23"/>
  <c r="E79" i="23"/>
  <c r="D79" i="23"/>
  <c r="C79" i="23"/>
  <c r="B79" i="23"/>
  <c r="AK78" i="23"/>
  <c r="AJ78" i="23"/>
  <c r="AI78" i="23"/>
  <c r="AH78" i="23"/>
  <c r="AG78" i="23"/>
  <c r="AF78" i="23"/>
  <c r="AE78" i="23"/>
  <c r="AD78" i="23"/>
  <c r="I78" i="23"/>
  <c r="G78" i="23"/>
  <c r="F78" i="23"/>
  <c r="E78" i="23"/>
  <c r="D78" i="23"/>
  <c r="C78" i="23"/>
  <c r="B78" i="23"/>
  <c r="AK77" i="23"/>
  <c r="AJ77" i="23"/>
  <c r="AI77" i="23"/>
  <c r="AH77" i="23"/>
  <c r="AG77" i="23"/>
  <c r="AF77" i="23"/>
  <c r="AE77" i="23"/>
  <c r="AD77" i="23"/>
  <c r="I77" i="23"/>
  <c r="G77" i="23"/>
  <c r="F77" i="23"/>
  <c r="E77" i="23"/>
  <c r="D77" i="23"/>
  <c r="C77" i="23"/>
  <c r="B77" i="23"/>
  <c r="AK76" i="23"/>
  <c r="AJ76" i="23"/>
  <c r="AI76" i="23"/>
  <c r="AH76" i="23"/>
  <c r="AG76" i="23"/>
  <c r="AF76" i="23"/>
  <c r="AE76" i="23"/>
  <c r="AD76" i="23"/>
  <c r="I76" i="23"/>
  <c r="G76" i="23"/>
  <c r="F76" i="23"/>
  <c r="E76" i="23"/>
  <c r="D76" i="23"/>
  <c r="C76" i="23"/>
  <c r="B76" i="23"/>
  <c r="AK75" i="23"/>
  <c r="AJ75" i="23"/>
  <c r="AI75" i="23"/>
  <c r="AH75" i="23"/>
  <c r="AG75" i="23"/>
  <c r="AF75" i="23"/>
  <c r="AE75" i="23"/>
  <c r="AD75" i="23"/>
  <c r="I75" i="23"/>
  <c r="G75" i="23"/>
  <c r="F75" i="23"/>
  <c r="E75" i="23"/>
  <c r="D75" i="23"/>
  <c r="C75" i="23"/>
  <c r="B75" i="23"/>
  <c r="AK74" i="23"/>
  <c r="AJ74" i="23"/>
  <c r="AI74" i="23"/>
  <c r="AH74" i="23"/>
  <c r="AG74" i="23"/>
  <c r="AF74" i="23"/>
  <c r="AE74" i="23"/>
  <c r="AD74" i="23"/>
  <c r="I74" i="23"/>
  <c r="G74" i="23"/>
  <c r="F74" i="23"/>
  <c r="E74" i="23"/>
  <c r="D74" i="23"/>
  <c r="C74" i="23"/>
  <c r="B74" i="23"/>
  <c r="AK73" i="23"/>
  <c r="AJ73" i="23"/>
  <c r="AI73" i="23"/>
  <c r="AH73" i="23"/>
  <c r="AG73" i="23"/>
  <c r="AF73" i="23"/>
  <c r="AE73" i="23"/>
  <c r="AD73" i="23"/>
  <c r="I73" i="23"/>
  <c r="G73" i="23"/>
  <c r="F73" i="23"/>
  <c r="E73" i="23"/>
  <c r="D73" i="23"/>
  <c r="C73" i="23"/>
  <c r="B73" i="23"/>
  <c r="AK72" i="23"/>
  <c r="AJ72" i="23"/>
  <c r="AI72" i="23"/>
  <c r="AH72" i="23"/>
  <c r="AG72" i="23"/>
  <c r="AF72" i="23"/>
  <c r="AE72" i="23"/>
  <c r="AD72" i="23"/>
  <c r="I72" i="23"/>
  <c r="G72" i="23"/>
  <c r="F72" i="23"/>
  <c r="E72" i="23"/>
  <c r="D72" i="23"/>
  <c r="C72" i="23"/>
  <c r="B72" i="23"/>
  <c r="AK71" i="23"/>
  <c r="AJ71" i="23"/>
  <c r="AI71" i="23"/>
  <c r="AH71" i="23"/>
  <c r="AG71" i="23"/>
  <c r="AF71" i="23"/>
  <c r="AE71" i="23"/>
  <c r="AD71" i="23"/>
  <c r="I71" i="23"/>
  <c r="G71" i="23"/>
  <c r="F71" i="23"/>
  <c r="E71" i="23"/>
  <c r="D71" i="23"/>
  <c r="C71" i="23"/>
  <c r="B71" i="23"/>
  <c r="AK70" i="23"/>
  <c r="AJ70" i="23"/>
  <c r="AI70" i="23"/>
  <c r="AH70" i="23"/>
  <c r="AG70" i="23"/>
  <c r="AF70" i="23"/>
  <c r="AE70" i="23"/>
  <c r="AD70" i="23"/>
  <c r="I70" i="23"/>
  <c r="G70" i="23"/>
  <c r="F70" i="23"/>
  <c r="E70" i="23"/>
  <c r="D70" i="23"/>
  <c r="C70" i="23"/>
  <c r="B70" i="23"/>
  <c r="AK69" i="23"/>
  <c r="AJ69" i="23"/>
  <c r="AI69" i="23"/>
  <c r="AH69" i="23"/>
  <c r="AG69" i="23"/>
  <c r="AF69" i="23"/>
  <c r="AE69" i="23"/>
  <c r="AD69" i="23"/>
  <c r="I69" i="23"/>
  <c r="G69" i="23"/>
  <c r="F69" i="23"/>
  <c r="E69" i="23"/>
  <c r="D69" i="23"/>
  <c r="C69" i="23"/>
  <c r="B69" i="23"/>
  <c r="AK68" i="23"/>
  <c r="AJ68" i="23"/>
  <c r="AI68" i="23"/>
  <c r="AH68" i="23"/>
  <c r="AG68" i="23"/>
  <c r="AF68" i="23"/>
  <c r="AE68" i="23"/>
  <c r="AD68" i="23"/>
  <c r="I68" i="23"/>
  <c r="G68" i="23"/>
  <c r="F68" i="23"/>
  <c r="E68" i="23"/>
  <c r="D68" i="23"/>
  <c r="C68" i="23"/>
  <c r="B68" i="23"/>
  <c r="AK67" i="23"/>
  <c r="AJ67" i="23"/>
  <c r="AI67" i="23"/>
  <c r="AH67" i="23"/>
  <c r="AG67" i="23"/>
  <c r="AF67" i="23"/>
  <c r="AE67" i="23"/>
  <c r="AD67" i="23"/>
  <c r="I67" i="23"/>
  <c r="G67" i="23"/>
  <c r="F67" i="23"/>
  <c r="E67" i="23"/>
  <c r="D67" i="23"/>
  <c r="C67" i="23"/>
  <c r="B67" i="23"/>
  <c r="AK66" i="23"/>
  <c r="AJ66" i="23"/>
  <c r="AI66" i="23"/>
  <c r="AH66" i="23"/>
  <c r="AG66" i="23"/>
  <c r="AF66" i="23"/>
  <c r="AE66" i="23"/>
  <c r="AD66" i="23"/>
  <c r="I66" i="23"/>
  <c r="G66" i="23"/>
  <c r="F66" i="23"/>
  <c r="E66" i="23"/>
  <c r="D66" i="23"/>
  <c r="C66" i="23"/>
  <c r="B66" i="23"/>
  <c r="AK65" i="23"/>
  <c r="AJ65" i="23"/>
  <c r="AI65" i="23"/>
  <c r="AH65" i="23"/>
  <c r="AG65" i="23"/>
  <c r="AF65" i="23"/>
  <c r="AE65" i="23"/>
  <c r="AD65" i="23"/>
  <c r="I65" i="23"/>
  <c r="G65" i="23"/>
  <c r="F65" i="23"/>
  <c r="E65" i="23"/>
  <c r="D65" i="23"/>
  <c r="C65" i="23"/>
  <c r="B65" i="23"/>
  <c r="AK64" i="23"/>
  <c r="AJ64" i="23"/>
  <c r="AI64" i="23"/>
  <c r="AH64" i="23"/>
  <c r="AG64" i="23"/>
  <c r="AF64" i="23"/>
  <c r="AE64" i="23"/>
  <c r="AD64" i="23"/>
  <c r="I64" i="23"/>
  <c r="G64" i="23"/>
  <c r="F64" i="23"/>
  <c r="E64" i="23"/>
  <c r="D64" i="23"/>
  <c r="C64" i="23"/>
  <c r="B64" i="23"/>
  <c r="AK63" i="23"/>
  <c r="AJ63" i="23"/>
  <c r="AI63" i="23"/>
  <c r="AH63" i="23"/>
  <c r="AG63" i="23"/>
  <c r="AF63" i="23"/>
  <c r="AE63" i="23"/>
  <c r="AD63" i="23"/>
  <c r="I63" i="23"/>
  <c r="G63" i="23"/>
  <c r="F63" i="23"/>
  <c r="E63" i="23"/>
  <c r="D63" i="23"/>
  <c r="C63" i="23"/>
  <c r="B63" i="23"/>
  <c r="AK62" i="23"/>
  <c r="AJ62" i="23"/>
  <c r="AI62" i="23"/>
  <c r="AH62" i="23"/>
  <c r="AG62" i="23"/>
  <c r="AF62" i="23"/>
  <c r="AE62" i="23"/>
  <c r="AD62" i="23"/>
  <c r="I62" i="23"/>
  <c r="G62" i="23"/>
  <c r="F62" i="23"/>
  <c r="E62" i="23"/>
  <c r="D62" i="23"/>
  <c r="C62" i="23"/>
  <c r="B62" i="23"/>
  <c r="AK61" i="23"/>
  <c r="AJ61" i="23"/>
  <c r="AI61" i="23"/>
  <c r="AH61" i="23"/>
  <c r="AG61" i="23"/>
  <c r="AF61" i="23"/>
  <c r="AE61" i="23"/>
  <c r="AD61" i="23"/>
  <c r="I61" i="23"/>
  <c r="G61" i="23"/>
  <c r="F61" i="23"/>
  <c r="E61" i="23"/>
  <c r="D61" i="23"/>
  <c r="C61" i="23"/>
  <c r="B61" i="23"/>
  <c r="AK60" i="23"/>
  <c r="AJ60" i="23"/>
  <c r="AI60" i="23"/>
  <c r="AH60" i="23"/>
  <c r="AG60" i="23"/>
  <c r="AF60" i="23"/>
  <c r="AE60" i="23"/>
  <c r="AD60" i="23"/>
  <c r="I60" i="23"/>
  <c r="G60" i="23"/>
  <c r="F60" i="23"/>
  <c r="E60" i="23"/>
  <c r="D60" i="23"/>
  <c r="C60" i="23"/>
  <c r="B60" i="23"/>
  <c r="AK59" i="23"/>
  <c r="AJ59" i="23"/>
  <c r="AI59" i="23"/>
  <c r="AH59" i="23"/>
  <c r="AG59" i="23"/>
  <c r="AF59" i="23"/>
  <c r="AE59" i="23"/>
  <c r="AD59" i="23"/>
  <c r="I59" i="23"/>
  <c r="G59" i="23"/>
  <c r="F59" i="23"/>
  <c r="E59" i="23"/>
  <c r="D59" i="23"/>
  <c r="C59" i="23"/>
  <c r="B59" i="23"/>
  <c r="AK58" i="23"/>
  <c r="AJ58" i="23"/>
  <c r="AI58" i="23"/>
  <c r="AH58" i="23"/>
  <c r="AG58" i="23"/>
  <c r="AF58" i="23"/>
  <c r="AE58" i="23"/>
  <c r="AD58" i="23"/>
  <c r="I58" i="23"/>
  <c r="G58" i="23"/>
  <c r="F58" i="23"/>
  <c r="E58" i="23"/>
  <c r="D58" i="23"/>
  <c r="C58" i="23"/>
  <c r="B58" i="23"/>
  <c r="AK57" i="23"/>
  <c r="AJ57" i="23"/>
  <c r="AI57" i="23"/>
  <c r="AH57" i="23"/>
  <c r="AG57" i="23"/>
  <c r="AF57" i="23"/>
  <c r="AE57" i="23"/>
  <c r="AD57" i="23"/>
  <c r="I57" i="23"/>
  <c r="G57" i="23"/>
  <c r="F57" i="23"/>
  <c r="E57" i="23"/>
  <c r="D57" i="23"/>
  <c r="C57" i="23"/>
  <c r="B57" i="23"/>
  <c r="AK56" i="23"/>
  <c r="AJ56" i="23"/>
  <c r="AI56" i="23"/>
  <c r="AH56" i="23"/>
  <c r="AG56" i="23"/>
  <c r="AF56" i="23"/>
  <c r="AE56" i="23"/>
  <c r="AD56" i="23"/>
  <c r="I56" i="23"/>
  <c r="G56" i="23"/>
  <c r="F56" i="23"/>
  <c r="E56" i="23"/>
  <c r="D56" i="23"/>
  <c r="C56" i="23"/>
  <c r="B56" i="23"/>
  <c r="AK55" i="23"/>
  <c r="AJ55" i="23"/>
  <c r="AI55" i="23"/>
  <c r="AH55" i="23"/>
  <c r="AG55" i="23"/>
  <c r="AF55" i="23"/>
  <c r="AE55" i="23"/>
  <c r="AD55" i="23"/>
  <c r="I55" i="23"/>
  <c r="G55" i="23"/>
  <c r="F55" i="23"/>
  <c r="E55" i="23"/>
  <c r="D55" i="23"/>
  <c r="C55" i="23"/>
  <c r="B55" i="23"/>
  <c r="AK54" i="23"/>
  <c r="AJ54" i="23"/>
  <c r="AI54" i="23"/>
  <c r="AH54" i="23"/>
  <c r="AG54" i="23"/>
  <c r="AF54" i="23"/>
  <c r="AE54" i="23"/>
  <c r="AD54" i="23"/>
  <c r="I54" i="23"/>
  <c r="G54" i="23"/>
  <c r="F54" i="23"/>
  <c r="E54" i="23"/>
  <c r="D54" i="23"/>
  <c r="C54" i="23"/>
  <c r="B54" i="23"/>
  <c r="AK53" i="23"/>
  <c r="AJ53" i="23"/>
  <c r="AI53" i="23"/>
  <c r="AH53" i="23"/>
  <c r="AG53" i="23"/>
  <c r="AF53" i="23"/>
  <c r="AE53" i="23"/>
  <c r="AD53" i="23"/>
  <c r="I53" i="23"/>
  <c r="G53" i="23"/>
  <c r="F53" i="23"/>
  <c r="E53" i="23"/>
  <c r="D53" i="23"/>
  <c r="C53" i="23"/>
  <c r="B53" i="23"/>
  <c r="AK52" i="23"/>
  <c r="AJ52" i="23"/>
  <c r="AI52" i="23"/>
  <c r="AH52" i="23"/>
  <c r="AG52" i="23"/>
  <c r="AF52" i="23"/>
  <c r="AE52" i="23"/>
  <c r="AD52" i="23"/>
  <c r="I52" i="23"/>
  <c r="G52" i="23"/>
  <c r="F52" i="23"/>
  <c r="E52" i="23"/>
  <c r="D52" i="23"/>
  <c r="C52" i="23"/>
  <c r="B52" i="23"/>
  <c r="AK51" i="23"/>
  <c r="AJ51" i="23"/>
  <c r="AI51" i="23"/>
  <c r="AH51" i="23"/>
  <c r="AG51" i="23"/>
  <c r="AF51" i="23"/>
  <c r="AE51" i="23"/>
  <c r="AD51" i="23"/>
  <c r="I51" i="23"/>
  <c r="G51" i="23"/>
  <c r="F51" i="23"/>
  <c r="E51" i="23"/>
  <c r="D51" i="23"/>
  <c r="C51" i="23"/>
  <c r="B51" i="23"/>
  <c r="AK50" i="23"/>
  <c r="AJ50" i="23"/>
  <c r="AI50" i="23"/>
  <c r="AH50" i="23"/>
  <c r="AG50" i="23"/>
  <c r="AF50" i="23"/>
  <c r="AE50" i="23"/>
  <c r="AD50" i="23"/>
  <c r="I50" i="23"/>
  <c r="G50" i="23"/>
  <c r="F50" i="23"/>
  <c r="E50" i="23"/>
  <c r="D50" i="23"/>
  <c r="C50" i="23"/>
  <c r="B50" i="23"/>
  <c r="AK49" i="23"/>
  <c r="AJ49" i="23"/>
  <c r="AI49" i="23"/>
  <c r="AH49" i="23"/>
  <c r="AG49" i="23"/>
  <c r="AF49" i="23"/>
  <c r="AE49" i="23"/>
  <c r="AD49" i="23"/>
  <c r="I49" i="23"/>
  <c r="G49" i="23"/>
  <c r="F49" i="23"/>
  <c r="E49" i="23"/>
  <c r="D49" i="23"/>
  <c r="C49" i="23"/>
  <c r="B49" i="23"/>
  <c r="AK48" i="23"/>
  <c r="AJ48" i="23"/>
  <c r="AI48" i="23"/>
  <c r="AH48" i="23"/>
  <c r="AG48" i="23"/>
  <c r="AF48" i="23"/>
  <c r="AE48" i="23"/>
  <c r="AD48" i="23"/>
  <c r="I48" i="23"/>
  <c r="G48" i="23"/>
  <c r="F48" i="23"/>
  <c r="E48" i="23"/>
  <c r="D48" i="23"/>
  <c r="C48" i="23"/>
  <c r="B48" i="23"/>
  <c r="AK47" i="23"/>
  <c r="AJ47" i="23"/>
  <c r="AI47" i="23"/>
  <c r="AH47" i="23"/>
  <c r="AG47" i="23"/>
  <c r="AF47" i="23"/>
  <c r="AE47" i="23"/>
  <c r="AD47" i="23"/>
  <c r="I47" i="23"/>
  <c r="G47" i="23"/>
  <c r="F47" i="23"/>
  <c r="E47" i="23"/>
  <c r="D47" i="23"/>
  <c r="C47" i="23"/>
  <c r="B47" i="23"/>
  <c r="AK46" i="23"/>
  <c r="AJ46" i="23"/>
  <c r="AI46" i="23"/>
  <c r="AH46" i="23"/>
  <c r="AG46" i="23"/>
  <c r="AF46" i="23"/>
  <c r="AE46" i="23"/>
  <c r="AD46" i="23"/>
  <c r="I46" i="23"/>
  <c r="G46" i="23"/>
  <c r="F46" i="23"/>
  <c r="E46" i="23"/>
  <c r="D46" i="23"/>
  <c r="C46" i="23"/>
  <c r="B46" i="23"/>
  <c r="AK45" i="23"/>
  <c r="AJ45" i="23"/>
  <c r="AI45" i="23"/>
  <c r="AH45" i="23"/>
  <c r="AG45" i="23"/>
  <c r="AF45" i="23"/>
  <c r="AE45" i="23"/>
  <c r="AD45" i="23"/>
  <c r="I45" i="23"/>
  <c r="G45" i="23"/>
  <c r="F45" i="23"/>
  <c r="E45" i="23"/>
  <c r="D45" i="23"/>
  <c r="C45" i="23"/>
  <c r="B45" i="23"/>
  <c r="AK44" i="23"/>
  <c r="AJ44" i="23"/>
  <c r="AI44" i="23"/>
  <c r="AH44" i="23"/>
  <c r="AG44" i="23"/>
  <c r="AF44" i="23"/>
  <c r="AE44" i="23"/>
  <c r="AD44" i="23"/>
  <c r="I44" i="23"/>
  <c r="G44" i="23"/>
  <c r="F44" i="23"/>
  <c r="E44" i="23"/>
  <c r="D44" i="23"/>
  <c r="C44" i="23"/>
  <c r="B44" i="23"/>
  <c r="AK43" i="23"/>
  <c r="AJ43" i="23"/>
  <c r="AI43" i="23"/>
  <c r="AH43" i="23"/>
  <c r="AG43" i="23"/>
  <c r="AF43" i="23"/>
  <c r="AE43" i="23"/>
  <c r="AD43" i="23"/>
  <c r="I43" i="23"/>
  <c r="G43" i="23"/>
  <c r="F43" i="23"/>
  <c r="E43" i="23"/>
  <c r="D43" i="23"/>
  <c r="C43" i="23"/>
  <c r="B43" i="23"/>
  <c r="AK42" i="23"/>
  <c r="AJ42" i="23"/>
  <c r="AI42" i="23"/>
  <c r="AH42" i="23"/>
  <c r="AG42" i="23"/>
  <c r="AF42" i="23"/>
  <c r="AE42" i="23"/>
  <c r="AD42" i="23"/>
  <c r="I42" i="23"/>
  <c r="G42" i="23"/>
  <c r="F42" i="23"/>
  <c r="E42" i="23"/>
  <c r="D42" i="23"/>
  <c r="C42" i="23"/>
  <c r="B42" i="23"/>
  <c r="AK41" i="23"/>
  <c r="AJ41" i="23"/>
  <c r="AI41" i="23"/>
  <c r="AH41" i="23"/>
  <c r="AG41" i="23"/>
  <c r="AF41" i="23"/>
  <c r="AE41" i="23"/>
  <c r="AD41" i="23"/>
  <c r="I41" i="23"/>
  <c r="G41" i="23"/>
  <c r="F41" i="23"/>
  <c r="E41" i="23"/>
  <c r="D41" i="23"/>
  <c r="C41" i="23"/>
  <c r="B41" i="23"/>
  <c r="AK40" i="23"/>
  <c r="AJ40" i="23"/>
  <c r="AI40" i="23"/>
  <c r="AH40" i="23"/>
  <c r="AG40" i="23"/>
  <c r="AF40" i="23"/>
  <c r="AE40" i="23"/>
  <c r="AD40" i="23"/>
  <c r="I40" i="23"/>
  <c r="G40" i="23"/>
  <c r="F40" i="23"/>
  <c r="E40" i="23"/>
  <c r="D40" i="23"/>
  <c r="C40" i="23"/>
  <c r="B40" i="23"/>
  <c r="AK39" i="23"/>
  <c r="AJ39" i="23"/>
  <c r="AI39" i="23"/>
  <c r="AH39" i="23"/>
  <c r="AG39" i="23"/>
  <c r="AF39" i="23"/>
  <c r="AE39" i="23"/>
  <c r="AD39" i="23"/>
  <c r="I39" i="23"/>
  <c r="G39" i="23"/>
  <c r="F39" i="23"/>
  <c r="E39" i="23"/>
  <c r="D39" i="23"/>
  <c r="C39" i="23"/>
  <c r="B39" i="23"/>
  <c r="AK38" i="23"/>
  <c r="AJ38" i="23"/>
  <c r="AI38" i="23"/>
  <c r="AH38" i="23"/>
  <c r="AG38" i="23"/>
  <c r="AF38" i="23"/>
  <c r="AE38" i="23"/>
  <c r="AD38" i="23"/>
  <c r="I38" i="23"/>
  <c r="G38" i="23"/>
  <c r="F38" i="23"/>
  <c r="E38" i="23"/>
  <c r="D38" i="23"/>
  <c r="C38" i="23"/>
  <c r="B38" i="23"/>
  <c r="AK37" i="23"/>
  <c r="AJ37" i="23"/>
  <c r="AI37" i="23"/>
  <c r="AH37" i="23"/>
  <c r="AG37" i="23"/>
  <c r="AF37" i="23"/>
  <c r="AE37" i="23"/>
  <c r="AD37" i="23"/>
  <c r="I37" i="23"/>
  <c r="G37" i="23"/>
  <c r="F37" i="23"/>
  <c r="E37" i="23"/>
  <c r="D37" i="23"/>
  <c r="C37" i="23"/>
  <c r="B37" i="23"/>
  <c r="AK36" i="23"/>
  <c r="AJ36" i="23"/>
  <c r="AI36" i="23"/>
  <c r="AH36" i="23"/>
  <c r="AG36" i="23"/>
  <c r="AF36" i="23"/>
  <c r="AE36" i="23"/>
  <c r="AD36" i="23"/>
  <c r="I36" i="23"/>
  <c r="G36" i="23"/>
  <c r="F36" i="23"/>
  <c r="E36" i="23"/>
  <c r="D36" i="23"/>
  <c r="C36" i="23"/>
  <c r="B36" i="23"/>
  <c r="AK35" i="23"/>
  <c r="AJ35" i="23"/>
  <c r="AI35" i="23"/>
  <c r="AH35" i="23"/>
  <c r="AG35" i="23"/>
  <c r="AF35" i="23"/>
  <c r="AE35" i="23"/>
  <c r="AD35" i="23"/>
  <c r="I35" i="23"/>
  <c r="G35" i="23"/>
  <c r="F35" i="23"/>
  <c r="E35" i="23"/>
  <c r="D35" i="23"/>
  <c r="C35" i="23"/>
  <c r="B35" i="23"/>
  <c r="AK34" i="23"/>
  <c r="AJ34" i="23"/>
  <c r="AI34" i="23"/>
  <c r="AH34" i="23"/>
  <c r="AG34" i="23"/>
  <c r="AF34" i="23"/>
  <c r="AE34" i="23"/>
  <c r="AD34" i="23"/>
  <c r="I34" i="23"/>
  <c r="G34" i="23"/>
  <c r="F34" i="23"/>
  <c r="E34" i="23"/>
  <c r="D34" i="23"/>
  <c r="C34" i="23"/>
  <c r="B34" i="23"/>
  <c r="AK33" i="23"/>
  <c r="AJ33" i="23"/>
  <c r="AI33" i="23"/>
  <c r="AH33" i="23"/>
  <c r="AG33" i="23"/>
  <c r="AF33" i="23"/>
  <c r="AE33" i="23"/>
  <c r="AD33" i="23"/>
  <c r="I33" i="23"/>
  <c r="G33" i="23"/>
  <c r="F33" i="23"/>
  <c r="E33" i="23"/>
  <c r="D33" i="23"/>
  <c r="C33" i="23"/>
  <c r="B33" i="23"/>
  <c r="AK32" i="23"/>
  <c r="AJ32" i="23"/>
  <c r="AI32" i="23"/>
  <c r="AH32" i="23"/>
  <c r="AG32" i="23"/>
  <c r="AF32" i="23"/>
  <c r="AE32" i="23"/>
  <c r="AD32" i="23"/>
  <c r="I32" i="23"/>
  <c r="G32" i="23"/>
  <c r="F32" i="23"/>
  <c r="E32" i="23"/>
  <c r="D32" i="23"/>
  <c r="C32" i="23"/>
  <c r="B32" i="23"/>
  <c r="AK31" i="23"/>
  <c r="AJ31" i="23"/>
  <c r="AI31" i="23"/>
  <c r="AH31" i="23"/>
  <c r="AG31" i="23"/>
  <c r="AF31" i="23"/>
  <c r="AE31" i="23"/>
  <c r="AD31" i="23"/>
  <c r="I31" i="23"/>
  <c r="G31" i="23"/>
  <c r="F31" i="23"/>
  <c r="E31" i="23"/>
  <c r="D31" i="23"/>
  <c r="C31" i="23"/>
  <c r="B31" i="23"/>
  <c r="AK30" i="23"/>
  <c r="AJ30" i="23"/>
  <c r="AI30" i="23"/>
  <c r="AH30" i="23"/>
  <c r="AG30" i="23"/>
  <c r="AF30" i="23"/>
  <c r="AE30" i="23"/>
  <c r="AD30" i="23"/>
  <c r="I30" i="23"/>
  <c r="G30" i="23"/>
  <c r="F30" i="23"/>
  <c r="E30" i="23"/>
  <c r="D30" i="23"/>
  <c r="C30" i="23"/>
  <c r="B30" i="23"/>
  <c r="AK29" i="23"/>
  <c r="AJ29" i="23"/>
  <c r="AI29" i="23"/>
  <c r="AH29" i="23"/>
  <c r="AG29" i="23"/>
  <c r="AF29" i="23"/>
  <c r="AE29" i="23"/>
  <c r="AD29" i="23"/>
  <c r="I29" i="23"/>
  <c r="G29" i="23"/>
  <c r="F29" i="23"/>
  <c r="E29" i="23"/>
  <c r="D29" i="23"/>
  <c r="C29" i="23"/>
  <c r="B29" i="23"/>
  <c r="AK28" i="23"/>
  <c r="AJ28" i="23"/>
  <c r="AI28" i="23"/>
  <c r="AH28" i="23"/>
  <c r="AG28" i="23"/>
  <c r="AF28" i="23"/>
  <c r="AE28" i="23"/>
  <c r="AD28" i="23"/>
  <c r="I28" i="23"/>
  <c r="G28" i="23"/>
  <c r="F28" i="23"/>
  <c r="E28" i="23"/>
  <c r="D28" i="23"/>
  <c r="C28" i="23"/>
  <c r="B28" i="23"/>
  <c r="AK27" i="23"/>
  <c r="AJ27" i="23"/>
  <c r="AI27" i="23"/>
  <c r="AH27" i="23"/>
  <c r="AG27" i="23"/>
  <c r="AF27" i="23"/>
  <c r="AE27" i="23"/>
  <c r="AD27" i="23"/>
  <c r="I27" i="23"/>
  <c r="G27" i="23"/>
  <c r="F27" i="23"/>
  <c r="E27" i="23"/>
  <c r="D27" i="23"/>
  <c r="C27" i="23"/>
  <c r="B27" i="23"/>
  <c r="AK26" i="23"/>
  <c r="AJ26" i="23"/>
  <c r="AI26" i="23"/>
  <c r="AH26" i="23"/>
  <c r="AG26" i="23"/>
  <c r="AF26" i="23"/>
  <c r="AE26" i="23"/>
  <c r="AD26" i="23"/>
  <c r="I26" i="23"/>
  <c r="G26" i="23"/>
  <c r="F26" i="23"/>
  <c r="E26" i="23"/>
  <c r="D26" i="23"/>
  <c r="C26" i="23"/>
  <c r="B26" i="23"/>
  <c r="AK25" i="23"/>
  <c r="AJ25" i="23"/>
  <c r="AI25" i="23"/>
  <c r="AH25" i="23"/>
  <c r="AG25" i="23"/>
  <c r="AF25" i="23"/>
  <c r="AE25" i="23"/>
  <c r="AD25" i="23"/>
  <c r="I25" i="23"/>
  <c r="G25" i="23"/>
  <c r="F25" i="23"/>
  <c r="E25" i="23"/>
  <c r="D25" i="23"/>
  <c r="C25" i="23"/>
  <c r="B25" i="23"/>
  <c r="AK24" i="23"/>
  <c r="AJ24" i="23"/>
  <c r="AI24" i="23"/>
  <c r="AH24" i="23"/>
  <c r="AG24" i="23"/>
  <c r="AF24" i="23"/>
  <c r="AE24" i="23"/>
  <c r="AD24" i="23"/>
  <c r="I24" i="23"/>
  <c r="G24" i="23"/>
  <c r="F24" i="23"/>
  <c r="E24" i="23"/>
  <c r="D24" i="23"/>
  <c r="C24" i="23"/>
  <c r="B24" i="23"/>
  <c r="AK23" i="23"/>
  <c r="AJ23" i="23"/>
  <c r="AI23" i="23"/>
  <c r="AH23" i="23"/>
  <c r="AG23" i="23"/>
  <c r="AF23" i="23"/>
  <c r="AE23" i="23"/>
  <c r="AD23" i="23"/>
  <c r="I23" i="23"/>
  <c r="G23" i="23"/>
  <c r="F23" i="23"/>
  <c r="E23" i="23"/>
  <c r="D23" i="23"/>
  <c r="C23" i="23"/>
  <c r="B23" i="23"/>
  <c r="AK22" i="23"/>
  <c r="AJ22" i="23"/>
  <c r="AI22" i="23"/>
  <c r="AH22" i="23"/>
  <c r="AG22" i="23"/>
  <c r="AF22" i="23"/>
  <c r="AE22" i="23"/>
  <c r="AD22" i="23"/>
  <c r="I22" i="23"/>
  <c r="G22" i="23"/>
  <c r="F22" i="23"/>
  <c r="E22" i="23"/>
  <c r="D22" i="23"/>
  <c r="C22" i="23"/>
  <c r="B22" i="23"/>
  <c r="AK21" i="23"/>
  <c r="AJ21" i="23"/>
  <c r="AI21" i="23"/>
  <c r="AH21" i="23"/>
  <c r="AG21" i="23"/>
  <c r="AF21" i="23"/>
  <c r="AE21" i="23"/>
  <c r="AD21" i="23"/>
  <c r="I21" i="23"/>
  <c r="G21" i="23"/>
  <c r="F21" i="23"/>
  <c r="E21" i="23"/>
  <c r="D21" i="23"/>
  <c r="C21" i="23"/>
  <c r="B21" i="23"/>
  <c r="AK20" i="23"/>
  <c r="AJ20" i="23"/>
  <c r="AI20" i="23"/>
  <c r="AH20" i="23"/>
  <c r="AG20" i="23"/>
  <c r="AF20" i="23"/>
  <c r="AE20" i="23"/>
  <c r="AD20" i="23"/>
  <c r="I20" i="23"/>
  <c r="G20" i="23"/>
  <c r="F20" i="23"/>
  <c r="E20" i="23"/>
  <c r="D20" i="23"/>
  <c r="C20" i="23"/>
  <c r="B20" i="23"/>
  <c r="AK19" i="23"/>
  <c r="AJ19" i="23"/>
  <c r="AI19" i="23"/>
  <c r="AH19" i="23"/>
  <c r="AG19" i="23"/>
  <c r="AF19" i="23"/>
  <c r="AE19" i="23"/>
  <c r="AD19" i="23"/>
  <c r="I19" i="23"/>
  <c r="G19" i="23"/>
  <c r="F19" i="23"/>
  <c r="E19" i="23"/>
  <c r="D19" i="23"/>
  <c r="C19" i="23"/>
  <c r="B19" i="23"/>
  <c r="AK18" i="23"/>
  <c r="AJ18" i="23"/>
  <c r="AI18" i="23"/>
  <c r="AH18" i="23"/>
  <c r="AG18" i="23"/>
  <c r="AF18" i="23"/>
  <c r="AE18" i="23"/>
  <c r="AD18" i="23"/>
  <c r="I18" i="23"/>
  <c r="G18" i="23"/>
  <c r="F18" i="23"/>
  <c r="E18" i="23"/>
  <c r="D18" i="23"/>
  <c r="C18" i="23"/>
  <c r="B18" i="23"/>
  <c r="AK17" i="23"/>
  <c r="AJ17" i="23"/>
  <c r="AI17" i="23"/>
  <c r="AH17" i="23"/>
  <c r="AG17" i="23"/>
  <c r="AF17" i="23"/>
  <c r="AE17" i="23"/>
  <c r="AD17" i="23"/>
  <c r="I17" i="23"/>
  <c r="G17" i="23"/>
  <c r="F17" i="23"/>
  <c r="E17" i="23"/>
  <c r="D17" i="23"/>
  <c r="C17" i="23"/>
  <c r="B17" i="23"/>
  <c r="AK16" i="23"/>
  <c r="AJ16" i="23"/>
  <c r="AI16" i="23"/>
  <c r="AH16" i="23"/>
  <c r="AG16" i="23"/>
  <c r="AF16" i="23"/>
  <c r="AE16" i="23"/>
  <c r="AD16" i="23"/>
  <c r="I16" i="23"/>
  <c r="G16" i="23"/>
  <c r="F16" i="23"/>
  <c r="E16" i="23"/>
  <c r="D16" i="23"/>
  <c r="C16" i="23"/>
  <c r="B16" i="23"/>
  <c r="AK15" i="23"/>
  <c r="AJ15" i="23"/>
  <c r="AI15" i="23"/>
  <c r="AH15" i="23"/>
  <c r="AG15" i="23"/>
  <c r="AF15" i="23"/>
  <c r="AE15" i="23"/>
  <c r="AD15" i="23"/>
  <c r="I15" i="23"/>
  <c r="G15" i="23"/>
  <c r="F15" i="23"/>
  <c r="E15" i="23"/>
  <c r="D15" i="23"/>
  <c r="C15" i="23"/>
  <c r="B15" i="23"/>
  <c r="AK14" i="23"/>
  <c r="AJ14" i="23"/>
  <c r="AI14" i="23"/>
  <c r="AH14" i="23"/>
  <c r="AG14" i="23"/>
  <c r="AF14" i="23"/>
  <c r="AE14" i="23"/>
  <c r="AD14" i="23"/>
  <c r="I14" i="23"/>
  <c r="G14" i="23"/>
  <c r="F14" i="23"/>
  <c r="E14" i="23"/>
  <c r="D14" i="23"/>
  <c r="C14" i="23"/>
  <c r="B14" i="23"/>
  <c r="AK13" i="23"/>
  <c r="AJ13" i="23"/>
  <c r="AI13" i="23"/>
  <c r="AH13" i="23"/>
  <c r="AG13" i="23"/>
  <c r="AF13" i="23"/>
  <c r="AE13" i="23"/>
  <c r="AD13" i="23"/>
  <c r="I13" i="23"/>
  <c r="G13" i="23"/>
  <c r="F13" i="23"/>
  <c r="E13" i="23"/>
  <c r="D13" i="23"/>
  <c r="C13" i="23"/>
  <c r="B13" i="23"/>
  <c r="AK12" i="23"/>
  <c r="AJ12" i="23"/>
  <c r="AI12" i="23"/>
  <c r="AH12" i="23"/>
  <c r="AG12" i="23"/>
  <c r="AF12" i="23"/>
  <c r="AE12" i="23"/>
  <c r="AD12" i="23"/>
  <c r="I12" i="23"/>
  <c r="G12" i="23"/>
  <c r="F12" i="23"/>
  <c r="E12" i="23"/>
  <c r="D12" i="23"/>
  <c r="C12" i="23"/>
  <c r="B12" i="23"/>
  <c r="AK11" i="23"/>
  <c r="AJ11" i="23"/>
  <c r="AI11" i="23"/>
  <c r="AH11" i="23"/>
  <c r="AG11" i="23"/>
  <c r="AF11" i="23"/>
  <c r="AE11" i="23"/>
  <c r="AD11" i="23"/>
  <c r="I11" i="23"/>
  <c r="G11" i="23"/>
  <c r="F11" i="23"/>
  <c r="E11" i="23"/>
  <c r="D11" i="23"/>
  <c r="C11" i="23"/>
  <c r="B11" i="23"/>
  <c r="AK10" i="23"/>
  <c r="AJ10" i="23"/>
  <c r="AI10" i="23"/>
  <c r="AH10" i="23"/>
  <c r="AG10" i="23"/>
  <c r="AF10" i="23"/>
  <c r="AE10" i="23"/>
  <c r="AD10" i="23"/>
  <c r="I10" i="23"/>
  <c r="G10" i="23"/>
  <c r="F10" i="23"/>
  <c r="E10" i="23"/>
  <c r="D10" i="23"/>
  <c r="C10" i="23"/>
  <c r="B10" i="23"/>
  <c r="AK9" i="23"/>
  <c r="AJ9" i="23"/>
  <c r="AI9" i="23"/>
  <c r="AH9" i="23"/>
  <c r="AG9" i="23"/>
  <c r="AF9" i="23"/>
  <c r="AE9" i="23"/>
  <c r="AD9" i="23"/>
  <c r="I9" i="23"/>
  <c r="G9" i="23"/>
  <c r="F9" i="23"/>
  <c r="E9" i="23"/>
  <c r="D9" i="23"/>
  <c r="C9" i="23"/>
  <c r="B9" i="23"/>
  <c r="AK8" i="23"/>
  <c r="AJ8" i="23"/>
  <c r="AI8" i="23"/>
  <c r="AH8" i="23"/>
  <c r="AG8" i="23"/>
  <c r="AF8" i="23"/>
  <c r="AE8" i="23"/>
  <c r="AD8" i="23"/>
  <c r="I8" i="23"/>
  <c r="G8" i="23"/>
  <c r="F8" i="23"/>
  <c r="E8" i="23"/>
  <c r="D8" i="23"/>
  <c r="C8" i="23"/>
  <c r="B8" i="23"/>
  <c r="AK7" i="23"/>
  <c r="AJ7" i="23"/>
  <c r="AI7" i="23"/>
  <c r="AH7" i="23"/>
  <c r="AG7" i="23"/>
  <c r="AF7" i="23"/>
  <c r="AE7" i="23"/>
  <c r="AD7" i="23"/>
  <c r="I7" i="23"/>
  <c r="G7" i="23"/>
  <c r="F7" i="23"/>
  <c r="E7" i="23"/>
  <c r="D7" i="23"/>
  <c r="C7" i="23"/>
  <c r="B7" i="23"/>
  <c r="AK6" i="23"/>
  <c r="AJ6" i="23"/>
  <c r="AI6" i="23"/>
  <c r="AH6" i="23"/>
  <c r="AG6" i="23"/>
  <c r="AF6" i="23"/>
  <c r="AE6" i="23"/>
  <c r="AD6" i="23"/>
  <c r="I6" i="23"/>
  <c r="G6" i="23"/>
  <c r="F6" i="23"/>
  <c r="E6" i="23"/>
  <c r="D6" i="23"/>
  <c r="C6" i="23"/>
  <c r="B6" i="23"/>
  <c r="AK5" i="23"/>
  <c r="AJ5" i="23"/>
  <c r="AI5" i="23"/>
  <c r="AH5" i="23"/>
  <c r="AG5" i="23"/>
  <c r="AF5" i="23"/>
  <c r="AE5" i="23"/>
  <c r="AD5" i="23"/>
  <c r="I5" i="23"/>
  <c r="G5" i="23"/>
  <c r="F5" i="23"/>
  <c r="E5" i="23"/>
  <c r="D5" i="23"/>
  <c r="C5" i="23"/>
  <c r="B5" i="23"/>
  <c r="AJ3" i="23"/>
  <c r="AI3" i="23"/>
  <c r="AH3" i="23"/>
  <c r="AG3" i="23"/>
  <c r="AF3" i="23"/>
  <c r="AE3" i="23"/>
  <c r="AD3" i="23"/>
  <c r="AK103" i="15"/>
  <c r="AJ103" i="15"/>
  <c r="AI103" i="15"/>
  <c r="AH103" i="15"/>
  <c r="AG103" i="15"/>
  <c r="AF103" i="15"/>
  <c r="AE103" i="15"/>
  <c r="AD103" i="15"/>
  <c r="AK102" i="15"/>
  <c r="AJ102" i="15"/>
  <c r="AI102" i="15"/>
  <c r="AH102" i="15"/>
  <c r="AG102" i="15"/>
  <c r="AF102" i="15"/>
  <c r="AE102" i="15"/>
  <c r="AD102" i="15"/>
  <c r="I102" i="15"/>
  <c r="G102" i="15"/>
  <c r="F102" i="15"/>
  <c r="E102" i="15"/>
  <c r="D102" i="15"/>
  <c r="C102" i="15"/>
  <c r="B102" i="15"/>
  <c r="AK101" i="15"/>
  <c r="AJ101" i="15"/>
  <c r="AI101" i="15"/>
  <c r="AH101" i="15"/>
  <c r="AG101" i="15"/>
  <c r="AF101" i="15"/>
  <c r="AE101" i="15"/>
  <c r="AD101" i="15"/>
  <c r="F101" i="15"/>
  <c r="E101" i="15"/>
  <c r="D101" i="15"/>
  <c r="C101" i="15"/>
  <c r="B101" i="15"/>
  <c r="AK100" i="15"/>
  <c r="AJ100" i="15"/>
  <c r="AI100" i="15"/>
  <c r="AH100" i="15"/>
  <c r="AG100" i="15"/>
  <c r="AF100" i="15"/>
  <c r="AE100" i="15"/>
  <c r="AD100" i="15"/>
  <c r="I100" i="15"/>
  <c r="G100" i="15"/>
  <c r="F100" i="15"/>
  <c r="E100" i="15"/>
  <c r="D100" i="15"/>
  <c r="C100" i="15"/>
  <c r="B100" i="15"/>
  <c r="AK99" i="15"/>
  <c r="AJ99" i="15"/>
  <c r="AI99" i="15"/>
  <c r="AH99" i="15"/>
  <c r="AG99" i="15"/>
  <c r="AF99" i="15"/>
  <c r="AE99" i="15"/>
  <c r="AD99" i="15"/>
  <c r="I99" i="15"/>
  <c r="G99" i="15"/>
  <c r="F99" i="15"/>
  <c r="E99" i="15"/>
  <c r="D99" i="15"/>
  <c r="C99" i="15"/>
  <c r="B99" i="15"/>
  <c r="AK98" i="15"/>
  <c r="AJ98" i="15"/>
  <c r="AI98" i="15"/>
  <c r="AH98" i="15"/>
  <c r="AG98" i="15"/>
  <c r="AF98" i="15"/>
  <c r="AE98" i="15"/>
  <c r="AD98" i="15"/>
  <c r="I98" i="15"/>
  <c r="G98" i="15"/>
  <c r="F98" i="15"/>
  <c r="E98" i="15"/>
  <c r="D98" i="15"/>
  <c r="C98" i="15"/>
  <c r="B98" i="15"/>
  <c r="AK97" i="15"/>
  <c r="AJ97" i="15"/>
  <c r="AI97" i="15"/>
  <c r="AH97" i="15"/>
  <c r="AG97" i="15"/>
  <c r="AF97" i="15"/>
  <c r="AE97" i="15"/>
  <c r="AD97" i="15"/>
  <c r="I97" i="15"/>
  <c r="G97" i="15"/>
  <c r="F97" i="15"/>
  <c r="E97" i="15"/>
  <c r="D97" i="15"/>
  <c r="C97" i="15"/>
  <c r="B97" i="15"/>
  <c r="AK96" i="15"/>
  <c r="AJ96" i="15"/>
  <c r="AI96" i="15"/>
  <c r="AH96" i="15"/>
  <c r="AG96" i="15"/>
  <c r="AF96" i="15"/>
  <c r="AE96" i="15"/>
  <c r="AD96" i="15"/>
  <c r="I96" i="15"/>
  <c r="G96" i="15"/>
  <c r="F96" i="15"/>
  <c r="E96" i="15"/>
  <c r="D96" i="15"/>
  <c r="C96" i="15"/>
  <c r="B96" i="15"/>
  <c r="AK95" i="15"/>
  <c r="AJ95" i="15"/>
  <c r="AI95" i="15"/>
  <c r="AH95" i="15"/>
  <c r="AG95" i="15"/>
  <c r="AF95" i="15"/>
  <c r="AE95" i="15"/>
  <c r="AD95" i="15"/>
  <c r="I95" i="15"/>
  <c r="G95" i="15"/>
  <c r="F95" i="15"/>
  <c r="E95" i="15"/>
  <c r="D95" i="15"/>
  <c r="C95" i="15"/>
  <c r="B95" i="15"/>
  <c r="AK94" i="15"/>
  <c r="AJ94" i="15"/>
  <c r="AI94" i="15"/>
  <c r="AH94" i="15"/>
  <c r="AG94" i="15"/>
  <c r="AF94" i="15"/>
  <c r="AE94" i="15"/>
  <c r="AD94" i="15"/>
  <c r="I94" i="15"/>
  <c r="G94" i="15"/>
  <c r="F94" i="15"/>
  <c r="E94" i="15"/>
  <c r="D94" i="15"/>
  <c r="C94" i="15"/>
  <c r="B94" i="15"/>
  <c r="AK93" i="15"/>
  <c r="AJ93" i="15"/>
  <c r="AI93" i="15"/>
  <c r="AH93" i="15"/>
  <c r="AG93" i="15"/>
  <c r="AF93" i="15"/>
  <c r="AE93" i="15"/>
  <c r="AD93" i="15"/>
  <c r="I93" i="15"/>
  <c r="G93" i="15"/>
  <c r="F93" i="15"/>
  <c r="E93" i="15"/>
  <c r="D93" i="15"/>
  <c r="C93" i="15"/>
  <c r="B93" i="15"/>
  <c r="AK92" i="15"/>
  <c r="AJ92" i="15"/>
  <c r="AI92" i="15"/>
  <c r="AH92" i="15"/>
  <c r="AG92" i="15"/>
  <c r="AF92" i="15"/>
  <c r="AE92" i="15"/>
  <c r="AD92" i="15"/>
  <c r="I92" i="15"/>
  <c r="G92" i="15"/>
  <c r="F92" i="15"/>
  <c r="E92" i="15"/>
  <c r="D92" i="15"/>
  <c r="C92" i="15"/>
  <c r="B92" i="15"/>
  <c r="AK91" i="15"/>
  <c r="AJ91" i="15"/>
  <c r="AI91" i="15"/>
  <c r="AH91" i="15"/>
  <c r="AG91" i="15"/>
  <c r="AF91" i="15"/>
  <c r="AE91" i="15"/>
  <c r="AD91" i="15"/>
  <c r="I91" i="15"/>
  <c r="G91" i="15"/>
  <c r="F91" i="15"/>
  <c r="E91" i="15"/>
  <c r="D91" i="15"/>
  <c r="C91" i="15"/>
  <c r="B91" i="15"/>
  <c r="AK90" i="15"/>
  <c r="AJ90" i="15"/>
  <c r="AI90" i="15"/>
  <c r="AH90" i="15"/>
  <c r="AG90" i="15"/>
  <c r="AF90" i="15"/>
  <c r="AE90" i="15"/>
  <c r="AD90" i="15"/>
  <c r="I90" i="15"/>
  <c r="G90" i="15"/>
  <c r="F90" i="15"/>
  <c r="E90" i="15"/>
  <c r="D90" i="15"/>
  <c r="C90" i="15"/>
  <c r="B90" i="15"/>
  <c r="AK89" i="15"/>
  <c r="AJ89" i="15"/>
  <c r="AI89" i="15"/>
  <c r="AH89" i="15"/>
  <c r="AG89" i="15"/>
  <c r="AF89" i="15"/>
  <c r="AE89" i="15"/>
  <c r="AD89" i="15"/>
  <c r="I89" i="15"/>
  <c r="G89" i="15"/>
  <c r="F89" i="15"/>
  <c r="E89" i="15"/>
  <c r="D89" i="15"/>
  <c r="C89" i="15"/>
  <c r="B89" i="15"/>
  <c r="AK88" i="15"/>
  <c r="AJ88" i="15"/>
  <c r="AI88" i="15"/>
  <c r="AH88" i="15"/>
  <c r="AG88" i="15"/>
  <c r="AF88" i="15"/>
  <c r="AE88" i="15"/>
  <c r="AD88" i="15"/>
  <c r="I88" i="15"/>
  <c r="G88" i="15"/>
  <c r="F88" i="15"/>
  <c r="E88" i="15"/>
  <c r="D88" i="15"/>
  <c r="C88" i="15"/>
  <c r="B88" i="15"/>
  <c r="AK87" i="15"/>
  <c r="AJ87" i="15"/>
  <c r="AI87" i="15"/>
  <c r="AH87" i="15"/>
  <c r="AG87" i="15"/>
  <c r="AF87" i="15"/>
  <c r="AE87" i="15"/>
  <c r="AD87" i="15"/>
  <c r="I87" i="15"/>
  <c r="G87" i="15"/>
  <c r="F87" i="15"/>
  <c r="E87" i="15"/>
  <c r="D87" i="15"/>
  <c r="C87" i="15"/>
  <c r="B87" i="15"/>
  <c r="AK86" i="15"/>
  <c r="AJ86" i="15"/>
  <c r="AI86" i="15"/>
  <c r="AH86" i="15"/>
  <c r="AG86" i="15"/>
  <c r="AF86" i="15"/>
  <c r="AE86" i="15"/>
  <c r="AD86" i="15"/>
  <c r="I86" i="15"/>
  <c r="G86" i="15"/>
  <c r="F86" i="15"/>
  <c r="E86" i="15"/>
  <c r="D86" i="15"/>
  <c r="C86" i="15"/>
  <c r="B86" i="15"/>
  <c r="AK85" i="15"/>
  <c r="AJ85" i="15"/>
  <c r="AI85" i="15"/>
  <c r="AH85" i="15"/>
  <c r="AG85" i="15"/>
  <c r="AF85" i="15"/>
  <c r="AE85" i="15"/>
  <c r="AD85" i="15"/>
  <c r="I85" i="15"/>
  <c r="G85" i="15"/>
  <c r="F85" i="15"/>
  <c r="E85" i="15"/>
  <c r="D85" i="15"/>
  <c r="C85" i="15"/>
  <c r="B85" i="15"/>
  <c r="AK84" i="15"/>
  <c r="AJ84" i="15"/>
  <c r="AI84" i="15"/>
  <c r="AH84" i="15"/>
  <c r="AG84" i="15"/>
  <c r="AF84" i="15"/>
  <c r="AE84" i="15"/>
  <c r="AD84" i="15"/>
  <c r="I84" i="15"/>
  <c r="G84" i="15"/>
  <c r="F84" i="15"/>
  <c r="E84" i="15"/>
  <c r="D84" i="15"/>
  <c r="C84" i="15"/>
  <c r="B84" i="15"/>
  <c r="AK83" i="15"/>
  <c r="AJ83" i="15"/>
  <c r="AI83" i="15"/>
  <c r="AH83" i="15"/>
  <c r="AG83" i="15"/>
  <c r="AF83" i="15"/>
  <c r="AE83" i="15"/>
  <c r="AD83" i="15"/>
  <c r="I83" i="15"/>
  <c r="G83" i="15"/>
  <c r="F83" i="15"/>
  <c r="E83" i="15"/>
  <c r="D83" i="15"/>
  <c r="C83" i="15"/>
  <c r="B83" i="15"/>
  <c r="AK82" i="15"/>
  <c r="AJ82" i="15"/>
  <c r="AI82" i="15"/>
  <c r="AH82" i="15"/>
  <c r="AG82" i="15"/>
  <c r="AF82" i="15"/>
  <c r="AE82" i="15"/>
  <c r="AD82" i="15"/>
  <c r="I82" i="15"/>
  <c r="G82" i="15"/>
  <c r="F82" i="15"/>
  <c r="E82" i="15"/>
  <c r="D82" i="15"/>
  <c r="C82" i="15"/>
  <c r="B82" i="15"/>
  <c r="AK81" i="15"/>
  <c r="AJ81" i="15"/>
  <c r="AI81" i="15"/>
  <c r="AH81" i="15"/>
  <c r="AG81" i="15"/>
  <c r="AF81" i="15"/>
  <c r="AE81" i="15"/>
  <c r="AD81" i="15"/>
  <c r="I81" i="15"/>
  <c r="G81" i="15"/>
  <c r="F81" i="15"/>
  <c r="E81" i="15"/>
  <c r="D81" i="15"/>
  <c r="C81" i="15"/>
  <c r="B81" i="15"/>
  <c r="AK80" i="15"/>
  <c r="AJ80" i="15"/>
  <c r="AI80" i="15"/>
  <c r="AH80" i="15"/>
  <c r="AG80" i="15"/>
  <c r="AF80" i="15"/>
  <c r="AE80" i="15"/>
  <c r="AD80" i="15"/>
  <c r="I80" i="15"/>
  <c r="G80" i="15"/>
  <c r="F80" i="15"/>
  <c r="E80" i="15"/>
  <c r="D80" i="15"/>
  <c r="C80" i="15"/>
  <c r="B80" i="15"/>
  <c r="AK79" i="15"/>
  <c r="AJ79" i="15"/>
  <c r="AI79" i="15"/>
  <c r="AH79" i="15"/>
  <c r="AG79" i="15"/>
  <c r="AF79" i="15"/>
  <c r="AE79" i="15"/>
  <c r="AD79" i="15"/>
  <c r="I79" i="15"/>
  <c r="G79" i="15"/>
  <c r="F79" i="15"/>
  <c r="E79" i="15"/>
  <c r="D79" i="15"/>
  <c r="C79" i="15"/>
  <c r="B79" i="15"/>
  <c r="AK78" i="15"/>
  <c r="AJ78" i="15"/>
  <c r="AI78" i="15"/>
  <c r="AH78" i="15"/>
  <c r="AG78" i="15"/>
  <c r="AF78" i="15"/>
  <c r="AE78" i="15"/>
  <c r="AD78" i="15"/>
  <c r="I78" i="15"/>
  <c r="G78" i="15"/>
  <c r="F78" i="15"/>
  <c r="E78" i="15"/>
  <c r="D78" i="15"/>
  <c r="C78" i="15"/>
  <c r="B78" i="15"/>
  <c r="AK77" i="15"/>
  <c r="AJ77" i="15"/>
  <c r="AI77" i="15"/>
  <c r="AH77" i="15"/>
  <c r="AG77" i="15"/>
  <c r="AF77" i="15"/>
  <c r="AE77" i="15"/>
  <c r="AD77" i="15"/>
  <c r="I77" i="15"/>
  <c r="G77" i="15"/>
  <c r="F77" i="15"/>
  <c r="E77" i="15"/>
  <c r="D77" i="15"/>
  <c r="C77" i="15"/>
  <c r="B77" i="15"/>
  <c r="AK76" i="15"/>
  <c r="AJ76" i="15"/>
  <c r="AI76" i="15"/>
  <c r="AH76" i="15"/>
  <c r="AG76" i="15"/>
  <c r="AF76" i="15"/>
  <c r="AE76" i="15"/>
  <c r="AD76" i="15"/>
  <c r="I76" i="15"/>
  <c r="G76" i="15"/>
  <c r="F76" i="15"/>
  <c r="E76" i="15"/>
  <c r="D76" i="15"/>
  <c r="C76" i="15"/>
  <c r="B76" i="15"/>
  <c r="AK75" i="15"/>
  <c r="AJ75" i="15"/>
  <c r="AI75" i="15"/>
  <c r="AH75" i="15"/>
  <c r="AG75" i="15"/>
  <c r="AF75" i="15"/>
  <c r="AE75" i="15"/>
  <c r="AD75" i="15"/>
  <c r="I75" i="15"/>
  <c r="G75" i="15"/>
  <c r="F75" i="15"/>
  <c r="E75" i="15"/>
  <c r="D75" i="15"/>
  <c r="C75" i="15"/>
  <c r="B75" i="15"/>
  <c r="AK74" i="15"/>
  <c r="AJ74" i="15"/>
  <c r="AI74" i="15"/>
  <c r="AH74" i="15"/>
  <c r="AG74" i="15"/>
  <c r="AF74" i="15"/>
  <c r="AE74" i="15"/>
  <c r="AD74" i="15"/>
  <c r="I74" i="15"/>
  <c r="G74" i="15"/>
  <c r="F74" i="15"/>
  <c r="E74" i="15"/>
  <c r="D74" i="15"/>
  <c r="C74" i="15"/>
  <c r="B74" i="15"/>
  <c r="AK73" i="15"/>
  <c r="AJ73" i="15"/>
  <c r="AI73" i="15"/>
  <c r="AH73" i="15"/>
  <c r="AG73" i="15"/>
  <c r="AF73" i="15"/>
  <c r="AE73" i="15"/>
  <c r="AD73" i="15"/>
  <c r="I73" i="15"/>
  <c r="G73" i="15"/>
  <c r="F73" i="15"/>
  <c r="E73" i="15"/>
  <c r="D73" i="15"/>
  <c r="C73" i="15"/>
  <c r="B73" i="15"/>
  <c r="AK72" i="15"/>
  <c r="AJ72" i="15"/>
  <c r="AI72" i="15"/>
  <c r="AH72" i="15"/>
  <c r="AG72" i="15"/>
  <c r="AF72" i="15"/>
  <c r="AE72" i="15"/>
  <c r="AD72" i="15"/>
  <c r="I72" i="15"/>
  <c r="G72" i="15"/>
  <c r="F72" i="15"/>
  <c r="E72" i="15"/>
  <c r="D72" i="15"/>
  <c r="C72" i="15"/>
  <c r="B72" i="15"/>
  <c r="AK71" i="15"/>
  <c r="AJ71" i="15"/>
  <c r="AI71" i="15"/>
  <c r="AH71" i="15"/>
  <c r="AG71" i="15"/>
  <c r="AF71" i="15"/>
  <c r="AE71" i="15"/>
  <c r="AD71" i="15"/>
  <c r="I71" i="15"/>
  <c r="G71" i="15"/>
  <c r="F71" i="15"/>
  <c r="E71" i="15"/>
  <c r="D71" i="15"/>
  <c r="C71" i="15"/>
  <c r="B71" i="15"/>
  <c r="AK70" i="15"/>
  <c r="AJ70" i="15"/>
  <c r="AI70" i="15"/>
  <c r="AH70" i="15"/>
  <c r="AG70" i="15"/>
  <c r="AF70" i="15"/>
  <c r="AE70" i="15"/>
  <c r="AD70" i="15"/>
  <c r="I70" i="15"/>
  <c r="G70" i="15"/>
  <c r="F70" i="15"/>
  <c r="E70" i="15"/>
  <c r="D70" i="15"/>
  <c r="C70" i="15"/>
  <c r="B70" i="15"/>
  <c r="AK69" i="15"/>
  <c r="AJ69" i="15"/>
  <c r="AI69" i="15"/>
  <c r="AH69" i="15"/>
  <c r="AG69" i="15"/>
  <c r="AF69" i="15"/>
  <c r="AE69" i="15"/>
  <c r="AD69" i="15"/>
  <c r="I69" i="15"/>
  <c r="G69" i="15"/>
  <c r="F69" i="15"/>
  <c r="E69" i="15"/>
  <c r="D69" i="15"/>
  <c r="C69" i="15"/>
  <c r="B69" i="15"/>
  <c r="AK68" i="15"/>
  <c r="AJ68" i="15"/>
  <c r="AI68" i="15"/>
  <c r="AH68" i="15"/>
  <c r="AG68" i="15"/>
  <c r="AF68" i="15"/>
  <c r="AE68" i="15"/>
  <c r="AD68" i="15"/>
  <c r="I68" i="15"/>
  <c r="G68" i="15"/>
  <c r="F68" i="15"/>
  <c r="E68" i="15"/>
  <c r="D68" i="15"/>
  <c r="C68" i="15"/>
  <c r="B68" i="15"/>
  <c r="AK67" i="15"/>
  <c r="AJ67" i="15"/>
  <c r="AI67" i="15"/>
  <c r="AH67" i="15"/>
  <c r="AG67" i="15"/>
  <c r="AF67" i="15"/>
  <c r="AE67" i="15"/>
  <c r="AD67" i="15"/>
  <c r="I67" i="15"/>
  <c r="G67" i="15"/>
  <c r="F67" i="15"/>
  <c r="E67" i="15"/>
  <c r="D67" i="15"/>
  <c r="C67" i="15"/>
  <c r="B67" i="15"/>
  <c r="AK66" i="15"/>
  <c r="AJ66" i="15"/>
  <c r="AI66" i="15"/>
  <c r="AH66" i="15"/>
  <c r="AG66" i="15"/>
  <c r="AF66" i="15"/>
  <c r="AE66" i="15"/>
  <c r="AD66" i="15"/>
  <c r="I66" i="15"/>
  <c r="G66" i="15"/>
  <c r="F66" i="15"/>
  <c r="E66" i="15"/>
  <c r="D66" i="15"/>
  <c r="C66" i="15"/>
  <c r="B66" i="15"/>
  <c r="AK65" i="15"/>
  <c r="AJ65" i="15"/>
  <c r="AI65" i="15"/>
  <c r="AH65" i="15"/>
  <c r="AG65" i="15"/>
  <c r="AF65" i="15"/>
  <c r="AE65" i="15"/>
  <c r="AD65" i="15"/>
  <c r="I65" i="15"/>
  <c r="G65" i="15"/>
  <c r="F65" i="15"/>
  <c r="E65" i="15"/>
  <c r="D65" i="15"/>
  <c r="C65" i="15"/>
  <c r="B65" i="15"/>
  <c r="AK64" i="15"/>
  <c r="AJ64" i="15"/>
  <c r="AI64" i="15"/>
  <c r="AH64" i="15"/>
  <c r="AG64" i="15"/>
  <c r="AF64" i="15"/>
  <c r="AE64" i="15"/>
  <c r="AD64" i="15"/>
  <c r="I64" i="15"/>
  <c r="G64" i="15"/>
  <c r="F64" i="15"/>
  <c r="E64" i="15"/>
  <c r="D64" i="15"/>
  <c r="C64" i="15"/>
  <c r="B64" i="15"/>
  <c r="AK63" i="15"/>
  <c r="AJ63" i="15"/>
  <c r="AI63" i="15"/>
  <c r="AH63" i="15"/>
  <c r="AG63" i="15"/>
  <c r="AF63" i="15"/>
  <c r="AE63" i="15"/>
  <c r="AD63" i="15"/>
  <c r="I63" i="15"/>
  <c r="G63" i="15"/>
  <c r="F63" i="15"/>
  <c r="E63" i="15"/>
  <c r="D63" i="15"/>
  <c r="C63" i="15"/>
  <c r="B63" i="15"/>
  <c r="AK62" i="15"/>
  <c r="AJ62" i="15"/>
  <c r="AI62" i="15"/>
  <c r="AH62" i="15"/>
  <c r="AG62" i="15"/>
  <c r="AF62" i="15"/>
  <c r="AE62" i="15"/>
  <c r="AD62" i="15"/>
  <c r="I62" i="15"/>
  <c r="G62" i="15"/>
  <c r="F62" i="15"/>
  <c r="E62" i="15"/>
  <c r="D62" i="15"/>
  <c r="C62" i="15"/>
  <c r="B62" i="15"/>
  <c r="AK61" i="15"/>
  <c r="AJ61" i="15"/>
  <c r="AI61" i="15"/>
  <c r="AH61" i="15"/>
  <c r="AG61" i="15"/>
  <c r="AF61" i="15"/>
  <c r="AE61" i="15"/>
  <c r="AD61" i="15"/>
  <c r="I61" i="15"/>
  <c r="G61" i="15"/>
  <c r="F61" i="15"/>
  <c r="E61" i="15"/>
  <c r="D61" i="15"/>
  <c r="C61" i="15"/>
  <c r="B61" i="15"/>
  <c r="AK60" i="15"/>
  <c r="AJ60" i="15"/>
  <c r="AI60" i="15"/>
  <c r="AH60" i="15"/>
  <c r="AG60" i="15"/>
  <c r="AF60" i="15"/>
  <c r="AE60" i="15"/>
  <c r="AD60" i="15"/>
  <c r="I60" i="15"/>
  <c r="G60" i="15"/>
  <c r="F60" i="15"/>
  <c r="E60" i="15"/>
  <c r="D60" i="15"/>
  <c r="C60" i="15"/>
  <c r="B60" i="15"/>
  <c r="AK59" i="15"/>
  <c r="AJ59" i="15"/>
  <c r="AI59" i="15"/>
  <c r="AH59" i="15"/>
  <c r="AG59" i="15"/>
  <c r="AF59" i="15"/>
  <c r="AE59" i="15"/>
  <c r="AD59" i="15"/>
  <c r="I59" i="15"/>
  <c r="G59" i="15"/>
  <c r="F59" i="15"/>
  <c r="E59" i="15"/>
  <c r="D59" i="15"/>
  <c r="C59" i="15"/>
  <c r="B59" i="15"/>
  <c r="AK58" i="15"/>
  <c r="AJ58" i="15"/>
  <c r="AI58" i="15"/>
  <c r="AH58" i="15"/>
  <c r="AG58" i="15"/>
  <c r="AF58" i="15"/>
  <c r="AE58" i="15"/>
  <c r="AD58" i="15"/>
  <c r="I58" i="15"/>
  <c r="G58" i="15"/>
  <c r="F58" i="15"/>
  <c r="E58" i="15"/>
  <c r="D58" i="15"/>
  <c r="C58" i="15"/>
  <c r="B58" i="15"/>
  <c r="AK57" i="15"/>
  <c r="AJ57" i="15"/>
  <c r="AI57" i="15"/>
  <c r="AH57" i="15"/>
  <c r="AG57" i="15"/>
  <c r="AF57" i="15"/>
  <c r="AE57" i="15"/>
  <c r="AD57" i="15"/>
  <c r="I57" i="15"/>
  <c r="G57" i="15"/>
  <c r="F57" i="15"/>
  <c r="E57" i="15"/>
  <c r="D57" i="15"/>
  <c r="C57" i="15"/>
  <c r="B57" i="15"/>
  <c r="AK56" i="15"/>
  <c r="AJ56" i="15"/>
  <c r="AI56" i="15"/>
  <c r="AH56" i="15"/>
  <c r="AG56" i="15"/>
  <c r="AF56" i="15"/>
  <c r="AE56" i="15"/>
  <c r="AD56" i="15"/>
  <c r="I56" i="15"/>
  <c r="G56" i="15"/>
  <c r="F56" i="15"/>
  <c r="E56" i="15"/>
  <c r="D56" i="15"/>
  <c r="C56" i="15"/>
  <c r="B56" i="15"/>
  <c r="AK55" i="15"/>
  <c r="AJ55" i="15"/>
  <c r="AI55" i="15"/>
  <c r="AH55" i="15"/>
  <c r="AG55" i="15"/>
  <c r="AF55" i="15"/>
  <c r="AE55" i="15"/>
  <c r="AD55" i="15"/>
  <c r="I55" i="15"/>
  <c r="G55" i="15"/>
  <c r="F55" i="15"/>
  <c r="E55" i="15"/>
  <c r="D55" i="15"/>
  <c r="C55" i="15"/>
  <c r="B55" i="15"/>
  <c r="AK54" i="15"/>
  <c r="AJ54" i="15"/>
  <c r="AI54" i="15"/>
  <c r="AH54" i="15"/>
  <c r="AG54" i="15"/>
  <c r="AF54" i="15"/>
  <c r="AE54" i="15"/>
  <c r="AD54" i="15"/>
  <c r="I54" i="15"/>
  <c r="G54" i="15"/>
  <c r="F54" i="15"/>
  <c r="E54" i="15"/>
  <c r="D54" i="15"/>
  <c r="C54" i="15"/>
  <c r="B54" i="15"/>
  <c r="AK53" i="15"/>
  <c r="AJ53" i="15"/>
  <c r="AI53" i="15"/>
  <c r="AH53" i="15"/>
  <c r="AG53" i="15"/>
  <c r="AF53" i="15"/>
  <c r="AE53" i="15"/>
  <c r="AD53" i="15"/>
  <c r="I53" i="15"/>
  <c r="G53" i="15"/>
  <c r="F53" i="15"/>
  <c r="E53" i="15"/>
  <c r="D53" i="15"/>
  <c r="C53" i="15"/>
  <c r="B53" i="15"/>
  <c r="AK52" i="15"/>
  <c r="AJ52" i="15"/>
  <c r="AI52" i="15"/>
  <c r="AH52" i="15"/>
  <c r="AG52" i="15"/>
  <c r="AF52" i="15"/>
  <c r="AE52" i="15"/>
  <c r="AD52" i="15"/>
  <c r="I52" i="15"/>
  <c r="G52" i="15"/>
  <c r="F52" i="15"/>
  <c r="E52" i="15"/>
  <c r="D52" i="15"/>
  <c r="C52" i="15"/>
  <c r="B52" i="15"/>
  <c r="AK51" i="15"/>
  <c r="AJ51" i="15"/>
  <c r="AI51" i="15"/>
  <c r="AH51" i="15"/>
  <c r="AG51" i="15"/>
  <c r="AF51" i="15"/>
  <c r="AE51" i="15"/>
  <c r="AD51" i="15"/>
  <c r="I51" i="15"/>
  <c r="G51" i="15"/>
  <c r="F51" i="15"/>
  <c r="E51" i="15"/>
  <c r="D51" i="15"/>
  <c r="C51" i="15"/>
  <c r="B51" i="15"/>
  <c r="AK50" i="15"/>
  <c r="AJ50" i="15"/>
  <c r="AI50" i="15"/>
  <c r="AH50" i="15"/>
  <c r="AG50" i="15"/>
  <c r="AF50" i="15"/>
  <c r="AE50" i="15"/>
  <c r="AD50" i="15"/>
  <c r="I50" i="15"/>
  <c r="G50" i="15"/>
  <c r="F50" i="15"/>
  <c r="E50" i="15"/>
  <c r="D50" i="15"/>
  <c r="C50" i="15"/>
  <c r="B50" i="15"/>
  <c r="AK49" i="15"/>
  <c r="AJ49" i="15"/>
  <c r="AI49" i="15"/>
  <c r="AH49" i="15"/>
  <c r="AG49" i="15"/>
  <c r="AF49" i="15"/>
  <c r="AE49" i="15"/>
  <c r="AD49" i="15"/>
  <c r="I49" i="15"/>
  <c r="G49" i="15"/>
  <c r="F49" i="15"/>
  <c r="E49" i="15"/>
  <c r="D49" i="15"/>
  <c r="C49" i="15"/>
  <c r="B49" i="15"/>
  <c r="AK48" i="15"/>
  <c r="AJ48" i="15"/>
  <c r="AI48" i="15"/>
  <c r="AH48" i="15"/>
  <c r="AG48" i="15"/>
  <c r="AF48" i="15"/>
  <c r="AE48" i="15"/>
  <c r="AD48" i="15"/>
  <c r="I48" i="15"/>
  <c r="G48" i="15"/>
  <c r="F48" i="15"/>
  <c r="E48" i="15"/>
  <c r="D48" i="15"/>
  <c r="C48" i="15"/>
  <c r="B48" i="15"/>
  <c r="AK47" i="15"/>
  <c r="AJ47" i="15"/>
  <c r="AI47" i="15"/>
  <c r="AH47" i="15"/>
  <c r="AG47" i="15"/>
  <c r="AF47" i="15"/>
  <c r="AE47" i="15"/>
  <c r="AD47" i="15"/>
  <c r="I47" i="15"/>
  <c r="G47" i="15"/>
  <c r="F47" i="15"/>
  <c r="E47" i="15"/>
  <c r="D47" i="15"/>
  <c r="C47" i="15"/>
  <c r="B47" i="15"/>
  <c r="AK46" i="15"/>
  <c r="AJ46" i="15"/>
  <c r="AI46" i="15"/>
  <c r="AH46" i="15"/>
  <c r="AG46" i="15"/>
  <c r="AF46" i="15"/>
  <c r="AE46" i="15"/>
  <c r="AD46" i="15"/>
  <c r="I46" i="15"/>
  <c r="G46" i="15"/>
  <c r="F46" i="15"/>
  <c r="E46" i="15"/>
  <c r="D46" i="15"/>
  <c r="C46" i="15"/>
  <c r="B46" i="15"/>
  <c r="AK45" i="15"/>
  <c r="AJ45" i="15"/>
  <c r="AI45" i="15"/>
  <c r="AH45" i="15"/>
  <c r="AG45" i="15"/>
  <c r="AF45" i="15"/>
  <c r="AE45" i="15"/>
  <c r="AD45" i="15"/>
  <c r="I45" i="15"/>
  <c r="G45" i="15"/>
  <c r="F45" i="15"/>
  <c r="E45" i="15"/>
  <c r="D45" i="15"/>
  <c r="C45" i="15"/>
  <c r="B45" i="15"/>
  <c r="AK44" i="15"/>
  <c r="AJ44" i="15"/>
  <c r="AI44" i="15"/>
  <c r="AH44" i="15"/>
  <c r="AG44" i="15"/>
  <c r="AF44" i="15"/>
  <c r="AE44" i="15"/>
  <c r="AD44" i="15"/>
  <c r="I44" i="15"/>
  <c r="G44" i="15"/>
  <c r="F44" i="15"/>
  <c r="E44" i="15"/>
  <c r="D44" i="15"/>
  <c r="C44" i="15"/>
  <c r="B44" i="15"/>
  <c r="AK43" i="15"/>
  <c r="AJ43" i="15"/>
  <c r="AI43" i="15"/>
  <c r="AH43" i="15"/>
  <c r="AG43" i="15"/>
  <c r="AF43" i="15"/>
  <c r="AE43" i="15"/>
  <c r="AD43" i="15"/>
  <c r="I43" i="15"/>
  <c r="G43" i="15"/>
  <c r="F43" i="15"/>
  <c r="E43" i="15"/>
  <c r="D43" i="15"/>
  <c r="C43" i="15"/>
  <c r="B43" i="15"/>
  <c r="AK42" i="15"/>
  <c r="AJ42" i="15"/>
  <c r="AI42" i="15"/>
  <c r="AH42" i="15"/>
  <c r="AG42" i="15"/>
  <c r="AF42" i="15"/>
  <c r="AE42" i="15"/>
  <c r="AD42" i="15"/>
  <c r="I42" i="15"/>
  <c r="G42" i="15"/>
  <c r="F42" i="15"/>
  <c r="E42" i="15"/>
  <c r="D42" i="15"/>
  <c r="C42" i="15"/>
  <c r="B42" i="15"/>
  <c r="AK41" i="15"/>
  <c r="AJ41" i="15"/>
  <c r="AI41" i="15"/>
  <c r="AH41" i="15"/>
  <c r="AG41" i="15"/>
  <c r="AF41" i="15"/>
  <c r="AE41" i="15"/>
  <c r="AD41" i="15"/>
  <c r="I41" i="15"/>
  <c r="G41" i="15"/>
  <c r="F41" i="15"/>
  <c r="E41" i="15"/>
  <c r="D41" i="15"/>
  <c r="C41" i="15"/>
  <c r="B41" i="15"/>
  <c r="AK40" i="15"/>
  <c r="AJ40" i="15"/>
  <c r="AI40" i="15"/>
  <c r="AH40" i="15"/>
  <c r="AG40" i="15"/>
  <c r="AF40" i="15"/>
  <c r="AE40" i="15"/>
  <c r="AD40" i="15"/>
  <c r="I40" i="15"/>
  <c r="G40" i="15"/>
  <c r="F40" i="15"/>
  <c r="E40" i="15"/>
  <c r="D40" i="15"/>
  <c r="C40" i="15"/>
  <c r="B40" i="15"/>
  <c r="AK39" i="15"/>
  <c r="AJ39" i="15"/>
  <c r="AI39" i="15"/>
  <c r="AH39" i="15"/>
  <c r="AG39" i="15"/>
  <c r="AF39" i="15"/>
  <c r="AE39" i="15"/>
  <c r="AD39" i="15"/>
  <c r="I39" i="15"/>
  <c r="G39" i="15"/>
  <c r="F39" i="15"/>
  <c r="E39" i="15"/>
  <c r="D39" i="15"/>
  <c r="C39" i="15"/>
  <c r="B39" i="15"/>
  <c r="AK38" i="15"/>
  <c r="AJ38" i="15"/>
  <c r="AI38" i="15"/>
  <c r="AH38" i="15"/>
  <c r="AG38" i="15"/>
  <c r="AF38" i="15"/>
  <c r="AE38" i="15"/>
  <c r="AD38" i="15"/>
  <c r="I38" i="15"/>
  <c r="G38" i="15"/>
  <c r="F38" i="15"/>
  <c r="E38" i="15"/>
  <c r="D38" i="15"/>
  <c r="C38" i="15"/>
  <c r="B38" i="15"/>
  <c r="AK37" i="15"/>
  <c r="AJ37" i="15"/>
  <c r="AI37" i="15"/>
  <c r="AH37" i="15"/>
  <c r="AG37" i="15"/>
  <c r="AF37" i="15"/>
  <c r="AE37" i="15"/>
  <c r="AD37" i="15"/>
  <c r="I37" i="15"/>
  <c r="G37" i="15"/>
  <c r="F37" i="15"/>
  <c r="E37" i="15"/>
  <c r="D37" i="15"/>
  <c r="C37" i="15"/>
  <c r="B37" i="15"/>
  <c r="AK36" i="15"/>
  <c r="AJ36" i="15"/>
  <c r="AI36" i="15"/>
  <c r="AH36" i="15"/>
  <c r="AG36" i="15"/>
  <c r="AF36" i="15"/>
  <c r="AE36" i="15"/>
  <c r="AD36" i="15"/>
  <c r="I36" i="15"/>
  <c r="G36" i="15"/>
  <c r="F36" i="15"/>
  <c r="E36" i="15"/>
  <c r="D36" i="15"/>
  <c r="C36" i="15"/>
  <c r="B36" i="15"/>
  <c r="AK35" i="15"/>
  <c r="AJ35" i="15"/>
  <c r="AI35" i="15"/>
  <c r="AH35" i="15"/>
  <c r="AG35" i="15"/>
  <c r="AF35" i="15"/>
  <c r="AE35" i="15"/>
  <c r="AD35" i="15"/>
  <c r="I35" i="15"/>
  <c r="G35" i="15"/>
  <c r="F35" i="15"/>
  <c r="E35" i="15"/>
  <c r="D35" i="15"/>
  <c r="C35" i="15"/>
  <c r="B35" i="15"/>
  <c r="AK34" i="15"/>
  <c r="AJ34" i="15"/>
  <c r="AI34" i="15"/>
  <c r="AH34" i="15"/>
  <c r="AG34" i="15"/>
  <c r="AF34" i="15"/>
  <c r="AE34" i="15"/>
  <c r="AD34" i="15"/>
  <c r="I34" i="15"/>
  <c r="G34" i="15"/>
  <c r="F34" i="15"/>
  <c r="E34" i="15"/>
  <c r="D34" i="15"/>
  <c r="C34" i="15"/>
  <c r="B34" i="15"/>
  <c r="AK33" i="15"/>
  <c r="AJ33" i="15"/>
  <c r="AI33" i="15"/>
  <c r="AH33" i="15"/>
  <c r="AG33" i="15"/>
  <c r="AF33" i="15"/>
  <c r="AE33" i="15"/>
  <c r="AD33" i="15"/>
  <c r="I33" i="15"/>
  <c r="G33" i="15"/>
  <c r="F33" i="15"/>
  <c r="E33" i="15"/>
  <c r="D33" i="15"/>
  <c r="C33" i="15"/>
  <c r="B33" i="15"/>
  <c r="AK32" i="15"/>
  <c r="AJ32" i="15"/>
  <c r="AI32" i="15"/>
  <c r="AH32" i="15"/>
  <c r="AG32" i="15"/>
  <c r="AF32" i="15"/>
  <c r="AE32" i="15"/>
  <c r="AD32" i="15"/>
  <c r="I32" i="15"/>
  <c r="G32" i="15"/>
  <c r="F32" i="15"/>
  <c r="E32" i="15"/>
  <c r="D32" i="15"/>
  <c r="C32" i="15"/>
  <c r="B32" i="15"/>
  <c r="AK31" i="15"/>
  <c r="AJ31" i="15"/>
  <c r="AI31" i="15"/>
  <c r="AH31" i="15"/>
  <c r="AG31" i="15"/>
  <c r="AF31" i="15"/>
  <c r="AE31" i="15"/>
  <c r="AD31" i="15"/>
  <c r="I31" i="15"/>
  <c r="G31" i="15"/>
  <c r="F31" i="15"/>
  <c r="E31" i="15"/>
  <c r="D31" i="15"/>
  <c r="C31" i="15"/>
  <c r="B31" i="15"/>
  <c r="AK30" i="15"/>
  <c r="AJ30" i="15"/>
  <c r="AI30" i="15"/>
  <c r="AH30" i="15"/>
  <c r="AG30" i="15"/>
  <c r="AF30" i="15"/>
  <c r="AE30" i="15"/>
  <c r="AD30" i="15"/>
  <c r="I30" i="15"/>
  <c r="G30" i="15"/>
  <c r="F30" i="15"/>
  <c r="E30" i="15"/>
  <c r="D30" i="15"/>
  <c r="C30" i="15"/>
  <c r="B30" i="15"/>
  <c r="AK29" i="15"/>
  <c r="AJ29" i="15"/>
  <c r="AI29" i="15"/>
  <c r="AH29" i="15"/>
  <c r="AG29" i="15"/>
  <c r="AF29" i="15"/>
  <c r="AE29" i="15"/>
  <c r="AD29" i="15"/>
  <c r="I29" i="15"/>
  <c r="G29" i="15"/>
  <c r="F29" i="15"/>
  <c r="E29" i="15"/>
  <c r="D29" i="15"/>
  <c r="C29" i="15"/>
  <c r="B29" i="15"/>
  <c r="AK28" i="15"/>
  <c r="AJ28" i="15"/>
  <c r="AI28" i="15"/>
  <c r="AH28" i="15"/>
  <c r="AG28" i="15"/>
  <c r="AF28" i="15"/>
  <c r="AE28" i="15"/>
  <c r="AD28" i="15"/>
  <c r="I28" i="15"/>
  <c r="G28" i="15"/>
  <c r="F28" i="15"/>
  <c r="E28" i="15"/>
  <c r="D28" i="15"/>
  <c r="C28" i="15"/>
  <c r="B28" i="15"/>
  <c r="AK27" i="15"/>
  <c r="AJ27" i="15"/>
  <c r="AI27" i="15"/>
  <c r="AH27" i="15"/>
  <c r="AG27" i="15"/>
  <c r="AF27" i="15"/>
  <c r="AE27" i="15"/>
  <c r="AD27" i="15"/>
  <c r="I27" i="15"/>
  <c r="G27" i="15"/>
  <c r="F27" i="15"/>
  <c r="E27" i="15"/>
  <c r="D27" i="15"/>
  <c r="C27" i="15"/>
  <c r="B27" i="15"/>
  <c r="AK26" i="15"/>
  <c r="AJ26" i="15"/>
  <c r="AI26" i="15"/>
  <c r="AH26" i="15"/>
  <c r="AG26" i="15"/>
  <c r="AF26" i="15"/>
  <c r="AE26" i="15"/>
  <c r="AD26" i="15"/>
  <c r="I26" i="15"/>
  <c r="G26" i="15"/>
  <c r="F26" i="15"/>
  <c r="E26" i="15"/>
  <c r="D26" i="15"/>
  <c r="C26" i="15"/>
  <c r="B26" i="15"/>
  <c r="AK25" i="15"/>
  <c r="AJ25" i="15"/>
  <c r="AI25" i="15"/>
  <c r="AH25" i="15"/>
  <c r="AG25" i="15"/>
  <c r="AF25" i="15"/>
  <c r="AE25" i="15"/>
  <c r="AD25" i="15"/>
  <c r="I25" i="15"/>
  <c r="G25" i="15"/>
  <c r="F25" i="15"/>
  <c r="E25" i="15"/>
  <c r="D25" i="15"/>
  <c r="C25" i="15"/>
  <c r="B25" i="15"/>
  <c r="AK24" i="15"/>
  <c r="AJ24" i="15"/>
  <c r="AI24" i="15"/>
  <c r="AH24" i="15"/>
  <c r="AG24" i="15"/>
  <c r="AF24" i="15"/>
  <c r="AE24" i="15"/>
  <c r="AD24" i="15"/>
  <c r="I24" i="15"/>
  <c r="G24" i="15"/>
  <c r="F24" i="15"/>
  <c r="E24" i="15"/>
  <c r="D24" i="15"/>
  <c r="C24" i="15"/>
  <c r="B24" i="15"/>
  <c r="AK23" i="15"/>
  <c r="AJ23" i="15"/>
  <c r="AI23" i="15"/>
  <c r="AH23" i="15"/>
  <c r="AG23" i="15"/>
  <c r="AF23" i="15"/>
  <c r="AE23" i="15"/>
  <c r="AD23" i="15"/>
  <c r="I23" i="15"/>
  <c r="G23" i="15"/>
  <c r="F23" i="15"/>
  <c r="E23" i="15"/>
  <c r="D23" i="15"/>
  <c r="C23" i="15"/>
  <c r="B23" i="15"/>
  <c r="AK22" i="15"/>
  <c r="AJ22" i="15"/>
  <c r="AI22" i="15"/>
  <c r="AH22" i="15"/>
  <c r="AG22" i="15"/>
  <c r="AF22" i="15"/>
  <c r="AE22" i="15"/>
  <c r="AD22" i="15"/>
  <c r="I22" i="15"/>
  <c r="G22" i="15"/>
  <c r="F22" i="15"/>
  <c r="E22" i="15"/>
  <c r="D22" i="15"/>
  <c r="C22" i="15"/>
  <c r="B22" i="15"/>
  <c r="AK21" i="15"/>
  <c r="AJ21" i="15"/>
  <c r="AI21" i="15"/>
  <c r="AH21" i="15"/>
  <c r="AG21" i="15"/>
  <c r="AF21" i="15"/>
  <c r="AE21" i="15"/>
  <c r="AD21" i="15"/>
  <c r="I21" i="15"/>
  <c r="G21" i="15"/>
  <c r="F21" i="15"/>
  <c r="E21" i="15"/>
  <c r="D21" i="15"/>
  <c r="C21" i="15"/>
  <c r="B21" i="15"/>
  <c r="AK20" i="15"/>
  <c r="AJ20" i="15"/>
  <c r="AI20" i="15"/>
  <c r="AH20" i="15"/>
  <c r="AG20" i="15"/>
  <c r="AF20" i="15"/>
  <c r="AE20" i="15"/>
  <c r="AD20" i="15"/>
  <c r="I20" i="15"/>
  <c r="G20" i="15"/>
  <c r="F20" i="15"/>
  <c r="E20" i="15"/>
  <c r="D20" i="15"/>
  <c r="C20" i="15"/>
  <c r="B20" i="15"/>
  <c r="AK19" i="15"/>
  <c r="AJ19" i="15"/>
  <c r="AI19" i="15"/>
  <c r="AH19" i="15"/>
  <c r="AG19" i="15"/>
  <c r="AF19" i="15"/>
  <c r="AE19" i="15"/>
  <c r="AD19" i="15"/>
  <c r="I19" i="15"/>
  <c r="G19" i="15"/>
  <c r="F19" i="15"/>
  <c r="E19" i="15"/>
  <c r="D19" i="15"/>
  <c r="C19" i="15"/>
  <c r="B19" i="15"/>
  <c r="AK18" i="15"/>
  <c r="AJ18" i="15"/>
  <c r="AI18" i="15"/>
  <c r="AH18" i="15"/>
  <c r="AG18" i="15"/>
  <c r="AF18" i="15"/>
  <c r="AE18" i="15"/>
  <c r="AD18" i="15"/>
  <c r="I18" i="15"/>
  <c r="G18" i="15"/>
  <c r="F18" i="15"/>
  <c r="E18" i="15"/>
  <c r="D18" i="15"/>
  <c r="C18" i="15"/>
  <c r="B18" i="15"/>
  <c r="AK17" i="15"/>
  <c r="AJ17" i="15"/>
  <c r="AI17" i="15"/>
  <c r="AH17" i="15"/>
  <c r="AG17" i="15"/>
  <c r="AF17" i="15"/>
  <c r="AE17" i="15"/>
  <c r="AD17" i="15"/>
  <c r="I17" i="15"/>
  <c r="G17" i="15"/>
  <c r="F17" i="15"/>
  <c r="E17" i="15"/>
  <c r="D17" i="15"/>
  <c r="C17" i="15"/>
  <c r="B17" i="15"/>
  <c r="AK16" i="15"/>
  <c r="AJ16" i="15"/>
  <c r="AI16" i="15"/>
  <c r="AH16" i="15"/>
  <c r="AG16" i="15"/>
  <c r="AF16" i="15"/>
  <c r="AE16" i="15"/>
  <c r="AD16" i="15"/>
  <c r="I16" i="15"/>
  <c r="G16" i="15"/>
  <c r="F16" i="15"/>
  <c r="E16" i="15"/>
  <c r="D16" i="15"/>
  <c r="C16" i="15"/>
  <c r="B16" i="15"/>
  <c r="AK15" i="15"/>
  <c r="AJ15" i="15"/>
  <c r="AI15" i="15"/>
  <c r="AH15" i="15"/>
  <c r="AG15" i="15"/>
  <c r="AF15" i="15"/>
  <c r="AE15" i="15"/>
  <c r="AD15" i="15"/>
  <c r="I15" i="15"/>
  <c r="G15" i="15"/>
  <c r="F15" i="15"/>
  <c r="E15" i="15"/>
  <c r="D15" i="15"/>
  <c r="C15" i="15"/>
  <c r="B15" i="15"/>
  <c r="AK14" i="15"/>
  <c r="AJ14" i="15"/>
  <c r="AI14" i="15"/>
  <c r="AH14" i="15"/>
  <c r="AG14" i="15"/>
  <c r="AF14" i="15"/>
  <c r="AE14" i="15"/>
  <c r="AD14" i="15"/>
  <c r="I14" i="15"/>
  <c r="G14" i="15"/>
  <c r="F14" i="15"/>
  <c r="E14" i="15"/>
  <c r="D14" i="15"/>
  <c r="C14" i="15"/>
  <c r="B14" i="15"/>
  <c r="AK13" i="15"/>
  <c r="AJ13" i="15"/>
  <c r="AI13" i="15"/>
  <c r="AH13" i="15"/>
  <c r="AG13" i="15"/>
  <c r="AF13" i="15"/>
  <c r="AE13" i="15"/>
  <c r="AD13" i="15"/>
  <c r="I13" i="15"/>
  <c r="G13" i="15"/>
  <c r="F13" i="15"/>
  <c r="E13" i="15"/>
  <c r="D13" i="15"/>
  <c r="C13" i="15"/>
  <c r="B13" i="15"/>
  <c r="AK12" i="15"/>
  <c r="AJ12" i="15"/>
  <c r="AI12" i="15"/>
  <c r="AH12" i="15"/>
  <c r="AG12" i="15"/>
  <c r="AF12" i="15"/>
  <c r="AE12" i="15"/>
  <c r="AD12" i="15"/>
  <c r="I12" i="15"/>
  <c r="G12" i="15"/>
  <c r="F12" i="15"/>
  <c r="E12" i="15"/>
  <c r="D12" i="15"/>
  <c r="C12" i="15"/>
  <c r="B12" i="15"/>
  <c r="AK11" i="15"/>
  <c r="AJ11" i="15"/>
  <c r="AI11" i="15"/>
  <c r="AH11" i="15"/>
  <c r="AG11" i="15"/>
  <c r="AF11" i="15"/>
  <c r="AE11" i="15"/>
  <c r="AD11" i="15"/>
  <c r="I11" i="15"/>
  <c r="G11" i="15"/>
  <c r="F11" i="15"/>
  <c r="E11" i="15"/>
  <c r="D11" i="15"/>
  <c r="C11" i="15"/>
  <c r="B11" i="15"/>
  <c r="AK10" i="15"/>
  <c r="AJ10" i="15"/>
  <c r="AI10" i="15"/>
  <c r="AH10" i="15"/>
  <c r="AG10" i="15"/>
  <c r="AF10" i="15"/>
  <c r="AE10" i="15"/>
  <c r="AD10" i="15"/>
  <c r="I10" i="15"/>
  <c r="G10" i="15"/>
  <c r="F10" i="15"/>
  <c r="E10" i="15"/>
  <c r="D10" i="15"/>
  <c r="C10" i="15"/>
  <c r="B10" i="15"/>
  <c r="AK9" i="15"/>
  <c r="AJ9" i="15"/>
  <c r="AI9" i="15"/>
  <c r="AH9" i="15"/>
  <c r="AG9" i="15"/>
  <c r="AF9" i="15"/>
  <c r="AE9" i="15"/>
  <c r="AD9" i="15"/>
  <c r="I9" i="15"/>
  <c r="G9" i="15"/>
  <c r="F9" i="15"/>
  <c r="E9" i="15"/>
  <c r="D9" i="15"/>
  <c r="C9" i="15"/>
  <c r="B9" i="15"/>
  <c r="AK8" i="15"/>
  <c r="AJ8" i="15"/>
  <c r="AI8" i="15"/>
  <c r="AH8" i="15"/>
  <c r="AG8" i="15"/>
  <c r="AF8" i="15"/>
  <c r="AE8" i="15"/>
  <c r="AD8" i="15"/>
  <c r="I8" i="15"/>
  <c r="G8" i="15"/>
  <c r="F8" i="15"/>
  <c r="E8" i="15"/>
  <c r="D8" i="15"/>
  <c r="C8" i="15"/>
  <c r="B8" i="15"/>
  <c r="AK7" i="15"/>
  <c r="AJ7" i="15"/>
  <c r="AI7" i="15"/>
  <c r="AH7" i="15"/>
  <c r="AG7" i="15"/>
  <c r="AF7" i="15"/>
  <c r="AE7" i="15"/>
  <c r="AD7" i="15"/>
  <c r="I7" i="15"/>
  <c r="G7" i="15"/>
  <c r="F7" i="15"/>
  <c r="E7" i="15"/>
  <c r="D7" i="15"/>
  <c r="C7" i="15"/>
  <c r="B7" i="15"/>
  <c r="AK6" i="15"/>
  <c r="AJ6" i="15"/>
  <c r="AI6" i="15"/>
  <c r="AH6" i="15"/>
  <c r="AG6" i="15"/>
  <c r="AF6" i="15"/>
  <c r="AE6" i="15"/>
  <c r="AD6" i="15"/>
  <c r="I6" i="15"/>
  <c r="G6" i="15"/>
  <c r="F6" i="15"/>
  <c r="E6" i="15"/>
  <c r="D6" i="15"/>
  <c r="C6" i="15"/>
  <c r="B6" i="15"/>
  <c r="AK5" i="15"/>
  <c r="AJ5" i="15"/>
  <c r="AI5" i="15"/>
  <c r="AH5" i="15"/>
  <c r="AG5" i="15"/>
  <c r="AF5" i="15"/>
  <c r="AE5" i="15"/>
  <c r="AD5" i="15"/>
  <c r="I5" i="15"/>
  <c r="G5" i="15"/>
  <c r="F5" i="15"/>
  <c r="E5" i="15"/>
  <c r="D5" i="15"/>
  <c r="C5" i="15"/>
  <c r="B5" i="15"/>
  <c r="AJ3" i="15"/>
  <c r="AI3" i="15"/>
  <c r="AH3" i="15"/>
  <c r="AG3" i="15"/>
  <c r="AF3" i="15"/>
  <c r="AE3" i="15"/>
  <c r="AD3" i="15"/>
  <c r="D138" i="5"/>
  <c r="N134" i="5"/>
  <c r="M134" i="5"/>
  <c r="L134" i="5"/>
  <c r="K134" i="5"/>
  <c r="J134" i="5"/>
  <c r="I134" i="5"/>
  <c r="G115" i="5"/>
  <c r="G96" i="5"/>
  <c r="D96" i="5"/>
  <c r="D95" i="5"/>
  <c r="D94" i="5"/>
  <c r="D93" i="5"/>
  <c r="D92" i="5"/>
  <c r="D91" i="5"/>
  <c r="D90" i="5"/>
  <c r="D89" i="5"/>
  <c r="D88" i="5"/>
  <c r="D87" i="5"/>
  <c r="F83" i="5"/>
  <c r="D83" i="5"/>
  <c r="F82" i="5"/>
  <c r="D82" i="5"/>
  <c r="F81" i="5"/>
  <c r="F80" i="5"/>
  <c r="F79" i="5"/>
  <c r="F78" i="5"/>
  <c r="D78" i="5"/>
  <c r="F77" i="5"/>
  <c r="D77" i="5"/>
  <c r="F76" i="5"/>
  <c r="D76" i="5"/>
  <c r="F75" i="5"/>
  <c r="D75" i="5"/>
  <c r="F74" i="5"/>
  <c r="D74" i="5"/>
  <c r="F73" i="5"/>
  <c r="D73" i="5"/>
  <c r="D68" i="5"/>
  <c r="D67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J37" i="5"/>
  <c r="J36" i="5"/>
  <c r="N13" i="5"/>
  <c r="M13" i="5"/>
  <c r="L13" i="5"/>
  <c r="K13" i="5"/>
  <c r="J13" i="5"/>
  <c r="N12" i="5"/>
  <c r="M12" i="5"/>
  <c r="L12" i="5"/>
  <c r="K12" i="5"/>
  <c r="J12" i="5"/>
  <c r="N11" i="5"/>
  <c r="M11" i="5"/>
  <c r="L11" i="5"/>
  <c r="K11" i="5"/>
  <c r="J11" i="5"/>
  <c r="I11" i="5"/>
  <c r="N10" i="5"/>
  <c r="M10" i="5"/>
  <c r="L10" i="5"/>
  <c r="K10" i="5"/>
  <c r="J10" i="5"/>
  <c r="I10" i="5"/>
  <c r="N9" i="5"/>
  <c r="M9" i="5"/>
  <c r="L9" i="5"/>
  <c r="K9" i="5"/>
  <c r="J9" i="5"/>
  <c r="I9" i="5"/>
  <c r="N8" i="5"/>
  <c r="M8" i="5"/>
  <c r="L8" i="5"/>
  <c r="K8" i="5"/>
  <c r="J8" i="5"/>
  <c r="I8" i="5"/>
  <c r="N7" i="5"/>
  <c r="M7" i="5"/>
  <c r="L7" i="5"/>
  <c r="K7" i="5"/>
  <c r="J7" i="5"/>
  <c r="I7" i="5"/>
  <c r="N6" i="5"/>
  <c r="M6" i="5"/>
  <c r="L6" i="5"/>
  <c r="K6" i="5"/>
  <c r="J6" i="5"/>
  <c r="I6" i="5"/>
  <c r="N5" i="5"/>
  <c r="M5" i="5"/>
  <c r="L5" i="5"/>
  <c r="K5" i="5"/>
  <c r="J5" i="5"/>
  <c r="I5" i="5"/>
  <c r="H48" i="4"/>
  <c r="H47" i="4"/>
  <c r="H46" i="4"/>
  <c r="H45" i="4"/>
  <c r="H44" i="4"/>
  <c r="H43" i="4"/>
  <c r="H42" i="4"/>
  <c r="H41" i="4"/>
  <c r="H40" i="4"/>
  <c r="H39" i="4"/>
  <c r="F39" i="4"/>
  <c r="H38" i="4"/>
  <c r="F38" i="4"/>
  <c r="H37" i="4"/>
  <c r="F37" i="4"/>
  <c r="H36" i="4"/>
  <c r="F36" i="4"/>
  <c r="H35" i="4"/>
  <c r="F35" i="4"/>
  <c r="H34" i="4"/>
  <c r="F34" i="4"/>
  <c r="H33" i="4"/>
  <c r="F33" i="4"/>
  <c r="H32" i="4"/>
  <c r="F32" i="4"/>
  <c r="H31" i="4"/>
  <c r="F31" i="4"/>
  <c r="H30" i="4"/>
  <c r="F30" i="4"/>
  <c r="H29" i="4"/>
  <c r="F29" i="4"/>
  <c r="H28" i="4"/>
  <c r="F28" i="4"/>
  <c r="H27" i="4"/>
  <c r="F27" i="4"/>
  <c r="H26" i="4"/>
  <c r="F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M102" i="21"/>
  <c r="M101" i="21"/>
  <c r="K101" i="21"/>
  <c r="M100" i="21"/>
  <c r="L100" i="21"/>
  <c r="K100" i="21"/>
  <c r="J100" i="21"/>
  <c r="I100" i="21"/>
  <c r="H100" i="21"/>
  <c r="G100" i="21"/>
  <c r="C100" i="21"/>
  <c r="B100" i="21"/>
  <c r="M99" i="21"/>
  <c r="L99" i="21"/>
  <c r="K99" i="21"/>
  <c r="J99" i="21"/>
  <c r="I99" i="21"/>
  <c r="H99" i="21"/>
  <c r="G99" i="21"/>
  <c r="C99" i="21"/>
  <c r="B99" i="21"/>
  <c r="M98" i="21"/>
  <c r="L98" i="21"/>
  <c r="K98" i="21"/>
  <c r="J98" i="21"/>
  <c r="I98" i="21"/>
  <c r="H98" i="21"/>
  <c r="G98" i="21"/>
  <c r="C98" i="21"/>
  <c r="B98" i="21"/>
  <c r="M97" i="21"/>
  <c r="L97" i="21"/>
  <c r="K97" i="21"/>
  <c r="J97" i="21"/>
  <c r="I97" i="21"/>
  <c r="H97" i="21"/>
  <c r="G97" i="21"/>
  <c r="C97" i="21"/>
  <c r="B97" i="21"/>
  <c r="M96" i="21"/>
  <c r="L96" i="21"/>
  <c r="K96" i="21"/>
  <c r="J96" i="21"/>
  <c r="I96" i="21"/>
  <c r="H96" i="21"/>
  <c r="G96" i="21"/>
  <c r="C96" i="21"/>
  <c r="B96" i="21"/>
  <c r="M95" i="21"/>
  <c r="L95" i="21"/>
  <c r="K95" i="21"/>
  <c r="J95" i="21"/>
  <c r="I95" i="21"/>
  <c r="H95" i="21"/>
  <c r="G95" i="21"/>
  <c r="C95" i="21"/>
  <c r="B95" i="21"/>
  <c r="M94" i="21"/>
  <c r="L94" i="21"/>
  <c r="K94" i="21"/>
  <c r="J94" i="21"/>
  <c r="I94" i="21"/>
  <c r="H94" i="21"/>
  <c r="G94" i="21"/>
  <c r="C94" i="21"/>
  <c r="B94" i="21"/>
  <c r="M93" i="21"/>
  <c r="L93" i="21"/>
  <c r="K93" i="21"/>
  <c r="J93" i="21"/>
  <c r="I93" i="21"/>
  <c r="H93" i="21"/>
  <c r="G93" i="21"/>
  <c r="C93" i="21"/>
  <c r="B93" i="21"/>
  <c r="M92" i="21"/>
  <c r="L92" i="21"/>
  <c r="K92" i="21"/>
  <c r="J92" i="21"/>
  <c r="I92" i="21"/>
  <c r="H92" i="21"/>
  <c r="G92" i="21"/>
  <c r="C92" i="21"/>
  <c r="B92" i="21"/>
  <c r="M91" i="21"/>
  <c r="L91" i="21"/>
  <c r="K91" i="21"/>
  <c r="J91" i="21"/>
  <c r="I91" i="21"/>
  <c r="H91" i="21"/>
  <c r="G91" i="21"/>
  <c r="C91" i="21"/>
  <c r="B91" i="21"/>
  <c r="M90" i="21"/>
  <c r="L90" i="21"/>
  <c r="K90" i="21"/>
  <c r="J90" i="21"/>
  <c r="I90" i="21"/>
  <c r="H90" i="21"/>
  <c r="G90" i="21"/>
  <c r="C90" i="21"/>
  <c r="B90" i="21"/>
  <c r="M89" i="21"/>
  <c r="L89" i="21"/>
  <c r="K89" i="21"/>
  <c r="J89" i="21"/>
  <c r="I89" i="21"/>
  <c r="H89" i="21"/>
  <c r="G89" i="21"/>
  <c r="C89" i="21"/>
  <c r="B89" i="21"/>
  <c r="M88" i="21"/>
  <c r="L88" i="21"/>
  <c r="K88" i="21"/>
  <c r="J88" i="21"/>
  <c r="I88" i="21"/>
  <c r="H88" i="21"/>
  <c r="G88" i="21"/>
  <c r="C88" i="21"/>
  <c r="B88" i="21"/>
  <c r="M87" i="21"/>
  <c r="L87" i="21"/>
  <c r="K87" i="21"/>
  <c r="J87" i="21"/>
  <c r="I87" i="21"/>
  <c r="H87" i="21"/>
  <c r="G87" i="21"/>
  <c r="C87" i="21"/>
  <c r="B87" i="21"/>
  <c r="M86" i="21"/>
  <c r="L86" i="21"/>
  <c r="K86" i="21"/>
  <c r="J86" i="21"/>
  <c r="I86" i="21"/>
  <c r="H86" i="21"/>
  <c r="G86" i="21"/>
  <c r="C86" i="21"/>
  <c r="B86" i="21"/>
  <c r="M85" i="21"/>
  <c r="L85" i="21"/>
  <c r="K85" i="21"/>
  <c r="J85" i="21"/>
  <c r="I85" i="21"/>
  <c r="H85" i="21"/>
  <c r="G85" i="21"/>
  <c r="C85" i="21"/>
  <c r="B85" i="21"/>
  <c r="M84" i="21"/>
  <c r="L84" i="21"/>
  <c r="K84" i="21"/>
  <c r="J84" i="21"/>
  <c r="I84" i="21"/>
  <c r="H84" i="21"/>
  <c r="G84" i="21"/>
  <c r="C84" i="21"/>
  <c r="B84" i="21"/>
  <c r="M83" i="21"/>
  <c r="L83" i="21"/>
  <c r="K83" i="21"/>
  <c r="J83" i="21"/>
  <c r="I83" i="21"/>
  <c r="H83" i="21"/>
  <c r="G83" i="21"/>
  <c r="C83" i="21"/>
  <c r="B83" i="21"/>
  <c r="M82" i="21"/>
  <c r="L82" i="21"/>
  <c r="K82" i="21"/>
  <c r="J82" i="21"/>
  <c r="I82" i="21"/>
  <c r="H82" i="21"/>
  <c r="G82" i="21"/>
  <c r="C82" i="21"/>
  <c r="B82" i="21"/>
  <c r="M81" i="21"/>
  <c r="L81" i="21"/>
  <c r="K81" i="21"/>
  <c r="J81" i="21"/>
  <c r="I81" i="21"/>
  <c r="H81" i="21"/>
  <c r="G81" i="21"/>
  <c r="C81" i="21"/>
  <c r="B81" i="21"/>
  <c r="M80" i="21"/>
  <c r="L80" i="21"/>
  <c r="K80" i="21"/>
  <c r="J80" i="21"/>
  <c r="I80" i="21"/>
  <c r="H80" i="21"/>
  <c r="G80" i="21"/>
  <c r="C80" i="21"/>
  <c r="B80" i="21"/>
  <c r="M79" i="21"/>
  <c r="L79" i="21"/>
  <c r="K79" i="21"/>
  <c r="J79" i="21"/>
  <c r="I79" i="21"/>
  <c r="H79" i="21"/>
  <c r="G79" i="21"/>
  <c r="C79" i="21"/>
  <c r="B79" i="21"/>
  <c r="M78" i="21"/>
  <c r="L78" i="21"/>
  <c r="K78" i="21"/>
  <c r="J78" i="21"/>
  <c r="I78" i="21"/>
  <c r="H78" i="21"/>
  <c r="G78" i="21"/>
  <c r="C78" i="21"/>
  <c r="B78" i="21"/>
  <c r="M77" i="21"/>
  <c r="L77" i="21"/>
  <c r="K77" i="21"/>
  <c r="J77" i="21"/>
  <c r="I77" i="21"/>
  <c r="H77" i="21"/>
  <c r="G77" i="21"/>
  <c r="C77" i="21"/>
  <c r="B77" i="21"/>
  <c r="M76" i="21"/>
  <c r="L76" i="21"/>
  <c r="K76" i="21"/>
  <c r="J76" i="21"/>
  <c r="I76" i="21"/>
  <c r="H76" i="21"/>
  <c r="G76" i="21"/>
  <c r="C76" i="21"/>
  <c r="B76" i="21"/>
  <c r="M75" i="21"/>
  <c r="L75" i="21"/>
  <c r="K75" i="21"/>
  <c r="J75" i="21"/>
  <c r="I75" i="21"/>
  <c r="H75" i="21"/>
  <c r="G75" i="21"/>
  <c r="C75" i="21"/>
  <c r="B75" i="21"/>
  <c r="M74" i="21"/>
  <c r="L74" i="21"/>
  <c r="K74" i="21"/>
  <c r="J74" i="21"/>
  <c r="I74" i="21"/>
  <c r="H74" i="21"/>
  <c r="G74" i="21"/>
  <c r="C74" i="21"/>
  <c r="B74" i="21"/>
  <c r="M73" i="21"/>
  <c r="L73" i="21"/>
  <c r="K73" i="21"/>
  <c r="J73" i="21"/>
  <c r="I73" i="21"/>
  <c r="H73" i="21"/>
  <c r="G73" i="21"/>
  <c r="C73" i="21"/>
  <c r="B73" i="21"/>
  <c r="M72" i="21"/>
  <c r="L72" i="21"/>
  <c r="K72" i="21"/>
  <c r="J72" i="21"/>
  <c r="I72" i="21"/>
  <c r="H72" i="21"/>
  <c r="G72" i="21"/>
  <c r="C72" i="21"/>
  <c r="B72" i="21"/>
  <c r="M71" i="21"/>
  <c r="L71" i="21"/>
  <c r="K71" i="21"/>
  <c r="J71" i="21"/>
  <c r="I71" i="21"/>
  <c r="H71" i="21"/>
  <c r="G71" i="21"/>
  <c r="C71" i="21"/>
  <c r="B71" i="21"/>
  <c r="M70" i="21"/>
  <c r="L70" i="21"/>
  <c r="K70" i="21"/>
  <c r="J70" i="21"/>
  <c r="I70" i="21"/>
  <c r="H70" i="21"/>
  <c r="G70" i="21"/>
  <c r="C70" i="21"/>
  <c r="B70" i="21"/>
  <c r="M69" i="21"/>
  <c r="L69" i="21"/>
  <c r="K69" i="21"/>
  <c r="J69" i="21"/>
  <c r="I69" i="21"/>
  <c r="H69" i="21"/>
  <c r="G69" i="21"/>
  <c r="C69" i="21"/>
  <c r="B69" i="21"/>
  <c r="M68" i="21"/>
  <c r="L68" i="21"/>
  <c r="K68" i="21"/>
  <c r="J68" i="21"/>
  <c r="I68" i="21"/>
  <c r="H68" i="21"/>
  <c r="G68" i="21"/>
  <c r="C68" i="21"/>
  <c r="B68" i="21"/>
  <c r="M67" i="21"/>
  <c r="L67" i="21"/>
  <c r="K67" i="21"/>
  <c r="J67" i="21"/>
  <c r="I67" i="21"/>
  <c r="H67" i="21"/>
  <c r="G67" i="21"/>
  <c r="C67" i="21"/>
  <c r="B67" i="21"/>
  <c r="M66" i="21"/>
  <c r="L66" i="21"/>
  <c r="K66" i="21"/>
  <c r="J66" i="21"/>
  <c r="I66" i="21"/>
  <c r="H66" i="21"/>
  <c r="G66" i="21"/>
  <c r="C66" i="21"/>
  <c r="B66" i="21"/>
  <c r="M65" i="21"/>
  <c r="L65" i="21"/>
  <c r="K65" i="21"/>
  <c r="J65" i="21"/>
  <c r="I65" i="21"/>
  <c r="H65" i="21"/>
  <c r="G65" i="21"/>
  <c r="C65" i="21"/>
  <c r="B65" i="21"/>
  <c r="M64" i="21"/>
  <c r="L64" i="21"/>
  <c r="K64" i="21"/>
  <c r="J64" i="21"/>
  <c r="I64" i="21"/>
  <c r="H64" i="21"/>
  <c r="G64" i="21"/>
  <c r="C64" i="21"/>
  <c r="B64" i="21"/>
  <c r="M63" i="21"/>
  <c r="L63" i="21"/>
  <c r="K63" i="21"/>
  <c r="J63" i="21"/>
  <c r="I63" i="21"/>
  <c r="H63" i="21"/>
  <c r="G63" i="21"/>
  <c r="C63" i="21"/>
  <c r="B63" i="21"/>
  <c r="M62" i="21"/>
  <c r="L62" i="21"/>
  <c r="K62" i="21"/>
  <c r="J62" i="21"/>
  <c r="I62" i="21"/>
  <c r="H62" i="21"/>
  <c r="G62" i="21"/>
  <c r="C62" i="21"/>
  <c r="B62" i="21"/>
  <c r="M61" i="21"/>
  <c r="L61" i="21"/>
  <c r="K61" i="21"/>
  <c r="J61" i="21"/>
  <c r="I61" i="21"/>
  <c r="H61" i="21"/>
  <c r="G61" i="21"/>
  <c r="C61" i="21"/>
  <c r="B61" i="21"/>
  <c r="M60" i="21"/>
  <c r="L60" i="21"/>
  <c r="K60" i="21"/>
  <c r="J60" i="21"/>
  <c r="I60" i="21"/>
  <c r="H60" i="21"/>
  <c r="G60" i="21"/>
  <c r="C60" i="21"/>
  <c r="B60" i="21"/>
  <c r="M59" i="21"/>
  <c r="L59" i="21"/>
  <c r="K59" i="21"/>
  <c r="J59" i="21"/>
  <c r="I59" i="21"/>
  <c r="H59" i="21"/>
  <c r="G59" i="21"/>
  <c r="C59" i="21"/>
  <c r="B59" i="21"/>
  <c r="M58" i="21"/>
  <c r="L58" i="21"/>
  <c r="K58" i="21"/>
  <c r="J58" i="21"/>
  <c r="I58" i="21"/>
  <c r="H58" i="21"/>
  <c r="G58" i="21"/>
  <c r="C58" i="21"/>
  <c r="B58" i="21"/>
  <c r="M57" i="21"/>
  <c r="L57" i="21"/>
  <c r="K57" i="21"/>
  <c r="J57" i="21"/>
  <c r="I57" i="21"/>
  <c r="H57" i="21"/>
  <c r="G57" i="21"/>
  <c r="C57" i="21"/>
  <c r="B57" i="21"/>
  <c r="M56" i="21"/>
  <c r="L56" i="21"/>
  <c r="K56" i="21"/>
  <c r="J56" i="21"/>
  <c r="I56" i="21"/>
  <c r="H56" i="21"/>
  <c r="G56" i="21"/>
  <c r="C56" i="21"/>
  <c r="B56" i="21"/>
  <c r="M55" i="21"/>
  <c r="L55" i="21"/>
  <c r="K55" i="21"/>
  <c r="J55" i="21"/>
  <c r="I55" i="21"/>
  <c r="H55" i="21"/>
  <c r="G55" i="21"/>
  <c r="C55" i="21"/>
  <c r="B55" i="21"/>
  <c r="M54" i="21"/>
  <c r="L54" i="21"/>
  <c r="K54" i="21"/>
  <c r="J54" i="21"/>
  <c r="I54" i="21"/>
  <c r="H54" i="21"/>
  <c r="G54" i="21"/>
  <c r="C54" i="21"/>
  <c r="B54" i="21"/>
  <c r="M53" i="21"/>
  <c r="L53" i="21"/>
  <c r="K53" i="21"/>
  <c r="J53" i="21"/>
  <c r="I53" i="21"/>
  <c r="H53" i="21"/>
  <c r="G53" i="21"/>
  <c r="C53" i="21"/>
  <c r="B53" i="21"/>
  <c r="M52" i="21"/>
  <c r="L52" i="21"/>
  <c r="K52" i="21"/>
  <c r="J52" i="21"/>
  <c r="I52" i="21"/>
  <c r="H52" i="21"/>
  <c r="G52" i="21"/>
  <c r="C52" i="21"/>
  <c r="B52" i="21"/>
  <c r="M51" i="21"/>
  <c r="L51" i="21"/>
  <c r="K51" i="21"/>
  <c r="J51" i="21"/>
  <c r="I51" i="21"/>
  <c r="H51" i="21"/>
  <c r="G51" i="21"/>
  <c r="C51" i="21"/>
  <c r="B51" i="21"/>
  <c r="M50" i="21"/>
  <c r="L50" i="21"/>
  <c r="K50" i="21"/>
  <c r="J50" i="21"/>
  <c r="I50" i="21"/>
  <c r="H50" i="21"/>
  <c r="G50" i="21"/>
  <c r="C50" i="21"/>
  <c r="B50" i="21"/>
  <c r="M49" i="21"/>
  <c r="L49" i="21"/>
  <c r="K49" i="21"/>
  <c r="J49" i="21"/>
  <c r="I49" i="21"/>
  <c r="H49" i="21"/>
  <c r="G49" i="21"/>
  <c r="C49" i="21"/>
  <c r="B49" i="21"/>
  <c r="M48" i="21"/>
  <c r="L48" i="21"/>
  <c r="K48" i="21"/>
  <c r="J48" i="21"/>
  <c r="I48" i="21"/>
  <c r="H48" i="21"/>
  <c r="G48" i="21"/>
  <c r="C48" i="21"/>
  <c r="B48" i="21"/>
  <c r="M47" i="21"/>
  <c r="L47" i="21"/>
  <c r="K47" i="21"/>
  <c r="J47" i="21"/>
  <c r="I47" i="21"/>
  <c r="H47" i="21"/>
  <c r="G47" i="21"/>
  <c r="C47" i="21"/>
  <c r="B47" i="21"/>
  <c r="M46" i="21"/>
  <c r="L46" i="21"/>
  <c r="K46" i="21"/>
  <c r="J46" i="21"/>
  <c r="I46" i="21"/>
  <c r="H46" i="21"/>
  <c r="G46" i="21"/>
  <c r="C46" i="21"/>
  <c r="B46" i="21"/>
  <c r="M45" i="21"/>
  <c r="L45" i="21"/>
  <c r="K45" i="21"/>
  <c r="J45" i="21"/>
  <c r="I45" i="21"/>
  <c r="H45" i="21"/>
  <c r="G45" i="21"/>
  <c r="C45" i="21"/>
  <c r="B45" i="21"/>
  <c r="M44" i="21"/>
  <c r="L44" i="21"/>
  <c r="K44" i="21"/>
  <c r="J44" i="21"/>
  <c r="I44" i="21"/>
  <c r="H44" i="21"/>
  <c r="G44" i="21"/>
  <c r="C44" i="21"/>
  <c r="B44" i="21"/>
  <c r="M43" i="21"/>
  <c r="L43" i="21"/>
  <c r="K43" i="21"/>
  <c r="J43" i="21"/>
  <c r="I43" i="21"/>
  <c r="H43" i="21"/>
  <c r="G43" i="21"/>
  <c r="C43" i="21"/>
  <c r="B43" i="21"/>
  <c r="M42" i="21"/>
  <c r="L42" i="21"/>
  <c r="K42" i="21"/>
  <c r="J42" i="21"/>
  <c r="I42" i="21"/>
  <c r="H42" i="21"/>
  <c r="G42" i="21"/>
  <c r="C42" i="21"/>
  <c r="B42" i="21"/>
  <c r="M41" i="21"/>
  <c r="L41" i="21"/>
  <c r="K41" i="21"/>
  <c r="J41" i="21"/>
  <c r="I41" i="21"/>
  <c r="H41" i="21"/>
  <c r="G41" i="21"/>
  <c r="C41" i="21"/>
  <c r="B41" i="21"/>
  <c r="M40" i="21"/>
  <c r="L40" i="21"/>
  <c r="K40" i="21"/>
  <c r="J40" i="21"/>
  <c r="I40" i="21"/>
  <c r="H40" i="21"/>
  <c r="G40" i="21"/>
  <c r="C40" i="21"/>
  <c r="B40" i="21"/>
  <c r="M39" i="21"/>
  <c r="L39" i="21"/>
  <c r="K39" i="21"/>
  <c r="J39" i="21"/>
  <c r="I39" i="21"/>
  <c r="H39" i="21"/>
  <c r="G39" i="21"/>
  <c r="C39" i="21"/>
  <c r="B39" i="21"/>
  <c r="M38" i="21"/>
  <c r="L38" i="21"/>
  <c r="K38" i="21"/>
  <c r="J38" i="21"/>
  <c r="I38" i="21"/>
  <c r="H38" i="21"/>
  <c r="G38" i="21"/>
  <c r="C38" i="21"/>
  <c r="B38" i="21"/>
  <c r="M37" i="21"/>
  <c r="L37" i="21"/>
  <c r="K37" i="21"/>
  <c r="J37" i="21"/>
  <c r="I37" i="21"/>
  <c r="H37" i="21"/>
  <c r="G37" i="21"/>
  <c r="C37" i="21"/>
  <c r="B37" i="21"/>
  <c r="M36" i="21"/>
  <c r="L36" i="21"/>
  <c r="K36" i="21"/>
  <c r="J36" i="21"/>
  <c r="I36" i="21"/>
  <c r="H36" i="21"/>
  <c r="G36" i="21"/>
  <c r="C36" i="21"/>
  <c r="B36" i="21"/>
  <c r="M35" i="21"/>
  <c r="L35" i="21"/>
  <c r="K35" i="21"/>
  <c r="J35" i="21"/>
  <c r="I35" i="21"/>
  <c r="H35" i="21"/>
  <c r="G35" i="21"/>
  <c r="C35" i="21"/>
  <c r="B35" i="21"/>
  <c r="M34" i="21"/>
  <c r="L34" i="21"/>
  <c r="K34" i="21"/>
  <c r="J34" i="21"/>
  <c r="I34" i="21"/>
  <c r="H34" i="21"/>
  <c r="G34" i="21"/>
  <c r="C34" i="21"/>
  <c r="B34" i="21"/>
  <c r="M33" i="21"/>
  <c r="L33" i="21"/>
  <c r="K33" i="21"/>
  <c r="J33" i="21"/>
  <c r="I33" i="21"/>
  <c r="H33" i="21"/>
  <c r="G33" i="21"/>
  <c r="C33" i="21"/>
  <c r="B33" i="21"/>
  <c r="M32" i="21"/>
  <c r="L32" i="21"/>
  <c r="K32" i="21"/>
  <c r="J32" i="21"/>
  <c r="I32" i="21"/>
  <c r="H32" i="21"/>
  <c r="G32" i="21"/>
  <c r="C32" i="21"/>
  <c r="B32" i="21"/>
  <c r="M31" i="21"/>
  <c r="L31" i="21"/>
  <c r="K31" i="21"/>
  <c r="J31" i="21"/>
  <c r="I31" i="21"/>
  <c r="H31" i="21"/>
  <c r="G31" i="21"/>
  <c r="C31" i="21"/>
  <c r="B31" i="21"/>
  <c r="M30" i="21"/>
  <c r="L30" i="21"/>
  <c r="K30" i="21"/>
  <c r="J30" i="21"/>
  <c r="I30" i="21"/>
  <c r="H30" i="21"/>
  <c r="G30" i="21"/>
  <c r="C30" i="21"/>
  <c r="B30" i="21"/>
  <c r="M29" i="21"/>
  <c r="L29" i="21"/>
  <c r="K29" i="21"/>
  <c r="J29" i="21"/>
  <c r="I29" i="21"/>
  <c r="H29" i="21"/>
  <c r="G29" i="21"/>
  <c r="C29" i="21"/>
  <c r="B29" i="21"/>
  <c r="M28" i="21"/>
  <c r="L28" i="21"/>
  <c r="K28" i="21"/>
  <c r="J28" i="21"/>
  <c r="I28" i="21"/>
  <c r="H28" i="21"/>
  <c r="G28" i="21"/>
  <c r="C28" i="21"/>
  <c r="B28" i="21"/>
  <c r="M27" i="21"/>
  <c r="L27" i="21"/>
  <c r="K27" i="21"/>
  <c r="J27" i="21"/>
  <c r="I27" i="21"/>
  <c r="H27" i="21"/>
  <c r="G27" i="21"/>
  <c r="C27" i="21"/>
  <c r="B27" i="21"/>
  <c r="M26" i="21"/>
  <c r="L26" i="21"/>
  <c r="K26" i="21"/>
  <c r="J26" i="21"/>
  <c r="I26" i="21"/>
  <c r="H26" i="21"/>
  <c r="G26" i="21"/>
  <c r="C26" i="21"/>
  <c r="B26" i="21"/>
  <c r="M25" i="21"/>
  <c r="L25" i="21"/>
  <c r="K25" i="21"/>
  <c r="J25" i="21"/>
  <c r="I25" i="21"/>
  <c r="H25" i="21"/>
  <c r="G25" i="21"/>
  <c r="C25" i="21"/>
  <c r="B25" i="21"/>
  <c r="M24" i="21"/>
  <c r="L24" i="21"/>
  <c r="K24" i="21"/>
  <c r="J24" i="21"/>
  <c r="I24" i="21"/>
  <c r="H24" i="21"/>
  <c r="G24" i="21"/>
  <c r="C24" i="21"/>
  <c r="B24" i="21"/>
  <c r="M23" i="21"/>
  <c r="L23" i="21"/>
  <c r="K23" i="21"/>
  <c r="J23" i="21"/>
  <c r="I23" i="21"/>
  <c r="H23" i="21"/>
  <c r="G23" i="21"/>
  <c r="C23" i="21"/>
  <c r="B23" i="21"/>
  <c r="M22" i="21"/>
  <c r="L22" i="21"/>
  <c r="K22" i="21"/>
  <c r="J22" i="21"/>
  <c r="I22" i="21"/>
  <c r="H22" i="21"/>
  <c r="G22" i="21"/>
  <c r="C22" i="21"/>
  <c r="B22" i="21"/>
  <c r="M21" i="21"/>
  <c r="L21" i="21"/>
  <c r="K21" i="21"/>
  <c r="J21" i="21"/>
  <c r="I21" i="21"/>
  <c r="H21" i="21"/>
  <c r="G21" i="21"/>
  <c r="C21" i="21"/>
  <c r="B21" i="21"/>
  <c r="M20" i="21"/>
  <c r="L20" i="21"/>
  <c r="K20" i="21"/>
  <c r="J20" i="21"/>
  <c r="I20" i="21"/>
  <c r="H20" i="21"/>
  <c r="G20" i="21"/>
  <c r="C20" i="21"/>
  <c r="B20" i="21"/>
  <c r="M19" i="21"/>
  <c r="L19" i="21"/>
  <c r="K19" i="21"/>
  <c r="J19" i="21"/>
  <c r="I19" i="21"/>
  <c r="H19" i="21"/>
  <c r="G19" i="21"/>
  <c r="C19" i="21"/>
  <c r="B19" i="21"/>
  <c r="M18" i="21"/>
  <c r="L18" i="21"/>
  <c r="K18" i="21"/>
  <c r="J18" i="21"/>
  <c r="I18" i="21"/>
  <c r="H18" i="21"/>
  <c r="G18" i="21"/>
  <c r="C18" i="21"/>
  <c r="B18" i="21"/>
  <c r="M17" i="21"/>
  <c r="L17" i="21"/>
  <c r="K17" i="21"/>
  <c r="J17" i="21"/>
  <c r="I17" i="21"/>
  <c r="H17" i="21"/>
  <c r="G17" i="21"/>
  <c r="C17" i="21"/>
  <c r="B17" i="21"/>
  <c r="M16" i="21"/>
  <c r="L16" i="21"/>
  <c r="K16" i="21"/>
  <c r="J16" i="21"/>
  <c r="I16" i="21"/>
  <c r="H16" i="21"/>
  <c r="G16" i="21"/>
  <c r="C16" i="21"/>
  <c r="B16" i="21"/>
  <c r="M15" i="21"/>
  <c r="L15" i="21"/>
  <c r="K15" i="21"/>
  <c r="J15" i="21"/>
  <c r="I15" i="21"/>
  <c r="H15" i="21"/>
  <c r="G15" i="21"/>
  <c r="C15" i="21"/>
  <c r="B15" i="21"/>
  <c r="M14" i="21"/>
  <c r="L14" i="21"/>
  <c r="K14" i="21"/>
  <c r="J14" i="21"/>
  <c r="I14" i="21"/>
  <c r="H14" i="21"/>
  <c r="G14" i="21"/>
  <c r="C14" i="21"/>
  <c r="B14" i="21"/>
  <c r="M13" i="21"/>
  <c r="L13" i="21"/>
  <c r="K13" i="21"/>
  <c r="J13" i="21"/>
  <c r="I13" i="21"/>
  <c r="H13" i="21"/>
  <c r="G13" i="21"/>
  <c r="C13" i="21"/>
  <c r="B13" i="21"/>
  <c r="M12" i="21"/>
  <c r="L12" i="21"/>
  <c r="K12" i="21"/>
  <c r="J12" i="21"/>
  <c r="I12" i="21"/>
  <c r="H12" i="21"/>
  <c r="G12" i="21"/>
  <c r="C12" i="21"/>
  <c r="B12" i="21"/>
  <c r="M11" i="21"/>
  <c r="L11" i="21"/>
  <c r="K11" i="21"/>
  <c r="J11" i="21"/>
  <c r="I11" i="21"/>
  <c r="H11" i="21"/>
  <c r="G11" i="21"/>
  <c r="C11" i="21"/>
  <c r="B11" i="21"/>
  <c r="M10" i="21"/>
  <c r="L10" i="21"/>
  <c r="K10" i="21"/>
  <c r="J10" i="21"/>
  <c r="I10" i="21"/>
  <c r="H10" i="21"/>
  <c r="G10" i="21"/>
  <c r="C10" i="21"/>
  <c r="B10" i="21"/>
  <c r="M9" i="21"/>
  <c r="L9" i="21"/>
  <c r="K9" i="21"/>
  <c r="J9" i="21"/>
  <c r="I9" i="21"/>
  <c r="H9" i="21"/>
  <c r="G9" i="21"/>
  <c r="C9" i="21"/>
  <c r="B9" i="21"/>
  <c r="M8" i="21"/>
  <c r="L8" i="21"/>
  <c r="K8" i="21"/>
  <c r="J8" i="21"/>
  <c r="I8" i="21"/>
  <c r="H8" i="21"/>
  <c r="G8" i="21"/>
  <c r="C8" i="21"/>
  <c r="B8" i="21"/>
  <c r="M7" i="21"/>
  <c r="L7" i="21"/>
  <c r="K7" i="21"/>
  <c r="J7" i="21"/>
  <c r="I7" i="21"/>
  <c r="H7" i="21"/>
  <c r="G7" i="21"/>
  <c r="C7" i="21"/>
  <c r="B7" i="21"/>
  <c r="M6" i="21"/>
  <c r="L6" i="21"/>
  <c r="K6" i="21"/>
  <c r="J6" i="21"/>
  <c r="I6" i="21"/>
  <c r="H6" i="21"/>
  <c r="G6" i="21"/>
  <c r="C6" i="21"/>
  <c r="B6" i="21"/>
  <c r="M5" i="21"/>
  <c r="L5" i="21"/>
  <c r="K5" i="21"/>
  <c r="J5" i="21"/>
  <c r="I5" i="21"/>
  <c r="H5" i="21"/>
  <c r="G5" i="21"/>
  <c r="C5" i="21"/>
  <c r="B5" i="21"/>
  <c r="M4" i="21"/>
  <c r="L4" i="21"/>
  <c r="K4" i="21"/>
  <c r="J4" i="21"/>
  <c r="I4" i="21"/>
  <c r="H4" i="21"/>
  <c r="G4" i="21"/>
  <c r="C4" i="21"/>
  <c r="B4" i="21"/>
  <c r="M3" i="21"/>
  <c r="L3" i="21"/>
  <c r="K3" i="21"/>
  <c r="J3" i="21"/>
  <c r="I3" i="21"/>
  <c r="H3" i="21"/>
  <c r="G3" i="21"/>
  <c r="C3" i="21"/>
  <c r="B3" i="21"/>
  <c r="M102" i="18"/>
  <c r="M101" i="18"/>
  <c r="K101" i="18"/>
  <c r="M100" i="18"/>
  <c r="L100" i="18"/>
  <c r="K100" i="18"/>
  <c r="J100" i="18"/>
  <c r="I100" i="18"/>
  <c r="H100" i="18"/>
  <c r="G100" i="18"/>
  <c r="C100" i="18"/>
  <c r="B100" i="18"/>
  <c r="M99" i="18"/>
  <c r="L99" i="18"/>
  <c r="K99" i="18"/>
  <c r="J99" i="18"/>
  <c r="I99" i="18"/>
  <c r="H99" i="18"/>
  <c r="G99" i="18"/>
  <c r="C99" i="18"/>
  <c r="B99" i="18"/>
  <c r="M98" i="18"/>
  <c r="L98" i="18"/>
  <c r="K98" i="18"/>
  <c r="J98" i="18"/>
  <c r="I98" i="18"/>
  <c r="H98" i="18"/>
  <c r="G98" i="18"/>
  <c r="C98" i="18"/>
  <c r="B98" i="18"/>
  <c r="M97" i="18"/>
  <c r="L97" i="18"/>
  <c r="K97" i="18"/>
  <c r="J97" i="18"/>
  <c r="I97" i="18"/>
  <c r="H97" i="18"/>
  <c r="G97" i="18"/>
  <c r="C97" i="18"/>
  <c r="B97" i="18"/>
  <c r="M96" i="18"/>
  <c r="L96" i="18"/>
  <c r="K96" i="18"/>
  <c r="J96" i="18"/>
  <c r="I96" i="18"/>
  <c r="H96" i="18"/>
  <c r="G96" i="18"/>
  <c r="C96" i="18"/>
  <c r="B96" i="18"/>
  <c r="M95" i="18"/>
  <c r="L95" i="18"/>
  <c r="K95" i="18"/>
  <c r="J95" i="18"/>
  <c r="I95" i="18"/>
  <c r="H95" i="18"/>
  <c r="G95" i="18"/>
  <c r="C95" i="18"/>
  <c r="B95" i="18"/>
  <c r="M94" i="18"/>
  <c r="L94" i="18"/>
  <c r="K94" i="18"/>
  <c r="J94" i="18"/>
  <c r="I94" i="18"/>
  <c r="H94" i="18"/>
  <c r="G94" i="18"/>
  <c r="C94" i="18"/>
  <c r="B94" i="18"/>
  <c r="M93" i="18"/>
  <c r="L93" i="18"/>
  <c r="K93" i="18"/>
  <c r="J93" i="18"/>
  <c r="I93" i="18"/>
  <c r="H93" i="18"/>
  <c r="G93" i="18"/>
  <c r="C93" i="18"/>
  <c r="B93" i="18"/>
  <c r="M92" i="18"/>
  <c r="L92" i="18"/>
  <c r="K92" i="18"/>
  <c r="J92" i="18"/>
  <c r="I92" i="18"/>
  <c r="H92" i="18"/>
  <c r="G92" i="18"/>
  <c r="C92" i="18"/>
  <c r="B92" i="18"/>
  <c r="M91" i="18"/>
  <c r="L91" i="18"/>
  <c r="K91" i="18"/>
  <c r="J91" i="18"/>
  <c r="I91" i="18"/>
  <c r="H91" i="18"/>
  <c r="G91" i="18"/>
  <c r="C91" i="18"/>
  <c r="B91" i="18"/>
  <c r="M90" i="18"/>
  <c r="L90" i="18"/>
  <c r="K90" i="18"/>
  <c r="J90" i="18"/>
  <c r="I90" i="18"/>
  <c r="H90" i="18"/>
  <c r="G90" i="18"/>
  <c r="C90" i="18"/>
  <c r="B90" i="18"/>
  <c r="M89" i="18"/>
  <c r="L89" i="18"/>
  <c r="K89" i="18"/>
  <c r="J89" i="18"/>
  <c r="I89" i="18"/>
  <c r="H89" i="18"/>
  <c r="G89" i="18"/>
  <c r="C89" i="18"/>
  <c r="B89" i="18"/>
  <c r="M88" i="18"/>
  <c r="L88" i="18"/>
  <c r="K88" i="18"/>
  <c r="J88" i="18"/>
  <c r="I88" i="18"/>
  <c r="H88" i="18"/>
  <c r="G88" i="18"/>
  <c r="C88" i="18"/>
  <c r="B88" i="18"/>
  <c r="M87" i="18"/>
  <c r="L87" i="18"/>
  <c r="K87" i="18"/>
  <c r="J87" i="18"/>
  <c r="I87" i="18"/>
  <c r="H87" i="18"/>
  <c r="G87" i="18"/>
  <c r="C87" i="18"/>
  <c r="B87" i="18"/>
  <c r="M86" i="18"/>
  <c r="L86" i="18"/>
  <c r="K86" i="18"/>
  <c r="J86" i="18"/>
  <c r="I86" i="18"/>
  <c r="H86" i="18"/>
  <c r="G86" i="18"/>
  <c r="C86" i="18"/>
  <c r="B86" i="18"/>
  <c r="M85" i="18"/>
  <c r="L85" i="18"/>
  <c r="K85" i="18"/>
  <c r="J85" i="18"/>
  <c r="I85" i="18"/>
  <c r="H85" i="18"/>
  <c r="G85" i="18"/>
  <c r="C85" i="18"/>
  <c r="B85" i="18"/>
  <c r="M84" i="18"/>
  <c r="L84" i="18"/>
  <c r="K84" i="18"/>
  <c r="J84" i="18"/>
  <c r="I84" i="18"/>
  <c r="H84" i="18"/>
  <c r="G84" i="18"/>
  <c r="C84" i="18"/>
  <c r="B84" i="18"/>
  <c r="M83" i="18"/>
  <c r="L83" i="18"/>
  <c r="K83" i="18"/>
  <c r="J83" i="18"/>
  <c r="I83" i="18"/>
  <c r="H83" i="18"/>
  <c r="G83" i="18"/>
  <c r="C83" i="18"/>
  <c r="B83" i="18"/>
  <c r="M82" i="18"/>
  <c r="L82" i="18"/>
  <c r="K82" i="18"/>
  <c r="J82" i="18"/>
  <c r="I82" i="18"/>
  <c r="H82" i="18"/>
  <c r="G82" i="18"/>
  <c r="C82" i="18"/>
  <c r="B82" i="18"/>
  <c r="M81" i="18"/>
  <c r="L81" i="18"/>
  <c r="K81" i="18"/>
  <c r="J81" i="18"/>
  <c r="I81" i="18"/>
  <c r="H81" i="18"/>
  <c r="G81" i="18"/>
  <c r="C81" i="18"/>
  <c r="B81" i="18"/>
  <c r="M80" i="18"/>
  <c r="L80" i="18"/>
  <c r="K80" i="18"/>
  <c r="J80" i="18"/>
  <c r="I80" i="18"/>
  <c r="H80" i="18"/>
  <c r="G80" i="18"/>
  <c r="C80" i="18"/>
  <c r="B80" i="18"/>
  <c r="M79" i="18"/>
  <c r="L79" i="18"/>
  <c r="K79" i="18"/>
  <c r="J79" i="18"/>
  <c r="I79" i="18"/>
  <c r="H79" i="18"/>
  <c r="G79" i="18"/>
  <c r="C79" i="18"/>
  <c r="B79" i="18"/>
  <c r="M78" i="18"/>
  <c r="L78" i="18"/>
  <c r="K78" i="18"/>
  <c r="J78" i="18"/>
  <c r="I78" i="18"/>
  <c r="H78" i="18"/>
  <c r="G78" i="18"/>
  <c r="C78" i="18"/>
  <c r="B78" i="18"/>
  <c r="M77" i="18"/>
  <c r="L77" i="18"/>
  <c r="K77" i="18"/>
  <c r="J77" i="18"/>
  <c r="I77" i="18"/>
  <c r="H77" i="18"/>
  <c r="G77" i="18"/>
  <c r="C77" i="18"/>
  <c r="B77" i="18"/>
  <c r="M76" i="18"/>
  <c r="L76" i="18"/>
  <c r="K76" i="18"/>
  <c r="J76" i="18"/>
  <c r="I76" i="18"/>
  <c r="H76" i="18"/>
  <c r="G76" i="18"/>
  <c r="C76" i="18"/>
  <c r="B76" i="18"/>
  <c r="M75" i="18"/>
  <c r="L75" i="18"/>
  <c r="K75" i="18"/>
  <c r="J75" i="18"/>
  <c r="I75" i="18"/>
  <c r="H75" i="18"/>
  <c r="G75" i="18"/>
  <c r="C75" i="18"/>
  <c r="B75" i="18"/>
  <c r="M74" i="18"/>
  <c r="L74" i="18"/>
  <c r="K74" i="18"/>
  <c r="J74" i="18"/>
  <c r="I74" i="18"/>
  <c r="H74" i="18"/>
  <c r="G74" i="18"/>
  <c r="C74" i="18"/>
  <c r="B74" i="18"/>
  <c r="M73" i="18"/>
  <c r="L73" i="18"/>
  <c r="K73" i="18"/>
  <c r="J73" i="18"/>
  <c r="I73" i="18"/>
  <c r="H73" i="18"/>
  <c r="G73" i="18"/>
  <c r="C73" i="18"/>
  <c r="B73" i="18"/>
  <c r="M72" i="18"/>
  <c r="L72" i="18"/>
  <c r="K72" i="18"/>
  <c r="J72" i="18"/>
  <c r="I72" i="18"/>
  <c r="H72" i="18"/>
  <c r="G72" i="18"/>
  <c r="C72" i="18"/>
  <c r="B72" i="18"/>
  <c r="M71" i="18"/>
  <c r="L71" i="18"/>
  <c r="K71" i="18"/>
  <c r="J71" i="18"/>
  <c r="I71" i="18"/>
  <c r="H71" i="18"/>
  <c r="G71" i="18"/>
  <c r="C71" i="18"/>
  <c r="B71" i="18"/>
  <c r="M70" i="18"/>
  <c r="L70" i="18"/>
  <c r="K70" i="18"/>
  <c r="J70" i="18"/>
  <c r="I70" i="18"/>
  <c r="H70" i="18"/>
  <c r="G70" i="18"/>
  <c r="C70" i="18"/>
  <c r="B70" i="18"/>
  <c r="M69" i="18"/>
  <c r="L69" i="18"/>
  <c r="K69" i="18"/>
  <c r="J69" i="18"/>
  <c r="I69" i="18"/>
  <c r="H69" i="18"/>
  <c r="G69" i="18"/>
  <c r="C69" i="18"/>
  <c r="B69" i="18"/>
  <c r="M68" i="18"/>
  <c r="L68" i="18"/>
  <c r="K68" i="18"/>
  <c r="J68" i="18"/>
  <c r="I68" i="18"/>
  <c r="H68" i="18"/>
  <c r="G68" i="18"/>
  <c r="C68" i="18"/>
  <c r="B68" i="18"/>
  <c r="M67" i="18"/>
  <c r="L67" i="18"/>
  <c r="K67" i="18"/>
  <c r="J67" i="18"/>
  <c r="I67" i="18"/>
  <c r="H67" i="18"/>
  <c r="G67" i="18"/>
  <c r="C67" i="18"/>
  <c r="B67" i="18"/>
  <c r="M66" i="18"/>
  <c r="L66" i="18"/>
  <c r="K66" i="18"/>
  <c r="J66" i="18"/>
  <c r="I66" i="18"/>
  <c r="H66" i="18"/>
  <c r="G66" i="18"/>
  <c r="C66" i="18"/>
  <c r="B66" i="18"/>
  <c r="M65" i="18"/>
  <c r="L65" i="18"/>
  <c r="K65" i="18"/>
  <c r="J65" i="18"/>
  <c r="I65" i="18"/>
  <c r="H65" i="18"/>
  <c r="G65" i="18"/>
  <c r="C65" i="18"/>
  <c r="B65" i="18"/>
  <c r="M64" i="18"/>
  <c r="L64" i="18"/>
  <c r="K64" i="18"/>
  <c r="J64" i="18"/>
  <c r="I64" i="18"/>
  <c r="H64" i="18"/>
  <c r="G64" i="18"/>
  <c r="C64" i="18"/>
  <c r="B64" i="18"/>
  <c r="M63" i="18"/>
  <c r="L63" i="18"/>
  <c r="K63" i="18"/>
  <c r="J63" i="18"/>
  <c r="I63" i="18"/>
  <c r="H63" i="18"/>
  <c r="G63" i="18"/>
  <c r="C63" i="18"/>
  <c r="B63" i="18"/>
  <c r="M62" i="18"/>
  <c r="L62" i="18"/>
  <c r="K62" i="18"/>
  <c r="J62" i="18"/>
  <c r="I62" i="18"/>
  <c r="H62" i="18"/>
  <c r="G62" i="18"/>
  <c r="C62" i="18"/>
  <c r="B62" i="18"/>
  <c r="M61" i="18"/>
  <c r="L61" i="18"/>
  <c r="K61" i="18"/>
  <c r="J61" i="18"/>
  <c r="I61" i="18"/>
  <c r="H61" i="18"/>
  <c r="G61" i="18"/>
  <c r="C61" i="18"/>
  <c r="B61" i="18"/>
  <c r="M60" i="18"/>
  <c r="L60" i="18"/>
  <c r="K60" i="18"/>
  <c r="J60" i="18"/>
  <c r="I60" i="18"/>
  <c r="H60" i="18"/>
  <c r="G60" i="18"/>
  <c r="C60" i="18"/>
  <c r="B60" i="18"/>
  <c r="M59" i="18"/>
  <c r="L59" i="18"/>
  <c r="K59" i="18"/>
  <c r="J59" i="18"/>
  <c r="I59" i="18"/>
  <c r="H59" i="18"/>
  <c r="G59" i="18"/>
  <c r="C59" i="18"/>
  <c r="B59" i="18"/>
  <c r="M58" i="18"/>
  <c r="L58" i="18"/>
  <c r="K58" i="18"/>
  <c r="J58" i="18"/>
  <c r="I58" i="18"/>
  <c r="H58" i="18"/>
  <c r="G58" i="18"/>
  <c r="C58" i="18"/>
  <c r="B58" i="18"/>
  <c r="M57" i="18"/>
  <c r="L57" i="18"/>
  <c r="K57" i="18"/>
  <c r="J57" i="18"/>
  <c r="I57" i="18"/>
  <c r="H57" i="18"/>
  <c r="G57" i="18"/>
  <c r="C57" i="18"/>
  <c r="B57" i="18"/>
  <c r="M56" i="18"/>
  <c r="L56" i="18"/>
  <c r="K56" i="18"/>
  <c r="J56" i="18"/>
  <c r="I56" i="18"/>
  <c r="H56" i="18"/>
  <c r="G56" i="18"/>
  <c r="C56" i="18"/>
  <c r="B56" i="18"/>
  <c r="M55" i="18"/>
  <c r="L55" i="18"/>
  <c r="K55" i="18"/>
  <c r="J55" i="18"/>
  <c r="I55" i="18"/>
  <c r="H55" i="18"/>
  <c r="G55" i="18"/>
  <c r="C55" i="18"/>
  <c r="B55" i="18"/>
  <c r="M54" i="18"/>
  <c r="L54" i="18"/>
  <c r="K54" i="18"/>
  <c r="J54" i="18"/>
  <c r="I54" i="18"/>
  <c r="H54" i="18"/>
  <c r="G54" i="18"/>
  <c r="C54" i="18"/>
  <c r="B54" i="18"/>
  <c r="M53" i="18"/>
  <c r="L53" i="18"/>
  <c r="K53" i="18"/>
  <c r="J53" i="18"/>
  <c r="I53" i="18"/>
  <c r="H53" i="18"/>
  <c r="G53" i="18"/>
  <c r="C53" i="18"/>
  <c r="B53" i="18"/>
  <c r="M52" i="18"/>
  <c r="L52" i="18"/>
  <c r="K52" i="18"/>
  <c r="J52" i="18"/>
  <c r="I52" i="18"/>
  <c r="H52" i="18"/>
  <c r="G52" i="18"/>
  <c r="C52" i="18"/>
  <c r="B52" i="18"/>
  <c r="M51" i="18"/>
  <c r="L51" i="18"/>
  <c r="K51" i="18"/>
  <c r="J51" i="18"/>
  <c r="I51" i="18"/>
  <c r="H51" i="18"/>
  <c r="G51" i="18"/>
  <c r="C51" i="18"/>
  <c r="B51" i="18"/>
  <c r="M50" i="18"/>
  <c r="L50" i="18"/>
  <c r="K50" i="18"/>
  <c r="J50" i="18"/>
  <c r="I50" i="18"/>
  <c r="H50" i="18"/>
  <c r="G50" i="18"/>
  <c r="C50" i="18"/>
  <c r="B50" i="18"/>
  <c r="M49" i="18"/>
  <c r="L49" i="18"/>
  <c r="K49" i="18"/>
  <c r="J49" i="18"/>
  <c r="I49" i="18"/>
  <c r="H49" i="18"/>
  <c r="G49" i="18"/>
  <c r="C49" i="18"/>
  <c r="B49" i="18"/>
  <c r="M48" i="18"/>
  <c r="L48" i="18"/>
  <c r="K48" i="18"/>
  <c r="J48" i="18"/>
  <c r="I48" i="18"/>
  <c r="H48" i="18"/>
  <c r="G48" i="18"/>
  <c r="C48" i="18"/>
  <c r="B48" i="18"/>
  <c r="M47" i="18"/>
  <c r="L47" i="18"/>
  <c r="K47" i="18"/>
  <c r="J47" i="18"/>
  <c r="I47" i="18"/>
  <c r="H47" i="18"/>
  <c r="G47" i="18"/>
  <c r="C47" i="18"/>
  <c r="B47" i="18"/>
  <c r="M46" i="18"/>
  <c r="L46" i="18"/>
  <c r="K46" i="18"/>
  <c r="J46" i="18"/>
  <c r="I46" i="18"/>
  <c r="H46" i="18"/>
  <c r="G46" i="18"/>
  <c r="C46" i="18"/>
  <c r="B46" i="18"/>
  <c r="M45" i="18"/>
  <c r="L45" i="18"/>
  <c r="K45" i="18"/>
  <c r="J45" i="18"/>
  <c r="I45" i="18"/>
  <c r="H45" i="18"/>
  <c r="G45" i="18"/>
  <c r="C45" i="18"/>
  <c r="B45" i="18"/>
  <c r="M44" i="18"/>
  <c r="L44" i="18"/>
  <c r="K44" i="18"/>
  <c r="J44" i="18"/>
  <c r="I44" i="18"/>
  <c r="H44" i="18"/>
  <c r="G44" i="18"/>
  <c r="C44" i="18"/>
  <c r="B44" i="18"/>
  <c r="M43" i="18"/>
  <c r="L43" i="18"/>
  <c r="K43" i="18"/>
  <c r="J43" i="18"/>
  <c r="I43" i="18"/>
  <c r="H43" i="18"/>
  <c r="G43" i="18"/>
  <c r="C43" i="18"/>
  <c r="B43" i="18"/>
  <c r="M42" i="18"/>
  <c r="L42" i="18"/>
  <c r="K42" i="18"/>
  <c r="J42" i="18"/>
  <c r="I42" i="18"/>
  <c r="H42" i="18"/>
  <c r="G42" i="18"/>
  <c r="C42" i="18"/>
  <c r="B42" i="18"/>
  <c r="M41" i="18"/>
  <c r="L41" i="18"/>
  <c r="K41" i="18"/>
  <c r="J41" i="18"/>
  <c r="I41" i="18"/>
  <c r="H41" i="18"/>
  <c r="G41" i="18"/>
  <c r="C41" i="18"/>
  <c r="B41" i="18"/>
  <c r="M40" i="18"/>
  <c r="L40" i="18"/>
  <c r="K40" i="18"/>
  <c r="J40" i="18"/>
  <c r="I40" i="18"/>
  <c r="H40" i="18"/>
  <c r="G40" i="18"/>
  <c r="C40" i="18"/>
  <c r="B40" i="18"/>
  <c r="M39" i="18"/>
  <c r="L39" i="18"/>
  <c r="K39" i="18"/>
  <c r="J39" i="18"/>
  <c r="I39" i="18"/>
  <c r="H39" i="18"/>
  <c r="G39" i="18"/>
  <c r="C39" i="18"/>
  <c r="B39" i="18"/>
  <c r="M38" i="18"/>
  <c r="L38" i="18"/>
  <c r="K38" i="18"/>
  <c r="J38" i="18"/>
  <c r="I38" i="18"/>
  <c r="H38" i="18"/>
  <c r="G38" i="18"/>
  <c r="C38" i="18"/>
  <c r="B38" i="18"/>
  <c r="M37" i="18"/>
  <c r="L37" i="18"/>
  <c r="K37" i="18"/>
  <c r="J37" i="18"/>
  <c r="I37" i="18"/>
  <c r="H37" i="18"/>
  <c r="G37" i="18"/>
  <c r="C37" i="18"/>
  <c r="B37" i="18"/>
  <c r="M36" i="18"/>
  <c r="L36" i="18"/>
  <c r="K36" i="18"/>
  <c r="J36" i="18"/>
  <c r="I36" i="18"/>
  <c r="H36" i="18"/>
  <c r="G36" i="18"/>
  <c r="C36" i="18"/>
  <c r="B36" i="18"/>
  <c r="M35" i="18"/>
  <c r="L35" i="18"/>
  <c r="K35" i="18"/>
  <c r="J35" i="18"/>
  <c r="I35" i="18"/>
  <c r="H35" i="18"/>
  <c r="G35" i="18"/>
  <c r="C35" i="18"/>
  <c r="B35" i="18"/>
  <c r="M34" i="18"/>
  <c r="L34" i="18"/>
  <c r="K34" i="18"/>
  <c r="J34" i="18"/>
  <c r="I34" i="18"/>
  <c r="H34" i="18"/>
  <c r="G34" i="18"/>
  <c r="C34" i="18"/>
  <c r="B34" i="18"/>
  <c r="M33" i="18"/>
  <c r="L33" i="18"/>
  <c r="K33" i="18"/>
  <c r="J33" i="18"/>
  <c r="I33" i="18"/>
  <c r="H33" i="18"/>
  <c r="G33" i="18"/>
  <c r="C33" i="18"/>
  <c r="B33" i="18"/>
  <c r="M32" i="18"/>
  <c r="L32" i="18"/>
  <c r="K32" i="18"/>
  <c r="J32" i="18"/>
  <c r="I32" i="18"/>
  <c r="H32" i="18"/>
  <c r="G32" i="18"/>
  <c r="C32" i="18"/>
  <c r="B32" i="18"/>
  <c r="M31" i="18"/>
  <c r="L31" i="18"/>
  <c r="K31" i="18"/>
  <c r="J31" i="18"/>
  <c r="I31" i="18"/>
  <c r="H31" i="18"/>
  <c r="G31" i="18"/>
  <c r="C31" i="18"/>
  <c r="B31" i="18"/>
  <c r="M30" i="18"/>
  <c r="L30" i="18"/>
  <c r="K30" i="18"/>
  <c r="J30" i="18"/>
  <c r="I30" i="18"/>
  <c r="H30" i="18"/>
  <c r="G30" i="18"/>
  <c r="C30" i="18"/>
  <c r="B30" i="18"/>
  <c r="M29" i="18"/>
  <c r="L29" i="18"/>
  <c r="K29" i="18"/>
  <c r="J29" i="18"/>
  <c r="I29" i="18"/>
  <c r="H29" i="18"/>
  <c r="G29" i="18"/>
  <c r="C29" i="18"/>
  <c r="B29" i="18"/>
  <c r="M28" i="18"/>
  <c r="L28" i="18"/>
  <c r="K28" i="18"/>
  <c r="J28" i="18"/>
  <c r="I28" i="18"/>
  <c r="H28" i="18"/>
  <c r="G28" i="18"/>
  <c r="C28" i="18"/>
  <c r="B28" i="18"/>
  <c r="M27" i="18"/>
  <c r="L27" i="18"/>
  <c r="K27" i="18"/>
  <c r="J27" i="18"/>
  <c r="I27" i="18"/>
  <c r="H27" i="18"/>
  <c r="G27" i="18"/>
  <c r="C27" i="18"/>
  <c r="B27" i="18"/>
  <c r="M26" i="18"/>
  <c r="L26" i="18"/>
  <c r="K26" i="18"/>
  <c r="J26" i="18"/>
  <c r="I26" i="18"/>
  <c r="H26" i="18"/>
  <c r="G26" i="18"/>
  <c r="C26" i="18"/>
  <c r="B26" i="18"/>
  <c r="M25" i="18"/>
  <c r="L25" i="18"/>
  <c r="K25" i="18"/>
  <c r="J25" i="18"/>
  <c r="I25" i="18"/>
  <c r="H25" i="18"/>
  <c r="G25" i="18"/>
  <c r="C25" i="18"/>
  <c r="B25" i="18"/>
  <c r="M24" i="18"/>
  <c r="L24" i="18"/>
  <c r="K24" i="18"/>
  <c r="J24" i="18"/>
  <c r="I24" i="18"/>
  <c r="H24" i="18"/>
  <c r="G24" i="18"/>
  <c r="C24" i="18"/>
  <c r="B24" i="18"/>
  <c r="M23" i="18"/>
  <c r="L23" i="18"/>
  <c r="K23" i="18"/>
  <c r="J23" i="18"/>
  <c r="I23" i="18"/>
  <c r="H23" i="18"/>
  <c r="G23" i="18"/>
  <c r="C23" i="18"/>
  <c r="B23" i="18"/>
  <c r="M22" i="18"/>
  <c r="L22" i="18"/>
  <c r="K22" i="18"/>
  <c r="J22" i="18"/>
  <c r="I22" i="18"/>
  <c r="H22" i="18"/>
  <c r="G22" i="18"/>
  <c r="C22" i="18"/>
  <c r="B22" i="18"/>
  <c r="M21" i="18"/>
  <c r="L21" i="18"/>
  <c r="K21" i="18"/>
  <c r="J21" i="18"/>
  <c r="I21" i="18"/>
  <c r="H21" i="18"/>
  <c r="G21" i="18"/>
  <c r="C21" i="18"/>
  <c r="B21" i="18"/>
  <c r="M20" i="18"/>
  <c r="L20" i="18"/>
  <c r="K20" i="18"/>
  <c r="J20" i="18"/>
  <c r="I20" i="18"/>
  <c r="H20" i="18"/>
  <c r="G20" i="18"/>
  <c r="C20" i="18"/>
  <c r="B20" i="18"/>
  <c r="M19" i="18"/>
  <c r="L19" i="18"/>
  <c r="K19" i="18"/>
  <c r="J19" i="18"/>
  <c r="I19" i="18"/>
  <c r="H19" i="18"/>
  <c r="G19" i="18"/>
  <c r="C19" i="18"/>
  <c r="B19" i="18"/>
  <c r="M18" i="18"/>
  <c r="L18" i="18"/>
  <c r="K18" i="18"/>
  <c r="J18" i="18"/>
  <c r="I18" i="18"/>
  <c r="H18" i="18"/>
  <c r="G18" i="18"/>
  <c r="C18" i="18"/>
  <c r="B18" i="18"/>
  <c r="M17" i="18"/>
  <c r="L17" i="18"/>
  <c r="K17" i="18"/>
  <c r="J17" i="18"/>
  <c r="I17" i="18"/>
  <c r="H17" i="18"/>
  <c r="G17" i="18"/>
  <c r="C17" i="18"/>
  <c r="B17" i="18"/>
  <c r="M16" i="18"/>
  <c r="L16" i="18"/>
  <c r="K16" i="18"/>
  <c r="J16" i="18"/>
  <c r="I16" i="18"/>
  <c r="H16" i="18"/>
  <c r="G16" i="18"/>
  <c r="C16" i="18"/>
  <c r="B16" i="18"/>
  <c r="M15" i="18"/>
  <c r="L15" i="18"/>
  <c r="K15" i="18"/>
  <c r="J15" i="18"/>
  <c r="I15" i="18"/>
  <c r="H15" i="18"/>
  <c r="G15" i="18"/>
  <c r="C15" i="18"/>
  <c r="B15" i="18"/>
  <c r="M14" i="18"/>
  <c r="L14" i="18"/>
  <c r="K14" i="18"/>
  <c r="J14" i="18"/>
  <c r="I14" i="18"/>
  <c r="H14" i="18"/>
  <c r="G14" i="18"/>
  <c r="C14" i="18"/>
  <c r="B14" i="18"/>
  <c r="M13" i="18"/>
  <c r="L13" i="18"/>
  <c r="K13" i="18"/>
  <c r="J13" i="18"/>
  <c r="I13" i="18"/>
  <c r="H13" i="18"/>
  <c r="G13" i="18"/>
  <c r="C13" i="18"/>
  <c r="B13" i="18"/>
  <c r="M12" i="18"/>
  <c r="L12" i="18"/>
  <c r="K12" i="18"/>
  <c r="J12" i="18"/>
  <c r="I12" i="18"/>
  <c r="H12" i="18"/>
  <c r="G12" i="18"/>
  <c r="C12" i="18"/>
  <c r="B12" i="18"/>
  <c r="M11" i="18"/>
  <c r="L11" i="18"/>
  <c r="K11" i="18"/>
  <c r="J11" i="18"/>
  <c r="I11" i="18"/>
  <c r="H11" i="18"/>
  <c r="G11" i="18"/>
  <c r="C11" i="18"/>
  <c r="B11" i="18"/>
  <c r="M10" i="18"/>
  <c r="L10" i="18"/>
  <c r="K10" i="18"/>
  <c r="J10" i="18"/>
  <c r="I10" i="18"/>
  <c r="H10" i="18"/>
  <c r="G10" i="18"/>
  <c r="C10" i="18"/>
  <c r="B10" i="18"/>
  <c r="M9" i="18"/>
  <c r="L9" i="18"/>
  <c r="K9" i="18"/>
  <c r="J9" i="18"/>
  <c r="I9" i="18"/>
  <c r="H9" i="18"/>
  <c r="G9" i="18"/>
  <c r="C9" i="18"/>
  <c r="B9" i="18"/>
  <c r="M8" i="18"/>
  <c r="L8" i="18"/>
  <c r="K8" i="18"/>
  <c r="J8" i="18"/>
  <c r="I8" i="18"/>
  <c r="H8" i="18"/>
  <c r="G8" i="18"/>
  <c r="C8" i="18"/>
  <c r="B8" i="18"/>
  <c r="M7" i="18"/>
  <c r="L7" i="18"/>
  <c r="K7" i="18"/>
  <c r="J7" i="18"/>
  <c r="I7" i="18"/>
  <c r="H7" i="18"/>
  <c r="G7" i="18"/>
  <c r="C7" i="18"/>
  <c r="B7" i="18"/>
  <c r="M6" i="18"/>
  <c r="L6" i="18"/>
  <c r="K6" i="18"/>
  <c r="J6" i="18"/>
  <c r="I6" i="18"/>
  <c r="H6" i="18"/>
  <c r="G6" i="18"/>
  <c r="C6" i="18"/>
  <c r="B6" i="18"/>
  <c r="M5" i="18"/>
  <c r="L5" i="18"/>
  <c r="K5" i="18"/>
  <c r="J5" i="18"/>
  <c r="I5" i="18"/>
  <c r="H5" i="18"/>
  <c r="G5" i="18"/>
  <c r="C5" i="18"/>
  <c r="B5" i="18"/>
  <c r="M4" i="18"/>
  <c r="L4" i="18"/>
  <c r="K4" i="18"/>
  <c r="J4" i="18"/>
  <c r="I4" i="18"/>
  <c r="H4" i="18"/>
  <c r="G4" i="18"/>
  <c r="C4" i="18"/>
  <c r="B4" i="18"/>
  <c r="M3" i="18"/>
  <c r="L3" i="18"/>
  <c r="K3" i="18"/>
  <c r="J3" i="18"/>
  <c r="I3" i="18"/>
  <c r="H3" i="18"/>
  <c r="G3" i="18"/>
  <c r="C3" i="18"/>
  <c r="B3" i="18"/>
  <c r="E184" i="2"/>
  <c r="D184" i="2"/>
  <c r="C184" i="2"/>
  <c r="B184" i="2"/>
  <c r="E183" i="2"/>
  <c r="D183" i="2"/>
  <c r="C183" i="2"/>
  <c r="B183" i="2"/>
  <c r="E180" i="2"/>
  <c r="D180" i="2"/>
  <c r="C180" i="2"/>
  <c r="B180" i="2"/>
  <c r="E179" i="2"/>
  <c r="D179" i="2"/>
  <c r="C179" i="2"/>
  <c r="B179" i="2"/>
  <c r="C164" i="2"/>
  <c r="B164" i="2"/>
  <c r="I160" i="2"/>
  <c r="H160" i="2"/>
  <c r="G160" i="2"/>
  <c r="F160" i="2"/>
  <c r="E160" i="2"/>
  <c r="D160" i="2"/>
  <c r="C160" i="2"/>
  <c r="B160" i="2"/>
  <c r="H159" i="2"/>
  <c r="G159" i="2"/>
  <c r="F159" i="2"/>
  <c r="E159" i="2"/>
  <c r="D159" i="2"/>
  <c r="C159" i="2"/>
  <c r="B159" i="2"/>
  <c r="C156" i="2"/>
  <c r="B156" i="2"/>
  <c r="C152" i="2"/>
  <c r="B152" i="2"/>
  <c r="C144" i="2"/>
  <c r="B144" i="2"/>
  <c r="C140" i="2"/>
  <c r="B140" i="2"/>
  <c r="C136" i="2"/>
  <c r="B136" i="2"/>
  <c r="C132" i="2"/>
  <c r="B132" i="2"/>
  <c r="C128" i="2"/>
  <c r="B128" i="2"/>
  <c r="C124" i="2"/>
  <c r="B124" i="2"/>
  <c r="C120" i="2"/>
  <c r="B120" i="2"/>
  <c r="D115" i="2"/>
  <c r="C115" i="2"/>
  <c r="D114" i="2"/>
  <c r="C114" i="2"/>
  <c r="I110" i="2"/>
  <c r="H110" i="2"/>
  <c r="G110" i="2"/>
  <c r="F110" i="2"/>
  <c r="E110" i="2"/>
  <c r="D110" i="2"/>
  <c r="C110" i="2"/>
  <c r="B110" i="2"/>
  <c r="H109" i="2"/>
  <c r="G109" i="2"/>
  <c r="F109" i="2"/>
  <c r="E109" i="2"/>
  <c r="D109" i="2"/>
  <c r="C109" i="2"/>
  <c r="B109" i="2"/>
  <c r="AL105" i="2"/>
  <c r="AK105" i="2"/>
  <c r="AJ105" i="2"/>
  <c r="AI105" i="2"/>
  <c r="AH105" i="2"/>
  <c r="AG105" i="2"/>
  <c r="AF105" i="2"/>
  <c r="AE105" i="2"/>
  <c r="AL104" i="2"/>
  <c r="AK104" i="2"/>
  <c r="AJ104" i="2"/>
  <c r="AI104" i="2"/>
  <c r="AH104" i="2"/>
  <c r="AG104" i="2"/>
  <c r="AF104" i="2"/>
  <c r="AE104" i="2"/>
  <c r="AL103" i="2"/>
  <c r="AK103" i="2"/>
  <c r="AJ103" i="2"/>
  <c r="AI103" i="2"/>
  <c r="AH103" i="2"/>
  <c r="AG103" i="2"/>
  <c r="AF103" i="2"/>
  <c r="AE103" i="2"/>
  <c r="I103" i="2"/>
  <c r="H103" i="2"/>
  <c r="F103" i="2"/>
  <c r="AL102" i="2"/>
  <c r="AK102" i="2"/>
  <c r="AJ102" i="2"/>
  <c r="AI102" i="2"/>
  <c r="AH102" i="2"/>
  <c r="AG102" i="2"/>
  <c r="AF102" i="2"/>
  <c r="AE102" i="2"/>
  <c r="P102" i="2"/>
  <c r="N102" i="2"/>
  <c r="M102" i="2"/>
  <c r="K102" i="2"/>
  <c r="H102" i="2"/>
  <c r="F102" i="2"/>
  <c r="AL101" i="2"/>
  <c r="AK101" i="2"/>
  <c r="AJ101" i="2"/>
  <c r="AI101" i="2"/>
  <c r="AH101" i="2"/>
  <c r="AG101" i="2"/>
  <c r="AF101" i="2"/>
  <c r="AE101" i="2"/>
  <c r="I101" i="2"/>
  <c r="H101" i="2"/>
  <c r="F101" i="2"/>
  <c r="AL100" i="2"/>
  <c r="AK100" i="2"/>
  <c r="AJ100" i="2"/>
  <c r="AI100" i="2"/>
  <c r="AH100" i="2"/>
  <c r="AG100" i="2"/>
  <c r="AF100" i="2"/>
  <c r="AE100" i="2"/>
  <c r="I100" i="2"/>
  <c r="H100" i="2"/>
  <c r="F100" i="2"/>
  <c r="AL99" i="2"/>
  <c r="AK99" i="2"/>
  <c r="AJ99" i="2"/>
  <c r="AI99" i="2"/>
  <c r="AH99" i="2"/>
  <c r="AG99" i="2"/>
  <c r="AF99" i="2"/>
  <c r="AE99" i="2"/>
  <c r="I99" i="2"/>
  <c r="H99" i="2"/>
  <c r="F99" i="2"/>
  <c r="AL98" i="2"/>
  <c r="AK98" i="2"/>
  <c r="AJ98" i="2"/>
  <c r="AI98" i="2"/>
  <c r="AH98" i="2"/>
  <c r="AG98" i="2"/>
  <c r="AF98" i="2"/>
  <c r="AE98" i="2"/>
  <c r="I98" i="2"/>
  <c r="H98" i="2"/>
  <c r="F98" i="2"/>
  <c r="AL97" i="2"/>
  <c r="AK97" i="2"/>
  <c r="AJ97" i="2"/>
  <c r="AI97" i="2"/>
  <c r="AH97" i="2"/>
  <c r="AG97" i="2"/>
  <c r="AF97" i="2"/>
  <c r="AE97" i="2"/>
  <c r="I97" i="2"/>
  <c r="H97" i="2"/>
  <c r="F97" i="2"/>
  <c r="AL96" i="2"/>
  <c r="AK96" i="2"/>
  <c r="AJ96" i="2"/>
  <c r="AI96" i="2"/>
  <c r="AH96" i="2"/>
  <c r="AG96" i="2"/>
  <c r="AF96" i="2"/>
  <c r="AE96" i="2"/>
  <c r="I96" i="2"/>
  <c r="H96" i="2"/>
  <c r="AL95" i="2"/>
  <c r="AK95" i="2"/>
  <c r="AJ95" i="2"/>
  <c r="AI95" i="2"/>
  <c r="AH95" i="2"/>
  <c r="AG95" i="2"/>
  <c r="AF95" i="2"/>
  <c r="AE95" i="2"/>
  <c r="I95" i="2"/>
  <c r="H95" i="2"/>
  <c r="AL94" i="2"/>
  <c r="AK94" i="2"/>
  <c r="AJ94" i="2"/>
  <c r="AI94" i="2"/>
  <c r="AH94" i="2"/>
  <c r="AG94" i="2"/>
  <c r="AF94" i="2"/>
  <c r="AE94" i="2"/>
  <c r="I94" i="2"/>
  <c r="H94" i="2"/>
  <c r="AL93" i="2"/>
  <c r="AK93" i="2"/>
  <c r="AJ93" i="2"/>
  <c r="AI93" i="2"/>
  <c r="AH93" i="2"/>
  <c r="AG93" i="2"/>
  <c r="AF93" i="2"/>
  <c r="AE93" i="2"/>
  <c r="I93" i="2"/>
  <c r="H93" i="2"/>
  <c r="F93" i="2"/>
  <c r="AL92" i="2"/>
  <c r="AK92" i="2"/>
  <c r="AJ92" i="2"/>
  <c r="AI92" i="2"/>
  <c r="AH92" i="2"/>
  <c r="AG92" i="2"/>
  <c r="AF92" i="2"/>
  <c r="AE92" i="2"/>
  <c r="I92" i="2"/>
  <c r="H92" i="2"/>
  <c r="F92" i="2"/>
  <c r="AL91" i="2"/>
  <c r="AK91" i="2"/>
  <c r="AJ91" i="2"/>
  <c r="AI91" i="2"/>
  <c r="AH91" i="2"/>
  <c r="AG91" i="2"/>
  <c r="AF91" i="2"/>
  <c r="AE91" i="2"/>
  <c r="I91" i="2"/>
  <c r="H91" i="2"/>
  <c r="F91" i="2"/>
  <c r="AL90" i="2"/>
  <c r="AK90" i="2"/>
  <c r="AJ90" i="2"/>
  <c r="AI90" i="2"/>
  <c r="AH90" i="2"/>
  <c r="AG90" i="2"/>
  <c r="AF90" i="2"/>
  <c r="AE90" i="2"/>
  <c r="I90" i="2"/>
  <c r="H90" i="2"/>
  <c r="F90" i="2"/>
  <c r="AL89" i="2"/>
  <c r="AK89" i="2"/>
  <c r="AJ89" i="2"/>
  <c r="AI89" i="2"/>
  <c r="AH89" i="2"/>
  <c r="AG89" i="2"/>
  <c r="AF89" i="2"/>
  <c r="AE89" i="2"/>
  <c r="H89" i="2"/>
  <c r="F89" i="2"/>
  <c r="AL88" i="2"/>
  <c r="AK88" i="2"/>
  <c r="AJ88" i="2"/>
  <c r="AI88" i="2"/>
  <c r="AH88" i="2"/>
  <c r="AG88" i="2"/>
  <c r="AF88" i="2"/>
  <c r="AE88" i="2"/>
  <c r="I88" i="2"/>
  <c r="H88" i="2"/>
  <c r="F88" i="2"/>
  <c r="AL87" i="2"/>
  <c r="AK87" i="2"/>
  <c r="AJ87" i="2"/>
  <c r="AI87" i="2"/>
  <c r="AH87" i="2"/>
  <c r="AG87" i="2"/>
  <c r="AF87" i="2"/>
  <c r="AE87" i="2"/>
  <c r="I87" i="2"/>
  <c r="H87" i="2"/>
  <c r="F87" i="2"/>
  <c r="AL86" i="2"/>
  <c r="AK86" i="2"/>
  <c r="AJ86" i="2"/>
  <c r="AI86" i="2"/>
  <c r="AH86" i="2"/>
  <c r="AG86" i="2"/>
  <c r="AF86" i="2"/>
  <c r="AE86" i="2"/>
  <c r="I86" i="2"/>
  <c r="H86" i="2"/>
  <c r="AL85" i="2"/>
  <c r="AK85" i="2"/>
  <c r="AJ85" i="2"/>
  <c r="AI85" i="2"/>
  <c r="AH85" i="2"/>
  <c r="AG85" i="2"/>
  <c r="AF85" i="2"/>
  <c r="AE85" i="2"/>
  <c r="H85" i="2"/>
  <c r="AL84" i="2"/>
  <c r="AK84" i="2"/>
  <c r="AJ84" i="2"/>
  <c r="AI84" i="2"/>
  <c r="AH84" i="2"/>
  <c r="AG84" i="2"/>
  <c r="AF84" i="2"/>
  <c r="AE84" i="2"/>
  <c r="H84" i="2"/>
  <c r="AL83" i="2"/>
  <c r="AK83" i="2"/>
  <c r="AJ83" i="2"/>
  <c r="AI83" i="2"/>
  <c r="AH83" i="2"/>
  <c r="AG83" i="2"/>
  <c r="AF83" i="2"/>
  <c r="AE83" i="2"/>
  <c r="H83" i="2"/>
  <c r="F83" i="2"/>
  <c r="AL82" i="2"/>
  <c r="AK82" i="2"/>
  <c r="AJ82" i="2"/>
  <c r="AI82" i="2"/>
  <c r="AH82" i="2"/>
  <c r="AG82" i="2"/>
  <c r="AF82" i="2"/>
  <c r="AE82" i="2"/>
  <c r="H82" i="2"/>
  <c r="F82" i="2"/>
  <c r="AL81" i="2"/>
  <c r="AK81" i="2"/>
  <c r="AJ81" i="2"/>
  <c r="AI81" i="2"/>
  <c r="AH81" i="2"/>
  <c r="AG81" i="2"/>
  <c r="AF81" i="2"/>
  <c r="AE81" i="2"/>
  <c r="I81" i="2"/>
  <c r="H81" i="2"/>
  <c r="AL80" i="2"/>
  <c r="AK80" i="2"/>
  <c r="AJ80" i="2"/>
  <c r="AI80" i="2"/>
  <c r="AH80" i="2"/>
  <c r="AG80" i="2"/>
  <c r="AF80" i="2"/>
  <c r="AE80" i="2"/>
  <c r="I80" i="2"/>
  <c r="H80" i="2"/>
  <c r="AL79" i="2"/>
  <c r="AK79" i="2"/>
  <c r="AJ79" i="2"/>
  <c r="AI79" i="2"/>
  <c r="AH79" i="2"/>
  <c r="AG79" i="2"/>
  <c r="AF79" i="2"/>
  <c r="AE79" i="2"/>
  <c r="I79" i="2"/>
  <c r="H79" i="2"/>
  <c r="AL78" i="2"/>
  <c r="AK78" i="2"/>
  <c r="AJ78" i="2"/>
  <c r="AI78" i="2"/>
  <c r="AH78" i="2"/>
  <c r="AG78" i="2"/>
  <c r="AF78" i="2"/>
  <c r="AE78" i="2"/>
  <c r="H78" i="2"/>
  <c r="F78" i="2"/>
  <c r="AL77" i="2"/>
  <c r="AK77" i="2"/>
  <c r="AJ77" i="2"/>
  <c r="AI77" i="2"/>
  <c r="AH77" i="2"/>
  <c r="AG77" i="2"/>
  <c r="AF77" i="2"/>
  <c r="AE77" i="2"/>
  <c r="H77" i="2"/>
  <c r="F77" i="2"/>
  <c r="AL76" i="2"/>
  <c r="AK76" i="2"/>
  <c r="AJ76" i="2"/>
  <c r="AI76" i="2"/>
  <c r="AH76" i="2"/>
  <c r="AG76" i="2"/>
  <c r="AF76" i="2"/>
  <c r="AE76" i="2"/>
  <c r="H76" i="2"/>
  <c r="F76" i="2"/>
  <c r="AL75" i="2"/>
  <c r="AK75" i="2"/>
  <c r="AJ75" i="2"/>
  <c r="AI75" i="2"/>
  <c r="AH75" i="2"/>
  <c r="AG75" i="2"/>
  <c r="AF75" i="2"/>
  <c r="AE75" i="2"/>
  <c r="H75" i="2"/>
  <c r="F75" i="2"/>
  <c r="AL74" i="2"/>
  <c r="AK74" i="2"/>
  <c r="AJ74" i="2"/>
  <c r="AI74" i="2"/>
  <c r="AH74" i="2"/>
  <c r="AG74" i="2"/>
  <c r="AF74" i="2"/>
  <c r="AE74" i="2"/>
  <c r="H74" i="2"/>
  <c r="F74" i="2"/>
  <c r="AL73" i="2"/>
  <c r="AK73" i="2"/>
  <c r="AJ73" i="2"/>
  <c r="AI73" i="2"/>
  <c r="AH73" i="2"/>
  <c r="AG73" i="2"/>
  <c r="AF73" i="2"/>
  <c r="AE73" i="2"/>
  <c r="H73" i="2"/>
  <c r="F73" i="2"/>
  <c r="AL72" i="2"/>
  <c r="AK72" i="2"/>
  <c r="AJ72" i="2"/>
  <c r="AI72" i="2"/>
  <c r="AH72" i="2"/>
  <c r="AG72" i="2"/>
  <c r="AF72" i="2"/>
  <c r="AE72" i="2"/>
  <c r="H72" i="2"/>
  <c r="F72" i="2"/>
  <c r="AL71" i="2"/>
  <c r="AK71" i="2"/>
  <c r="AJ71" i="2"/>
  <c r="AI71" i="2"/>
  <c r="AH71" i="2"/>
  <c r="AG71" i="2"/>
  <c r="AF71" i="2"/>
  <c r="AE71" i="2"/>
  <c r="H71" i="2"/>
  <c r="F71" i="2"/>
  <c r="AL70" i="2"/>
  <c r="AK70" i="2"/>
  <c r="AJ70" i="2"/>
  <c r="AI70" i="2"/>
  <c r="AH70" i="2"/>
  <c r="AG70" i="2"/>
  <c r="AF70" i="2"/>
  <c r="AE70" i="2"/>
  <c r="H70" i="2"/>
  <c r="F70" i="2"/>
  <c r="AL69" i="2"/>
  <c r="AK69" i="2"/>
  <c r="AJ69" i="2"/>
  <c r="AI69" i="2"/>
  <c r="AH69" i="2"/>
  <c r="AG69" i="2"/>
  <c r="AF69" i="2"/>
  <c r="AE69" i="2"/>
  <c r="H69" i="2"/>
  <c r="F69" i="2"/>
  <c r="AL68" i="2"/>
  <c r="AK68" i="2"/>
  <c r="AJ68" i="2"/>
  <c r="AI68" i="2"/>
  <c r="AH68" i="2"/>
  <c r="AG68" i="2"/>
  <c r="AF68" i="2"/>
  <c r="AE68" i="2"/>
  <c r="H68" i="2"/>
  <c r="F68" i="2"/>
  <c r="AL67" i="2"/>
  <c r="AK67" i="2"/>
  <c r="AJ67" i="2"/>
  <c r="AI67" i="2"/>
  <c r="AH67" i="2"/>
  <c r="AG67" i="2"/>
  <c r="AF67" i="2"/>
  <c r="AE67" i="2"/>
  <c r="H67" i="2"/>
  <c r="F67" i="2"/>
  <c r="AL66" i="2"/>
  <c r="AK66" i="2"/>
  <c r="AJ66" i="2"/>
  <c r="AI66" i="2"/>
  <c r="AH66" i="2"/>
  <c r="AG66" i="2"/>
  <c r="AF66" i="2"/>
  <c r="AE66" i="2"/>
  <c r="H66" i="2"/>
  <c r="F66" i="2"/>
  <c r="AL65" i="2"/>
  <c r="AK65" i="2"/>
  <c r="AJ65" i="2"/>
  <c r="AI65" i="2"/>
  <c r="AH65" i="2"/>
  <c r="AG65" i="2"/>
  <c r="AF65" i="2"/>
  <c r="AE65" i="2"/>
  <c r="H65" i="2"/>
  <c r="F65" i="2"/>
  <c r="AL64" i="2"/>
  <c r="AK64" i="2"/>
  <c r="AJ64" i="2"/>
  <c r="AI64" i="2"/>
  <c r="AH64" i="2"/>
  <c r="AG64" i="2"/>
  <c r="AF64" i="2"/>
  <c r="AE64" i="2"/>
  <c r="H64" i="2"/>
  <c r="F64" i="2"/>
  <c r="AL63" i="2"/>
  <c r="AK63" i="2"/>
  <c r="AJ63" i="2"/>
  <c r="AI63" i="2"/>
  <c r="AH63" i="2"/>
  <c r="AG63" i="2"/>
  <c r="AF63" i="2"/>
  <c r="AE63" i="2"/>
  <c r="H63" i="2"/>
  <c r="F63" i="2"/>
  <c r="AL62" i="2"/>
  <c r="AK62" i="2"/>
  <c r="AJ62" i="2"/>
  <c r="AI62" i="2"/>
  <c r="AH62" i="2"/>
  <c r="AG62" i="2"/>
  <c r="AF62" i="2"/>
  <c r="AE62" i="2"/>
  <c r="H62" i="2"/>
  <c r="F62" i="2"/>
  <c r="AL61" i="2"/>
  <c r="AK61" i="2"/>
  <c r="AJ61" i="2"/>
  <c r="AI61" i="2"/>
  <c r="AH61" i="2"/>
  <c r="AG61" i="2"/>
  <c r="AF61" i="2"/>
  <c r="AE61" i="2"/>
  <c r="H61" i="2"/>
  <c r="F61" i="2"/>
  <c r="AL60" i="2"/>
  <c r="AK60" i="2"/>
  <c r="AJ60" i="2"/>
  <c r="AI60" i="2"/>
  <c r="AH60" i="2"/>
  <c r="AG60" i="2"/>
  <c r="AF60" i="2"/>
  <c r="AE60" i="2"/>
  <c r="H60" i="2"/>
  <c r="F60" i="2"/>
  <c r="AL59" i="2"/>
  <c r="AK59" i="2"/>
  <c r="AJ59" i="2"/>
  <c r="AI59" i="2"/>
  <c r="AH59" i="2"/>
  <c r="AG59" i="2"/>
  <c r="AF59" i="2"/>
  <c r="AE59" i="2"/>
  <c r="H59" i="2"/>
  <c r="F59" i="2"/>
  <c r="AL58" i="2"/>
  <c r="AK58" i="2"/>
  <c r="AJ58" i="2"/>
  <c r="AI58" i="2"/>
  <c r="AH58" i="2"/>
  <c r="AG58" i="2"/>
  <c r="AF58" i="2"/>
  <c r="AE58" i="2"/>
  <c r="H58" i="2"/>
  <c r="F58" i="2"/>
  <c r="AL57" i="2"/>
  <c r="AK57" i="2"/>
  <c r="AJ57" i="2"/>
  <c r="AI57" i="2"/>
  <c r="AH57" i="2"/>
  <c r="AG57" i="2"/>
  <c r="AF57" i="2"/>
  <c r="AE57" i="2"/>
  <c r="H57" i="2"/>
  <c r="F57" i="2"/>
  <c r="AL56" i="2"/>
  <c r="AK56" i="2"/>
  <c r="AJ56" i="2"/>
  <c r="AI56" i="2"/>
  <c r="AH56" i="2"/>
  <c r="AG56" i="2"/>
  <c r="AF56" i="2"/>
  <c r="AE56" i="2"/>
  <c r="H56" i="2"/>
  <c r="F56" i="2"/>
  <c r="AL55" i="2"/>
  <c r="AK55" i="2"/>
  <c r="AJ55" i="2"/>
  <c r="AI55" i="2"/>
  <c r="AH55" i="2"/>
  <c r="AG55" i="2"/>
  <c r="AF55" i="2"/>
  <c r="AE55" i="2"/>
  <c r="H55" i="2"/>
  <c r="F55" i="2"/>
  <c r="AL54" i="2"/>
  <c r="AK54" i="2"/>
  <c r="AJ54" i="2"/>
  <c r="AI54" i="2"/>
  <c r="AH54" i="2"/>
  <c r="AG54" i="2"/>
  <c r="AF54" i="2"/>
  <c r="AE54" i="2"/>
  <c r="H54" i="2"/>
  <c r="AL53" i="2"/>
  <c r="AK53" i="2"/>
  <c r="AJ53" i="2"/>
  <c r="AI53" i="2"/>
  <c r="AH53" i="2"/>
  <c r="AG53" i="2"/>
  <c r="AF53" i="2"/>
  <c r="AE53" i="2"/>
  <c r="H53" i="2"/>
  <c r="AL52" i="2"/>
  <c r="AK52" i="2"/>
  <c r="AJ52" i="2"/>
  <c r="AI52" i="2"/>
  <c r="AH52" i="2"/>
  <c r="AG52" i="2"/>
  <c r="AF52" i="2"/>
  <c r="AE52" i="2"/>
  <c r="H52" i="2"/>
  <c r="F52" i="2"/>
  <c r="AL51" i="2"/>
  <c r="AK51" i="2"/>
  <c r="AJ51" i="2"/>
  <c r="AI51" i="2"/>
  <c r="AH51" i="2"/>
  <c r="AG51" i="2"/>
  <c r="AF51" i="2"/>
  <c r="AE51" i="2"/>
  <c r="H51" i="2"/>
  <c r="F51" i="2"/>
  <c r="AL50" i="2"/>
  <c r="AK50" i="2"/>
  <c r="AJ50" i="2"/>
  <c r="AI50" i="2"/>
  <c r="AH50" i="2"/>
  <c r="AG50" i="2"/>
  <c r="AF50" i="2"/>
  <c r="AE50" i="2"/>
  <c r="H50" i="2"/>
  <c r="AL49" i="2"/>
  <c r="AK49" i="2"/>
  <c r="AJ49" i="2"/>
  <c r="AI49" i="2"/>
  <c r="AH49" i="2"/>
  <c r="AG49" i="2"/>
  <c r="AF49" i="2"/>
  <c r="AE49" i="2"/>
  <c r="H49" i="2"/>
  <c r="F49" i="2"/>
  <c r="AL48" i="2"/>
  <c r="AK48" i="2"/>
  <c r="AJ48" i="2"/>
  <c r="AI48" i="2"/>
  <c r="AH48" i="2"/>
  <c r="AG48" i="2"/>
  <c r="AF48" i="2"/>
  <c r="AE48" i="2"/>
  <c r="H48" i="2"/>
  <c r="F48" i="2"/>
  <c r="AL47" i="2"/>
  <c r="AK47" i="2"/>
  <c r="AJ47" i="2"/>
  <c r="AI47" i="2"/>
  <c r="AH47" i="2"/>
  <c r="AG47" i="2"/>
  <c r="AF47" i="2"/>
  <c r="AE47" i="2"/>
  <c r="H47" i="2"/>
  <c r="F47" i="2"/>
  <c r="AL46" i="2"/>
  <c r="AK46" i="2"/>
  <c r="AJ46" i="2"/>
  <c r="AI46" i="2"/>
  <c r="AH46" i="2"/>
  <c r="AG46" i="2"/>
  <c r="AF46" i="2"/>
  <c r="AE46" i="2"/>
  <c r="H46" i="2"/>
  <c r="F46" i="2"/>
  <c r="AL45" i="2"/>
  <c r="AK45" i="2"/>
  <c r="AJ45" i="2"/>
  <c r="AI45" i="2"/>
  <c r="AH45" i="2"/>
  <c r="AG45" i="2"/>
  <c r="AF45" i="2"/>
  <c r="AE45" i="2"/>
  <c r="H45" i="2"/>
  <c r="F45" i="2"/>
  <c r="AL44" i="2"/>
  <c r="AK44" i="2"/>
  <c r="AJ44" i="2"/>
  <c r="AI44" i="2"/>
  <c r="AH44" i="2"/>
  <c r="AG44" i="2"/>
  <c r="AF44" i="2"/>
  <c r="AE44" i="2"/>
  <c r="H44" i="2"/>
  <c r="F44" i="2"/>
  <c r="AL43" i="2"/>
  <c r="AK43" i="2"/>
  <c r="AJ43" i="2"/>
  <c r="AI43" i="2"/>
  <c r="AH43" i="2"/>
  <c r="AG43" i="2"/>
  <c r="AF43" i="2"/>
  <c r="AE43" i="2"/>
  <c r="H43" i="2"/>
  <c r="F43" i="2"/>
  <c r="AL42" i="2"/>
  <c r="AK42" i="2"/>
  <c r="AJ42" i="2"/>
  <c r="AI42" i="2"/>
  <c r="AH42" i="2"/>
  <c r="AG42" i="2"/>
  <c r="AF42" i="2"/>
  <c r="AE42" i="2"/>
  <c r="H42" i="2"/>
  <c r="F42" i="2"/>
  <c r="AL41" i="2"/>
  <c r="AK41" i="2"/>
  <c r="AJ41" i="2"/>
  <c r="AI41" i="2"/>
  <c r="AH41" i="2"/>
  <c r="AG41" i="2"/>
  <c r="AF41" i="2"/>
  <c r="AE41" i="2"/>
  <c r="H41" i="2"/>
  <c r="F41" i="2"/>
  <c r="AL40" i="2"/>
  <c r="AK40" i="2"/>
  <c r="AJ40" i="2"/>
  <c r="AI40" i="2"/>
  <c r="AH40" i="2"/>
  <c r="AG40" i="2"/>
  <c r="AF40" i="2"/>
  <c r="AE40" i="2"/>
  <c r="H40" i="2"/>
  <c r="F40" i="2"/>
  <c r="AL39" i="2"/>
  <c r="AK39" i="2"/>
  <c r="AJ39" i="2"/>
  <c r="AI39" i="2"/>
  <c r="AH39" i="2"/>
  <c r="AG39" i="2"/>
  <c r="AF39" i="2"/>
  <c r="AE39" i="2"/>
  <c r="H39" i="2"/>
  <c r="F39" i="2"/>
  <c r="AL38" i="2"/>
  <c r="AK38" i="2"/>
  <c r="AJ38" i="2"/>
  <c r="AI38" i="2"/>
  <c r="AH38" i="2"/>
  <c r="AG38" i="2"/>
  <c r="AF38" i="2"/>
  <c r="AE38" i="2"/>
  <c r="H38" i="2"/>
  <c r="F38" i="2"/>
  <c r="AL37" i="2"/>
  <c r="AK37" i="2"/>
  <c r="AJ37" i="2"/>
  <c r="AI37" i="2"/>
  <c r="AH37" i="2"/>
  <c r="AG37" i="2"/>
  <c r="AF37" i="2"/>
  <c r="AE37" i="2"/>
  <c r="H37" i="2"/>
  <c r="F37" i="2"/>
  <c r="AL36" i="2"/>
  <c r="AK36" i="2"/>
  <c r="AJ36" i="2"/>
  <c r="AI36" i="2"/>
  <c r="AH36" i="2"/>
  <c r="AG36" i="2"/>
  <c r="AF36" i="2"/>
  <c r="AE36" i="2"/>
  <c r="H36" i="2"/>
  <c r="F36" i="2"/>
  <c r="AL35" i="2"/>
  <c r="AK35" i="2"/>
  <c r="AJ35" i="2"/>
  <c r="AI35" i="2"/>
  <c r="AH35" i="2"/>
  <c r="AG35" i="2"/>
  <c r="AF35" i="2"/>
  <c r="AE35" i="2"/>
  <c r="H35" i="2"/>
  <c r="F35" i="2"/>
  <c r="AL34" i="2"/>
  <c r="AK34" i="2"/>
  <c r="AJ34" i="2"/>
  <c r="AI34" i="2"/>
  <c r="AH34" i="2"/>
  <c r="AG34" i="2"/>
  <c r="AF34" i="2"/>
  <c r="AE34" i="2"/>
  <c r="H34" i="2"/>
  <c r="F34" i="2"/>
  <c r="AL33" i="2"/>
  <c r="AK33" i="2"/>
  <c r="AJ33" i="2"/>
  <c r="AI33" i="2"/>
  <c r="AH33" i="2"/>
  <c r="AG33" i="2"/>
  <c r="AF33" i="2"/>
  <c r="AE33" i="2"/>
  <c r="H33" i="2"/>
  <c r="F33" i="2"/>
  <c r="AL32" i="2"/>
  <c r="AK32" i="2"/>
  <c r="AJ32" i="2"/>
  <c r="AI32" i="2"/>
  <c r="AH32" i="2"/>
  <c r="AG32" i="2"/>
  <c r="AF32" i="2"/>
  <c r="AE32" i="2"/>
  <c r="H32" i="2"/>
  <c r="F32" i="2"/>
  <c r="AL31" i="2"/>
  <c r="AK31" i="2"/>
  <c r="AJ31" i="2"/>
  <c r="AI31" i="2"/>
  <c r="AH31" i="2"/>
  <c r="AG31" i="2"/>
  <c r="AF31" i="2"/>
  <c r="AE31" i="2"/>
  <c r="H31" i="2"/>
  <c r="AL30" i="2"/>
  <c r="AK30" i="2"/>
  <c r="AJ30" i="2"/>
  <c r="AI30" i="2"/>
  <c r="AH30" i="2"/>
  <c r="AG30" i="2"/>
  <c r="AF30" i="2"/>
  <c r="AE30" i="2"/>
  <c r="H30" i="2"/>
  <c r="AL29" i="2"/>
  <c r="AK29" i="2"/>
  <c r="AJ29" i="2"/>
  <c r="AI29" i="2"/>
  <c r="AH29" i="2"/>
  <c r="AG29" i="2"/>
  <c r="AF29" i="2"/>
  <c r="AE29" i="2"/>
  <c r="H29" i="2"/>
  <c r="AL28" i="2"/>
  <c r="AK28" i="2"/>
  <c r="AJ28" i="2"/>
  <c r="AI28" i="2"/>
  <c r="AH28" i="2"/>
  <c r="AG28" i="2"/>
  <c r="AF28" i="2"/>
  <c r="AE28" i="2"/>
  <c r="H28" i="2"/>
  <c r="AL27" i="2"/>
  <c r="AK27" i="2"/>
  <c r="AJ27" i="2"/>
  <c r="AI27" i="2"/>
  <c r="AH27" i="2"/>
  <c r="AG27" i="2"/>
  <c r="AF27" i="2"/>
  <c r="AE27" i="2"/>
  <c r="H27" i="2"/>
  <c r="F27" i="2"/>
  <c r="AL26" i="2"/>
  <c r="AK26" i="2"/>
  <c r="AJ26" i="2"/>
  <c r="AI26" i="2"/>
  <c r="AH26" i="2"/>
  <c r="AG26" i="2"/>
  <c r="AF26" i="2"/>
  <c r="AE26" i="2"/>
  <c r="H26" i="2"/>
  <c r="AL25" i="2"/>
  <c r="AK25" i="2"/>
  <c r="AJ25" i="2"/>
  <c r="AI25" i="2"/>
  <c r="AH25" i="2"/>
  <c r="AG25" i="2"/>
  <c r="AF25" i="2"/>
  <c r="AE25" i="2"/>
  <c r="H25" i="2"/>
  <c r="F25" i="2"/>
  <c r="AL24" i="2"/>
  <c r="AK24" i="2"/>
  <c r="AJ24" i="2"/>
  <c r="AI24" i="2"/>
  <c r="AH24" i="2"/>
  <c r="AG24" i="2"/>
  <c r="AF24" i="2"/>
  <c r="AE24" i="2"/>
  <c r="H24" i="2"/>
  <c r="F24" i="2"/>
  <c r="AL23" i="2"/>
  <c r="AK23" i="2"/>
  <c r="AJ23" i="2"/>
  <c r="AI23" i="2"/>
  <c r="AH23" i="2"/>
  <c r="AG23" i="2"/>
  <c r="AF23" i="2"/>
  <c r="AE23" i="2"/>
  <c r="H23" i="2"/>
  <c r="AL22" i="2"/>
  <c r="AK22" i="2"/>
  <c r="AJ22" i="2"/>
  <c r="AI22" i="2"/>
  <c r="AH22" i="2"/>
  <c r="AG22" i="2"/>
  <c r="AF22" i="2"/>
  <c r="AE22" i="2"/>
  <c r="H22" i="2"/>
  <c r="F22" i="2"/>
  <c r="AL21" i="2"/>
  <c r="AK21" i="2"/>
  <c r="AJ21" i="2"/>
  <c r="AI21" i="2"/>
  <c r="AH21" i="2"/>
  <c r="AG21" i="2"/>
  <c r="AF21" i="2"/>
  <c r="AE21" i="2"/>
  <c r="H21" i="2"/>
  <c r="F21" i="2"/>
  <c r="AL20" i="2"/>
  <c r="AK20" i="2"/>
  <c r="AJ20" i="2"/>
  <c r="AI20" i="2"/>
  <c r="AH20" i="2"/>
  <c r="AG20" i="2"/>
  <c r="AF20" i="2"/>
  <c r="AE20" i="2"/>
  <c r="H20" i="2"/>
  <c r="F20" i="2"/>
  <c r="AL19" i="2"/>
  <c r="AK19" i="2"/>
  <c r="AJ19" i="2"/>
  <c r="AI19" i="2"/>
  <c r="AH19" i="2"/>
  <c r="AG19" i="2"/>
  <c r="AF19" i="2"/>
  <c r="AE19" i="2"/>
  <c r="AA19" i="2"/>
  <c r="Y19" i="2"/>
  <c r="F19" i="2"/>
  <c r="AL18" i="2"/>
  <c r="AK18" i="2"/>
  <c r="AJ18" i="2"/>
  <c r="AI18" i="2"/>
  <c r="AH18" i="2"/>
  <c r="AG18" i="2"/>
  <c r="AF18" i="2"/>
  <c r="AE18" i="2"/>
  <c r="M18" i="2"/>
  <c r="K18" i="2"/>
  <c r="F18" i="2"/>
  <c r="AL17" i="2"/>
  <c r="AK17" i="2"/>
  <c r="AJ17" i="2"/>
  <c r="AI17" i="2"/>
  <c r="AH17" i="2"/>
  <c r="AG17" i="2"/>
  <c r="AF17" i="2"/>
  <c r="AE17" i="2"/>
  <c r="M17" i="2"/>
  <c r="K17" i="2"/>
  <c r="F17" i="2"/>
  <c r="AL16" i="2"/>
  <c r="AK16" i="2"/>
  <c r="AJ16" i="2"/>
  <c r="AI16" i="2"/>
  <c r="AH16" i="2"/>
  <c r="AG16" i="2"/>
  <c r="AF16" i="2"/>
  <c r="AE16" i="2"/>
  <c r="H16" i="2"/>
  <c r="F16" i="2"/>
  <c r="AL15" i="2"/>
  <c r="AK15" i="2"/>
  <c r="AJ15" i="2"/>
  <c r="AI15" i="2"/>
  <c r="AH15" i="2"/>
  <c r="AG15" i="2"/>
  <c r="AF15" i="2"/>
  <c r="AE15" i="2"/>
  <c r="S15" i="2"/>
  <c r="F15" i="2"/>
  <c r="AL14" i="2"/>
  <c r="AK14" i="2"/>
  <c r="AJ14" i="2"/>
  <c r="AI14" i="2"/>
  <c r="AH14" i="2"/>
  <c r="AG14" i="2"/>
  <c r="AF14" i="2"/>
  <c r="AE14" i="2"/>
  <c r="P14" i="2"/>
  <c r="N14" i="2"/>
  <c r="M14" i="2"/>
  <c r="K14" i="2"/>
  <c r="H14" i="2"/>
  <c r="F14" i="2"/>
  <c r="AL13" i="2"/>
  <c r="AK13" i="2"/>
  <c r="AJ13" i="2"/>
  <c r="AI13" i="2"/>
  <c r="AH13" i="2"/>
  <c r="AG13" i="2"/>
  <c r="AF13" i="2"/>
  <c r="AE13" i="2"/>
  <c r="P13" i="2"/>
  <c r="N13" i="2"/>
  <c r="M13" i="2"/>
  <c r="K13" i="2"/>
  <c r="H13" i="2"/>
  <c r="F13" i="2"/>
  <c r="AL12" i="2"/>
  <c r="AK12" i="2"/>
  <c r="AJ12" i="2"/>
  <c r="AI12" i="2"/>
  <c r="AH12" i="2"/>
  <c r="AG12" i="2"/>
  <c r="AF12" i="2"/>
  <c r="AE12" i="2"/>
  <c r="P12" i="2"/>
  <c r="N12" i="2"/>
  <c r="M12" i="2"/>
  <c r="K12" i="2"/>
  <c r="H12" i="2"/>
  <c r="F12" i="2"/>
  <c r="AL11" i="2"/>
  <c r="AK11" i="2"/>
  <c r="AJ11" i="2"/>
  <c r="AI11" i="2"/>
  <c r="AH11" i="2"/>
  <c r="AG11" i="2"/>
  <c r="AF11" i="2"/>
  <c r="AE11" i="2"/>
  <c r="P11" i="2"/>
  <c r="N11" i="2"/>
  <c r="M11" i="2"/>
  <c r="K11" i="2"/>
  <c r="J11" i="2"/>
  <c r="H11" i="2"/>
  <c r="F11" i="2"/>
  <c r="AL10" i="2"/>
  <c r="AK10" i="2"/>
  <c r="AJ10" i="2"/>
  <c r="AI10" i="2"/>
  <c r="AH10" i="2"/>
  <c r="AG10" i="2"/>
  <c r="AF10" i="2"/>
  <c r="AE10" i="2"/>
  <c r="P10" i="2"/>
  <c r="N10" i="2"/>
  <c r="M10" i="2"/>
  <c r="K10" i="2"/>
  <c r="J10" i="2"/>
  <c r="H10" i="2"/>
  <c r="F10" i="2"/>
  <c r="AL9" i="2"/>
  <c r="AK9" i="2"/>
  <c r="AJ9" i="2"/>
  <c r="AI9" i="2"/>
  <c r="AH9" i="2"/>
  <c r="AG9" i="2"/>
  <c r="AF9" i="2"/>
  <c r="AE9" i="2"/>
  <c r="P9" i="2"/>
  <c r="N9" i="2"/>
  <c r="M9" i="2"/>
  <c r="K9" i="2"/>
  <c r="J9" i="2"/>
  <c r="H9" i="2"/>
  <c r="F9" i="2"/>
  <c r="AL8" i="2"/>
  <c r="AK8" i="2"/>
  <c r="AJ8" i="2"/>
  <c r="AI8" i="2"/>
  <c r="AH8" i="2"/>
  <c r="AG8" i="2"/>
  <c r="AF8" i="2"/>
  <c r="AE8" i="2"/>
  <c r="P8" i="2"/>
  <c r="N8" i="2"/>
  <c r="M8" i="2"/>
  <c r="K8" i="2"/>
  <c r="J8" i="2"/>
  <c r="H8" i="2"/>
  <c r="F8" i="2"/>
  <c r="AL7" i="2"/>
  <c r="AK7" i="2"/>
  <c r="AJ7" i="2"/>
  <c r="AI7" i="2"/>
  <c r="AH7" i="2"/>
  <c r="AG7" i="2"/>
  <c r="AF7" i="2"/>
  <c r="AE7" i="2"/>
  <c r="P7" i="2"/>
  <c r="N7" i="2"/>
  <c r="M7" i="2"/>
  <c r="K7" i="2"/>
  <c r="J7" i="2"/>
  <c r="H7" i="2"/>
  <c r="F7" i="2"/>
  <c r="AL6" i="2"/>
  <c r="AK6" i="2"/>
  <c r="AJ6" i="2"/>
  <c r="AI6" i="2"/>
  <c r="AH6" i="2"/>
  <c r="AG6" i="2"/>
  <c r="AF6" i="2"/>
  <c r="AE6" i="2"/>
  <c r="P6" i="2"/>
  <c r="N6" i="2"/>
  <c r="M6" i="2"/>
  <c r="K6" i="2"/>
  <c r="H6" i="2"/>
  <c r="F6" i="2"/>
  <c r="AL5" i="2"/>
  <c r="AK5" i="2"/>
  <c r="AJ5" i="2"/>
  <c r="AI5" i="2"/>
  <c r="AH5" i="2"/>
  <c r="AG5" i="2"/>
  <c r="AF5" i="2"/>
  <c r="AE5" i="2"/>
  <c r="P5" i="2"/>
  <c r="N5" i="2"/>
  <c r="M5" i="2"/>
  <c r="K5" i="2"/>
  <c r="J5" i="2"/>
  <c r="H5" i="2"/>
  <c r="AK3" i="2"/>
  <c r="AJ3" i="2"/>
  <c r="AI3" i="2"/>
  <c r="AH3" i="2"/>
  <c r="AG3" i="2"/>
  <c r="AF3" i="2"/>
  <c r="AE3" i="2"/>
  <c r="M140" i="8"/>
  <c r="L140" i="8"/>
  <c r="K140" i="8"/>
  <c r="J140" i="8"/>
  <c r="I140" i="8"/>
  <c r="H140" i="8"/>
  <c r="G140" i="8"/>
  <c r="F140" i="8"/>
  <c r="D140" i="8"/>
  <c r="C140" i="8"/>
  <c r="M139" i="8"/>
  <c r="L139" i="8"/>
  <c r="K139" i="8"/>
  <c r="J139" i="8"/>
  <c r="I139" i="8"/>
  <c r="H139" i="8"/>
  <c r="G139" i="8"/>
  <c r="F139" i="8"/>
  <c r="C139" i="8"/>
  <c r="M137" i="8"/>
  <c r="L137" i="8"/>
  <c r="K137" i="8"/>
  <c r="J137" i="8"/>
  <c r="I137" i="8"/>
  <c r="H137" i="8"/>
  <c r="G137" i="8"/>
  <c r="F137" i="8"/>
  <c r="D137" i="8"/>
  <c r="C137" i="8"/>
  <c r="M136" i="8"/>
  <c r="L136" i="8"/>
  <c r="K136" i="8"/>
  <c r="J136" i="8"/>
  <c r="I136" i="8"/>
  <c r="H136" i="8"/>
  <c r="G136" i="8"/>
  <c r="F136" i="8"/>
  <c r="C136" i="8"/>
  <c r="M134" i="8"/>
  <c r="L134" i="8"/>
  <c r="K134" i="8"/>
  <c r="J134" i="8"/>
  <c r="I134" i="8"/>
  <c r="H134" i="8"/>
  <c r="G134" i="8"/>
  <c r="F134" i="8"/>
  <c r="D134" i="8"/>
  <c r="C134" i="8"/>
  <c r="M133" i="8"/>
  <c r="L133" i="8"/>
  <c r="K133" i="8"/>
  <c r="J133" i="8"/>
  <c r="I133" i="8"/>
  <c r="H133" i="8"/>
  <c r="G133" i="8"/>
  <c r="F133" i="8"/>
  <c r="D133" i="8"/>
  <c r="C133" i="8"/>
  <c r="M132" i="8"/>
  <c r="L132" i="8"/>
  <c r="K132" i="8"/>
  <c r="J132" i="8"/>
  <c r="I132" i="8"/>
  <c r="H132" i="8"/>
  <c r="G132" i="8"/>
  <c r="F132" i="8"/>
  <c r="D132" i="8"/>
  <c r="C132" i="8"/>
  <c r="M131" i="8"/>
  <c r="L131" i="8"/>
  <c r="K131" i="8"/>
  <c r="J131" i="8"/>
  <c r="I131" i="8"/>
  <c r="H131" i="8"/>
  <c r="G131" i="8"/>
  <c r="F131" i="8"/>
  <c r="D131" i="8"/>
  <c r="C131" i="8"/>
  <c r="M130" i="8"/>
  <c r="L130" i="8"/>
  <c r="K130" i="8"/>
  <c r="J130" i="8"/>
  <c r="I130" i="8"/>
  <c r="H130" i="8"/>
  <c r="G130" i="8"/>
  <c r="F130" i="8"/>
  <c r="C130" i="8"/>
  <c r="M128" i="8"/>
  <c r="L128" i="8"/>
  <c r="K128" i="8"/>
  <c r="J128" i="8"/>
  <c r="I128" i="8"/>
  <c r="H128" i="8"/>
  <c r="G128" i="8"/>
  <c r="F128" i="8"/>
  <c r="D128" i="8"/>
  <c r="C128" i="8"/>
  <c r="M127" i="8"/>
  <c r="L127" i="8"/>
  <c r="K127" i="8"/>
  <c r="J127" i="8"/>
  <c r="I127" i="8"/>
  <c r="H127" i="8"/>
  <c r="G127" i="8"/>
  <c r="F127" i="8"/>
  <c r="D127" i="8"/>
  <c r="C127" i="8"/>
  <c r="M126" i="8"/>
  <c r="L126" i="8"/>
  <c r="K126" i="8"/>
  <c r="J126" i="8"/>
  <c r="I126" i="8"/>
  <c r="H126" i="8"/>
  <c r="G126" i="8"/>
  <c r="F126" i="8"/>
  <c r="D126" i="8"/>
  <c r="C126" i="8"/>
  <c r="M125" i="8"/>
  <c r="L125" i="8"/>
  <c r="K125" i="8"/>
  <c r="J125" i="8"/>
  <c r="I125" i="8"/>
  <c r="H125" i="8"/>
  <c r="G125" i="8"/>
  <c r="F125" i="8"/>
  <c r="D125" i="8"/>
  <c r="C125" i="8"/>
  <c r="M124" i="8"/>
  <c r="L124" i="8"/>
  <c r="K124" i="8"/>
  <c r="J124" i="8"/>
  <c r="I124" i="8"/>
  <c r="H124" i="8"/>
  <c r="G124" i="8"/>
  <c r="F124" i="8"/>
  <c r="C124" i="8"/>
  <c r="M122" i="8"/>
  <c r="L122" i="8"/>
  <c r="K122" i="8"/>
  <c r="J122" i="8"/>
  <c r="I122" i="8"/>
  <c r="H122" i="8"/>
  <c r="G122" i="8"/>
  <c r="F122" i="8"/>
  <c r="D122" i="8"/>
  <c r="C122" i="8"/>
  <c r="M121" i="8"/>
  <c r="L121" i="8"/>
  <c r="K121" i="8"/>
  <c r="J121" i="8"/>
  <c r="I121" i="8"/>
  <c r="H121" i="8"/>
  <c r="G121" i="8"/>
  <c r="F121" i="8"/>
  <c r="D121" i="8"/>
  <c r="C121" i="8"/>
  <c r="M120" i="8"/>
  <c r="L120" i="8"/>
  <c r="K120" i="8"/>
  <c r="J120" i="8"/>
  <c r="I120" i="8"/>
  <c r="H120" i="8"/>
  <c r="G120" i="8"/>
  <c r="F120" i="8"/>
  <c r="D120" i="8"/>
  <c r="C120" i="8"/>
  <c r="M119" i="8"/>
  <c r="L119" i="8"/>
  <c r="K119" i="8"/>
  <c r="J119" i="8"/>
  <c r="I119" i="8"/>
  <c r="H119" i="8"/>
  <c r="G119" i="8"/>
  <c r="F119" i="8"/>
  <c r="D119" i="8"/>
  <c r="C119" i="8"/>
  <c r="M118" i="8"/>
  <c r="L118" i="8"/>
  <c r="K118" i="8"/>
  <c r="J118" i="8"/>
  <c r="I118" i="8"/>
  <c r="H118" i="8"/>
  <c r="G118" i="8"/>
  <c r="F118" i="8"/>
  <c r="C118" i="8"/>
  <c r="M116" i="8"/>
  <c r="L116" i="8"/>
  <c r="K116" i="8"/>
  <c r="J116" i="8"/>
  <c r="I116" i="8"/>
  <c r="H116" i="8"/>
  <c r="G116" i="8"/>
  <c r="F116" i="8"/>
  <c r="D116" i="8"/>
  <c r="C116" i="8"/>
  <c r="M115" i="8"/>
  <c r="L115" i="8"/>
  <c r="K115" i="8"/>
  <c r="J115" i="8"/>
  <c r="I115" i="8"/>
  <c r="H115" i="8"/>
  <c r="G115" i="8"/>
  <c r="F115" i="8"/>
  <c r="D115" i="8"/>
  <c r="C115" i="8"/>
  <c r="M114" i="8"/>
  <c r="L114" i="8"/>
  <c r="K114" i="8"/>
  <c r="J114" i="8"/>
  <c r="I114" i="8"/>
  <c r="H114" i="8"/>
  <c r="G114" i="8"/>
  <c r="F114" i="8"/>
  <c r="D114" i="8"/>
  <c r="C114" i="8"/>
  <c r="M113" i="8"/>
  <c r="L113" i="8"/>
  <c r="K113" i="8"/>
  <c r="J113" i="8"/>
  <c r="I113" i="8"/>
  <c r="H113" i="8"/>
  <c r="G113" i="8"/>
  <c r="F113" i="8"/>
  <c r="C113" i="8"/>
  <c r="M111" i="8"/>
  <c r="L111" i="8"/>
  <c r="K111" i="8"/>
  <c r="J111" i="8"/>
  <c r="I111" i="8"/>
  <c r="H111" i="8"/>
  <c r="G111" i="8"/>
  <c r="F111" i="8"/>
  <c r="D111" i="8"/>
  <c r="C111" i="8"/>
  <c r="M110" i="8"/>
  <c r="L110" i="8"/>
  <c r="K110" i="8"/>
  <c r="J110" i="8"/>
  <c r="I110" i="8"/>
  <c r="H110" i="8"/>
  <c r="G110" i="8"/>
  <c r="F110" i="8"/>
  <c r="D110" i="8"/>
  <c r="C110" i="8"/>
  <c r="M109" i="8"/>
  <c r="L109" i="8"/>
  <c r="K109" i="8"/>
  <c r="J109" i="8"/>
  <c r="I109" i="8"/>
  <c r="H109" i="8"/>
  <c r="G109" i="8"/>
  <c r="F109" i="8"/>
  <c r="D109" i="8"/>
  <c r="C109" i="8"/>
  <c r="M108" i="8"/>
  <c r="L108" i="8"/>
  <c r="K108" i="8"/>
  <c r="J108" i="8"/>
  <c r="I108" i="8"/>
  <c r="H108" i="8"/>
  <c r="G108" i="8"/>
  <c r="F108" i="8"/>
  <c r="D108" i="8"/>
  <c r="C108" i="8"/>
  <c r="M107" i="8"/>
  <c r="L107" i="8"/>
  <c r="K107" i="8"/>
  <c r="J107" i="8"/>
  <c r="I107" i="8"/>
  <c r="H107" i="8"/>
  <c r="G107" i="8"/>
  <c r="F107" i="8"/>
  <c r="D107" i="8"/>
  <c r="C107" i="8"/>
  <c r="M106" i="8"/>
  <c r="L106" i="8"/>
  <c r="K106" i="8"/>
  <c r="J106" i="8"/>
  <c r="I106" i="8"/>
  <c r="H106" i="8"/>
  <c r="G106" i="8"/>
  <c r="F106" i="8"/>
  <c r="C106" i="8"/>
  <c r="M104" i="8"/>
  <c r="L104" i="8"/>
  <c r="K104" i="8"/>
  <c r="J104" i="8"/>
  <c r="I104" i="8"/>
  <c r="H104" i="8"/>
  <c r="G104" i="8"/>
  <c r="F104" i="8"/>
  <c r="D104" i="8"/>
  <c r="C104" i="8"/>
  <c r="M103" i="8"/>
  <c r="L103" i="8"/>
  <c r="K103" i="8"/>
  <c r="J103" i="8"/>
  <c r="I103" i="8"/>
  <c r="H103" i="8"/>
  <c r="G103" i="8"/>
  <c r="F103" i="8"/>
  <c r="D103" i="8"/>
  <c r="C103" i="8"/>
  <c r="M102" i="8"/>
  <c r="L102" i="8"/>
  <c r="K102" i="8"/>
  <c r="J102" i="8"/>
  <c r="I102" i="8"/>
  <c r="H102" i="8"/>
  <c r="G102" i="8"/>
  <c r="F102" i="8"/>
  <c r="D102" i="8"/>
  <c r="C102" i="8"/>
  <c r="M101" i="8"/>
  <c r="L101" i="8"/>
  <c r="K101" i="8"/>
  <c r="J101" i="8"/>
  <c r="I101" i="8"/>
  <c r="H101" i="8"/>
  <c r="G101" i="8"/>
  <c r="F101" i="8"/>
  <c r="C101" i="8"/>
  <c r="M99" i="8"/>
  <c r="L99" i="8"/>
  <c r="K99" i="8"/>
  <c r="J99" i="8"/>
  <c r="I99" i="8"/>
  <c r="H99" i="8"/>
  <c r="G99" i="8"/>
  <c r="F99" i="8"/>
  <c r="D99" i="8"/>
  <c r="C99" i="8"/>
  <c r="M98" i="8"/>
  <c r="L98" i="8"/>
  <c r="K98" i="8"/>
  <c r="J98" i="8"/>
  <c r="I98" i="8"/>
  <c r="H98" i="8"/>
  <c r="G98" i="8"/>
  <c r="F98" i="8"/>
  <c r="D98" i="8"/>
  <c r="C98" i="8"/>
  <c r="M97" i="8"/>
  <c r="L97" i="8"/>
  <c r="K97" i="8"/>
  <c r="J97" i="8"/>
  <c r="I97" i="8"/>
  <c r="H97" i="8"/>
  <c r="G97" i="8"/>
  <c r="F97" i="8"/>
  <c r="D97" i="8"/>
  <c r="C97" i="8"/>
  <c r="M96" i="8"/>
  <c r="L96" i="8"/>
  <c r="K96" i="8"/>
  <c r="J96" i="8"/>
  <c r="I96" i="8"/>
  <c r="H96" i="8"/>
  <c r="G96" i="8"/>
  <c r="F96" i="8"/>
  <c r="D96" i="8"/>
  <c r="C96" i="8"/>
  <c r="M95" i="8"/>
  <c r="L95" i="8"/>
  <c r="K95" i="8"/>
  <c r="J95" i="8"/>
  <c r="I95" i="8"/>
  <c r="H95" i="8"/>
  <c r="G95" i="8"/>
  <c r="F95" i="8"/>
  <c r="D95" i="8"/>
  <c r="C95" i="8"/>
  <c r="M94" i="8"/>
  <c r="L94" i="8"/>
  <c r="K94" i="8"/>
  <c r="J94" i="8"/>
  <c r="I94" i="8"/>
  <c r="H94" i="8"/>
  <c r="G94" i="8"/>
  <c r="F94" i="8"/>
  <c r="D94" i="8"/>
  <c r="C94" i="8"/>
  <c r="M93" i="8"/>
  <c r="L93" i="8"/>
  <c r="K93" i="8"/>
  <c r="J93" i="8"/>
  <c r="I93" i="8"/>
  <c r="H93" i="8"/>
  <c r="G93" i="8"/>
  <c r="F93" i="8"/>
  <c r="D93" i="8"/>
  <c r="C93" i="8"/>
  <c r="M92" i="8"/>
  <c r="L92" i="8"/>
  <c r="K92" i="8"/>
  <c r="J92" i="8"/>
  <c r="I92" i="8"/>
  <c r="H92" i="8"/>
  <c r="G92" i="8"/>
  <c r="F92" i="8"/>
  <c r="D92" i="8"/>
  <c r="C92" i="8"/>
  <c r="M91" i="8"/>
  <c r="L91" i="8"/>
  <c r="K91" i="8"/>
  <c r="J91" i="8"/>
  <c r="I91" i="8"/>
  <c r="H91" i="8"/>
  <c r="G91" i="8"/>
  <c r="F91" i="8"/>
  <c r="D91" i="8"/>
  <c r="C91" i="8"/>
  <c r="M90" i="8"/>
  <c r="L90" i="8"/>
  <c r="K90" i="8"/>
  <c r="J90" i="8"/>
  <c r="I90" i="8"/>
  <c r="H90" i="8"/>
  <c r="G90" i="8"/>
  <c r="F90" i="8"/>
  <c r="D90" i="8"/>
  <c r="C90" i="8"/>
  <c r="M89" i="8"/>
  <c r="L89" i="8"/>
  <c r="K89" i="8"/>
  <c r="J89" i="8"/>
  <c r="I89" i="8"/>
  <c r="H89" i="8"/>
  <c r="G89" i="8"/>
  <c r="F89" i="8"/>
  <c r="C89" i="8"/>
  <c r="M87" i="8"/>
  <c r="L87" i="8"/>
  <c r="K87" i="8"/>
  <c r="J87" i="8"/>
  <c r="I87" i="8"/>
  <c r="H87" i="8"/>
  <c r="G87" i="8"/>
  <c r="F87" i="8"/>
  <c r="D87" i="8"/>
  <c r="C87" i="8"/>
  <c r="M86" i="8"/>
  <c r="L86" i="8"/>
  <c r="K86" i="8"/>
  <c r="J86" i="8"/>
  <c r="I86" i="8"/>
  <c r="H86" i="8"/>
  <c r="G86" i="8"/>
  <c r="F86" i="8"/>
  <c r="D86" i="8"/>
  <c r="C86" i="8"/>
  <c r="M85" i="8"/>
  <c r="L85" i="8"/>
  <c r="K85" i="8"/>
  <c r="J85" i="8"/>
  <c r="I85" i="8"/>
  <c r="H85" i="8"/>
  <c r="G85" i="8"/>
  <c r="F85" i="8"/>
  <c r="D85" i="8"/>
  <c r="C85" i="8"/>
  <c r="M84" i="8"/>
  <c r="L84" i="8"/>
  <c r="K84" i="8"/>
  <c r="J84" i="8"/>
  <c r="I84" i="8"/>
  <c r="H84" i="8"/>
  <c r="G84" i="8"/>
  <c r="F84" i="8"/>
  <c r="D84" i="8"/>
  <c r="C84" i="8"/>
  <c r="M83" i="8"/>
  <c r="L83" i="8"/>
  <c r="K83" i="8"/>
  <c r="J83" i="8"/>
  <c r="I83" i="8"/>
  <c r="H83" i="8"/>
  <c r="G83" i="8"/>
  <c r="F83" i="8"/>
  <c r="D83" i="8"/>
  <c r="C83" i="8"/>
  <c r="M82" i="8"/>
  <c r="L82" i="8"/>
  <c r="K82" i="8"/>
  <c r="J82" i="8"/>
  <c r="I82" i="8"/>
  <c r="H82" i="8"/>
  <c r="G82" i="8"/>
  <c r="F82" i="8"/>
  <c r="D82" i="8"/>
  <c r="C82" i="8"/>
  <c r="M81" i="8"/>
  <c r="L81" i="8"/>
  <c r="K81" i="8"/>
  <c r="J81" i="8"/>
  <c r="I81" i="8"/>
  <c r="H81" i="8"/>
  <c r="G81" i="8"/>
  <c r="F81" i="8"/>
  <c r="D81" i="8"/>
  <c r="C81" i="8"/>
  <c r="M80" i="8"/>
  <c r="L80" i="8"/>
  <c r="K80" i="8"/>
  <c r="J80" i="8"/>
  <c r="I80" i="8"/>
  <c r="H80" i="8"/>
  <c r="G80" i="8"/>
  <c r="F80" i="8"/>
  <c r="D80" i="8"/>
  <c r="C80" i="8"/>
  <c r="M79" i="8"/>
  <c r="L79" i="8"/>
  <c r="K79" i="8"/>
  <c r="J79" i="8"/>
  <c r="I79" i="8"/>
  <c r="H79" i="8"/>
  <c r="G79" i="8"/>
  <c r="F79" i="8"/>
  <c r="D79" i="8"/>
  <c r="C79" i="8"/>
  <c r="M78" i="8"/>
  <c r="L78" i="8"/>
  <c r="K78" i="8"/>
  <c r="J78" i="8"/>
  <c r="I78" i="8"/>
  <c r="H78" i="8"/>
  <c r="G78" i="8"/>
  <c r="F78" i="8"/>
  <c r="D78" i="8"/>
  <c r="C78" i="8"/>
  <c r="M77" i="8"/>
  <c r="L77" i="8"/>
  <c r="K77" i="8"/>
  <c r="J77" i="8"/>
  <c r="I77" i="8"/>
  <c r="H77" i="8"/>
  <c r="G77" i="8"/>
  <c r="F77" i="8"/>
  <c r="D77" i="8"/>
  <c r="C77" i="8"/>
  <c r="M76" i="8"/>
  <c r="L76" i="8"/>
  <c r="K76" i="8"/>
  <c r="J76" i="8"/>
  <c r="I76" i="8"/>
  <c r="H76" i="8"/>
  <c r="G76" i="8"/>
  <c r="F76" i="8"/>
  <c r="C76" i="8"/>
  <c r="M74" i="8"/>
  <c r="L74" i="8"/>
  <c r="K74" i="8"/>
  <c r="J74" i="8"/>
  <c r="I74" i="8"/>
  <c r="H74" i="8"/>
  <c r="G74" i="8"/>
  <c r="F74" i="8"/>
  <c r="D74" i="8"/>
  <c r="C74" i="8"/>
  <c r="M73" i="8"/>
  <c r="L73" i="8"/>
  <c r="K73" i="8"/>
  <c r="J73" i="8"/>
  <c r="I73" i="8"/>
  <c r="H73" i="8"/>
  <c r="G73" i="8"/>
  <c r="F73" i="8"/>
  <c r="D73" i="8"/>
  <c r="C73" i="8"/>
  <c r="M72" i="8"/>
  <c r="L72" i="8"/>
  <c r="K72" i="8"/>
  <c r="J72" i="8"/>
  <c r="I72" i="8"/>
  <c r="H72" i="8"/>
  <c r="G72" i="8"/>
  <c r="F72" i="8"/>
  <c r="D72" i="8"/>
  <c r="C72" i="8"/>
  <c r="M71" i="8"/>
  <c r="L71" i="8"/>
  <c r="K71" i="8"/>
  <c r="J71" i="8"/>
  <c r="I71" i="8"/>
  <c r="H71" i="8"/>
  <c r="G71" i="8"/>
  <c r="F71" i="8"/>
  <c r="D71" i="8"/>
  <c r="C71" i="8"/>
  <c r="M70" i="8"/>
  <c r="L70" i="8"/>
  <c r="K70" i="8"/>
  <c r="J70" i="8"/>
  <c r="I70" i="8"/>
  <c r="H70" i="8"/>
  <c r="G70" i="8"/>
  <c r="F70" i="8"/>
  <c r="D70" i="8"/>
  <c r="C70" i="8"/>
  <c r="M69" i="8"/>
  <c r="L69" i="8"/>
  <c r="K69" i="8"/>
  <c r="J69" i="8"/>
  <c r="I69" i="8"/>
  <c r="H69" i="8"/>
  <c r="G69" i="8"/>
  <c r="F69" i="8"/>
  <c r="D69" i="8"/>
  <c r="C69" i="8"/>
  <c r="M68" i="8"/>
  <c r="L68" i="8"/>
  <c r="K68" i="8"/>
  <c r="J68" i="8"/>
  <c r="I68" i="8"/>
  <c r="H68" i="8"/>
  <c r="G68" i="8"/>
  <c r="F68" i="8"/>
  <c r="D68" i="8"/>
  <c r="C68" i="8"/>
  <c r="M67" i="8"/>
  <c r="L67" i="8"/>
  <c r="K67" i="8"/>
  <c r="J67" i="8"/>
  <c r="I67" i="8"/>
  <c r="H67" i="8"/>
  <c r="G67" i="8"/>
  <c r="F67" i="8"/>
  <c r="D67" i="8"/>
  <c r="C67" i="8"/>
  <c r="M66" i="8"/>
  <c r="L66" i="8"/>
  <c r="K66" i="8"/>
  <c r="J66" i="8"/>
  <c r="I66" i="8"/>
  <c r="H66" i="8"/>
  <c r="G66" i="8"/>
  <c r="F66" i="8"/>
  <c r="D66" i="8"/>
  <c r="C66" i="8"/>
  <c r="M65" i="8"/>
  <c r="L65" i="8"/>
  <c r="K65" i="8"/>
  <c r="J65" i="8"/>
  <c r="I65" i="8"/>
  <c r="H65" i="8"/>
  <c r="G65" i="8"/>
  <c r="F65" i="8"/>
  <c r="D65" i="8"/>
  <c r="C65" i="8"/>
  <c r="M64" i="8"/>
  <c r="L64" i="8"/>
  <c r="K64" i="8"/>
  <c r="J64" i="8"/>
  <c r="I64" i="8"/>
  <c r="H64" i="8"/>
  <c r="G64" i="8"/>
  <c r="F64" i="8"/>
  <c r="D64" i="8"/>
  <c r="C64" i="8"/>
  <c r="M63" i="8"/>
  <c r="L63" i="8"/>
  <c r="K63" i="8"/>
  <c r="J63" i="8"/>
  <c r="I63" i="8"/>
  <c r="H63" i="8"/>
  <c r="G63" i="8"/>
  <c r="F63" i="8"/>
  <c r="D63" i="8"/>
  <c r="C63" i="8"/>
  <c r="M62" i="8"/>
  <c r="L62" i="8"/>
  <c r="K62" i="8"/>
  <c r="J62" i="8"/>
  <c r="I62" i="8"/>
  <c r="H62" i="8"/>
  <c r="G62" i="8"/>
  <c r="F62" i="8"/>
  <c r="D62" i="8"/>
  <c r="C62" i="8"/>
  <c r="M61" i="8"/>
  <c r="L61" i="8"/>
  <c r="K61" i="8"/>
  <c r="J61" i="8"/>
  <c r="I61" i="8"/>
  <c r="H61" i="8"/>
  <c r="G61" i="8"/>
  <c r="F61" i="8"/>
  <c r="D61" i="8"/>
  <c r="C61" i="8"/>
  <c r="M60" i="8"/>
  <c r="L60" i="8"/>
  <c r="K60" i="8"/>
  <c r="J60" i="8"/>
  <c r="I60" i="8"/>
  <c r="H60" i="8"/>
  <c r="G60" i="8"/>
  <c r="F60" i="8"/>
  <c r="D60" i="8"/>
  <c r="C60" i="8"/>
  <c r="M59" i="8"/>
  <c r="L59" i="8"/>
  <c r="K59" i="8"/>
  <c r="J59" i="8"/>
  <c r="I59" i="8"/>
  <c r="H59" i="8"/>
  <c r="G59" i="8"/>
  <c r="F59" i="8"/>
  <c r="D59" i="8"/>
  <c r="C59" i="8"/>
  <c r="M58" i="8"/>
  <c r="L58" i="8"/>
  <c r="K58" i="8"/>
  <c r="J58" i="8"/>
  <c r="I58" i="8"/>
  <c r="H58" i="8"/>
  <c r="G58" i="8"/>
  <c r="F58" i="8"/>
  <c r="D58" i="8"/>
  <c r="C58" i="8"/>
  <c r="M57" i="8"/>
  <c r="L57" i="8"/>
  <c r="K57" i="8"/>
  <c r="J57" i="8"/>
  <c r="I57" i="8"/>
  <c r="H57" i="8"/>
  <c r="G57" i="8"/>
  <c r="F57" i="8"/>
  <c r="D57" i="8"/>
  <c r="C57" i="8"/>
  <c r="M56" i="8"/>
  <c r="L56" i="8"/>
  <c r="K56" i="8"/>
  <c r="J56" i="8"/>
  <c r="I56" i="8"/>
  <c r="H56" i="8"/>
  <c r="G56" i="8"/>
  <c r="F56" i="8"/>
  <c r="D56" i="8"/>
  <c r="C56" i="8"/>
  <c r="M55" i="8"/>
  <c r="L55" i="8"/>
  <c r="K55" i="8"/>
  <c r="J55" i="8"/>
  <c r="I55" i="8"/>
  <c r="H55" i="8"/>
  <c r="G55" i="8"/>
  <c r="F55" i="8"/>
  <c r="D55" i="8"/>
  <c r="C55" i="8"/>
  <c r="M54" i="8"/>
  <c r="L54" i="8"/>
  <c r="K54" i="8"/>
  <c r="J54" i="8"/>
  <c r="I54" i="8"/>
  <c r="H54" i="8"/>
  <c r="G54" i="8"/>
  <c r="F54" i="8"/>
  <c r="D54" i="8"/>
  <c r="C54" i="8"/>
  <c r="M53" i="8"/>
  <c r="L53" i="8"/>
  <c r="K53" i="8"/>
  <c r="J53" i="8"/>
  <c r="I53" i="8"/>
  <c r="H53" i="8"/>
  <c r="G53" i="8"/>
  <c r="F53" i="8"/>
  <c r="D53" i="8"/>
  <c r="C53" i="8"/>
  <c r="M52" i="8"/>
  <c r="L52" i="8"/>
  <c r="K52" i="8"/>
  <c r="J52" i="8"/>
  <c r="I52" i="8"/>
  <c r="H52" i="8"/>
  <c r="G52" i="8"/>
  <c r="F52" i="8"/>
  <c r="D52" i="8"/>
  <c r="C52" i="8"/>
  <c r="M51" i="8"/>
  <c r="L51" i="8"/>
  <c r="K51" i="8"/>
  <c r="J51" i="8"/>
  <c r="I51" i="8"/>
  <c r="H51" i="8"/>
  <c r="G51" i="8"/>
  <c r="F51" i="8"/>
  <c r="D51" i="8"/>
  <c r="C51" i="8"/>
  <c r="M50" i="8"/>
  <c r="L50" i="8"/>
  <c r="K50" i="8"/>
  <c r="J50" i="8"/>
  <c r="I50" i="8"/>
  <c r="H50" i="8"/>
  <c r="G50" i="8"/>
  <c r="F50" i="8"/>
  <c r="M48" i="8"/>
  <c r="L48" i="8"/>
  <c r="K48" i="8"/>
  <c r="J48" i="8"/>
  <c r="I48" i="8"/>
  <c r="H48" i="8"/>
  <c r="G48" i="8"/>
  <c r="F48" i="8"/>
  <c r="D48" i="8"/>
  <c r="C48" i="8"/>
  <c r="M47" i="8"/>
  <c r="L47" i="8"/>
  <c r="K47" i="8"/>
  <c r="J47" i="8"/>
  <c r="I47" i="8"/>
  <c r="H47" i="8"/>
  <c r="G47" i="8"/>
  <c r="F47" i="8"/>
  <c r="D47" i="8"/>
  <c r="C47" i="8"/>
  <c r="M45" i="8"/>
  <c r="L45" i="8"/>
  <c r="K45" i="8"/>
  <c r="J45" i="8"/>
  <c r="I45" i="8"/>
  <c r="H45" i="8"/>
  <c r="G45" i="8"/>
  <c r="F45" i="8"/>
  <c r="D45" i="8"/>
  <c r="C45" i="8"/>
  <c r="M44" i="8"/>
  <c r="L44" i="8"/>
  <c r="K44" i="8"/>
  <c r="J44" i="8"/>
  <c r="I44" i="8"/>
  <c r="H44" i="8"/>
  <c r="G44" i="8"/>
  <c r="F44" i="8"/>
  <c r="D44" i="8"/>
  <c r="C44" i="8"/>
  <c r="M43" i="8"/>
  <c r="L43" i="8"/>
  <c r="K43" i="8"/>
  <c r="J43" i="8"/>
  <c r="I43" i="8"/>
  <c r="H43" i="8"/>
  <c r="G43" i="8"/>
  <c r="F43" i="8"/>
  <c r="D43" i="8"/>
  <c r="C43" i="8"/>
  <c r="M42" i="8"/>
  <c r="L42" i="8"/>
  <c r="K42" i="8"/>
  <c r="J42" i="8"/>
  <c r="I42" i="8"/>
  <c r="H42" i="8"/>
  <c r="G42" i="8"/>
  <c r="F42" i="8"/>
  <c r="D42" i="8"/>
  <c r="C42" i="8"/>
  <c r="M41" i="8"/>
  <c r="L41" i="8"/>
  <c r="K41" i="8"/>
  <c r="J41" i="8"/>
  <c r="I41" i="8"/>
  <c r="H41" i="8"/>
  <c r="G41" i="8"/>
  <c r="F41" i="8"/>
  <c r="D41" i="8"/>
  <c r="C41" i="8"/>
  <c r="M40" i="8"/>
  <c r="L40" i="8"/>
  <c r="K40" i="8"/>
  <c r="J40" i="8"/>
  <c r="I40" i="8"/>
  <c r="H40" i="8"/>
  <c r="G40" i="8"/>
  <c r="F40" i="8"/>
  <c r="D40" i="8"/>
  <c r="C40" i="8"/>
  <c r="M39" i="8"/>
  <c r="L39" i="8"/>
  <c r="K39" i="8"/>
  <c r="J39" i="8"/>
  <c r="I39" i="8"/>
  <c r="H39" i="8"/>
  <c r="G39" i="8"/>
  <c r="F39" i="8"/>
  <c r="D39" i="8"/>
  <c r="C39" i="8"/>
  <c r="M38" i="8"/>
  <c r="L38" i="8"/>
  <c r="K38" i="8"/>
  <c r="J38" i="8"/>
  <c r="I38" i="8"/>
  <c r="H38" i="8"/>
  <c r="G38" i="8"/>
  <c r="F38" i="8"/>
  <c r="D38" i="8"/>
  <c r="C38" i="8"/>
  <c r="M37" i="8"/>
  <c r="L37" i="8"/>
  <c r="K37" i="8"/>
  <c r="J37" i="8"/>
  <c r="I37" i="8"/>
  <c r="H37" i="8"/>
  <c r="G37" i="8"/>
  <c r="F37" i="8"/>
  <c r="D37" i="8"/>
  <c r="C37" i="8"/>
  <c r="M36" i="8"/>
  <c r="L36" i="8"/>
  <c r="K36" i="8"/>
  <c r="J36" i="8"/>
  <c r="I36" i="8"/>
  <c r="H36" i="8"/>
  <c r="G36" i="8"/>
  <c r="F36" i="8"/>
  <c r="D36" i="8"/>
  <c r="C36" i="8"/>
  <c r="M35" i="8"/>
  <c r="L35" i="8"/>
  <c r="K35" i="8"/>
  <c r="J35" i="8"/>
  <c r="I35" i="8"/>
  <c r="H35" i="8"/>
  <c r="G35" i="8"/>
  <c r="F35" i="8"/>
  <c r="D35" i="8"/>
  <c r="C35" i="8"/>
  <c r="M34" i="8"/>
  <c r="L34" i="8"/>
  <c r="K34" i="8"/>
  <c r="J34" i="8"/>
  <c r="I34" i="8"/>
  <c r="H34" i="8"/>
  <c r="G34" i="8"/>
  <c r="F34" i="8"/>
  <c r="D34" i="8"/>
  <c r="C34" i="8"/>
  <c r="M33" i="8"/>
  <c r="L33" i="8"/>
  <c r="K33" i="8"/>
  <c r="J33" i="8"/>
  <c r="I33" i="8"/>
  <c r="H33" i="8"/>
  <c r="G33" i="8"/>
  <c r="F33" i="8"/>
  <c r="M32" i="8"/>
  <c r="L32" i="8"/>
  <c r="K32" i="8"/>
  <c r="J32" i="8"/>
  <c r="I32" i="8"/>
  <c r="H32" i="8"/>
  <c r="G32" i="8"/>
  <c r="F32" i="8"/>
  <c r="D32" i="8"/>
  <c r="C32" i="8"/>
  <c r="M31" i="8"/>
  <c r="L31" i="8"/>
  <c r="K31" i="8"/>
  <c r="J31" i="8"/>
  <c r="I31" i="8"/>
  <c r="H31" i="8"/>
  <c r="G31" i="8"/>
  <c r="F31" i="8"/>
  <c r="D31" i="8"/>
  <c r="C31" i="8"/>
  <c r="M30" i="8"/>
  <c r="L30" i="8"/>
  <c r="K30" i="8"/>
  <c r="J30" i="8"/>
  <c r="I30" i="8"/>
  <c r="H30" i="8"/>
  <c r="G30" i="8"/>
  <c r="F30" i="8"/>
  <c r="D30" i="8"/>
  <c r="C30" i="8"/>
  <c r="M29" i="8"/>
  <c r="L29" i="8"/>
  <c r="K29" i="8"/>
  <c r="J29" i="8"/>
  <c r="I29" i="8"/>
  <c r="H29" i="8"/>
  <c r="G29" i="8"/>
  <c r="F29" i="8"/>
  <c r="D29" i="8"/>
  <c r="C29" i="8"/>
  <c r="M28" i="8"/>
  <c r="L28" i="8"/>
  <c r="K28" i="8"/>
  <c r="J28" i="8"/>
  <c r="I28" i="8"/>
  <c r="H28" i="8"/>
  <c r="G28" i="8"/>
  <c r="F28" i="8"/>
  <c r="D28" i="8"/>
  <c r="C28" i="8"/>
  <c r="M27" i="8"/>
  <c r="L27" i="8"/>
  <c r="K27" i="8"/>
  <c r="J27" i="8"/>
  <c r="I27" i="8"/>
  <c r="H27" i="8"/>
  <c r="G27" i="8"/>
  <c r="F27" i="8"/>
  <c r="M26" i="8"/>
  <c r="L26" i="8"/>
  <c r="K26" i="8"/>
  <c r="J26" i="8"/>
  <c r="I26" i="8"/>
  <c r="H26" i="8"/>
  <c r="G26" i="8"/>
  <c r="F26" i="8"/>
  <c r="D26" i="8"/>
  <c r="C26" i="8"/>
  <c r="M25" i="8"/>
  <c r="L25" i="8"/>
  <c r="K25" i="8"/>
  <c r="J25" i="8"/>
  <c r="I25" i="8"/>
  <c r="H25" i="8"/>
  <c r="G25" i="8"/>
  <c r="F25" i="8"/>
  <c r="D25" i="8"/>
  <c r="C25" i="8"/>
  <c r="M24" i="8"/>
  <c r="L24" i="8"/>
  <c r="K24" i="8"/>
  <c r="J24" i="8"/>
  <c r="I24" i="8"/>
  <c r="H24" i="8"/>
  <c r="G24" i="8"/>
  <c r="F24" i="8"/>
  <c r="M23" i="8"/>
  <c r="L23" i="8"/>
  <c r="K23" i="8"/>
  <c r="J23" i="8"/>
  <c r="I23" i="8"/>
  <c r="H23" i="8"/>
  <c r="G23" i="8"/>
  <c r="F23" i="8"/>
  <c r="D23" i="8"/>
  <c r="C23" i="8"/>
  <c r="M22" i="8"/>
  <c r="L22" i="8"/>
  <c r="K22" i="8"/>
  <c r="J22" i="8"/>
  <c r="I22" i="8"/>
  <c r="H22" i="8"/>
  <c r="G22" i="8"/>
  <c r="F22" i="8"/>
  <c r="D22" i="8"/>
  <c r="C22" i="8"/>
  <c r="M21" i="8"/>
  <c r="L21" i="8"/>
  <c r="K21" i="8"/>
  <c r="J21" i="8"/>
  <c r="I21" i="8"/>
  <c r="H21" i="8"/>
  <c r="G21" i="8"/>
  <c r="F21" i="8"/>
  <c r="D21" i="8"/>
  <c r="C21" i="8"/>
  <c r="M20" i="8"/>
  <c r="L20" i="8"/>
  <c r="K20" i="8"/>
  <c r="J20" i="8"/>
  <c r="I20" i="8"/>
  <c r="H20" i="8"/>
  <c r="G20" i="8"/>
  <c r="F20" i="8"/>
  <c r="D20" i="8"/>
  <c r="C20" i="8"/>
  <c r="M19" i="8"/>
  <c r="L19" i="8"/>
  <c r="K19" i="8"/>
  <c r="J19" i="8"/>
  <c r="I19" i="8"/>
  <c r="H19" i="8"/>
  <c r="G19" i="8"/>
  <c r="F19" i="8"/>
  <c r="D19" i="8"/>
  <c r="C19" i="8"/>
  <c r="M18" i="8"/>
  <c r="L18" i="8"/>
  <c r="K18" i="8"/>
  <c r="J18" i="8"/>
  <c r="I18" i="8"/>
  <c r="H18" i="8"/>
  <c r="G18" i="8"/>
  <c r="F18" i="8"/>
  <c r="D18" i="8"/>
  <c r="C18" i="8"/>
  <c r="M17" i="8"/>
  <c r="L17" i="8"/>
  <c r="K17" i="8"/>
  <c r="J17" i="8"/>
  <c r="I17" i="8"/>
  <c r="H17" i="8"/>
  <c r="G17" i="8"/>
  <c r="F17" i="8"/>
  <c r="D17" i="8"/>
  <c r="C17" i="8"/>
  <c r="M16" i="8"/>
  <c r="L16" i="8"/>
  <c r="K16" i="8"/>
  <c r="J16" i="8"/>
  <c r="I16" i="8"/>
  <c r="H16" i="8"/>
  <c r="G16" i="8"/>
  <c r="F16" i="8"/>
  <c r="D16" i="8"/>
  <c r="C16" i="8"/>
  <c r="M15" i="8"/>
  <c r="L15" i="8"/>
  <c r="K15" i="8"/>
  <c r="J15" i="8"/>
  <c r="I15" i="8"/>
  <c r="H15" i="8"/>
  <c r="G15" i="8"/>
  <c r="F15" i="8"/>
  <c r="M14" i="8"/>
  <c r="L14" i="8"/>
  <c r="K14" i="8"/>
  <c r="J14" i="8"/>
  <c r="I14" i="8"/>
  <c r="H14" i="8"/>
  <c r="G14" i="8"/>
  <c r="F14" i="8"/>
  <c r="F11" i="8"/>
  <c r="F10" i="8"/>
  <c r="F9" i="8"/>
  <c r="F8" i="8"/>
  <c r="M137" i="24"/>
  <c r="L137" i="24"/>
  <c r="K137" i="24"/>
  <c r="J137" i="24"/>
  <c r="I137" i="24"/>
  <c r="H137" i="24"/>
  <c r="G137" i="24"/>
  <c r="F137" i="24"/>
  <c r="D137" i="24"/>
  <c r="C137" i="24"/>
  <c r="M136" i="24"/>
  <c r="L136" i="24"/>
  <c r="K136" i="24"/>
  <c r="J136" i="24"/>
  <c r="I136" i="24"/>
  <c r="H136" i="24"/>
  <c r="G136" i="24"/>
  <c r="F136" i="24"/>
  <c r="C136" i="24"/>
  <c r="M134" i="24"/>
  <c r="L134" i="24"/>
  <c r="K134" i="24"/>
  <c r="J134" i="24"/>
  <c r="I134" i="24"/>
  <c r="H134" i="24"/>
  <c r="G134" i="24"/>
  <c r="F134" i="24"/>
  <c r="D134" i="24"/>
  <c r="C134" i="24"/>
  <c r="M133" i="24"/>
  <c r="L133" i="24"/>
  <c r="K133" i="24"/>
  <c r="J133" i="24"/>
  <c r="I133" i="24"/>
  <c r="H133" i="24"/>
  <c r="G133" i="24"/>
  <c r="F133" i="24"/>
  <c r="D133" i="24"/>
  <c r="C133" i="24"/>
  <c r="M132" i="24"/>
  <c r="L132" i="24"/>
  <c r="K132" i="24"/>
  <c r="J132" i="24"/>
  <c r="I132" i="24"/>
  <c r="H132" i="24"/>
  <c r="G132" i="24"/>
  <c r="F132" i="24"/>
  <c r="D132" i="24"/>
  <c r="C132" i="24"/>
  <c r="M131" i="24"/>
  <c r="L131" i="24"/>
  <c r="K131" i="24"/>
  <c r="J131" i="24"/>
  <c r="I131" i="24"/>
  <c r="H131" i="24"/>
  <c r="G131" i="24"/>
  <c r="F131" i="24"/>
  <c r="D131" i="24"/>
  <c r="C131" i="24"/>
  <c r="M130" i="24"/>
  <c r="L130" i="24"/>
  <c r="K130" i="24"/>
  <c r="J130" i="24"/>
  <c r="I130" i="24"/>
  <c r="H130" i="24"/>
  <c r="G130" i="24"/>
  <c r="F130" i="24"/>
  <c r="C130" i="24"/>
  <c r="M128" i="24"/>
  <c r="L128" i="24"/>
  <c r="K128" i="24"/>
  <c r="J128" i="24"/>
  <c r="I128" i="24"/>
  <c r="H128" i="24"/>
  <c r="G128" i="24"/>
  <c r="F128" i="24"/>
  <c r="D128" i="24"/>
  <c r="C128" i="24"/>
  <c r="M127" i="24"/>
  <c r="L127" i="24"/>
  <c r="K127" i="24"/>
  <c r="J127" i="24"/>
  <c r="I127" i="24"/>
  <c r="H127" i="24"/>
  <c r="G127" i="24"/>
  <c r="F127" i="24"/>
  <c r="D127" i="24"/>
  <c r="C127" i="24"/>
  <c r="M126" i="24"/>
  <c r="L126" i="24"/>
  <c r="K126" i="24"/>
  <c r="J126" i="24"/>
  <c r="I126" i="24"/>
  <c r="H126" i="24"/>
  <c r="G126" i="24"/>
  <c r="F126" i="24"/>
  <c r="D126" i="24"/>
  <c r="C126" i="24"/>
  <c r="M125" i="24"/>
  <c r="L125" i="24"/>
  <c r="K125" i="24"/>
  <c r="J125" i="24"/>
  <c r="I125" i="24"/>
  <c r="H125" i="24"/>
  <c r="G125" i="24"/>
  <c r="F125" i="24"/>
  <c r="D125" i="24"/>
  <c r="C125" i="24"/>
  <c r="M124" i="24"/>
  <c r="L124" i="24"/>
  <c r="K124" i="24"/>
  <c r="J124" i="24"/>
  <c r="I124" i="24"/>
  <c r="H124" i="24"/>
  <c r="G124" i="24"/>
  <c r="F124" i="24"/>
  <c r="C124" i="24"/>
  <c r="M122" i="24"/>
  <c r="L122" i="24"/>
  <c r="K122" i="24"/>
  <c r="J122" i="24"/>
  <c r="I122" i="24"/>
  <c r="H122" i="24"/>
  <c r="G122" i="24"/>
  <c r="F122" i="24"/>
  <c r="D122" i="24"/>
  <c r="C122" i="24"/>
  <c r="M121" i="24"/>
  <c r="L121" i="24"/>
  <c r="K121" i="24"/>
  <c r="J121" i="24"/>
  <c r="I121" i="24"/>
  <c r="H121" i="24"/>
  <c r="G121" i="24"/>
  <c r="F121" i="24"/>
  <c r="D121" i="24"/>
  <c r="C121" i="24"/>
  <c r="M120" i="24"/>
  <c r="L120" i="24"/>
  <c r="K120" i="24"/>
  <c r="J120" i="24"/>
  <c r="I120" i="24"/>
  <c r="H120" i="24"/>
  <c r="G120" i="24"/>
  <c r="F120" i="24"/>
  <c r="D120" i="24"/>
  <c r="C120" i="24"/>
  <c r="M119" i="24"/>
  <c r="L119" i="24"/>
  <c r="K119" i="24"/>
  <c r="J119" i="24"/>
  <c r="I119" i="24"/>
  <c r="H119" i="24"/>
  <c r="G119" i="24"/>
  <c r="F119" i="24"/>
  <c r="D119" i="24"/>
  <c r="C119" i="24"/>
  <c r="M118" i="24"/>
  <c r="L118" i="24"/>
  <c r="K118" i="24"/>
  <c r="J118" i="24"/>
  <c r="I118" i="24"/>
  <c r="H118" i="24"/>
  <c r="G118" i="24"/>
  <c r="F118" i="24"/>
  <c r="C118" i="24"/>
  <c r="M116" i="24"/>
  <c r="L116" i="24"/>
  <c r="K116" i="24"/>
  <c r="J116" i="24"/>
  <c r="I116" i="24"/>
  <c r="H116" i="24"/>
  <c r="G116" i="24"/>
  <c r="F116" i="24"/>
  <c r="D116" i="24"/>
  <c r="C116" i="24"/>
  <c r="M115" i="24"/>
  <c r="L115" i="24"/>
  <c r="K115" i="24"/>
  <c r="J115" i="24"/>
  <c r="I115" i="24"/>
  <c r="H115" i="24"/>
  <c r="G115" i="24"/>
  <c r="F115" i="24"/>
  <c r="D115" i="24"/>
  <c r="C115" i="24"/>
  <c r="M114" i="24"/>
  <c r="L114" i="24"/>
  <c r="K114" i="24"/>
  <c r="J114" i="24"/>
  <c r="I114" i="24"/>
  <c r="H114" i="24"/>
  <c r="G114" i="24"/>
  <c r="F114" i="24"/>
  <c r="D114" i="24"/>
  <c r="C114" i="24"/>
  <c r="M113" i="24"/>
  <c r="L113" i="24"/>
  <c r="K113" i="24"/>
  <c r="J113" i="24"/>
  <c r="I113" i="24"/>
  <c r="H113" i="24"/>
  <c r="G113" i="24"/>
  <c r="F113" i="24"/>
  <c r="C113" i="24"/>
  <c r="M111" i="24"/>
  <c r="L111" i="24"/>
  <c r="K111" i="24"/>
  <c r="J111" i="24"/>
  <c r="I111" i="24"/>
  <c r="H111" i="24"/>
  <c r="G111" i="24"/>
  <c r="F111" i="24"/>
  <c r="D111" i="24"/>
  <c r="C111" i="24"/>
  <c r="M110" i="24"/>
  <c r="L110" i="24"/>
  <c r="K110" i="24"/>
  <c r="J110" i="24"/>
  <c r="I110" i="24"/>
  <c r="H110" i="24"/>
  <c r="G110" i="24"/>
  <c r="F110" i="24"/>
  <c r="D110" i="24"/>
  <c r="C110" i="24"/>
  <c r="M109" i="24"/>
  <c r="L109" i="24"/>
  <c r="K109" i="24"/>
  <c r="J109" i="24"/>
  <c r="I109" i="24"/>
  <c r="H109" i="24"/>
  <c r="G109" i="24"/>
  <c r="F109" i="24"/>
  <c r="D109" i="24"/>
  <c r="C109" i="24"/>
  <c r="M108" i="24"/>
  <c r="L108" i="24"/>
  <c r="K108" i="24"/>
  <c r="J108" i="24"/>
  <c r="I108" i="24"/>
  <c r="H108" i="24"/>
  <c r="G108" i="24"/>
  <c r="F108" i="24"/>
  <c r="D108" i="24"/>
  <c r="C108" i="24"/>
  <c r="M107" i="24"/>
  <c r="L107" i="24"/>
  <c r="K107" i="24"/>
  <c r="J107" i="24"/>
  <c r="I107" i="24"/>
  <c r="H107" i="24"/>
  <c r="G107" i="24"/>
  <c r="F107" i="24"/>
  <c r="D107" i="24"/>
  <c r="C107" i="24"/>
  <c r="M106" i="24"/>
  <c r="L106" i="24"/>
  <c r="K106" i="24"/>
  <c r="J106" i="24"/>
  <c r="I106" i="24"/>
  <c r="H106" i="24"/>
  <c r="G106" i="24"/>
  <c r="F106" i="24"/>
  <c r="C106" i="24"/>
  <c r="M104" i="24"/>
  <c r="L104" i="24"/>
  <c r="K104" i="24"/>
  <c r="J104" i="24"/>
  <c r="I104" i="24"/>
  <c r="H104" i="24"/>
  <c r="G104" i="24"/>
  <c r="F104" i="24"/>
  <c r="D104" i="24"/>
  <c r="C104" i="24"/>
  <c r="M103" i="24"/>
  <c r="L103" i="24"/>
  <c r="K103" i="24"/>
  <c r="J103" i="24"/>
  <c r="I103" i="24"/>
  <c r="H103" i="24"/>
  <c r="G103" i="24"/>
  <c r="F103" i="24"/>
  <c r="D103" i="24"/>
  <c r="C103" i="24"/>
  <c r="M102" i="24"/>
  <c r="L102" i="24"/>
  <c r="K102" i="24"/>
  <c r="J102" i="24"/>
  <c r="I102" i="24"/>
  <c r="H102" i="24"/>
  <c r="G102" i="24"/>
  <c r="F102" i="24"/>
  <c r="D102" i="24"/>
  <c r="C102" i="24"/>
  <c r="M101" i="24"/>
  <c r="L101" i="24"/>
  <c r="K101" i="24"/>
  <c r="J101" i="24"/>
  <c r="I101" i="24"/>
  <c r="H101" i="24"/>
  <c r="G101" i="24"/>
  <c r="F101" i="24"/>
  <c r="C101" i="24"/>
  <c r="M99" i="24"/>
  <c r="L99" i="24"/>
  <c r="K99" i="24"/>
  <c r="J99" i="24"/>
  <c r="I99" i="24"/>
  <c r="H99" i="24"/>
  <c r="G99" i="24"/>
  <c r="F99" i="24"/>
  <c r="D99" i="24"/>
  <c r="C99" i="24"/>
  <c r="M98" i="24"/>
  <c r="L98" i="24"/>
  <c r="K98" i="24"/>
  <c r="J98" i="24"/>
  <c r="I98" i="24"/>
  <c r="H98" i="24"/>
  <c r="G98" i="24"/>
  <c r="F98" i="24"/>
  <c r="D98" i="24"/>
  <c r="C98" i="24"/>
  <c r="M97" i="24"/>
  <c r="L97" i="24"/>
  <c r="K97" i="24"/>
  <c r="J97" i="24"/>
  <c r="I97" i="24"/>
  <c r="H97" i="24"/>
  <c r="G97" i="24"/>
  <c r="F97" i="24"/>
  <c r="D97" i="24"/>
  <c r="C97" i="24"/>
  <c r="M96" i="24"/>
  <c r="L96" i="24"/>
  <c r="K96" i="24"/>
  <c r="J96" i="24"/>
  <c r="I96" i="24"/>
  <c r="H96" i="24"/>
  <c r="G96" i="24"/>
  <c r="F96" i="24"/>
  <c r="D96" i="24"/>
  <c r="C96" i="24"/>
  <c r="M95" i="24"/>
  <c r="L95" i="24"/>
  <c r="K95" i="24"/>
  <c r="J95" i="24"/>
  <c r="I95" i="24"/>
  <c r="H95" i="24"/>
  <c r="G95" i="24"/>
  <c r="F95" i="24"/>
  <c r="D95" i="24"/>
  <c r="C95" i="24"/>
  <c r="M94" i="24"/>
  <c r="L94" i="24"/>
  <c r="K94" i="24"/>
  <c r="J94" i="24"/>
  <c r="I94" i="24"/>
  <c r="H94" i="24"/>
  <c r="G94" i="24"/>
  <c r="F94" i="24"/>
  <c r="D94" i="24"/>
  <c r="C94" i="24"/>
  <c r="M93" i="24"/>
  <c r="L93" i="24"/>
  <c r="K93" i="24"/>
  <c r="J93" i="24"/>
  <c r="I93" i="24"/>
  <c r="H93" i="24"/>
  <c r="G93" i="24"/>
  <c r="F93" i="24"/>
  <c r="D93" i="24"/>
  <c r="C93" i="24"/>
  <c r="M92" i="24"/>
  <c r="L92" i="24"/>
  <c r="K92" i="24"/>
  <c r="J92" i="24"/>
  <c r="I92" i="24"/>
  <c r="H92" i="24"/>
  <c r="G92" i="24"/>
  <c r="F92" i="24"/>
  <c r="D92" i="24"/>
  <c r="C92" i="24"/>
  <c r="M91" i="24"/>
  <c r="L91" i="24"/>
  <c r="K91" i="24"/>
  <c r="J91" i="24"/>
  <c r="I91" i="24"/>
  <c r="H91" i="24"/>
  <c r="G91" i="24"/>
  <c r="F91" i="24"/>
  <c r="D91" i="24"/>
  <c r="C91" i="24"/>
  <c r="M90" i="24"/>
  <c r="L90" i="24"/>
  <c r="K90" i="24"/>
  <c r="J90" i="24"/>
  <c r="I90" i="24"/>
  <c r="H90" i="24"/>
  <c r="G90" i="24"/>
  <c r="F90" i="24"/>
  <c r="D90" i="24"/>
  <c r="C90" i="24"/>
  <c r="M89" i="24"/>
  <c r="L89" i="24"/>
  <c r="K89" i="24"/>
  <c r="J89" i="24"/>
  <c r="I89" i="24"/>
  <c r="H89" i="24"/>
  <c r="G89" i="24"/>
  <c r="F89" i="24"/>
  <c r="C89" i="24"/>
  <c r="M87" i="24"/>
  <c r="L87" i="24"/>
  <c r="K87" i="24"/>
  <c r="J87" i="24"/>
  <c r="I87" i="24"/>
  <c r="H87" i="24"/>
  <c r="G87" i="24"/>
  <c r="F87" i="24"/>
  <c r="D87" i="24"/>
  <c r="C87" i="24"/>
  <c r="M86" i="24"/>
  <c r="L86" i="24"/>
  <c r="K86" i="24"/>
  <c r="J86" i="24"/>
  <c r="I86" i="24"/>
  <c r="H86" i="24"/>
  <c r="G86" i="24"/>
  <c r="F86" i="24"/>
  <c r="D86" i="24"/>
  <c r="C86" i="24"/>
  <c r="M85" i="24"/>
  <c r="L85" i="24"/>
  <c r="K85" i="24"/>
  <c r="J85" i="24"/>
  <c r="I85" i="24"/>
  <c r="H85" i="24"/>
  <c r="G85" i="24"/>
  <c r="F85" i="24"/>
  <c r="D85" i="24"/>
  <c r="C85" i="24"/>
  <c r="M84" i="24"/>
  <c r="L84" i="24"/>
  <c r="K84" i="24"/>
  <c r="J84" i="24"/>
  <c r="I84" i="24"/>
  <c r="H84" i="24"/>
  <c r="G84" i="24"/>
  <c r="F84" i="24"/>
  <c r="D84" i="24"/>
  <c r="C84" i="24"/>
  <c r="M83" i="24"/>
  <c r="L83" i="24"/>
  <c r="K83" i="24"/>
  <c r="J83" i="24"/>
  <c r="I83" i="24"/>
  <c r="H83" i="24"/>
  <c r="G83" i="24"/>
  <c r="F83" i="24"/>
  <c r="D83" i="24"/>
  <c r="C83" i="24"/>
  <c r="M82" i="24"/>
  <c r="L82" i="24"/>
  <c r="K82" i="24"/>
  <c r="J82" i="24"/>
  <c r="I82" i="24"/>
  <c r="H82" i="24"/>
  <c r="G82" i="24"/>
  <c r="F82" i="24"/>
  <c r="D82" i="24"/>
  <c r="C82" i="24"/>
  <c r="M81" i="24"/>
  <c r="L81" i="24"/>
  <c r="K81" i="24"/>
  <c r="J81" i="24"/>
  <c r="I81" i="24"/>
  <c r="H81" i="24"/>
  <c r="G81" i="24"/>
  <c r="F81" i="24"/>
  <c r="D81" i="24"/>
  <c r="C81" i="24"/>
  <c r="M80" i="24"/>
  <c r="L80" i="24"/>
  <c r="K80" i="24"/>
  <c r="J80" i="24"/>
  <c r="I80" i="24"/>
  <c r="H80" i="24"/>
  <c r="G80" i="24"/>
  <c r="F80" i="24"/>
  <c r="D80" i="24"/>
  <c r="C80" i="24"/>
  <c r="M79" i="24"/>
  <c r="L79" i="24"/>
  <c r="K79" i="24"/>
  <c r="J79" i="24"/>
  <c r="I79" i="24"/>
  <c r="H79" i="24"/>
  <c r="G79" i="24"/>
  <c r="F79" i="24"/>
  <c r="D79" i="24"/>
  <c r="C79" i="24"/>
  <c r="M78" i="24"/>
  <c r="L78" i="24"/>
  <c r="K78" i="24"/>
  <c r="J78" i="24"/>
  <c r="I78" i="24"/>
  <c r="H78" i="24"/>
  <c r="G78" i="24"/>
  <c r="F78" i="24"/>
  <c r="D78" i="24"/>
  <c r="C78" i="24"/>
  <c r="M77" i="24"/>
  <c r="L77" i="24"/>
  <c r="K77" i="24"/>
  <c r="J77" i="24"/>
  <c r="I77" i="24"/>
  <c r="H77" i="24"/>
  <c r="G77" i="24"/>
  <c r="F77" i="24"/>
  <c r="D77" i="24"/>
  <c r="C77" i="24"/>
  <c r="M76" i="24"/>
  <c r="L76" i="24"/>
  <c r="K76" i="24"/>
  <c r="J76" i="24"/>
  <c r="I76" i="24"/>
  <c r="H76" i="24"/>
  <c r="G76" i="24"/>
  <c r="F76" i="24"/>
  <c r="C76" i="24"/>
  <c r="M74" i="24"/>
  <c r="L74" i="24"/>
  <c r="K74" i="24"/>
  <c r="J74" i="24"/>
  <c r="I74" i="24"/>
  <c r="H74" i="24"/>
  <c r="G74" i="24"/>
  <c r="F74" i="24"/>
  <c r="D74" i="24"/>
  <c r="C74" i="24"/>
  <c r="M73" i="24"/>
  <c r="L73" i="24"/>
  <c r="K73" i="24"/>
  <c r="J73" i="24"/>
  <c r="I73" i="24"/>
  <c r="H73" i="24"/>
  <c r="G73" i="24"/>
  <c r="F73" i="24"/>
  <c r="D73" i="24"/>
  <c r="C73" i="24"/>
  <c r="M72" i="24"/>
  <c r="L72" i="24"/>
  <c r="K72" i="24"/>
  <c r="J72" i="24"/>
  <c r="I72" i="24"/>
  <c r="H72" i="24"/>
  <c r="G72" i="24"/>
  <c r="F72" i="24"/>
  <c r="D72" i="24"/>
  <c r="C72" i="24"/>
  <c r="M71" i="24"/>
  <c r="L71" i="24"/>
  <c r="K71" i="24"/>
  <c r="J71" i="24"/>
  <c r="I71" i="24"/>
  <c r="H71" i="24"/>
  <c r="G71" i="24"/>
  <c r="F71" i="24"/>
  <c r="D71" i="24"/>
  <c r="C71" i="24"/>
  <c r="M70" i="24"/>
  <c r="L70" i="24"/>
  <c r="K70" i="24"/>
  <c r="J70" i="24"/>
  <c r="I70" i="24"/>
  <c r="H70" i="24"/>
  <c r="G70" i="24"/>
  <c r="F70" i="24"/>
  <c r="D70" i="24"/>
  <c r="C70" i="24"/>
  <c r="M69" i="24"/>
  <c r="L69" i="24"/>
  <c r="K69" i="24"/>
  <c r="J69" i="24"/>
  <c r="I69" i="24"/>
  <c r="H69" i="24"/>
  <c r="G69" i="24"/>
  <c r="F69" i="24"/>
  <c r="D69" i="24"/>
  <c r="C69" i="24"/>
  <c r="M68" i="24"/>
  <c r="L68" i="24"/>
  <c r="K68" i="24"/>
  <c r="J68" i="24"/>
  <c r="I68" i="24"/>
  <c r="H68" i="24"/>
  <c r="G68" i="24"/>
  <c r="F68" i="24"/>
  <c r="D68" i="24"/>
  <c r="C68" i="24"/>
  <c r="M67" i="24"/>
  <c r="L67" i="24"/>
  <c r="K67" i="24"/>
  <c r="J67" i="24"/>
  <c r="I67" i="24"/>
  <c r="H67" i="24"/>
  <c r="G67" i="24"/>
  <c r="F67" i="24"/>
  <c r="D67" i="24"/>
  <c r="C67" i="24"/>
  <c r="M66" i="24"/>
  <c r="L66" i="24"/>
  <c r="K66" i="24"/>
  <c r="J66" i="24"/>
  <c r="I66" i="24"/>
  <c r="H66" i="24"/>
  <c r="G66" i="24"/>
  <c r="F66" i="24"/>
  <c r="D66" i="24"/>
  <c r="C66" i="24"/>
  <c r="M65" i="24"/>
  <c r="L65" i="24"/>
  <c r="K65" i="24"/>
  <c r="J65" i="24"/>
  <c r="I65" i="24"/>
  <c r="H65" i="24"/>
  <c r="G65" i="24"/>
  <c r="F65" i="24"/>
  <c r="D65" i="24"/>
  <c r="C65" i="24"/>
  <c r="M64" i="24"/>
  <c r="L64" i="24"/>
  <c r="K64" i="24"/>
  <c r="J64" i="24"/>
  <c r="I64" i="24"/>
  <c r="H64" i="24"/>
  <c r="G64" i="24"/>
  <c r="F64" i="24"/>
  <c r="D64" i="24"/>
  <c r="C64" i="24"/>
  <c r="M63" i="24"/>
  <c r="L63" i="24"/>
  <c r="K63" i="24"/>
  <c r="J63" i="24"/>
  <c r="I63" i="24"/>
  <c r="H63" i="24"/>
  <c r="G63" i="24"/>
  <c r="F63" i="24"/>
  <c r="D63" i="24"/>
  <c r="C63" i="24"/>
  <c r="M62" i="24"/>
  <c r="L62" i="24"/>
  <c r="K62" i="24"/>
  <c r="J62" i="24"/>
  <c r="I62" i="24"/>
  <c r="H62" i="24"/>
  <c r="G62" i="24"/>
  <c r="F62" i="24"/>
  <c r="D62" i="24"/>
  <c r="C62" i="24"/>
  <c r="M61" i="24"/>
  <c r="L61" i="24"/>
  <c r="K61" i="24"/>
  <c r="J61" i="24"/>
  <c r="I61" i="24"/>
  <c r="H61" i="24"/>
  <c r="G61" i="24"/>
  <c r="F61" i="24"/>
  <c r="D61" i="24"/>
  <c r="C61" i="24"/>
  <c r="M60" i="24"/>
  <c r="L60" i="24"/>
  <c r="K60" i="24"/>
  <c r="J60" i="24"/>
  <c r="I60" i="24"/>
  <c r="H60" i="24"/>
  <c r="G60" i="24"/>
  <c r="F60" i="24"/>
  <c r="D60" i="24"/>
  <c r="C60" i="24"/>
  <c r="M59" i="24"/>
  <c r="L59" i="24"/>
  <c r="K59" i="24"/>
  <c r="J59" i="24"/>
  <c r="I59" i="24"/>
  <c r="H59" i="24"/>
  <c r="G59" i="24"/>
  <c r="F59" i="24"/>
  <c r="D59" i="24"/>
  <c r="C59" i="24"/>
  <c r="M58" i="24"/>
  <c r="L58" i="24"/>
  <c r="K58" i="24"/>
  <c r="J58" i="24"/>
  <c r="I58" i="24"/>
  <c r="H58" i="24"/>
  <c r="G58" i="24"/>
  <c r="F58" i="24"/>
  <c r="D58" i="24"/>
  <c r="C58" i="24"/>
  <c r="M57" i="24"/>
  <c r="L57" i="24"/>
  <c r="K57" i="24"/>
  <c r="J57" i="24"/>
  <c r="I57" i="24"/>
  <c r="H57" i="24"/>
  <c r="G57" i="24"/>
  <c r="F57" i="24"/>
  <c r="D57" i="24"/>
  <c r="C57" i="24"/>
  <c r="M56" i="24"/>
  <c r="L56" i="24"/>
  <c r="K56" i="24"/>
  <c r="J56" i="24"/>
  <c r="I56" i="24"/>
  <c r="H56" i="24"/>
  <c r="G56" i="24"/>
  <c r="F56" i="24"/>
  <c r="D56" i="24"/>
  <c r="C56" i="24"/>
  <c r="M55" i="24"/>
  <c r="L55" i="24"/>
  <c r="K55" i="24"/>
  <c r="J55" i="24"/>
  <c r="I55" i="24"/>
  <c r="H55" i="24"/>
  <c r="G55" i="24"/>
  <c r="F55" i="24"/>
  <c r="D55" i="24"/>
  <c r="C55" i="24"/>
  <c r="M54" i="24"/>
  <c r="L54" i="24"/>
  <c r="K54" i="24"/>
  <c r="J54" i="24"/>
  <c r="I54" i="24"/>
  <c r="H54" i="24"/>
  <c r="G54" i="24"/>
  <c r="F54" i="24"/>
  <c r="D54" i="24"/>
  <c r="C54" i="24"/>
  <c r="M53" i="24"/>
  <c r="L53" i="24"/>
  <c r="K53" i="24"/>
  <c r="J53" i="24"/>
  <c r="I53" i="24"/>
  <c r="H53" i="24"/>
  <c r="G53" i="24"/>
  <c r="F53" i="24"/>
  <c r="D53" i="24"/>
  <c r="C53" i="24"/>
  <c r="M52" i="24"/>
  <c r="L52" i="24"/>
  <c r="K52" i="24"/>
  <c r="J52" i="24"/>
  <c r="I52" i="24"/>
  <c r="H52" i="24"/>
  <c r="G52" i="24"/>
  <c r="F52" i="24"/>
  <c r="D52" i="24"/>
  <c r="C52" i="24"/>
  <c r="M51" i="24"/>
  <c r="L51" i="24"/>
  <c r="K51" i="24"/>
  <c r="J51" i="24"/>
  <c r="I51" i="24"/>
  <c r="H51" i="24"/>
  <c r="G51" i="24"/>
  <c r="F51" i="24"/>
  <c r="D51" i="24"/>
  <c r="C51" i="24"/>
  <c r="M50" i="24"/>
  <c r="L50" i="24"/>
  <c r="K50" i="24"/>
  <c r="J50" i="24"/>
  <c r="I50" i="24"/>
  <c r="H50" i="24"/>
  <c r="G50" i="24"/>
  <c r="F50" i="24"/>
  <c r="M48" i="24"/>
  <c r="L48" i="24"/>
  <c r="K48" i="24"/>
  <c r="J48" i="24"/>
  <c r="I48" i="24"/>
  <c r="H48" i="24"/>
  <c r="G48" i="24"/>
  <c r="F48" i="24"/>
  <c r="D48" i="24"/>
  <c r="C48" i="24"/>
  <c r="M47" i="24"/>
  <c r="L47" i="24"/>
  <c r="K47" i="24"/>
  <c r="J47" i="24"/>
  <c r="I47" i="24"/>
  <c r="H47" i="24"/>
  <c r="G47" i="24"/>
  <c r="F47" i="24"/>
  <c r="D47" i="24"/>
  <c r="C47" i="24"/>
  <c r="M45" i="24"/>
  <c r="L45" i="24"/>
  <c r="K45" i="24"/>
  <c r="J45" i="24"/>
  <c r="I45" i="24"/>
  <c r="H45" i="24"/>
  <c r="G45" i="24"/>
  <c r="F45" i="24"/>
  <c r="D45" i="24"/>
  <c r="C45" i="24"/>
  <c r="M44" i="24"/>
  <c r="L44" i="24"/>
  <c r="K44" i="24"/>
  <c r="J44" i="24"/>
  <c r="I44" i="24"/>
  <c r="H44" i="24"/>
  <c r="G44" i="24"/>
  <c r="F44" i="24"/>
  <c r="D44" i="24"/>
  <c r="C44" i="24"/>
  <c r="M43" i="24"/>
  <c r="L43" i="24"/>
  <c r="K43" i="24"/>
  <c r="J43" i="24"/>
  <c r="I43" i="24"/>
  <c r="H43" i="24"/>
  <c r="G43" i="24"/>
  <c r="F43" i="24"/>
  <c r="D43" i="24"/>
  <c r="C43" i="24"/>
  <c r="M42" i="24"/>
  <c r="L42" i="24"/>
  <c r="K42" i="24"/>
  <c r="J42" i="24"/>
  <c r="I42" i="24"/>
  <c r="H42" i="24"/>
  <c r="G42" i="24"/>
  <c r="F42" i="24"/>
  <c r="D42" i="24"/>
  <c r="C42" i="24"/>
  <c r="M41" i="24"/>
  <c r="L41" i="24"/>
  <c r="K41" i="24"/>
  <c r="J41" i="24"/>
  <c r="I41" i="24"/>
  <c r="H41" i="24"/>
  <c r="G41" i="24"/>
  <c r="F41" i="24"/>
  <c r="D41" i="24"/>
  <c r="C41" i="24"/>
  <c r="M40" i="24"/>
  <c r="L40" i="24"/>
  <c r="K40" i="24"/>
  <c r="J40" i="24"/>
  <c r="I40" i="24"/>
  <c r="H40" i="24"/>
  <c r="G40" i="24"/>
  <c r="F40" i="24"/>
  <c r="D40" i="24"/>
  <c r="C40" i="24"/>
  <c r="M39" i="24"/>
  <c r="L39" i="24"/>
  <c r="K39" i="24"/>
  <c r="J39" i="24"/>
  <c r="I39" i="24"/>
  <c r="H39" i="24"/>
  <c r="G39" i="24"/>
  <c r="F39" i="24"/>
  <c r="D39" i="24"/>
  <c r="C39" i="24"/>
  <c r="M38" i="24"/>
  <c r="L38" i="24"/>
  <c r="K38" i="24"/>
  <c r="J38" i="24"/>
  <c r="I38" i="24"/>
  <c r="H38" i="24"/>
  <c r="G38" i="24"/>
  <c r="F38" i="24"/>
  <c r="D38" i="24"/>
  <c r="C38" i="24"/>
  <c r="M37" i="24"/>
  <c r="L37" i="24"/>
  <c r="K37" i="24"/>
  <c r="J37" i="24"/>
  <c r="I37" i="24"/>
  <c r="H37" i="24"/>
  <c r="G37" i="24"/>
  <c r="F37" i="24"/>
  <c r="D37" i="24"/>
  <c r="C37" i="24"/>
  <c r="M36" i="24"/>
  <c r="L36" i="24"/>
  <c r="K36" i="24"/>
  <c r="J36" i="24"/>
  <c r="I36" i="24"/>
  <c r="H36" i="24"/>
  <c r="G36" i="24"/>
  <c r="F36" i="24"/>
  <c r="D36" i="24"/>
  <c r="C36" i="24"/>
  <c r="M35" i="24"/>
  <c r="L35" i="24"/>
  <c r="K35" i="24"/>
  <c r="J35" i="24"/>
  <c r="I35" i="24"/>
  <c r="H35" i="24"/>
  <c r="G35" i="24"/>
  <c r="F35" i="24"/>
  <c r="D35" i="24"/>
  <c r="C35" i="24"/>
  <c r="M34" i="24"/>
  <c r="L34" i="24"/>
  <c r="K34" i="24"/>
  <c r="J34" i="24"/>
  <c r="I34" i="24"/>
  <c r="H34" i="24"/>
  <c r="G34" i="24"/>
  <c r="F34" i="24"/>
  <c r="D34" i="24"/>
  <c r="C34" i="24"/>
  <c r="M33" i="24"/>
  <c r="L33" i="24"/>
  <c r="K33" i="24"/>
  <c r="J33" i="24"/>
  <c r="I33" i="24"/>
  <c r="H33" i="24"/>
  <c r="G33" i="24"/>
  <c r="F33" i="24"/>
  <c r="M32" i="24"/>
  <c r="L32" i="24"/>
  <c r="K32" i="24"/>
  <c r="J32" i="24"/>
  <c r="I32" i="24"/>
  <c r="H32" i="24"/>
  <c r="G32" i="24"/>
  <c r="F32" i="24"/>
  <c r="D32" i="24"/>
  <c r="C32" i="24"/>
  <c r="M31" i="24"/>
  <c r="L31" i="24"/>
  <c r="K31" i="24"/>
  <c r="J31" i="24"/>
  <c r="I31" i="24"/>
  <c r="H31" i="24"/>
  <c r="G31" i="24"/>
  <c r="F31" i="24"/>
  <c r="D31" i="24"/>
  <c r="C31" i="24"/>
  <c r="M30" i="24"/>
  <c r="L30" i="24"/>
  <c r="K30" i="24"/>
  <c r="J30" i="24"/>
  <c r="I30" i="24"/>
  <c r="H30" i="24"/>
  <c r="G30" i="24"/>
  <c r="F30" i="24"/>
  <c r="D30" i="24"/>
  <c r="C30" i="24"/>
  <c r="M29" i="24"/>
  <c r="L29" i="24"/>
  <c r="K29" i="24"/>
  <c r="J29" i="24"/>
  <c r="I29" i="24"/>
  <c r="H29" i="24"/>
  <c r="G29" i="24"/>
  <c r="F29" i="24"/>
  <c r="D29" i="24"/>
  <c r="C29" i="24"/>
  <c r="M28" i="24"/>
  <c r="L28" i="24"/>
  <c r="K28" i="24"/>
  <c r="J28" i="24"/>
  <c r="I28" i="24"/>
  <c r="H28" i="24"/>
  <c r="G28" i="24"/>
  <c r="F28" i="24"/>
  <c r="D28" i="24"/>
  <c r="C28" i="24"/>
  <c r="M27" i="24"/>
  <c r="L27" i="24"/>
  <c r="K27" i="24"/>
  <c r="J27" i="24"/>
  <c r="I27" i="24"/>
  <c r="H27" i="24"/>
  <c r="G27" i="24"/>
  <c r="F27" i="24"/>
  <c r="M26" i="24"/>
  <c r="L26" i="24"/>
  <c r="K26" i="24"/>
  <c r="J26" i="24"/>
  <c r="I26" i="24"/>
  <c r="H26" i="24"/>
  <c r="G26" i="24"/>
  <c r="F26" i="24"/>
  <c r="D26" i="24"/>
  <c r="C26" i="24"/>
  <c r="M25" i="24"/>
  <c r="L25" i="24"/>
  <c r="K25" i="24"/>
  <c r="J25" i="24"/>
  <c r="I25" i="24"/>
  <c r="H25" i="24"/>
  <c r="G25" i="24"/>
  <c r="F25" i="24"/>
  <c r="D25" i="24"/>
  <c r="C25" i="24"/>
  <c r="M24" i="24"/>
  <c r="L24" i="24"/>
  <c r="K24" i="24"/>
  <c r="J24" i="24"/>
  <c r="I24" i="24"/>
  <c r="H24" i="24"/>
  <c r="G24" i="24"/>
  <c r="F24" i="24"/>
  <c r="M23" i="24"/>
  <c r="L23" i="24"/>
  <c r="K23" i="24"/>
  <c r="J23" i="24"/>
  <c r="I23" i="24"/>
  <c r="H23" i="24"/>
  <c r="G23" i="24"/>
  <c r="F23" i="24"/>
  <c r="D23" i="24"/>
  <c r="C23" i="24"/>
  <c r="M22" i="24"/>
  <c r="L22" i="24"/>
  <c r="K22" i="24"/>
  <c r="J22" i="24"/>
  <c r="I22" i="24"/>
  <c r="H22" i="24"/>
  <c r="G22" i="24"/>
  <c r="F22" i="24"/>
  <c r="D22" i="24"/>
  <c r="C22" i="24"/>
  <c r="M21" i="24"/>
  <c r="L21" i="24"/>
  <c r="K21" i="24"/>
  <c r="J21" i="24"/>
  <c r="I21" i="24"/>
  <c r="H21" i="24"/>
  <c r="G21" i="24"/>
  <c r="F21" i="24"/>
  <c r="D21" i="24"/>
  <c r="C21" i="24"/>
  <c r="M20" i="24"/>
  <c r="L20" i="24"/>
  <c r="K20" i="24"/>
  <c r="J20" i="24"/>
  <c r="I20" i="24"/>
  <c r="H20" i="24"/>
  <c r="G20" i="24"/>
  <c r="F20" i="24"/>
  <c r="D20" i="24"/>
  <c r="C20" i="24"/>
  <c r="M19" i="24"/>
  <c r="L19" i="24"/>
  <c r="K19" i="24"/>
  <c r="J19" i="24"/>
  <c r="I19" i="24"/>
  <c r="H19" i="24"/>
  <c r="G19" i="24"/>
  <c r="F19" i="24"/>
  <c r="D19" i="24"/>
  <c r="C19" i="24"/>
  <c r="M18" i="24"/>
  <c r="L18" i="24"/>
  <c r="K18" i="24"/>
  <c r="J18" i="24"/>
  <c r="I18" i="24"/>
  <c r="H18" i="24"/>
  <c r="G18" i="24"/>
  <c r="F18" i="24"/>
  <c r="D18" i="24"/>
  <c r="C18" i="24"/>
  <c r="M17" i="24"/>
  <c r="L17" i="24"/>
  <c r="K17" i="24"/>
  <c r="J17" i="24"/>
  <c r="I17" i="24"/>
  <c r="H17" i="24"/>
  <c r="G17" i="24"/>
  <c r="F17" i="24"/>
  <c r="D17" i="24"/>
  <c r="C17" i="24"/>
  <c r="M16" i="24"/>
  <c r="L16" i="24"/>
  <c r="K16" i="24"/>
  <c r="J16" i="24"/>
  <c r="I16" i="24"/>
  <c r="H16" i="24"/>
  <c r="G16" i="24"/>
  <c r="F16" i="24"/>
  <c r="D16" i="24"/>
  <c r="C16" i="24"/>
  <c r="M15" i="24"/>
  <c r="L15" i="24"/>
  <c r="K15" i="24"/>
  <c r="J15" i="24"/>
  <c r="I15" i="24"/>
  <c r="H15" i="24"/>
  <c r="G15" i="24"/>
  <c r="F15" i="24"/>
  <c r="M14" i="24"/>
  <c r="L14" i="24"/>
  <c r="K14" i="24"/>
  <c r="J14" i="24"/>
  <c r="I14" i="24"/>
  <c r="H14" i="24"/>
  <c r="G14" i="24"/>
  <c r="F14" i="24"/>
  <c r="F11" i="24"/>
  <c r="F10" i="24"/>
  <c r="F9" i="24"/>
  <c r="F8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Infraware Corporation</author>
  </authors>
  <commentList>
    <comment ref="D14" authorId="0" shapeId="0" xr:uid="{FA36C7B1-FE7B-46B7-9A56-B2994BDE7AAC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ISO14064-1 5.1</t>
        </r>
      </text>
    </comment>
    <comment ref="D87" authorId="0" shapeId="0" xr:uid="{B52D74D9-4F2A-452C-B5FB-D9638B8860DE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ISO14064-1 5.1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Infraware Corporation</author>
    <author>侯溯文</author>
    <author>邱扬</author>
    <author>17802</author>
  </authors>
  <commentList>
    <comment ref="B2" authorId="0" shapeId="0" xr:uid="{00000000-0006-0000-0300-000001000000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ISO14064-3 Table A.2;
GHG Protocol D;
IPCC 2006 Guidelines for National GHG Inventories;</t>
        </r>
      </text>
    </comment>
    <comment ref="C2" authorId="0" shapeId="0" xr:uid="{00000000-0006-0000-0300-000002000000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ISO14064-1 4.3.1 ;4.3.2</t>
        </r>
      </text>
    </comment>
    <comment ref="D2" authorId="0" shapeId="0" xr:uid="{00000000-0006-0000-0300-000003000000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ISO14064-1 5.1</t>
        </r>
      </text>
    </comment>
    <comment ref="F2" authorId="0" shapeId="0" xr:uid="{00000000-0006-0000-0300-000004000000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ISO14064-1 Clause 4.3</t>
        </r>
      </text>
    </comment>
    <comment ref="F5" authorId="1" shapeId="0" xr:uid="{00000000-0006-0000-0300-000005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天然气发票</t>
        </r>
      </text>
    </comment>
    <comment ref="F6" authorId="2" shapeId="0" xr:uid="{00000000-0006-0000-0300-000006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《2024冶钢宾馆水电气》</t>
        </r>
      </text>
    </comment>
    <comment ref="F7" authorId="2" shapeId="0" xr:uid="{00000000-0006-0000-0300-000007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收发存-发出量</t>
        </r>
      </text>
    </comment>
    <comment ref="F8" authorId="2" shapeId="0" xr:uid="{00000000-0006-0000-0300-000008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收发存-发出量</t>
        </r>
      </text>
    </comment>
    <comment ref="F9" authorId="1" shapeId="0" xr:uid="{00000000-0006-0000-0300-000009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收发存-发出量 焦煤、气煤、瘦煤等</t>
        </r>
      </text>
    </comment>
    <comment ref="F10" authorId="1" shapeId="0" xr:uid="{00000000-0006-0000-0300-00000A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收发存-发出量</t>
        </r>
      </text>
    </comment>
    <comment ref="F11" authorId="1" shapeId="0" xr:uid="{00000000-0006-0000-0300-00000B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收发存-发出量</t>
        </r>
      </text>
    </comment>
    <comment ref="F12" authorId="1" shapeId="0" xr:uid="{00000000-0006-0000-0300-00000C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《2024年冶钢能源介质平衡表》-焦炉煤气-其他</t>
        </r>
      </text>
    </comment>
    <comment ref="F13" authorId="1" shapeId="0" xr:uid="{00000000-0006-0000-0300-00000D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收发存-发出量</t>
        </r>
      </text>
    </comment>
    <comment ref="F14" authorId="2" shapeId="0" xr:uid="{00000000-0006-0000-0300-00000E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《总经办小车队汽油统计-2024年》，汽油密度0.775/10^3t/L来源GB17930-2016 表2</t>
        </r>
      </text>
    </comment>
    <comment ref="F15" authorId="2" shapeId="0" xr:uid="{00000000-0006-0000-0300-00000F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《空调加氟汇总表》</t>
        </r>
      </text>
    </comment>
    <comment ref="F16" authorId="2" shapeId="0" xr:uid="{00000000-0006-0000-0300-000010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《收发存》，按购入量推算淘汰/使用量，淘汰/使用量按逸散算</t>
        </r>
      </text>
    </comment>
    <comment ref="F17" authorId="2" shapeId="0" xr:uid="{00000000-0006-0000-0300-000011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（人数*人均BOD*0.001*BOD修正因子*251*8/24）计算依据见下附图</t>
        </r>
      </text>
    </comment>
    <comment ref="F18" authorId="2" shapeId="0" xr:uid="{00000000-0006-0000-0300-000012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《2024年工业废水处置》</t>
        </r>
      </text>
    </comment>
    <comment ref="F19" authorId="2" shapeId="0" xr:uid="{00000000-0006-0000-0300-000013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《电气设备SF6统计》</t>
        </r>
      </text>
    </comment>
    <comment ref="F20" authorId="1" shapeId="0" xr:uid="{00000000-0006-0000-0300-000014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《2024年统计月报（转炉）》《2024年统计月报（烧结）》
《脱硫脱硝成本补充（汇总2024炼铁厂）》</t>
        </r>
      </text>
    </comment>
    <comment ref="F21" authorId="1" shapeId="0" xr:uid="{00000000-0006-0000-0300-000015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收发存-发出量</t>
        </r>
      </text>
    </comment>
    <comment ref="F22" authorId="1" shapeId="0" xr:uid="{00000000-0006-0000-0300-000016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收发存-发出量</t>
        </r>
      </text>
    </comment>
    <comment ref="F23" authorId="1" shapeId="0" xr:uid="{00000000-0006-0000-0300-000017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《2024年统计月报（转炉）》《2024年50t电炉台账》《2024年大电炉台账》
因收发存包含了部分未作区分的自产废钢，因此选用生产数据</t>
        </r>
      </text>
    </comment>
    <comment ref="F24" authorId="1" shapeId="0" xr:uid="{00000000-0006-0000-0300-000018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收发存-发出量</t>
        </r>
      </text>
    </comment>
    <comment ref="F25" authorId="1" shapeId="0" xr:uid="{00000000-0006-0000-0300-000019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收发存-发出量 镍铁+水淬镍</t>
        </r>
      </text>
    </comment>
    <comment ref="F26" authorId="1" shapeId="0" xr:uid="{00000000-0006-0000-0300-00001A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收发存-发出量</t>
        </r>
      </text>
    </comment>
    <comment ref="F27" authorId="1" shapeId="0" xr:uid="{00000000-0006-0000-0300-00001B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收发存-发出量</t>
        </r>
      </text>
    </comment>
    <comment ref="F28" authorId="2" shapeId="0" xr:uid="{00000000-0006-0000-0300-00001C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收发存-发出量</t>
        </r>
      </text>
    </comment>
    <comment ref="F29" authorId="1" shapeId="0" xr:uid="{00000000-0006-0000-0300-00001D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2024年产量表 50t+70t+转炉</t>
        </r>
      </text>
    </comment>
    <comment ref="F30" authorId="1" shapeId="0" xr:uid="{00000000-0006-0000-0300-00001E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新化能完成情况</t>
        </r>
      </text>
    </comment>
    <comment ref="F32" authorId="1" shapeId="0" xr:uid="{00000000-0006-0000-0300-00001F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基本电费、自发电</t>
        </r>
      </text>
    </comment>
    <comment ref="F33" authorId="1" shapeId="0" xr:uid="{00000000-0006-0000-0300-000020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基本电费、自发电</t>
        </r>
      </text>
    </comment>
    <comment ref="F34" authorId="2" shapeId="0" xr:uid="{00000000-0006-0000-0300-000021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《2024年统计月报（烧结）》《2024年统计报表（中高炉）》
收发存统计有重复计算的问题</t>
        </r>
      </text>
    </comment>
    <comment ref="F35" authorId="1" shapeId="0" xr:uid="{00000000-0006-0000-0300-000022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收发存-入库量</t>
        </r>
      </text>
    </comment>
    <comment ref="F36" authorId="2" shapeId="0" xr:uid="{00000000-0006-0000-0300-000023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收发存不全，改用《2024年统计月报（转炉）》《脱硫脱硝成本补充（汇总2024炼铁厂）》</t>
        </r>
      </text>
    </comment>
    <comment ref="F37" authorId="2" shapeId="0" xr:uid="{00000000-0006-0000-0300-000024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收发存-入库量</t>
        </r>
      </text>
    </comment>
    <comment ref="F38" authorId="2" shapeId="0" xr:uid="{00000000-0006-0000-0300-000025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收发存-入库量</t>
        </r>
      </text>
    </comment>
    <comment ref="F39" authorId="1" shapeId="0" xr:uid="{00000000-0006-0000-0300-000026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收发存-入库量</t>
        </r>
      </text>
    </comment>
    <comment ref="F40" authorId="2" shapeId="0" xr:uid="{00000000-0006-0000-0300-000027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《2024年统计月报（转炉厂）》《2024年50t电炉台账》《2024年大电炉台账》</t>
        </r>
      </text>
    </comment>
    <comment ref="F41" authorId="2" shapeId="0" xr:uid="{00000000-0006-0000-0300-000028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收发存-入库量</t>
        </r>
      </text>
    </comment>
    <comment ref="F42" authorId="1" shapeId="0" xr:uid="{00000000-0006-0000-0300-000029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收发存-入库量</t>
        </r>
      </text>
    </comment>
    <comment ref="F43" authorId="1" shapeId="0" xr:uid="{00000000-0006-0000-0300-00002A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收发存-入库量 镍铁+水淬镍</t>
        </r>
      </text>
    </comment>
    <comment ref="F44" authorId="1" shapeId="0" xr:uid="{00000000-0006-0000-0300-00002B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收发存-入库量</t>
        </r>
      </text>
    </comment>
    <comment ref="F45" authorId="1" shapeId="0" xr:uid="{00000000-0006-0000-0300-00002C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收发存-入库量</t>
        </r>
      </text>
    </comment>
    <comment ref="F46" authorId="1" shapeId="0" xr:uid="{00000000-0006-0000-0300-00002D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收发存-入库量</t>
        </r>
      </text>
    </comment>
    <comment ref="F47" authorId="2" shapeId="0" xr:uid="{00000000-0006-0000-0300-00002E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收发存-入库量</t>
        </r>
      </text>
    </comment>
    <comment ref="F48" authorId="2" shapeId="0" xr:uid="{00000000-0006-0000-0300-00002F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收发存-入库量</t>
        </r>
      </text>
    </comment>
    <comment ref="F49" authorId="2" shapeId="0" xr:uid="{00000000-0006-0000-0300-000030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收发存-入库量</t>
        </r>
      </text>
    </comment>
    <comment ref="F50" authorId="2" shapeId="0" xr:uid="{00000000-0006-0000-0300-000031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收发存-入库量</t>
        </r>
      </text>
    </comment>
    <comment ref="F51" authorId="2" shapeId="0" xr:uid="{00000000-0006-0000-0300-000032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收发存-入库量</t>
        </r>
      </text>
    </comment>
    <comment ref="F52" authorId="2" shapeId="0" xr:uid="{00000000-0006-0000-0300-000033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《脱硫脱硝成本补充》 收发存统计不全</t>
        </r>
      </text>
    </comment>
    <comment ref="F53" authorId="2" shapeId="0" xr:uid="{00000000-0006-0000-0300-000034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收发存-入库量</t>
        </r>
      </text>
    </comment>
    <comment ref="F54" authorId="2" shapeId="0" xr:uid="{00000000-0006-0000-0300-000035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收发存-入库量</t>
        </r>
      </text>
    </comment>
    <comment ref="F55" authorId="2" shapeId="0" xr:uid="{00000000-0006-0000-0300-000036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F56" authorId="2" shapeId="0" xr:uid="{00000000-0006-0000-0300-000037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F57" authorId="2" shapeId="0" xr:uid="{00000000-0006-0000-0300-000038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《2024年12月能源报表》中，“净化水”展开后的“水源站取水量”</t>
        </r>
      </text>
    </comment>
    <comment ref="F58" authorId="2" shapeId="0" xr:uid="{00000000-0006-0000-0300-000039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F59" authorId="2" shapeId="0" xr:uid="{00000000-0006-0000-0300-00003A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F60" authorId="2" shapeId="0" xr:uid="{00000000-0006-0000-0300-00003B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F61" authorId="2" shapeId="0" xr:uid="{00000000-0006-0000-0300-00003C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F62" authorId="2" shapeId="0" xr:uid="{00000000-0006-0000-0300-00003D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F63" authorId="2" shapeId="0" xr:uid="{00000000-0006-0000-0300-00003E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F67" authorId="2" shapeId="0" xr:uid="{00000000-0006-0000-0300-00003F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F68" authorId="2" shapeId="0" xr:uid="{00000000-0006-0000-0300-000040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F79" authorId="2" shapeId="0" xr:uid="{00000000-0006-0000-0300-000041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《数据统计表》中表3.1.1 原辅材料采购运输</t>
        </r>
      </text>
    </comment>
    <comment ref="F80" authorId="2" shapeId="0" xr:uid="{00000000-0006-0000-0300-000042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《数据统计表》中表3.1.1 原辅材料采购运输</t>
        </r>
      </text>
    </comment>
    <comment ref="F81" authorId="2" shapeId="0" xr:uid="{00000000-0006-0000-0300-000043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《数据统计表》中表3.1.1 原辅材料采购运输</t>
        </r>
      </text>
    </comment>
    <comment ref="F82" authorId="2" shapeId="0" xr:uid="{00000000-0006-0000-0300-000044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垃圾表</t>
        </r>
      </text>
    </comment>
    <comment ref="F83" authorId="3" shapeId="0" xr:uid="{00000000-0006-0000-0300-000045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《2024环保指标统计》</t>
        </r>
      </text>
    </comment>
    <comment ref="F84" authorId="3" shapeId="0" xr:uid="{00000000-0006-0000-0300-000046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《2024环保指标统计》</t>
        </r>
      </text>
    </comment>
    <comment ref="F85" authorId="1" shapeId="0" xr:uid="{00000000-0006-0000-0300-000047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《2024年环保指标统计》</t>
        </r>
      </text>
    </comment>
    <comment ref="F86" authorId="3" shapeId="0" xr:uid="{00000000-0006-0000-0300-000048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《危险废物转移联单》</t>
        </r>
      </text>
    </comment>
    <comment ref="F87" authorId="2" shapeId="0" xr:uid="{00000000-0006-0000-0300-000049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取2024年出行城市人次达总人次前80%的差旅距离加权平均后得到平均单程差旅距离约为1019km，出差人次为1914</t>
        </r>
      </text>
    </comment>
    <comment ref="F88" authorId="2" shapeId="0" xr:uid="{00000000-0006-0000-0300-00004A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取2024年出行城市人次达总人次前80%的差旅距离加权平均后得到平均单程差旅距离约为357.02km，出差人次为11593</t>
        </r>
      </text>
    </comment>
    <comment ref="F89" authorId="2" shapeId="0" xr:uid="{00000000-0006-0000-0300-00004B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假设出差每人次住宿一天估算</t>
        </r>
      </text>
    </comment>
    <comment ref="F90" authorId="3" shapeId="0" xr:uid="{00000000-0006-0000-0300-00004C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《员工通勤情况统计》</t>
        </r>
      </text>
    </comment>
    <comment ref="F91" authorId="3" shapeId="0" xr:uid="{00000000-0006-0000-0300-00004D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《员工通勤情况统计》
</t>
        </r>
      </text>
    </comment>
    <comment ref="F92" authorId="3" shapeId="0" xr:uid="{00000000-0006-0000-0300-00004E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《员工通勤情况统计》</t>
        </r>
      </text>
    </comment>
    <comment ref="F93" authorId="3" shapeId="0" xr:uid="{00000000-0006-0000-0300-00004F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《员工通勤情况统计》
</t>
        </r>
      </text>
    </comment>
    <comment ref="F94" authorId="2" shapeId="0" xr:uid="{00000000-0006-0000-0300-000050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《2024产品销售运输统计》</t>
        </r>
      </text>
    </comment>
    <comment ref="F95" authorId="2" shapeId="0" xr:uid="{00000000-0006-0000-0300-000051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《2024产品销售运输统计》
</t>
        </r>
      </text>
    </comment>
    <comment ref="F96" authorId="2" shapeId="0" xr:uid="{00000000-0006-0000-0300-000052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《2024产品销售运输统计》</t>
        </r>
      </text>
    </comment>
    <comment ref="F97" authorId="3" shapeId="0" xr:uid="{00000000-0006-0000-0300-000053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《粗苯汽车衡结净计量实绩_24年汇总表》</t>
        </r>
      </text>
    </comment>
    <comment ref="F98" authorId="2" shapeId="0" xr:uid="{00000000-0006-0000-0300-000054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《2024年钢坯钢材外销情况统计表》
</t>
        </r>
      </text>
    </comment>
    <comment ref="F99" authorId="2" shapeId="0" xr:uid="{00000000-0006-0000-0300-000055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《2024年钢坯钢材外销情况统计表》</t>
        </r>
      </text>
    </comment>
    <comment ref="F100" authorId="2" shapeId="0" xr:uid="{00000000-0006-0000-0300-000056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《2024年钢坯钢材外销情况统计表》
</t>
        </r>
      </text>
    </comment>
    <comment ref="F101" authorId="2" shapeId="0" xr:uid="{00000000-0006-0000-0300-000057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《2024年钢坯钢材外销情况统计表》
</t>
        </r>
      </text>
    </comment>
    <comment ref="F103" authorId="2" shapeId="0" xr:uid="{00000000-0006-0000-0300-000058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根据与核查老师沟通，保守计算：将2024年产出的所有钢材报废产生的排放计算到2024年范围三中
计算公式说明：钢材总量*（2023年全国废钢总资源量-2023年废钢消耗量）/2023年全国废钢总资源量
即钢材总量*报废废钢比例
数据来源《废钢助力钢铁行业电炉短流程发展研究》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Infraware Corporation</author>
  </authors>
  <commentList>
    <comment ref="E2" authorId="0" shapeId="0" xr:uid="{00000000-0006-0000-0700-000001000000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ISO14064-1 5.1</t>
        </r>
      </text>
    </comment>
    <comment ref="E131" authorId="0" shapeId="0" xr:uid="{00000000-0006-0000-0700-000002000000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ISO14064-1 5.1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Infraware Corporation</author>
    <author>侯溯文</author>
    <author>邱扬</author>
    <author>17802</author>
  </authors>
  <commentList>
    <comment ref="B2" authorId="0" shapeId="0" xr:uid="{00000000-0006-0000-0900-000001000000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ISO14064-3 Table A.2;
GHG Protocol D;
IPCC 2006 Guidelines for National GHG Inventories;</t>
        </r>
      </text>
    </comment>
    <comment ref="C2" authorId="0" shapeId="0" xr:uid="{00000000-0006-0000-0900-000002000000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ISO14064-1 4.3.1 ;4.3.2</t>
        </r>
      </text>
    </comment>
    <comment ref="E2" authorId="0" shapeId="0" xr:uid="{00000000-0006-0000-0900-000003000000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ISO14064-1 Clause 4.3</t>
        </r>
      </text>
    </comment>
    <comment ref="E5" authorId="1" shapeId="0" xr:uid="{00000000-0006-0000-0900-000004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天然气量通知单</t>
        </r>
      </text>
    </comment>
    <comment ref="E6" authorId="2" shapeId="0" xr:uid="{00000000-0006-0000-0900-000005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《2024冶钢宾馆水电气》</t>
        </r>
      </text>
    </comment>
    <comment ref="E7" authorId="1" shapeId="0" xr:uid="{00000000-0006-0000-0900-000006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8" authorId="1" shapeId="0" xr:uid="{00000000-0006-0000-0900-000007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9" authorId="1" shapeId="0" xr:uid="{00000000-0006-0000-0900-000008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 焦煤 </t>
        </r>
      </text>
    </comment>
    <comment ref="E10" authorId="1" shapeId="0" xr:uid="{00000000-0006-0000-0900-000009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11" authorId="1" shapeId="0" xr:uid="{00000000-0006-0000-0900-00000A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12" authorId="1" shapeId="0" xr:uid="{00000000-0006-0000-0900-00000B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
</t>
        </r>
      </text>
    </comment>
    <comment ref="E13" authorId="2" shapeId="0" xr:uid="{00000000-0006-0000-0900-00000C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《汽油耗量》，汽油密度0.775/10^3t/L来源GB17930-2016 表2</t>
        </r>
      </text>
    </comment>
    <comment ref="E14" authorId="2" shapeId="0" xr:uid="{00000000-0006-0000-0900-00000D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《空调加氟汇总表》</t>
        </r>
      </text>
    </comment>
    <comment ref="E15" authorId="2" shapeId="0" xr:uid="{00000000-0006-0000-0900-00000E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《空调加氟汇总表》</t>
        </r>
      </text>
    </comment>
    <comment ref="E16" authorId="2" shapeId="0" xr:uid="{00000000-0006-0000-0900-00000F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（人数*人均BOD*0.001*BOD修正因子*251*8/24）计算依据见下附图</t>
        </r>
      </text>
    </comment>
    <comment ref="E17" authorId="2" shapeId="0" xr:uid="{00000000-0006-0000-0900-000010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《细化收资清单（动力）（六氟化硫）》</t>
        </r>
      </text>
    </comment>
    <comment ref="E18" authorId="2" shapeId="0" xr:uid="{00000000-0006-0000-0900-000011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《细化收资清单（动力）（六氟化硫）》</t>
        </r>
      </text>
    </comment>
    <comment ref="E19" authorId="1" shapeId="0" xr:uid="{00000000-0006-0000-0900-000012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收发存、脱硫脱硝成本补充
</t>
        </r>
      </text>
    </comment>
    <comment ref="E20" authorId="1" shapeId="0" xr:uid="{00000000-0006-0000-0900-000013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收发存中没有烧结的用量，用分厂月报表数据加和</t>
        </r>
      </text>
    </comment>
    <comment ref="E21" authorId="1" shapeId="0" xr:uid="{00000000-0006-0000-0900-000014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22" authorId="1" shapeId="0" xr:uid="{00000000-0006-0000-0900-000015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23" authorId="1" shapeId="0" xr:uid="{00000000-0006-0000-0900-000016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2024年产量表 50t+70t+转炉</t>
        </r>
      </text>
    </comment>
    <comment ref="E24" authorId="1" shapeId="0" xr:uid="{00000000-0006-0000-0900-000017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能源报表</t>
        </r>
      </text>
    </comment>
    <comment ref="E25" authorId="1" shapeId="0" xr:uid="{00000000-0006-0000-0900-000018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新化能完成情况</t>
        </r>
      </text>
    </comment>
    <comment ref="E26" authorId="1" shapeId="0" xr:uid="{00000000-0006-0000-0900-000019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基本电费、自发电</t>
        </r>
      </text>
    </comment>
    <comment ref="E27" authorId="1" shapeId="0" xr:uid="{00000000-0006-0000-0900-00001A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基本电费、自发电；2024年冶钢宾馆水电气</t>
        </r>
      </text>
    </comment>
    <comment ref="E28" authorId="2" shapeId="0" xr:uid="{00000000-0006-0000-0900-00001B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《2024年统计月报（烧结）》《2024年统计报表（中高炉）》
收发存统计有重复计算的问题</t>
        </r>
      </text>
    </comment>
    <comment ref="E29" authorId="1" shapeId="0" xr:uid="{00000000-0006-0000-0900-00001C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用了使用量加和 收发存里没有烧结的生石灰</t>
        </r>
      </text>
    </comment>
    <comment ref="E30" authorId="2" shapeId="0" xr:uid="{00000000-0006-0000-0900-00001D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</t>
        </r>
      </text>
    </comment>
    <comment ref="E32" authorId="1" shapeId="0" xr:uid="{00000000-0006-0000-0900-00001E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34" authorId="1" shapeId="0" xr:uid="{00000000-0006-0000-0900-00001F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35" authorId="1" shapeId="0" xr:uid="{00000000-0006-0000-0900-000020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 镍铁+水淬镍</t>
        </r>
      </text>
    </comment>
    <comment ref="E36" authorId="1" shapeId="0" xr:uid="{00000000-0006-0000-0900-000021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37" authorId="1" shapeId="0" xr:uid="{00000000-0006-0000-0900-000022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38" authorId="1" shapeId="0" xr:uid="{00000000-0006-0000-0900-000023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39" authorId="2" shapeId="0" xr:uid="{00000000-0006-0000-0900-000024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</t>
        </r>
      </text>
    </comment>
    <comment ref="E40" authorId="2" shapeId="0" xr:uid="{00000000-0006-0000-0900-000025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</t>
        </r>
      </text>
    </comment>
    <comment ref="E41" authorId="2" shapeId="0" xr:uid="{00000000-0006-0000-0900-000026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</t>
        </r>
      </text>
    </comment>
    <comment ref="E42" authorId="2" shapeId="0" xr:uid="{00000000-0006-0000-0900-000027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《脱硫脱硝成本补充》</t>
        </r>
      </text>
    </comment>
    <comment ref="E43" authorId="2" shapeId="0" xr:uid="{00000000-0006-0000-0900-000028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44" authorId="2" shapeId="0" xr:uid="{00000000-0006-0000-0900-000029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45" authorId="2" shapeId="0" xr:uid="{00000000-0006-0000-0900-00002A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《2024年12月能源报表》中，“净化水”展开后的“水源站取水量”</t>
        </r>
      </text>
    </comment>
    <comment ref="E47" authorId="2" shapeId="0" xr:uid="{00000000-0006-0000-0900-00002B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48" authorId="2" shapeId="0" xr:uid="{00000000-0006-0000-0900-00002C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49" authorId="2" shapeId="0" xr:uid="{00000000-0006-0000-0900-00002D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50" authorId="2" shapeId="0" xr:uid="{00000000-0006-0000-0900-00002E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51" authorId="2" shapeId="0" xr:uid="{00000000-0006-0000-0900-00002F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52" authorId="2" shapeId="0" xr:uid="{00000000-0006-0000-0900-000030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65" authorId="2" shapeId="0" xr:uid="{00000000-0006-0000-0900-000031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数据来源：《垃圾表》
</t>
        </r>
      </text>
    </comment>
    <comment ref="E66" authorId="3" shapeId="0" xr:uid="{00000000-0006-0000-0900-000032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《2024环保指标统计》</t>
        </r>
      </text>
    </comment>
    <comment ref="E67" authorId="3" shapeId="0" xr:uid="{00000000-0006-0000-0900-000033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《2024环保指标统计》</t>
        </r>
      </text>
    </comment>
    <comment ref="E68" authorId="3" shapeId="0" xr:uid="{00000000-0006-0000-0900-000034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《危险废物转移联单》</t>
        </r>
      </text>
    </comment>
    <comment ref="E69" authorId="2" shapeId="0" xr:uid="{00000000-0006-0000-0900-000035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取2024年出行城市人次达总人次前80%的差旅距离加权平均后得到平均单程差旅距离约为1019km，出差人次为1914</t>
        </r>
      </text>
    </comment>
    <comment ref="E70" authorId="2" shapeId="0" xr:uid="{00000000-0006-0000-0900-000036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取2024年出行城市人次达总人次前80%的差旅距离加权平均后得到平均单程差旅距离约为357.02km，出差人次为11593</t>
        </r>
      </text>
    </comment>
    <comment ref="E71" authorId="3" shapeId="0" xr:uid="{00000000-0006-0000-0900-000037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《7.员工通勤情况统计》</t>
        </r>
      </text>
    </comment>
    <comment ref="E72" authorId="3" shapeId="0" xr:uid="{00000000-0006-0000-0900-000038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《7.员工通勤情况统计》
</t>
        </r>
      </text>
    </comment>
    <comment ref="E73" authorId="3" shapeId="0" xr:uid="{00000000-0006-0000-0900-000039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《7.员工通勤情况统计》
</t>
        </r>
      </text>
    </comment>
    <comment ref="E74" authorId="3" shapeId="0" xr:uid="{00000000-0006-0000-0900-00003A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《7.员工通勤情况统计》
</t>
        </r>
      </text>
    </comment>
    <comment ref="E75" authorId="2" shapeId="0" xr:uid="{00000000-0006-0000-0900-00003B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《2024产品销售运输统计》</t>
        </r>
      </text>
    </comment>
    <comment ref="E76" authorId="2" shapeId="0" xr:uid="{00000000-0006-0000-0900-00003C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《2024产品销售运输统计》
</t>
        </r>
      </text>
    </comment>
    <comment ref="E77" authorId="2" shapeId="0" xr:uid="{00000000-0006-0000-0900-00003D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《2024产品销售运输统计》</t>
        </r>
      </text>
    </comment>
    <comment ref="E78" authorId="3" shapeId="0" xr:uid="{00000000-0006-0000-0900-00003E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《粗苯汽车衡结净计量实绩_24年汇总表》《危险废物转移联单(煤焦油）》</t>
        </r>
      </text>
    </comment>
    <comment ref="E79" authorId="2" shapeId="0" xr:uid="{00000000-0006-0000-0900-00003F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《2024年钢坯钢材外销情况统计表》
</t>
        </r>
      </text>
    </comment>
    <comment ref="E80" authorId="2" shapeId="0" xr:uid="{00000000-0006-0000-0900-000040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《2024年钢坯钢材外销情况统计表》</t>
        </r>
      </text>
    </comment>
    <comment ref="E81" authorId="2" shapeId="0" xr:uid="{00000000-0006-0000-0900-000041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《2024年钢坯钢材外销情况统计表》
</t>
        </r>
      </text>
    </comment>
    <comment ref="E82" authorId="2" shapeId="0" xr:uid="{00000000-0006-0000-0900-000042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《2024年钢坯钢材外销情况统计表》
</t>
        </r>
      </text>
    </comment>
    <comment ref="E83" authorId="2" shapeId="0" xr:uid="{00000000-0006-0000-0900-000043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根据与核查老师沟通，保守计算：将2024年产出的所有钢材报废产生的排放计算到2024年范围三中
计算公式说明：钢材总量*（2023年全国废钢总资源量-2023年废钢消耗量）/2023年全国废钢总资源量
即钢材总量*报废废钢比例
数据来源《废钢助力钢铁行业电炉短流程发展研究》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Infraware Corporation</author>
    <author>侯溯文</author>
    <author>邱扬</author>
    <author>17802</author>
  </authors>
  <commentList>
    <comment ref="B2" authorId="0" shapeId="0" xr:uid="{00000000-0006-0000-0A00-000001000000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ISO14064-3 Table A.2;
GHG Protocol D;
IPCC 2006 Guidelines for National GHG Inventories;</t>
        </r>
      </text>
    </comment>
    <comment ref="C2" authorId="0" shapeId="0" xr:uid="{00000000-0006-0000-0A00-000002000000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ISO14064-1 4.3.1 ;4.3.2</t>
        </r>
      </text>
    </comment>
    <comment ref="E2" authorId="0" shapeId="0" xr:uid="{00000000-0006-0000-0A00-000003000000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ISO14064-1 Clause 4.3</t>
        </r>
      </text>
    </comment>
    <comment ref="E5" authorId="1" shapeId="0" xr:uid="{00000000-0006-0000-0A00-000004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天然气量通知单</t>
        </r>
      </text>
    </comment>
    <comment ref="E6" authorId="2" shapeId="0" xr:uid="{00000000-0006-0000-0A00-000005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《2024冶钢宾馆水电气》</t>
        </r>
      </text>
    </comment>
    <comment ref="E7" authorId="1" shapeId="0" xr:uid="{00000000-0006-0000-0A00-000006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8" authorId="1" shapeId="0" xr:uid="{00000000-0006-0000-0A00-000007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9" authorId="1" shapeId="0" xr:uid="{00000000-0006-0000-0A00-000008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 焦煤 </t>
        </r>
      </text>
    </comment>
    <comment ref="E10" authorId="1" shapeId="0" xr:uid="{00000000-0006-0000-0A00-000009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11" authorId="1" shapeId="0" xr:uid="{00000000-0006-0000-0A00-00000A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12" authorId="1" shapeId="0" xr:uid="{00000000-0006-0000-0A00-00000B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
</t>
        </r>
      </text>
    </comment>
    <comment ref="E13" authorId="2" shapeId="0" xr:uid="{00000000-0006-0000-0A00-00000C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《汽油耗量》，汽油密度0.775/10^3t/L来源GB17930-2016 表2</t>
        </r>
      </text>
    </comment>
    <comment ref="E14" authorId="2" shapeId="0" xr:uid="{00000000-0006-0000-0A00-00000D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《空调加氟汇总表》</t>
        </r>
      </text>
    </comment>
    <comment ref="E15" authorId="2" shapeId="0" xr:uid="{00000000-0006-0000-0A00-00000E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《空调加氟汇总表》</t>
        </r>
      </text>
    </comment>
    <comment ref="E16" authorId="2" shapeId="0" xr:uid="{00000000-0006-0000-0A00-00000F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（人数*人均BOD*0.001*BOD修正因子*251*8/24）计算依据见下附图</t>
        </r>
      </text>
    </comment>
    <comment ref="E17" authorId="2" shapeId="0" xr:uid="{00000000-0006-0000-0A00-000010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《细化收资清单（动力）（六氟化硫）》</t>
        </r>
      </text>
    </comment>
    <comment ref="E18" authorId="2" shapeId="0" xr:uid="{00000000-0006-0000-0A00-000011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《细化收资清单（动力）（六氟化硫）》</t>
        </r>
      </text>
    </comment>
    <comment ref="E19" authorId="1" shapeId="0" xr:uid="{00000000-0006-0000-0A00-000012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收发存、脱硫脱硝成本补充
</t>
        </r>
      </text>
    </comment>
    <comment ref="E20" authorId="1" shapeId="0" xr:uid="{00000000-0006-0000-0A00-000013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收发存中没有烧结的用量，用分厂月报表数据加和</t>
        </r>
      </text>
    </comment>
    <comment ref="E21" authorId="1" shapeId="0" xr:uid="{00000000-0006-0000-0A00-000014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22" authorId="1" shapeId="0" xr:uid="{00000000-0006-0000-0A00-000015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23" authorId="1" shapeId="0" xr:uid="{00000000-0006-0000-0A00-000016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2024年产量表 50t+70t+转炉</t>
        </r>
      </text>
    </comment>
    <comment ref="E24" authorId="1" shapeId="0" xr:uid="{00000000-0006-0000-0A00-000017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能源报表</t>
        </r>
      </text>
    </comment>
    <comment ref="E25" authorId="1" shapeId="0" xr:uid="{00000000-0006-0000-0A00-000018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新化能完成情况</t>
        </r>
      </text>
    </comment>
    <comment ref="E26" authorId="1" shapeId="0" xr:uid="{00000000-0006-0000-0A00-000019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基本电费、自发电</t>
        </r>
      </text>
    </comment>
    <comment ref="E27" authorId="1" shapeId="0" xr:uid="{00000000-0006-0000-0A00-00001A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基本电费、自发电；2024年冶钢宾馆水电气</t>
        </r>
      </text>
    </comment>
    <comment ref="E28" authorId="2" shapeId="0" xr:uid="{00000000-0006-0000-0A00-00001B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《2024年统计月报（烧结）》《2024年统计报表（中高炉）》
收发存统计有重复计算的问题</t>
        </r>
      </text>
    </comment>
    <comment ref="E29" authorId="1" shapeId="0" xr:uid="{00000000-0006-0000-0A00-00001C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用了使用量加和 收发存里没有烧结的生石灰</t>
        </r>
      </text>
    </comment>
    <comment ref="E30" authorId="2" shapeId="0" xr:uid="{00000000-0006-0000-0A00-00001D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</t>
        </r>
      </text>
    </comment>
    <comment ref="E32" authorId="2" shapeId="0" xr:uid="{00000000-0006-0000-0A00-00001E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《2024生铁、废钢、白云石、水处理药剂数据》</t>
        </r>
      </text>
    </comment>
    <comment ref="E34" authorId="1" shapeId="0" xr:uid="{00000000-0006-0000-0A00-00001F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35" authorId="1" shapeId="0" xr:uid="{00000000-0006-0000-0A00-000020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 镍铁+水淬镍</t>
        </r>
      </text>
    </comment>
    <comment ref="E36" authorId="1" shapeId="0" xr:uid="{00000000-0006-0000-0A00-000021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37" authorId="1" shapeId="0" xr:uid="{00000000-0006-0000-0A00-000022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38" authorId="1" shapeId="0" xr:uid="{00000000-0006-0000-0A00-000023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39" authorId="2" shapeId="0" xr:uid="{00000000-0006-0000-0A00-000024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</t>
        </r>
      </text>
    </comment>
    <comment ref="E40" authorId="2" shapeId="0" xr:uid="{00000000-0006-0000-0A00-000025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</t>
        </r>
      </text>
    </comment>
    <comment ref="E41" authorId="2" shapeId="0" xr:uid="{00000000-0006-0000-0A00-000026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</t>
        </r>
      </text>
    </comment>
    <comment ref="E42" authorId="2" shapeId="0" xr:uid="{00000000-0006-0000-0A00-000027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《脱硫脱硝成本补充》</t>
        </r>
      </text>
    </comment>
    <comment ref="E43" authorId="2" shapeId="0" xr:uid="{00000000-0006-0000-0A00-000028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44" authorId="2" shapeId="0" xr:uid="{00000000-0006-0000-0A00-000029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45" authorId="2" shapeId="0" xr:uid="{00000000-0006-0000-0A00-00002A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《2024年12月能源报表》中，“净化水”展开后的“水源站取水量”</t>
        </r>
      </text>
    </comment>
    <comment ref="E47" authorId="2" shapeId="0" xr:uid="{00000000-0006-0000-0A00-00002B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48" authorId="2" shapeId="0" xr:uid="{00000000-0006-0000-0A00-00002C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49" authorId="2" shapeId="0" xr:uid="{00000000-0006-0000-0A00-00002D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50" authorId="2" shapeId="0" xr:uid="{00000000-0006-0000-0A00-00002E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51" authorId="2" shapeId="0" xr:uid="{00000000-0006-0000-0A00-00002F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52" authorId="2" shapeId="0" xr:uid="{00000000-0006-0000-0A00-000030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65" authorId="2" shapeId="0" xr:uid="{00000000-0006-0000-0A00-000031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数据来源：《垃圾表》
</t>
        </r>
      </text>
    </comment>
    <comment ref="E66" authorId="3" shapeId="0" xr:uid="{00000000-0006-0000-0A00-000032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《2024环保指标统计》</t>
        </r>
      </text>
    </comment>
    <comment ref="E67" authorId="3" shapeId="0" xr:uid="{00000000-0006-0000-0A00-000033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《2024环保指标统计》</t>
        </r>
      </text>
    </comment>
    <comment ref="E68" authorId="3" shapeId="0" xr:uid="{00000000-0006-0000-0A00-000034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《危险废物转移联单》</t>
        </r>
      </text>
    </comment>
    <comment ref="E69" authorId="2" shapeId="0" xr:uid="{00000000-0006-0000-0A00-000035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取2024年出行城市人次达总人次前80%的差旅距离加权平均后得到平均单程差旅距离约为1019km，出差人次为1914</t>
        </r>
      </text>
    </comment>
    <comment ref="E70" authorId="2" shapeId="0" xr:uid="{00000000-0006-0000-0A00-000036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取2024年出行城市人次达总人次前80%的差旅距离加权平均后得到平均单程差旅距离约为357.02km，出差人次为11593</t>
        </r>
      </text>
    </comment>
    <comment ref="E71" authorId="3" shapeId="0" xr:uid="{00000000-0006-0000-0A00-000037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《7.员工通勤情况统计》</t>
        </r>
      </text>
    </comment>
    <comment ref="E72" authorId="3" shapeId="0" xr:uid="{00000000-0006-0000-0A00-000038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《7.员工通勤情况统计》
</t>
        </r>
      </text>
    </comment>
    <comment ref="E73" authorId="3" shapeId="0" xr:uid="{00000000-0006-0000-0A00-000039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《7.员工通勤情况统计》
</t>
        </r>
      </text>
    </comment>
    <comment ref="E74" authorId="3" shapeId="0" xr:uid="{00000000-0006-0000-0A00-00003A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《7.员工通勤情况统计》
</t>
        </r>
      </text>
    </comment>
    <comment ref="E75" authorId="2" shapeId="0" xr:uid="{00000000-0006-0000-0A00-00003B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《2024产品销售运输统计》</t>
        </r>
      </text>
    </comment>
    <comment ref="E76" authorId="2" shapeId="0" xr:uid="{00000000-0006-0000-0A00-00003C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《2024产品销售运输统计》
</t>
        </r>
      </text>
    </comment>
    <comment ref="E77" authorId="2" shapeId="0" xr:uid="{00000000-0006-0000-0A00-00003D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《2024产品销售运输统计》</t>
        </r>
      </text>
    </comment>
    <comment ref="E78" authorId="3" shapeId="0" xr:uid="{00000000-0006-0000-0A00-00003E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《粗苯汽车衡结净计量实绩_24年汇总表》《危险废物转移联单(煤焦油）》</t>
        </r>
      </text>
    </comment>
    <comment ref="E79" authorId="2" shapeId="0" xr:uid="{00000000-0006-0000-0A00-00003F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《2024年钢坯钢材外销情况统计表》
</t>
        </r>
      </text>
    </comment>
    <comment ref="E80" authorId="2" shapeId="0" xr:uid="{00000000-0006-0000-0A00-000040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《2024年钢坯钢材外销情况统计表》</t>
        </r>
      </text>
    </comment>
    <comment ref="E81" authorId="2" shapeId="0" xr:uid="{00000000-0006-0000-0A00-000041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《2024年钢坯钢材外销情况统计表》
</t>
        </r>
      </text>
    </comment>
    <comment ref="E82" authorId="2" shapeId="0" xr:uid="{00000000-0006-0000-0A00-000042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《2024年钢坯钢材外销情况统计表》
</t>
        </r>
      </text>
    </comment>
    <comment ref="E83" authorId="2" shapeId="0" xr:uid="{00000000-0006-0000-0A00-000043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根据与核查老师沟通，保守计算：将2024年产出的所有钢材报废产生的排放计算到2024年范围三中
计算公式说明：钢材总量*（2023年全国废钢总资源量-2023年废钢消耗量）/2023年全国废钢总资源量
即钢材总量*报废废钢比例
数据来源《废钢助力钢铁行业电炉短流程发展研究》</t>
        </r>
      </text>
    </comment>
  </commentList>
</comments>
</file>

<file path=xl/sharedStrings.xml><?xml version="1.0" encoding="utf-8"?>
<sst xmlns="http://schemas.openxmlformats.org/spreadsheetml/2006/main" count="4319" uniqueCount="1199">
  <si>
    <r>
      <rPr>
        <b/>
        <sz val="20"/>
        <color indexed="8"/>
        <rFont val="宋体"/>
        <family val="3"/>
        <charset val="134"/>
      </rPr>
      <t>温室气体盘查清册</t>
    </r>
  </si>
  <si>
    <r>
      <rPr>
        <sz val="10"/>
        <color theme="1"/>
        <rFont val="宋体"/>
        <family val="3"/>
        <charset val="134"/>
      </rPr>
      <t>编号：</t>
    </r>
    <r>
      <rPr>
        <sz val="10"/>
        <color indexed="8"/>
        <rFont val="Arial"/>
        <family val="2"/>
      </rPr>
      <t>DY-GHG-2025-01</t>
    </r>
  </si>
  <si>
    <r>
      <rPr>
        <sz val="10"/>
        <color indexed="8"/>
        <rFont val="宋体"/>
        <family val="3"/>
        <charset val="134"/>
      </rPr>
      <t>版本</t>
    </r>
    <r>
      <rPr>
        <sz val="10"/>
        <color indexed="8"/>
        <rFont val="Arial"/>
        <family val="2"/>
      </rPr>
      <t>/</t>
    </r>
    <r>
      <rPr>
        <sz val="10"/>
        <color indexed="8"/>
        <rFont val="宋体"/>
        <family val="3"/>
        <charset val="134"/>
      </rPr>
      <t>版次：</t>
    </r>
    <r>
      <rPr>
        <sz val="10"/>
        <color indexed="8"/>
        <rFont val="Arial"/>
        <family val="2"/>
      </rPr>
      <t>A/1</t>
    </r>
  </si>
  <si>
    <r>
      <rPr>
        <sz val="10"/>
        <color theme="1"/>
        <rFont val="宋体"/>
        <family val="3"/>
        <charset val="134"/>
      </rPr>
      <t>日期：</t>
    </r>
    <r>
      <rPr>
        <sz val="10"/>
        <color indexed="8"/>
        <rFont val="Arial"/>
        <family val="2"/>
      </rPr>
      <t>2025/7/3</t>
    </r>
  </si>
  <si>
    <r>
      <rPr>
        <b/>
        <sz val="12"/>
        <color indexed="53"/>
        <rFont val="宋体"/>
        <family val="3"/>
        <charset val="134"/>
      </rPr>
      <t>组织名称：</t>
    </r>
  </si>
  <si>
    <r>
      <rPr>
        <sz val="12"/>
        <color indexed="8"/>
        <rFont val="宋体"/>
        <family val="3"/>
        <charset val="134"/>
      </rPr>
      <t>大冶特殊钢有限公司</t>
    </r>
  </si>
  <si>
    <r>
      <rPr>
        <b/>
        <sz val="12"/>
        <color indexed="53"/>
        <rFont val="宋体"/>
        <family val="3"/>
        <charset val="134"/>
      </rPr>
      <t>组织边界：</t>
    </r>
  </si>
  <si>
    <r>
      <rPr>
        <sz val="12"/>
        <color indexed="8"/>
        <rFont val="宋体"/>
        <family val="3"/>
        <charset val="134"/>
      </rPr>
      <t>湖北省黄石市黄石大道</t>
    </r>
    <r>
      <rPr>
        <sz val="12"/>
        <color indexed="8"/>
        <rFont val="Arial"/>
        <family val="2"/>
      </rPr>
      <t>316</t>
    </r>
    <r>
      <rPr>
        <sz val="12"/>
        <color indexed="8"/>
        <rFont val="宋体"/>
        <family val="3"/>
        <charset val="134"/>
      </rPr>
      <t>号</t>
    </r>
  </si>
  <si>
    <r>
      <rPr>
        <b/>
        <sz val="12"/>
        <color indexed="53"/>
        <rFont val="宋体"/>
        <family val="3"/>
        <charset val="134"/>
      </rPr>
      <t>盘查覆盖周期</t>
    </r>
    <r>
      <rPr>
        <b/>
        <sz val="12"/>
        <color indexed="53"/>
        <rFont val="Arial"/>
        <family val="2"/>
      </rPr>
      <t>:</t>
    </r>
  </si>
  <si>
    <r>
      <rPr>
        <sz val="12"/>
        <color indexed="8"/>
        <rFont val="Arial"/>
        <family val="2"/>
      </rPr>
      <t>2024</t>
    </r>
    <r>
      <rPr>
        <sz val="12"/>
        <color indexed="8"/>
        <rFont val="宋体"/>
        <family val="3"/>
        <charset val="134"/>
      </rPr>
      <t>年</t>
    </r>
    <r>
      <rPr>
        <sz val="12"/>
        <color indexed="8"/>
        <rFont val="Arial"/>
        <family val="2"/>
      </rPr>
      <t>1</t>
    </r>
    <r>
      <rPr>
        <sz val="12"/>
        <color indexed="8"/>
        <rFont val="宋体"/>
        <family val="3"/>
        <charset val="134"/>
      </rPr>
      <t>月</t>
    </r>
    <r>
      <rPr>
        <sz val="12"/>
        <color indexed="8"/>
        <rFont val="Arial"/>
        <family val="2"/>
      </rPr>
      <t>1</t>
    </r>
    <r>
      <rPr>
        <sz val="12"/>
        <color indexed="8"/>
        <rFont val="宋体"/>
        <family val="3"/>
        <charset val="134"/>
      </rPr>
      <t>日至</t>
    </r>
    <r>
      <rPr>
        <sz val="12"/>
        <color indexed="8"/>
        <rFont val="Arial"/>
        <family val="2"/>
      </rPr>
      <t>2024</t>
    </r>
    <r>
      <rPr>
        <sz val="12"/>
        <color indexed="8"/>
        <rFont val="宋体"/>
        <family val="3"/>
        <charset val="134"/>
      </rPr>
      <t>年</t>
    </r>
    <r>
      <rPr>
        <sz val="12"/>
        <color indexed="8"/>
        <rFont val="Arial"/>
        <family val="2"/>
      </rPr>
      <t>12</t>
    </r>
    <r>
      <rPr>
        <sz val="12"/>
        <color indexed="8"/>
        <rFont val="宋体"/>
        <family val="3"/>
        <charset val="134"/>
      </rPr>
      <t>月</t>
    </r>
    <r>
      <rPr>
        <sz val="12"/>
        <color indexed="8"/>
        <rFont val="Arial"/>
        <family val="2"/>
      </rPr>
      <t>31</t>
    </r>
    <r>
      <rPr>
        <sz val="12"/>
        <color indexed="8"/>
        <rFont val="宋体"/>
        <family val="3"/>
        <charset val="134"/>
      </rPr>
      <t>日</t>
    </r>
  </si>
  <si>
    <r>
      <rPr>
        <b/>
        <sz val="12"/>
        <color indexed="53"/>
        <rFont val="宋体"/>
        <family val="3"/>
        <charset val="134"/>
      </rPr>
      <t>编制</t>
    </r>
    <r>
      <rPr>
        <b/>
        <sz val="12"/>
        <color indexed="53"/>
        <rFont val="Arial"/>
        <family val="2"/>
      </rPr>
      <t xml:space="preserve"> </t>
    </r>
    <r>
      <rPr>
        <b/>
        <sz val="12"/>
        <color indexed="53"/>
        <rFont val="宋体"/>
        <family val="3"/>
        <charset val="134"/>
      </rPr>
      <t>：</t>
    </r>
  </si>
  <si>
    <r>
      <rPr>
        <b/>
        <sz val="12"/>
        <color indexed="53"/>
        <rFont val="宋体"/>
        <family val="3"/>
        <charset val="134"/>
      </rPr>
      <t>审核：</t>
    </r>
  </si>
  <si>
    <r>
      <rPr>
        <b/>
        <sz val="12"/>
        <color indexed="53"/>
        <rFont val="宋体"/>
        <family val="3"/>
        <charset val="134"/>
      </rPr>
      <t>核准：</t>
    </r>
  </si>
  <si>
    <r>
      <rPr>
        <b/>
        <sz val="12"/>
        <color indexed="8"/>
        <rFont val="宋体"/>
        <family val="3"/>
        <charset val="134"/>
      </rPr>
      <t>报告边界</t>
    </r>
  </si>
  <si>
    <r>
      <rPr>
        <b/>
        <sz val="12"/>
        <color indexed="8"/>
        <rFont val="宋体"/>
        <family val="3"/>
        <charset val="134"/>
      </rPr>
      <t>运营控制权</t>
    </r>
  </si>
  <si>
    <t>范围一排放量：</t>
  </si>
  <si>
    <r>
      <rPr>
        <b/>
        <sz val="12"/>
        <color indexed="8"/>
        <rFont val="宋体"/>
        <family val="3"/>
        <charset val="134"/>
      </rPr>
      <t>单位：</t>
    </r>
    <r>
      <rPr>
        <b/>
        <sz val="12"/>
        <color indexed="8"/>
        <rFont val="Arial"/>
        <family val="2"/>
      </rPr>
      <t>tCO</t>
    </r>
    <r>
      <rPr>
        <b/>
        <vertAlign val="subscript"/>
        <sz val="12"/>
        <color indexed="8"/>
        <rFont val="Arial"/>
        <family val="2"/>
      </rPr>
      <t>2</t>
    </r>
    <r>
      <rPr>
        <b/>
        <sz val="12"/>
        <color indexed="8"/>
        <rFont val="Arial"/>
        <family val="2"/>
      </rPr>
      <t>e</t>
    </r>
  </si>
  <si>
    <t>范围二（基于位置）排放量：</t>
  </si>
  <si>
    <t>范围二（基于市场）排放量：</t>
  </si>
  <si>
    <r>
      <rPr>
        <b/>
        <sz val="12"/>
        <color indexed="53"/>
        <rFont val="宋体"/>
        <family val="3"/>
        <charset val="134"/>
      </rPr>
      <t>排放</t>
    </r>
  </si>
  <si>
    <t>范围三排放量：</t>
  </si>
  <si>
    <t>编号</t>
  </si>
  <si>
    <t>排放源</t>
  </si>
  <si>
    <t>排放设施</t>
  </si>
  <si>
    <t>备注</t>
  </si>
  <si>
    <t>总排放量</t>
  </si>
  <si>
    <r>
      <rPr>
        <b/>
        <sz val="10"/>
        <color indexed="9"/>
        <rFont val="Arial"/>
        <family val="2"/>
      </rPr>
      <t>CO</t>
    </r>
    <r>
      <rPr>
        <b/>
        <vertAlign val="subscript"/>
        <sz val="10"/>
        <color indexed="9"/>
        <rFont val="Arial"/>
        <family val="2"/>
      </rPr>
      <t>2</t>
    </r>
  </si>
  <si>
    <r>
      <rPr>
        <b/>
        <sz val="10"/>
        <color indexed="9"/>
        <rFont val="Arial"/>
        <family val="2"/>
      </rPr>
      <t>CH</t>
    </r>
    <r>
      <rPr>
        <b/>
        <vertAlign val="subscript"/>
        <sz val="10"/>
        <color indexed="9"/>
        <rFont val="Arial"/>
        <family val="2"/>
      </rPr>
      <t>4</t>
    </r>
  </si>
  <si>
    <r>
      <rPr>
        <b/>
        <sz val="10"/>
        <color indexed="9"/>
        <rFont val="Arial"/>
        <family val="2"/>
      </rPr>
      <t>N</t>
    </r>
    <r>
      <rPr>
        <b/>
        <vertAlign val="subscript"/>
        <sz val="10"/>
        <color indexed="9"/>
        <rFont val="Arial"/>
        <family val="2"/>
      </rPr>
      <t>2</t>
    </r>
    <r>
      <rPr>
        <b/>
        <sz val="10"/>
        <color indexed="9"/>
        <rFont val="Arial"/>
        <family val="2"/>
      </rPr>
      <t>O</t>
    </r>
  </si>
  <si>
    <t>HFCs</t>
  </si>
  <si>
    <t>PFCs</t>
  </si>
  <si>
    <r>
      <rPr>
        <b/>
        <sz val="10"/>
        <color indexed="9"/>
        <rFont val="Arial"/>
        <family val="2"/>
      </rPr>
      <t>SF</t>
    </r>
    <r>
      <rPr>
        <b/>
        <vertAlign val="subscript"/>
        <sz val="10"/>
        <color indexed="9"/>
        <rFont val="Arial"/>
        <family val="2"/>
      </rPr>
      <t>6</t>
    </r>
  </si>
  <si>
    <r>
      <rPr>
        <b/>
        <sz val="10"/>
        <color indexed="9"/>
        <rFont val="Arial"/>
        <family val="2"/>
      </rPr>
      <t>NF</t>
    </r>
    <r>
      <rPr>
        <b/>
        <vertAlign val="subscript"/>
        <sz val="10"/>
        <color indexed="9"/>
        <rFont val="Arial"/>
        <family val="2"/>
      </rPr>
      <t>3</t>
    </r>
  </si>
  <si>
    <r>
      <rPr>
        <b/>
        <sz val="10"/>
        <color theme="0"/>
        <rFont val="Arial"/>
        <family val="2"/>
      </rPr>
      <t>tCO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e</t>
    </r>
  </si>
  <si>
    <r>
      <rPr>
        <b/>
        <sz val="10"/>
        <color indexed="8"/>
        <rFont val="宋体"/>
        <family val="3"/>
        <charset val="134"/>
      </rPr>
      <t>范围一</t>
    </r>
    <r>
      <rPr>
        <b/>
        <sz val="10"/>
        <color indexed="8"/>
        <rFont val="Arial"/>
        <family val="2"/>
      </rPr>
      <t xml:space="preserve"> </t>
    </r>
    <r>
      <rPr>
        <b/>
        <sz val="10"/>
        <color indexed="8"/>
        <rFont val="宋体"/>
        <family val="3"/>
        <charset val="134"/>
      </rPr>
      <t>直接排放</t>
    </r>
  </si>
  <si>
    <t>固定源燃烧直接排放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</si>
  <si>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</si>
  <si>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</si>
  <si>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</si>
  <si>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</si>
  <si>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</si>
  <si>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</si>
  <si>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</si>
  <si>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</si>
  <si>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移动源燃烧直接排放</t>
  </si>
  <si>
    <t>1.2.1</t>
  </si>
  <si>
    <t>1.2.2</t>
  </si>
  <si>
    <t>逸散源直接排放</t>
  </si>
  <si>
    <t>1.3.1</t>
  </si>
  <si>
    <t>1.3.2</t>
  </si>
  <si>
    <t>1.3.3</t>
  </si>
  <si>
    <t>1.3.4</t>
  </si>
  <si>
    <t>1.3.5</t>
  </si>
  <si>
    <t>制程排放</t>
  </si>
  <si>
    <t>1.4.1</t>
  </si>
  <si>
    <t>1.4.2</t>
  </si>
  <si>
    <t>1.4.3</t>
  </si>
  <si>
    <t>1.4.4</t>
  </si>
  <si>
    <t>1.4.5</t>
  </si>
  <si>
    <t>1.4.6</t>
  </si>
  <si>
    <t>1.4.7</t>
  </si>
  <si>
    <t>1.4.8</t>
  </si>
  <si>
    <t>1.4.9</t>
  </si>
  <si>
    <t>1.4.10</t>
  </si>
  <si>
    <t>1.4.11</t>
  </si>
  <si>
    <t>1.4.12</t>
  </si>
  <si>
    <t>范围二 外购电间接排放</t>
  </si>
  <si>
    <t>范围三 类别1</t>
  </si>
  <si>
    <t>外购商品和服务的上游排放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</si>
  <si>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</si>
  <si>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</si>
  <si>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</si>
  <si>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</si>
  <si>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</si>
  <si>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</si>
  <si>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</si>
  <si>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</si>
  <si>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</si>
  <si>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</si>
  <si>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3.1.11</t>
  </si>
  <si>
    <t>3.1.12</t>
  </si>
  <si>
    <t>3.1.13</t>
  </si>
  <si>
    <t>3.1.14</t>
  </si>
  <si>
    <t>3.1.15</t>
  </si>
  <si>
    <t>3.1.16</t>
  </si>
  <si>
    <t>3.1.17</t>
  </si>
  <si>
    <t>3.1.18</t>
  </si>
  <si>
    <t>3.1.19</t>
  </si>
  <si>
    <t>3.1.20</t>
  </si>
  <si>
    <t>3.1.21</t>
  </si>
  <si>
    <t>3.1.22</t>
  </si>
  <si>
    <t>3.1.23</t>
  </si>
  <si>
    <t>3.1.24</t>
  </si>
  <si>
    <t>范围三 类别2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</si>
  <si>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</si>
  <si>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</si>
  <si>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</si>
  <si>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</si>
  <si>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</si>
  <si>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</si>
  <si>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</si>
  <si>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</si>
  <si>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</si>
  <si>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3.2.10</t>
  </si>
  <si>
    <t>3.2.11</t>
  </si>
  <si>
    <t>范围三 类别3</t>
  </si>
  <si>
    <t>3.3.1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</si>
  <si>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</si>
  <si>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</si>
  <si>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</si>
  <si>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</si>
  <si>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</si>
  <si>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</si>
  <si>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</si>
  <si>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</si>
  <si>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3.3.10</t>
  </si>
  <si>
    <t>范围三 类别4</t>
  </si>
  <si>
    <t>3.4.1</t>
  </si>
  <si>
    <t>3.4.2</t>
  </si>
  <si>
    <t>3.4.3</t>
  </si>
  <si>
    <t>范围三 类别5</t>
  </si>
  <si>
    <t>3.5.1</t>
  </si>
  <si>
    <t>3.5.2</t>
  </si>
  <si>
    <t>3.5.3</t>
  </si>
  <si>
    <t>3.5.4</t>
  </si>
  <si>
    <t>3.5.5</t>
  </si>
  <si>
    <t>范围三 类别6</t>
  </si>
  <si>
    <t>3.6.1</t>
  </si>
  <si>
    <t>3.6.2</t>
  </si>
  <si>
    <t>3.6.3</t>
  </si>
  <si>
    <t>范围三 类别7</t>
  </si>
  <si>
    <t>3.7.1</t>
  </si>
  <si>
    <t>3.7.2</t>
  </si>
  <si>
    <t>3.7.3</t>
  </si>
  <si>
    <t>3.7.4</t>
  </si>
  <si>
    <t>范围三 类别9</t>
  </si>
  <si>
    <t>3.9.1</t>
  </si>
  <si>
    <t>3.9.2</t>
  </si>
  <si>
    <t>3.9.3</t>
  </si>
  <si>
    <t>3.9.4</t>
  </si>
  <si>
    <t>范围三 类别10</t>
  </si>
  <si>
    <t>3.10.1</t>
  </si>
  <si>
    <t>3.10.2</t>
  </si>
  <si>
    <t>3.10.3</t>
  </si>
  <si>
    <t>3.10.4</t>
  </si>
  <si>
    <t>范围三 类别12</t>
  </si>
  <si>
    <t>3.12.1</t>
  </si>
  <si>
    <t>变量名</t>
  </si>
  <si>
    <t>值</t>
  </si>
  <si>
    <t>公司名称</t>
  </si>
  <si>
    <t>company_name</t>
  </si>
  <si>
    <t>大冶特殊钢有限公司</t>
  </si>
  <si>
    <t>报告周期</t>
  </si>
  <si>
    <t>reporting_period</t>
  </si>
  <si>
    <t>2024年1月1日至2024年12月31日</t>
  </si>
  <si>
    <t>报告编号</t>
  </si>
  <si>
    <t>document_number</t>
  </si>
  <si>
    <t>DY-GHG-2025-02</t>
  </si>
  <si>
    <t>生成日期</t>
  </si>
  <si>
    <t>posted_time</t>
  </si>
  <si>
    <t>统一社会信用代码</t>
  </si>
  <si>
    <t>Unified_Social_Credit_Identifier</t>
  </si>
  <si>
    <t>91420000798750168P</t>
  </si>
  <si>
    <t>法人代表</t>
  </si>
  <si>
    <t>legal_person</t>
  </si>
  <si>
    <t>蒋乔</t>
  </si>
  <si>
    <t>注册资金</t>
  </si>
  <si>
    <t>registered_capital</t>
  </si>
  <si>
    <t>207218.53万元</t>
  </si>
  <si>
    <t>注册日期</t>
  </si>
  <si>
    <t>date_of_establishment</t>
  </si>
  <si>
    <t>注册地址</t>
  </si>
  <si>
    <t>registered_address</t>
  </si>
  <si>
    <t>湖北省黄石市黄石大道316号</t>
  </si>
  <si>
    <t>生产地址</t>
  </si>
  <si>
    <t>production_address</t>
  </si>
  <si>
    <t>经营范围</t>
  </si>
  <si>
    <t>scope_of_business</t>
  </si>
  <si>
    <t>大冶特殊钢有限公司成立于2007年03月09日，注册地位于湖北省黄石市黄石大道316号，法定代表人为蒋乔。经营范围包括黑色、有色金属冶炼、压延加工；生产、销售高温合金材料、耐蚀合金材料、铁矿石、钢坯、钢锭、钢材、金属制品、钢管及管件和相应的工业辅助材料及承接来料加工业务；钢铁和合金材料检测；再生资源回收经营；货物或技术进出口（国家限定公司经营或禁止进出口的商品和技术除外）；机械零件、汽车零部件制造和加工；机械、仪表、电器制造和修理；化工产品（不含危险品和限制类产品）制造；港口码头建设及经营；煤气、热力、自来水、工业用水生产和供应；餐饮经营与管理。（涉及许可经营项目，应取得相关部门许可后方可经营）。</t>
  </si>
  <si>
    <t>公司简介</t>
  </si>
  <si>
    <t>company_profile</t>
  </si>
  <si>
    <t>大冶特殊钢有限公司（简称：大冶特钢）是中国近代“钢铁摇篮”，地处中国矿冶之都、先进制造业基地湖北省黄石市。隶属中信泰富特钢集团，是其沿海沿江产业链的战略布局中的重要一环。
大冶特钢是国家高新技术企业、全国首批两化融合示范企业、全国首批绿色制造示范企业、全国绿化模范单位。拥有国家认定企业技术中心、院士专家工作站、博士后科研工作站、高品质特殊钢湖北省重点实验室，先后承担国家多项冶金课题的项目攻关，主持或参与起草修订了多项国家和行业技术标准。先后荣获“全国质量奖”、“全国质量标杆”、“中国工业大奖表彰奖”，多项产品荣获国家冶金产品实物质量“金杯奖”、“国家科学技术进步一等奖、二等奖”、“冶金科学技术奖一等奖”、“国家知识产权优势企业”、“中国航天突出贡献供应商”、“中国工模具行业最具影响力钢厂品牌”等奖项。
大冶特钢是中国品种规格最齐全的高品质棒材、高端中厚壁无缝钢管、高合金锻材三大特钢生产基地，工艺技术和装备具备世界先进水平。主要产品有轴承钢、汽车用钢、能源用钢、工程机械用钢、航空航天用钢等。主要服务于航天航空、海洋、核电、风电、交通、火电、油气、工程机械、重燃、船舶、石化、汽车、高铁等关键领域。
从中国第一炉电渣钢到第一根极薄壁高温合金旋压管，从第一个飞机用高温合金涡轮盘，到第一根轧制的飞机大梁(毛坯)，从中国第一颗人造地球卫星，到神舟系列飞船的上天，到“嫦娥”奔月，再到“天宫”“北斗”发射升空，大冶特钢均提供了关键部件的用钢。工程机械用无缝钢管已连续13年产销量全国第一、13年全球第一，石油工具及装备用中厚壁无缝钢管连续10年产销量全国第一，大口径厚壁高压锅炉用管连续5年产销量全国第一。
大冶特钢秉承“诚信、创新、融合、卓越”的理念，牢记为客户创造价值，为员工创造幸福，为股东创造效益，为社会创造财富的企业使命，致力于为客户提供多规格、多品种、高品质的特殊钢产品及整体服务方案，致力于“创建全球最具竞争力的特钢企业集团”。</t>
  </si>
  <si>
    <t>DDL</t>
  </si>
  <si>
    <t>deadline</t>
  </si>
  <si>
    <t>2025年6月底前</t>
  </si>
  <si>
    <t>规则文件</t>
  </si>
  <si>
    <t>rule_file</t>
  </si>
  <si>
    <t>《大冶特殊钢温室气体盘查控制程序（DY-GHG-2023）》</t>
  </si>
  <si>
    <t>GWP值来源文件</t>
  </si>
  <si>
    <t>IPCC 2021年出具的《第六次评估报告AR6》</t>
  </si>
  <si>
    <t>source_file</t>
  </si>
  <si>
    <t>《温室气体盘查清册》-表2 不确定性评估</t>
  </si>
  <si>
    <t>3.11.1</t>
  </si>
  <si>
    <r>
      <rPr>
        <b/>
        <sz val="20"/>
        <rFont val="宋体"/>
        <family val="3"/>
        <charset val="134"/>
      </rPr>
      <t>温室气体盘查表</t>
    </r>
  </si>
  <si>
    <r>
      <rPr>
        <b/>
        <sz val="12"/>
        <rFont val="宋体"/>
        <family val="3"/>
        <charset val="134"/>
      </rPr>
      <t>编号</t>
    </r>
  </si>
  <si>
    <r>
      <rPr>
        <b/>
        <sz val="12"/>
        <rFont val="Arial"/>
        <family val="2"/>
      </rPr>
      <t>GHG</t>
    </r>
    <r>
      <rPr>
        <b/>
        <sz val="12"/>
        <rFont val="宋体"/>
        <family val="3"/>
        <charset val="134"/>
      </rPr>
      <t>排放类别</t>
    </r>
  </si>
  <si>
    <r>
      <rPr>
        <b/>
        <sz val="12"/>
        <rFont val="宋体"/>
        <family val="3"/>
        <charset val="134"/>
      </rPr>
      <t>排放源</t>
    </r>
  </si>
  <si>
    <r>
      <rPr>
        <b/>
        <sz val="12"/>
        <rFont val="宋体"/>
        <family val="3"/>
        <charset val="134"/>
      </rPr>
      <t>设施</t>
    </r>
  </si>
  <si>
    <r>
      <rPr>
        <b/>
        <sz val="12"/>
        <rFont val="宋体"/>
        <family val="3"/>
        <charset val="134"/>
      </rPr>
      <t>报告边界</t>
    </r>
  </si>
  <si>
    <r>
      <rPr>
        <b/>
        <sz val="12"/>
        <rFont val="宋体"/>
        <family val="3"/>
        <charset val="134"/>
      </rPr>
      <t>活动数据</t>
    </r>
  </si>
  <si>
    <r>
      <rPr>
        <b/>
        <sz val="12"/>
        <rFont val="宋体"/>
        <family val="3"/>
        <charset val="134"/>
      </rPr>
      <t>排放因子</t>
    </r>
    <r>
      <rPr>
        <b/>
        <sz val="12"/>
        <rFont val="Arial"/>
        <family val="2"/>
      </rPr>
      <t>&amp;</t>
    </r>
    <r>
      <rPr>
        <b/>
        <sz val="12"/>
        <rFont val="宋体"/>
        <family val="3"/>
        <charset val="134"/>
      </rPr>
      <t>系数</t>
    </r>
  </si>
  <si>
    <r>
      <rPr>
        <b/>
        <sz val="12"/>
        <rFont val="宋体"/>
        <family val="3"/>
        <charset val="134"/>
      </rPr>
      <t>排放量</t>
    </r>
  </si>
  <si>
    <t>CO2</t>
  </si>
  <si>
    <t>CH4</t>
  </si>
  <si>
    <t>N2O</t>
  </si>
  <si>
    <t>SF6</t>
  </si>
  <si>
    <t>NF3</t>
  </si>
  <si>
    <r>
      <rPr>
        <b/>
        <sz val="12"/>
        <rFont val="宋体"/>
        <family val="3"/>
        <charset val="134"/>
      </rPr>
      <t>总量</t>
    </r>
  </si>
  <si>
    <r>
      <rPr>
        <b/>
        <sz val="12"/>
        <rFont val="宋体"/>
        <family val="3"/>
        <charset val="134"/>
      </rPr>
      <t>数值</t>
    </r>
  </si>
  <si>
    <r>
      <rPr>
        <b/>
        <sz val="12"/>
        <rFont val="宋体"/>
        <family val="3"/>
        <charset val="134"/>
      </rPr>
      <t>计量单位</t>
    </r>
  </si>
  <si>
    <t>EF</t>
  </si>
  <si>
    <t>GWP</t>
  </si>
  <si>
    <r>
      <rPr>
        <b/>
        <sz val="12"/>
        <rFont val="宋体"/>
        <family val="3"/>
        <charset val="134"/>
      </rPr>
      <t>型号</t>
    </r>
  </si>
  <si>
    <t>tCO2e</t>
  </si>
  <si>
    <r>
      <rPr>
        <sz val="10"/>
        <rFont val="宋体"/>
        <family val="3"/>
        <charset val="134"/>
      </rPr>
      <t>固定燃烧</t>
    </r>
  </si>
  <si>
    <r>
      <rPr>
        <sz val="10"/>
        <rFont val="宋体"/>
        <family val="3"/>
        <charset val="134"/>
      </rPr>
      <t>天然气燃烧</t>
    </r>
  </si>
  <si>
    <t>热处理炉（加热炉）</t>
  </si>
  <si>
    <t>范围一</t>
  </si>
  <si>
    <t>10000Nm3</t>
  </si>
  <si>
    <t>tCO2/10000Nm3</t>
  </si>
  <si>
    <t>液化石油气燃烧</t>
  </si>
  <si>
    <t>冶钢宾馆</t>
  </si>
  <si>
    <t>t</t>
  </si>
  <si>
    <t>tCO2/t</t>
  </si>
  <si>
    <r>
      <rPr>
        <sz val="10"/>
        <rFont val="宋体"/>
        <family val="3"/>
        <charset val="134"/>
      </rPr>
      <t>烟煤燃烧</t>
    </r>
  </si>
  <si>
    <r>
      <rPr>
        <sz val="10"/>
        <rFont val="宋体"/>
        <family val="3"/>
        <charset val="134"/>
      </rPr>
      <t>高炉</t>
    </r>
  </si>
  <si>
    <r>
      <rPr>
        <sz val="10"/>
        <rFont val="宋体"/>
        <family val="3"/>
        <charset val="134"/>
      </rPr>
      <t>无烟煤燃烧</t>
    </r>
  </si>
  <si>
    <t>高炉、烧结</t>
  </si>
  <si>
    <t>固定燃烧</t>
  </si>
  <si>
    <t>洗精煤燃烧</t>
  </si>
  <si>
    <t>焦炉</t>
  </si>
  <si>
    <t>焦炭燃烧</t>
  </si>
  <si>
    <t>高炉</t>
  </si>
  <si>
    <t>焦屑燃烧</t>
  </si>
  <si>
    <t>烧结、高炉</t>
  </si>
  <si>
    <t>焦炉煤气燃烧</t>
  </si>
  <si>
    <t>外售</t>
  </si>
  <si>
    <r>
      <rPr>
        <sz val="10"/>
        <rFont val="宋体"/>
        <family val="3"/>
        <charset val="134"/>
      </rPr>
      <t>移动燃烧</t>
    </r>
  </si>
  <si>
    <r>
      <rPr>
        <sz val="10"/>
        <rFont val="Arial"/>
        <family val="2"/>
      </rPr>
      <t>0#</t>
    </r>
    <r>
      <rPr>
        <sz val="10"/>
        <rFont val="宋体"/>
        <family val="3"/>
        <charset val="134"/>
      </rPr>
      <t>柴油燃烧</t>
    </r>
  </si>
  <si>
    <t>场内运输</t>
  </si>
  <si>
    <r>
      <rPr>
        <sz val="10"/>
        <rFont val="Arial"/>
        <family val="2"/>
      </rPr>
      <t>92#</t>
    </r>
    <r>
      <rPr>
        <sz val="10"/>
        <rFont val="宋体"/>
        <family val="3"/>
        <charset val="134"/>
      </rPr>
      <t>汽油燃烧</t>
    </r>
  </si>
  <si>
    <r>
      <rPr>
        <sz val="10"/>
        <rFont val="宋体"/>
        <family val="3"/>
        <charset val="134"/>
      </rPr>
      <t>公务车</t>
    </r>
  </si>
  <si>
    <r>
      <rPr>
        <sz val="10"/>
        <rFont val="宋体"/>
        <family val="3"/>
        <charset val="134"/>
      </rPr>
      <t>逸散排放</t>
    </r>
  </si>
  <si>
    <r>
      <rPr>
        <sz val="10"/>
        <rFont val="宋体"/>
        <family val="3"/>
        <charset val="134"/>
      </rPr>
      <t>制冷剂逸散（</t>
    </r>
    <r>
      <rPr>
        <sz val="10"/>
        <rFont val="Arial"/>
        <family val="2"/>
      </rPr>
      <t>R32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</si>
  <si>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分体式空调</t>
    </r>
  </si>
  <si>
    <t>tHFCs/t</t>
  </si>
  <si>
    <t>HFC-32</t>
  </si>
  <si>
    <r>
      <rPr>
        <sz val="10"/>
        <rFont val="Arial"/>
        <family val="2"/>
      </rPr>
      <t>CO2</t>
    </r>
    <r>
      <rPr>
        <sz val="10"/>
        <rFont val="宋体"/>
        <family val="3"/>
        <charset val="134"/>
      </rPr>
      <t>逸散</t>
    </r>
  </si>
  <si>
    <r>
      <rPr>
        <sz val="10"/>
        <rFont val="宋体"/>
        <family val="3"/>
        <charset val="134"/>
      </rPr>
      <t>二氧化碳灭火器</t>
    </r>
  </si>
  <si>
    <r>
      <rPr>
        <sz val="10"/>
        <rFont val="Arial"/>
        <family val="2"/>
      </rPr>
      <t>CH4</t>
    </r>
    <r>
      <rPr>
        <sz val="10"/>
        <rFont val="宋体"/>
        <family val="3"/>
        <charset val="134"/>
      </rPr>
      <t>逸散</t>
    </r>
  </si>
  <si>
    <r>
      <rPr>
        <sz val="10"/>
        <rFont val="宋体"/>
        <family val="3"/>
        <charset val="134"/>
      </rPr>
      <t>化粪池</t>
    </r>
  </si>
  <si>
    <t>tBOD</t>
  </si>
  <si>
    <t>tCH4/tBOD</t>
  </si>
  <si>
    <t>逸散排放</t>
  </si>
  <si>
    <t>耗氧池</t>
  </si>
  <si>
    <t>tCOD</t>
  </si>
  <si>
    <t>tCH4/tCOD</t>
  </si>
  <si>
    <r>
      <rPr>
        <sz val="10"/>
        <rFont val="Arial"/>
        <family val="2"/>
      </rPr>
      <t>SF6</t>
    </r>
    <r>
      <rPr>
        <sz val="10"/>
        <rFont val="宋体"/>
        <family val="3"/>
        <charset val="134"/>
      </rPr>
      <t>逸散</t>
    </r>
  </si>
  <si>
    <r>
      <rPr>
        <sz val="10"/>
        <rFont val="宋体"/>
        <family val="3"/>
        <charset val="134"/>
      </rPr>
      <t>高压开关</t>
    </r>
  </si>
  <si>
    <t>tSF6/t</t>
  </si>
  <si>
    <t>石灰石</t>
  </si>
  <si>
    <t>石灰窑</t>
  </si>
  <si>
    <t>白云石</t>
  </si>
  <si>
    <t>电极</t>
  </si>
  <si>
    <r>
      <rPr>
        <sz val="10"/>
        <rFont val="宋体"/>
        <family val="3"/>
        <charset val="134"/>
      </rPr>
      <t>炼钢</t>
    </r>
  </si>
  <si>
    <t>废钢</t>
  </si>
  <si>
    <t>锰铁</t>
  </si>
  <si>
    <t>镍铁</t>
  </si>
  <si>
    <t>铬铁</t>
  </si>
  <si>
    <t>硅铁</t>
  </si>
  <si>
    <t>钼铁</t>
  </si>
  <si>
    <t>钢坯</t>
  </si>
  <si>
    <t>固碳产品</t>
  </si>
  <si>
    <t>粗苯</t>
  </si>
  <si>
    <t>煤焦油</t>
  </si>
  <si>
    <t>危废处置</t>
  </si>
  <si>
    <r>
      <rPr>
        <sz val="10"/>
        <rFont val="宋体"/>
        <family val="3"/>
        <charset val="134"/>
      </rPr>
      <t>输入能源间接温室气体排放</t>
    </r>
  </si>
  <si>
    <t>外购电力（基于位置）</t>
  </si>
  <si>
    <r>
      <rPr>
        <sz val="10"/>
        <rFont val="宋体"/>
        <family val="3"/>
        <charset val="134"/>
      </rPr>
      <t>用电设备</t>
    </r>
  </si>
  <si>
    <t>范围二</t>
  </si>
  <si>
    <t>MWh</t>
  </si>
  <si>
    <t>tCO2/MWh</t>
  </si>
  <si>
    <t>外购电力（基于市场）</t>
  </si>
  <si>
    <t>铁矿石生产</t>
  </si>
  <si>
    <t>烧结</t>
  </si>
  <si>
    <t>生石灰生产</t>
  </si>
  <si>
    <t>烧结、转炉、电炉</t>
  </si>
  <si>
    <t>石灰石生产</t>
  </si>
  <si>
    <t>转炉</t>
  </si>
  <si>
    <t>白云石生产</t>
  </si>
  <si>
    <t>轻烧白云石生产</t>
  </si>
  <si>
    <t>转炉、电炉</t>
  </si>
  <si>
    <t>球团生产</t>
  </si>
  <si>
    <t>高炉、转炉</t>
  </si>
  <si>
    <t>废钢生产</t>
  </si>
  <si>
    <t>电极生产</t>
  </si>
  <si>
    <t>锰铁生产</t>
  </si>
  <si>
    <t>镍铁生产</t>
  </si>
  <si>
    <t>铬铁生产</t>
  </si>
  <si>
    <t>萤石生产</t>
  </si>
  <si>
    <t>硅铁生产</t>
  </si>
  <si>
    <t>钼铁生产</t>
  </si>
  <si>
    <t>铝铁生产</t>
  </si>
  <si>
    <t>铝生产</t>
  </si>
  <si>
    <t>增碳剂生产</t>
  </si>
  <si>
    <t>铁鳞生产</t>
  </si>
  <si>
    <t>炼钢</t>
  </si>
  <si>
    <t>氨水生产</t>
  </si>
  <si>
    <t>碳化硅生产</t>
  </si>
  <si>
    <t>-</t>
  </si>
  <si>
    <t>镁生产</t>
  </si>
  <si>
    <t>所有其他纸制品加工制造</t>
  </si>
  <si>
    <t>办公室</t>
  </si>
  <si>
    <t>$</t>
  </si>
  <si>
    <t>t CO2e/2022 USD, purchaser price</t>
  </si>
  <si>
    <t>办公用品(纸张除外)制造</t>
  </si>
  <si>
    <t>源水</t>
  </si>
  <si>
    <t>水处理工序</t>
  </si>
  <si>
    <t>资本货物</t>
  </si>
  <si>
    <t>采购产品空调和暖空气加热设备和商业和工业制冷设备制造</t>
  </si>
  <si>
    <t>办公室、各工序</t>
  </si>
  <si>
    <t>电子计算机制造</t>
  </si>
  <si>
    <t>焊接及焊接设备制造</t>
  </si>
  <si>
    <t>各工序</t>
  </si>
  <si>
    <t>其他工业设备制造</t>
  </si>
  <si>
    <t>测量和测试电力和电气信号的仪器制造</t>
  </si>
  <si>
    <t>计算机系统设计服务</t>
  </si>
  <si>
    <t>机械动力传动设备制造</t>
  </si>
  <si>
    <t>测量、分配及其他泵类设备制造</t>
  </si>
  <si>
    <t>用于测量、显示和控制工业过程变量的仪器及相关产品制造</t>
  </si>
  <si>
    <t>所有其他杂项电气设备及元件制造</t>
  </si>
  <si>
    <t>所有其他杂项制造</t>
  </si>
  <si>
    <t>范围一、二相关燃料和能源相关的活动产生的排放</t>
  </si>
  <si>
    <t>液化石油气生产</t>
  </si>
  <si>
    <t>洗精煤生产</t>
  </si>
  <si>
    <t>焦化</t>
  </si>
  <si>
    <t>柴油生产</t>
  </si>
  <si>
    <t>汽油生产</t>
  </si>
  <si>
    <t>车队</t>
  </si>
  <si>
    <t>焦炭生产</t>
  </si>
  <si>
    <t>焦屑生产</t>
  </si>
  <si>
    <t>烟煤生产</t>
  </si>
  <si>
    <t>无烟煤生产</t>
  </si>
  <si>
    <t>天然气生产</t>
  </si>
  <si>
    <t>转炉、电炉、锻造、热处理</t>
  </si>
  <si>
    <t>外购电力上游排放</t>
  </si>
  <si>
    <t>上游运输配送产生的排放</t>
  </si>
  <si>
    <t>船运</t>
  </si>
  <si>
    <t>tkm</t>
  </si>
  <si>
    <t>汽运</t>
  </si>
  <si>
    <t>铁路运输</t>
  </si>
  <si>
    <t>运营中产生的废物排放</t>
  </si>
  <si>
    <t>生活垃圾和厨余垃圾</t>
  </si>
  <si>
    <t>垃圾站</t>
  </si>
  <si>
    <t>废油</t>
  </si>
  <si>
    <t>废油水</t>
  </si>
  <si>
    <t>废弃物运输</t>
  </si>
  <si>
    <t>商务旅行产生的排放</t>
  </si>
  <si>
    <t>航运</t>
  </si>
  <si>
    <t>passenger*km</t>
  </si>
  <si>
    <t>员工差旅住宿</t>
  </si>
  <si>
    <r>
      <rPr>
        <sz val="10"/>
        <color indexed="8"/>
        <rFont val="宋体"/>
        <family val="3"/>
        <charset val="134"/>
      </rPr>
      <t>总间</t>
    </r>
    <r>
      <rPr>
        <sz val="10"/>
        <color indexed="8"/>
        <rFont val="Arial"/>
        <family val="2"/>
      </rPr>
      <t>*</t>
    </r>
    <r>
      <rPr>
        <sz val="10"/>
        <color indexed="8"/>
        <rFont val="宋体"/>
        <family val="3"/>
        <charset val="134"/>
      </rPr>
      <t>晚</t>
    </r>
  </si>
  <si>
    <r>
      <rPr>
        <sz val="10"/>
        <color indexed="8"/>
        <rFont val="Arial"/>
        <family val="2"/>
      </rPr>
      <t>tCO2/</t>
    </r>
    <r>
      <rPr>
        <sz val="10"/>
        <color indexed="8"/>
        <rFont val="宋体"/>
        <family val="3"/>
        <charset val="134"/>
      </rPr>
      <t>间</t>
    </r>
    <r>
      <rPr>
        <sz val="10"/>
        <color indexed="8"/>
        <rFont val="Arial"/>
        <family val="2"/>
      </rPr>
      <t>*</t>
    </r>
    <r>
      <rPr>
        <sz val="10"/>
        <color indexed="8"/>
        <rFont val="宋体"/>
        <family val="3"/>
        <charset val="134"/>
      </rPr>
      <t>晚</t>
    </r>
  </si>
  <si>
    <t>员工通勤产生的排放</t>
  </si>
  <si>
    <t>通勤车</t>
  </si>
  <si>
    <t>电动车</t>
  </si>
  <si>
    <t>自驾油车</t>
  </si>
  <si>
    <t>km</t>
  </si>
  <si>
    <t>自驾电车</t>
  </si>
  <si>
    <t>下游运输配送产生的排放</t>
  </si>
  <si>
    <t>汽运-副产品</t>
  </si>
  <si>
    <t>外销产品加工产生的排放</t>
  </si>
  <si>
    <t>锻材加工</t>
  </si>
  <si>
    <t>下游钢铁厂</t>
  </si>
  <si>
    <t>棒材加工</t>
  </si>
  <si>
    <t>钢管加工</t>
  </si>
  <si>
    <t>钢坯加工</t>
  </si>
  <si>
    <t>外销产品使用产生的排放</t>
  </si>
  <si>
    <t>外售焦炉煤气燃烧</t>
  </si>
  <si>
    <t>范围三 类别11</t>
  </si>
  <si>
    <t>外售产品报废产生的排放</t>
  </si>
  <si>
    <t>产品报废</t>
  </si>
  <si>
    <r>
      <rPr>
        <b/>
        <i/>
        <sz val="10"/>
        <rFont val="宋体"/>
        <family val="3"/>
        <charset val="134"/>
      </rPr>
      <t>备注</t>
    </r>
  </si>
  <si>
    <r>
      <rPr>
        <i/>
        <sz val="10"/>
        <rFont val="Arial"/>
        <family val="2"/>
      </rPr>
      <t>R600</t>
    </r>
    <r>
      <rPr>
        <i/>
        <sz val="10"/>
        <rFont val="宋体"/>
        <family val="3"/>
        <charset val="134"/>
      </rPr>
      <t>、</t>
    </r>
    <r>
      <rPr>
        <i/>
        <sz val="10"/>
        <rFont val="Arial"/>
        <family val="2"/>
      </rPr>
      <t>R600a</t>
    </r>
    <r>
      <rPr>
        <i/>
        <sz val="10"/>
        <rFont val="宋体"/>
        <family val="3"/>
        <charset val="134"/>
      </rPr>
      <t>、</t>
    </r>
    <r>
      <rPr>
        <i/>
        <sz val="10"/>
        <rFont val="Arial"/>
        <family val="2"/>
      </rPr>
      <t>R290</t>
    </r>
    <r>
      <rPr>
        <i/>
        <sz val="10"/>
        <rFont val="宋体"/>
        <family val="3"/>
        <charset val="134"/>
      </rPr>
      <t>、环戊烷、</t>
    </r>
    <r>
      <rPr>
        <i/>
        <sz val="10"/>
        <rFont val="Arial"/>
        <family val="2"/>
      </rPr>
      <t>R33</t>
    </r>
    <r>
      <rPr>
        <i/>
        <sz val="10"/>
        <rFont val="宋体"/>
        <family val="3"/>
        <charset val="134"/>
      </rPr>
      <t>、</t>
    </r>
    <r>
      <rPr>
        <i/>
        <sz val="10"/>
        <rFont val="Arial"/>
        <family val="2"/>
      </rPr>
      <t>R35</t>
    </r>
    <r>
      <rPr>
        <i/>
        <sz val="10"/>
        <rFont val="宋体"/>
        <family val="3"/>
        <charset val="134"/>
      </rPr>
      <t>不在盘查范围内</t>
    </r>
  </si>
  <si>
    <r>
      <rPr>
        <i/>
        <sz val="10"/>
        <rFont val="宋体"/>
        <family val="3"/>
        <charset val="134"/>
      </rPr>
      <t>无需纳入计算</t>
    </r>
  </si>
  <si>
    <t>合计（位置法）</t>
  </si>
  <si>
    <r>
      <rPr>
        <i/>
        <sz val="10"/>
        <rFont val="Arial"/>
        <family val="2"/>
      </rPr>
      <t>R142</t>
    </r>
    <r>
      <rPr>
        <i/>
        <sz val="10"/>
        <rFont val="宋体"/>
        <family val="3"/>
        <charset val="134"/>
      </rPr>
      <t>、</t>
    </r>
    <r>
      <rPr>
        <i/>
        <sz val="10"/>
        <rFont val="Arial"/>
        <family val="2"/>
      </rPr>
      <t>R142b</t>
    </r>
    <r>
      <rPr>
        <i/>
        <sz val="10"/>
        <rFont val="宋体"/>
        <family val="3"/>
        <charset val="134"/>
      </rPr>
      <t>、</t>
    </r>
    <r>
      <rPr>
        <i/>
        <sz val="10"/>
        <rFont val="Arial"/>
        <family val="2"/>
      </rPr>
      <t>R12</t>
    </r>
    <r>
      <rPr>
        <i/>
        <sz val="10"/>
        <rFont val="宋体"/>
        <family val="3"/>
        <charset val="134"/>
      </rPr>
      <t>属于淘汰制冷剂，不盘查</t>
    </r>
  </si>
  <si>
    <t>合计（市场法）</t>
  </si>
  <si>
    <t>范围一：直接温室气体排放</t>
  </si>
  <si>
    <r>
      <rPr>
        <b/>
        <sz val="12"/>
        <color indexed="9"/>
        <rFont val="宋体"/>
        <family val="3"/>
        <charset val="134"/>
      </rPr>
      <t>总量</t>
    </r>
  </si>
  <si>
    <r>
      <rPr>
        <b/>
        <sz val="12"/>
        <rFont val="宋体"/>
        <family val="3"/>
        <charset val="134"/>
      </rPr>
      <t>汇总</t>
    </r>
  </si>
  <si>
    <t>范围二：输入能源间接温室气体排放</t>
  </si>
  <si>
    <r>
      <rPr>
        <b/>
        <sz val="12"/>
        <color indexed="9"/>
        <rFont val="宋体"/>
        <family val="3"/>
        <charset val="134"/>
      </rPr>
      <t>类别</t>
    </r>
  </si>
  <si>
    <r>
      <rPr>
        <b/>
        <sz val="11"/>
        <rFont val="宋体"/>
        <family val="3"/>
        <charset val="134"/>
      </rPr>
      <t>汇总</t>
    </r>
  </si>
  <si>
    <r>
      <rPr>
        <b/>
        <sz val="11"/>
        <rFont val="宋体"/>
        <family val="3"/>
        <charset val="134"/>
      </rPr>
      <t>外购电力</t>
    </r>
  </si>
  <si>
    <t>基于位置</t>
  </si>
  <si>
    <t>基于市场</t>
  </si>
  <si>
    <t>范围三排放统计</t>
  </si>
  <si>
    <t>范围三 类别1：外购商品和服务的上游产生的排放</t>
  </si>
  <si>
    <t>范围三 类别2：资本货物产生的排放</t>
  </si>
  <si>
    <t>范围三 类别3：范围一、二之外燃料和能源相关的活动产生的排放</t>
  </si>
  <si>
    <t>范围三 类别4：上游运输配送产生的排放</t>
  </si>
  <si>
    <t>范围三 类别5：运营产生的废物产生的排放</t>
  </si>
  <si>
    <t>范围三 类别6：商务旅行产生的排放</t>
  </si>
  <si>
    <t>范围三 类别7：员工通勤产生的排放</t>
  </si>
  <si>
    <t>范围三 类别8：上游租赁资产产生的排放</t>
  </si>
  <si>
    <t>备注：不相关，无上游租赁资产</t>
  </si>
  <si>
    <t>范围三 类别9：下游运输配送产生的排放</t>
  </si>
  <si>
    <t>范围三 类别10：外销产品加工产生的排放</t>
  </si>
  <si>
    <t>范围三 类别11：外销产品使用产生的排放</t>
  </si>
  <si>
    <t>范围三 类别12：外售产品报废产生的排放</t>
  </si>
  <si>
    <t>范围三 类别13：下游租赁资产产生的排放</t>
  </si>
  <si>
    <t>备注：不相关，冶钢宾馆和餐厅均为大冶所有</t>
  </si>
  <si>
    <t>范围三 类别14：特许经营产生的排放</t>
  </si>
  <si>
    <t>备注：不相关，没有特许经营的下游公司</t>
  </si>
  <si>
    <t>范围三 类别15：投资产生的排放</t>
  </si>
  <si>
    <t>备注：不相关，没有投资活动</t>
  </si>
  <si>
    <t>范围三</t>
  </si>
  <si>
    <r>
      <rPr>
        <b/>
        <sz val="11"/>
        <rFont val="宋体"/>
        <family val="3"/>
        <charset val="134"/>
      </rPr>
      <t>总排放量</t>
    </r>
  </si>
  <si>
    <r>
      <rPr>
        <b/>
        <sz val="11"/>
        <rFont val="宋体"/>
        <family val="3"/>
        <charset val="134"/>
      </rPr>
      <t>排放占比</t>
    </r>
  </si>
  <si>
    <r>
      <rPr>
        <b/>
        <sz val="16"/>
        <color indexed="8"/>
        <rFont val="新細明體"/>
        <charset val="134"/>
      </rPr>
      <t>不确定性</t>
    </r>
    <r>
      <rPr>
        <b/>
        <sz val="16"/>
        <color indexed="8"/>
        <rFont val="宋体"/>
        <family val="3"/>
        <charset val="134"/>
      </rPr>
      <t>评</t>
    </r>
    <r>
      <rPr>
        <b/>
        <sz val="16"/>
        <color indexed="8"/>
        <rFont val="新細明體"/>
        <charset val="134"/>
      </rPr>
      <t>估表</t>
    </r>
  </si>
  <si>
    <r>
      <rPr>
        <b/>
        <sz val="12"/>
        <color indexed="9"/>
        <rFont val="宋体"/>
        <family val="3"/>
        <charset val="134"/>
      </rPr>
      <t>编号</t>
    </r>
  </si>
  <si>
    <r>
      <rPr>
        <b/>
        <sz val="12"/>
        <color indexed="9"/>
        <rFont val="宋体"/>
        <family val="3"/>
        <charset val="134"/>
      </rPr>
      <t>排放源</t>
    </r>
  </si>
  <si>
    <r>
      <rPr>
        <b/>
        <sz val="12"/>
        <color indexed="9"/>
        <rFont val="宋体"/>
        <family val="3"/>
        <charset val="134"/>
      </rPr>
      <t>设施</t>
    </r>
  </si>
  <si>
    <r>
      <rPr>
        <b/>
        <sz val="12"/>
        <color indexed="9"/>
        <rFont val="宋体"/>
        <family val="3"/>
        <charset val="134"/>
      </rPr>
      <t>活动数据类别</t>
    </r>
  </si>
  <si>
    <r>
      <rPr>
        <b/>
        <sz val="12"/>
        <color indexed="9"/>
        <rFont val="宋体"/>
        <family val="3"/>
        <charset val="134"/>
      </rPr>
      <t>排放因子类别</t>
    </r>
  </si>
  <si>
    <r>
      <rPr>
        <b/>
        <sz val="12"/>
        <color indexed="9"/>
        <rFont val="宋体"/>
        <family val="3"/>
        <charset val="134"/>
      </rPr>
      <t>校准频率</t>
    </r>
  </si>
  <si>
    <r>
      <rPr>
        <b/>
        <sz val="12"/>
        <color indexed="9"/>
        <rFont val="宋体"/>
        <family val="3"/>
        <charset val="134"/>
      </rPr>
      <t>活动数据级别</t>
    </r>
  </si>
  <si>
    <r>
      <rPr>
        <b/>
        <sz val="12"/>
        <color indexed="9"/>
        <rFont val="宋体"/>
        <family val="3"/>
        <charset val="134"/>
      </rPr>
      <t>排放因子级别</t>
    </r>
  </si>
  <si>
    <r>
      <rPr>
        <b/>
        <sz val="12"/>
        <color indexed="9"/>
        <rFont val="宋体"/>
        <family val="3"/>
        <charset val="134"/>
      </rPr>
      <t>校准级别</t>
    </r>
  </si>
  <si>
    <r>
      <rPr>
        <b/>
        <sz val="12"/>
        <color indexed="9"/>
        <rFont val="宋体"/>
        <family val="3"/>
        <charset val="134"/>
      </rPr>
      <t>平均得分</t>
    </r>
  </si>
  <si>
    <r>
      <rPr>
        <b/>
        <sz val="12"/>
        <color indexed="9"/>
        <rFont val="宋体"/>
        <family val="3"/>
        <charset val="134"/>
      </rPr>
      <t>排放量</t>
    </r>
    <r>
      <rPr>
        <b/>
        <sz val="12"/>
        <color indexed="9"/>
        <rFont val="Arial"/>
        <family val="2"/>
      </rPr>
      <t>(tCO2e)</t>
    </r>
  </si>
  <si>
    <r>
      <rPr>
        <b/>
        <sz val="12"/>
        <color indexed="9"/>
        <rFont val="宋体"/>
        <family val="3"/>
        <charset val="134"/>
      </rPr>
      <t>排放量占比</t>
    </r>
  </si>
  <si>
    <r>
      <rPr>
        <b/>
        <sz val="12"/>
        <color indexed="9"/>
        <rFont val="宋体"/>
        <family val="3"/>
        <charset val="134"/>
      </rPr>
      <t>加权平均积分</t>
    </r>
  </si>
  <si>
    <t>自动连续量测</t>
  </si>
  <si>
    <t>国际排放因子</t>
  </si>
  <si>
    <t>校准且合格</t>
  </si>
  <si>
    <t>定期量测/抄表/铭牌</t>
  </si>
  <si>
    <t>校准但不合格/未校准但数据可查证</t>
  </si>
  <si>
    <t>国家排放因子</t>
  </si>
  <si>
    <t>自行推估</t>
  </si>
  <si>
    <t>加权合计</t>
  </si>
  <si>
    <t>加权等级</t>
  </si>
  <si>
    <t xml:space="preserve">             </t>
  </si>
  <si>
    <t>优+</t>
  </si>
  <si>
    <t>&gt;=5.0</t>
  </si>
  <si>
    <t>优</t>
  </si>
  <si>
    <t>&lt;5.0,&gt;=4.0</t>
  </si>
  <si>
    <t>良</t>
  </si>
  <si>
    <t>&lt;4.0,&gt;=3.0</t>
  </si>
  <si>
    <t>一般</t>
  </si>
  <si>
    <t>&lt;3.0,&gt;=2.0</t>
  </si>
  <si>
    <t>差</t>
  </si>
  <si>
    <t>&lt;2.0</t>
  </si>
  <si>
    <t>工业名称</t>
  </si>
  <si>
    <r>
      <rPr>
        <b/>
        <sz val="12"/>
        <color indexed="9"/>
        <rFont val="宋体"/>
        <family val="3"/>
        <charset val="134"/>
      </rPr>
      <t>中文名称</t>
    </r>
    <r>
      <rPr>
        <b/>
        <sz val="12"/>
        <color indexed="9"/>
        <rFont val="Arial"/>
        <family val="2"/>
      </rPr>
      <t>/</t>
    </r>
    <r>
      <rPr>
        <b/>
        <sz val="12"/>
        <color indexed="9"/>
        <rFont val="宋体"/>
        <family val="3"/>
        <charset val="134"/>
      </rPr>
      <t>化学分子式</t>
    </r>
  </si>
  <si>
    <r>
      <rPr>
        <b/>
        <sz val="12"/>
        <color indexed="9"/>
        <rFont val="宋体"/>
        <family val="3"/>
        <charset val="134"/>
      </rPr>
      <t>组成比例（</t>
    </r>
    <r>
      <rPr>
        <b/>
        <sz val="12"/>
        <color indexed="9"/>
        <rFont val="Arial"/>
        <family val="2"/>
      </rPr>
      <t>%</t>
    </r>
    <r>
      <rPr>
        <b/>
        <sz val="12"/>
        <color indexed="9"/>
        <rFont val="宋体"/>
        <family val="3"/>
        <charset val="134"/>
      </rPr>
      <t>）</t>
    </r>
  </si>
  <si>
    <t>GWP(HFCs)</t>
  </si>
  <si>
    <t>GWP(PFCs)</t>
  </si>
  <si>
    <t>来源</t>
  </si>
  <si>
    <t>二氧化碳</t>
  </si>
  <si>
    <r>
      <rPr>
        <sz val="10"/>
        <color indexed="8"/>
        <rFont val="Arial"/>
        <family val="2"/>
      </rPr>
      <t>2021</t>
    </r>
    <r>
      <rPr>
        <sz val="10"/>
        <color indexed="8"/>
        <rFont val="宋体"/>
        <family val="3"/>
        <charset val="134"/>
      </rPr>
      <t>年</t>
    </r>
    <r>
      <rPr>
        <sz val="10"/>
        <color indexed="8"/>
        <rFont val="Arial"/>
        <family val="2"/>
      </rPr>
      <t>IPCC</t>
    </r>
    <r>
      <rPr>
        <sz val="10"/>
        <color indexed="8"/>
        <rFont val="宋体"/>
        <family val="3"/>
        <charset val="134"/>
      </rPr>
      <t>第六次评估报告</t>
    </r>
    <r>
      <rPr>
        <sz val="10"/>
        <color indexed="8"/>
        <rFont val="Arial"/>
        <family val="2"/>
      </rPr>
      <t>AR6</t>
    </r>
  </si>
  <si>
    <t>甲烷</t>
  </si>
  <si>
    <t>氧化亚氮</t>
  </si>
  <si>
    <t>HCFC-22</t>
  </si>
  <si>
    <r>
      <rPr>
        <sz val="10"/>
        <color indexed="8"/>
        <rFont val="Arial"/>
        <family val="2"/>
      </rPr>
      <t>R-22</t>
    </r>
    <r>
      <rPr>
        <sz val="10"/>
        <color indexed="8"/>
        <rFont val="宋体"/>
        <family val="3"/>
        <charset val="134"/>
      </rPr>
      <t>，一氟二氯甲烷，</t>
    </r>
    <r>
      <rPr>
        <sz val="10"/>
        <color indexed="8"/>
        <rFont val="Arial"/>
        <family val="2"/>
      </rPr>
      <t>CHCl2F</t>
    </r>
  </si>
  <si>
    <t>HFC-23</t>
  </si>
  <si>
    <r>
      <rPr>
        <sz val="10"/>
        <color indexed="8"/>
        <rFont val="Arial"/>
        <family val="2"/>
      </rPr>
      <t>R-23</t>
    </r>
    <r>
      <rPr>
        <sz val="10"/>
        <color indexed="8"/>
        <rFont val="宋体"/>
        <family val="3"/>
        <charset val="134"/>
      </rPr>
      <t>，三氟甲烷，</t>
    </r>
    <r>
      <rPr>
        <sz val="10"/>
        <color indexed="8"/>
        <rFont val="Arial"/>
        <family val="2"/>
      </rPr>
      <t>CHF3</t>
    </r>
  </si>
  <si>
    <r>
      <rPr>
        <sz val="10"/>
        <color indexed="8"/>
        <rFont val="Arial"/>
        <family val="2"/>
      </rPr>
      <t>R-32</t>
    </r>
    <r>
      <rPr>
        <sz val="10"/>
        <color indexed="8"/>
        <rFont val="宋体"/>
        <family val="3"/>
        <charset val="134"/>
      </rPr>
      <t>，二氟甲烷，</t>
    </r>
    <r>
      <rPr>
        <sz val="10"/>
        <color indexed="8"/>
        <rFont val="Arial"/>
        <family val="2"/>
      </rPr>
      <t>CH2F2</t>
    </r>
  </si>
  <si>
    <t>HFC-41</t>
  </si>
  <si>
    <r>
      <rPr>
        <sz val="10"/>
        <color indexed="8"/>
        <rFont val="宋体"/>
        <family val="3"/>
        <charset val="134"/>
      </rPr>
      <t>一氟甲烷，</t>
    </r>
    <r>
      <rPr>
        <sz val="10"/>
        <color indexed="8"/>
        <rFont val="Arial"/>
        <family val="2"/>
      </rPr>
      <t>CH3F</t>
    </r>
  </si>
  <si>
    <t>HFC-125</t>
  </si>
  <si>
    <r>
      <rPr>
        <sz val="10"/>
        <color indexed="8"/>
        <rFont val="Arial"/>
        <family val="2"/>
      </rPr>
      <t>R-125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1,1,1,2,2-</t>
    </r>
    <r>
      <rPr>
        <sz val="10"/>
        <color indexed="8"/>
        <rFont val="宋体"/>
        <family val="3"/>
        <charset val="134"/>
      </rPr>
      <t>五氟乙烷，</t>
    </r>
    <r>
      <rPr>
        <sz val="10"/>
        <color indexed="8"/>
        <rFont val="Arial"/>
        <family val="2"/>
      </rPr>
      <t>C2HF5</t>
    </r>
  </si>
  <si>
    <t>HFC-134</t>
  </si>
  <si>
    <r>
      <rPr>
        <sz val="10"/>
        <color indexed="8"/>
        <rFont val="Arial"/>
        <family val="2"/>
      </rPr>
      <t>R-134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1,1,2,2-</t>
    </r>
    <r>
      <rPr>
        <sz val="10"/>
        <color indexed="8"/>
        <rFont val="宋体"/>
        <family val="3"/>
        <charset val="134"/>
      </rPr>
      <t>四氟乙烷，</t>
    </r>
    <r>
      <rPr>
        <sz val="10"/>
        <color indexed="8"/>
        <rFont val="Arial"/>
        <family val="2"/>
      </rPr>
      <t>C2H2F4</t>
    </r>
  </si>
  <si>
    <t>HFC-134a</t>
  </si>
  <si>
    <r>
      <rPr>
        <sz val="10"/>
        <color indexed="8"/>
        <rFont val="Arial"/>
        <family val="2"/>
      </rPr>
      <t>R-134a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1,1,1,2-</t>
    </r>
    <r>
      <rPr>
        <sz val="10"/>
        <color indexed="8"/>
        <rFont val="宋体"/>
        <family val="3"/>
        <charset val="134"/>
      </rPr>
      <t>四氟乙烷，</t>
    </r>
    <r>
      <rPr>
        <sz val="10"/>
        <color indexed="8"/>
        <rFont val="Arial"/>
        <family val="2"/>
      </rPr>
      <t>C2H2F4</t>
    </r>
  </si>
  <si>
    <t>HFC-143</t>
  </si>
  <si>
    <r>
      <rPr>
        <sz val="10"/>
        <color indexed="8"/>
        <rFont val="Arial"/>
        <family val="2"/>
      </rPr>
      <t>R-143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1,1,2-</t>
    </r>
    <r>
      <rPr>
        <sz val="10"/>
        <color indexed="8"/>
        <rFont val="宋体"/>
        <family val="3"/>
        <charset val="134"/>
      </rPr>
      <t>三氟乙烷，</t>
    </r>
    <r>
      <rPr>
        <sz val="10"/>
        <color indexed="8"/>
        <rFont val="Arial"/>
        <family val="2"/>
      </rPr>
      <t>CHF2CH2F</t>
    </r>
  </si>
  <si>
    <t>HFC-143a</t>
  </si>
  <si>
    <r>
      <rPr>
        <sz val="10"/>
        <color indexed="8"/>
        <rFont val="Arial"/>
        <family val="2"/>
      </rPr>
      <t>R-143a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1,1,1-</t>
    </r>
    <r>
      <rPr>
        <sz val="10"/>
        <color indexed="8"/>
        <rFont val="宋体"/>
        <family val="3"/>
        <charset val="134"/>
      </rPr>
      <t>三氟乙烷，</t>
    </r>
    <r>
      <rPr>
        <sz val="10"/>
        <color indexed="8"/>
        <rFont val="Arial"/>
        <family val="2"/>
      </rPr>
      <t>C2H3F3</t>
    </r>
  </si>
  <si>
    <t>HFC-152</t>
  </si>
  <si>
    <r>
      <rPr>
        <sz val="10"/>
        <color indexed="8"/>
        <rFont val="Arial"/>
        <family val="2"/>
      </rPr>
      <t>R-152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1,2-</t>
    </r>
    <r>
      <rPr>
        <sz val="10"/>
        <color indexed="8"/>
        <rFont val="宋体"/>
        <family val="3"/>
        <charset val="134"/>
      </rPr>
      <t>二氟乙烷，</t>
    </r>
    <r>
      <rPr>
        <sz val="10"/>
        <color indexed="8"/>
        <rFont val="Arial"/>
        <family val="2"/>
      </rPr>
      <t>CH2FCH2F</t>
    </r>
  </si>
  <si>
    <t>HFC-152a</t>
  </si>
  <si>
    <r>
      <rPr>
        <sz val="10"/>
        <color indexed="8"/>
        <rFont val="Arial"/>
        <family val="2"/>
      </rPr>
      <t>R-152a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1,1-</t>
    </r>
    <r>
      <rPr>
        <sz val="10"/>
        <color indexed="8"/>
        <rFont val="宋体"/>
        <family val="3"/>
        <charset val="134"/>
      </rPr>
      <t>二氟乙烷，</t>
    </r>
    <r>
      <rPr>
        <sz val="10"/>
        <color indexed="8"/>
        <rFont val="Arial"/>
        <family val="2"/>
      </rPr>
      <t>C2H4F2</t>
    </r>
  </si>
  <si>
    <t>HFC-161</t>
  </si>
  <si>
    <r>
      <rPr>
        <sz val="10"/>
        <color indexed="8"/>
        <rFont val="Arial"/>
        <family val="2"/>
      </rPr>
      <t>R-161</t>
    </r>
    <r>
      <rPr>
        <sz val="10"/>
        <color indexed="8"/>
        <rFont val="宋体"/>
        <family val="3"/>
        <charset val="134"/>
      </rPr>
      <t>，一氟乙烷，</t>
    </r>
    <r>
      <rPr>
        <sz val="10"/>
        <color indexed="8"/>
        <rFont val="Arial"/>
        <family val="2"/>
      </rPr>
      <t>CH3CH2F</t>
    </r>
  </si>
  <si>
    <t>HFC-227ea</t>
  </si>
  <si>
    <r>
      <rPr>
        <sz val="10"/>
        <color indexed="8"/>
        <rFont val="Arial"/>
        <family val="2"/>
      </rPr>
      <t>R-227ea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1,1,1,2,3,3,3-七氟丙烷，CF3CHFCF3</t>
    </r>
  </si>
  <si>
    <t>HFC-236cb</t>
  </si>
  <si>
    <r>
      <rPr>
        <sz val="10"/>
        <color indexed="8"/>
        <rFont val="Arial"/>
        <family val="2"/>
      </rPr>
      <t>R-236cb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1,1,1,2,2,3-</t>
    </r>
    <r>
      <rPr>
        <sz val="10"/>
        <color indexed="8"/>
        <rFont val="宋体"/>
        <family val="3"/>
        <charset val="134"/>
      </rPr>
      <t>六氟丙烷，</t>
    </r>
    <r>
      <rPr>
        <sz val="10"/>
        <color indexed="8"/>
        <rFont val="Arial"/>
        <family val="2"/>
      </rPr>
      <t>CH2FCF2CF3</t>
    </r>
  </si>
  <si>
    <t>HFC-236ea</t>
  </si>
  <si>
    <r>
      <rPr>
        <sz val="10"/>
        <color indexed="8"/>
        <rFont val="Arial"/>
        <family val="2"/>
      </rPr>
      <t>R-236ea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1,1,1,2,3,3-</t>
    </r>
    <r>
      <rPr>
        <sz val="10"/>
        <color indexed="8"/>
        <rFont val="宋体"/>
        <family val="3"/>
        <charset val="134"/>
      </rPr>
      <t>六氟丙烷，</t>
    </r>
    <r>
      <rPr>
        <sz val="10"/>
        <color indexed="8"/>
        <rFont val="Arial"/>
        <family val="2"/>
      </rPr>
      <t>CHF2CHFCF3</t>
    </r>
  </si>
  <si>
    <t>HFC-236fa</t>
  </si>
  <si>
    <r>
      <rPr>
        <sz val="10"/>
        <color indexed="8"/>
        <rFont val="Arial"/>
        <family val="2"/>
      </rPr>
      <t>R-236fa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1,1,1,3,3,3-</t>
    </r>
    <r>
      <rPr>
        <sz val="10"/>
        <color indexed="8"/>
        <rFont val="宋体"/>
        <family val="3"/>
        <charset val="134"/>
      </rPr>
      <t>六氟丙烷，</t>
    </r>
    <r>
      <rPr>
        <sz val="10"/>
        <color indexed="8"/>
        <rFont val="Arial"/>
        <family val="2"/>
      </rPr>
      <t>C3H2F6</t>
    </r>
  </si>
  <si>
    <t>HFC-245ca</t>
  </si>
  <si>
    <r>
      <rPr>
        <sz val="10"/>
        <color indexed="8"/>
        <rFont val="Arial"/>
        <family val="2"/>
      </rPr>
      <t>R-245ca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1,1,2,2,3-</t>
    </r>
    <r>
      <rPr>
        <sz val="10"/>
        <color indexed="8"/>
        <rFont val="宋体"/>
        <family val="3"/>
        <charset val="134"/>
      </rPr>
      <t>五氟丙烷，</t>
    </r>
    <r>
      <rPr>
        <sz val="10"/>
        <color indexed="8"/>
        <rFont val="Arial"/>
        <family val="2"/>
      </rPr>
      <t>CH2FCF2CHF2</t>
    </r>
  </si>
  <si>
    <t>HFC-245fa</t>
  </si>
  <si>
    <r>
      <rPr>
        <sz val="10"/>
        <color indexed="8"/>
        <rFont val="Arial"/>
        <family val="2"/>
      </rPr>
      <t>R-245fa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1,1,1,3,3-</t>
    </r>
    <r>
      <rPr>
        <sz val="10"/>
        <color indexed="8"/>
        <rFont val="宋体"/>
        <family val="3"/>
        <charset val="134"/>
      </rPr>
      <t>五氟丙烷，</t>
    </r>
    <r>
      <rPr>
        <sz val="10"/>
        <color indexed="8"/>
        <rFont val="Arial"/>
        <family val="2"/>
      </rPr>
      <t>CHF2CH2CF3</t>
    </r>
  </si>
  <si>
    <t>HFC-365mfc</t>
  </si>
  <si>
    <r>
      <rPr>
        <sz val="10"/>
        <color indexed="8"/>
        <rFont val="Arial"/>
        <family val="2"/>
      </rPr>
      <t>R-365mfc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1,1,1,3,3-</t>
    </r>
    <r>
      <rPr>
        <sz val="10"/>
        <color indexed="8"/>
        <rFont val="宋体"/>
        <family val="3"/>
        <charset val="134"/>
      </rPr>
      <t>五氟丁烷，</t>
    </r>
    <r>
      <rPr>
        <sz val="10"/>
        <color indexed="8"/>
        <rFont val="Arial"/>
        <family val="2"/>
      </rPr>
      <t>CF3CH2CF2CH3</t>
    </r>
  </si>
  <si>
    <t>HFC-43-10mee</t>
  </si>
  <si>
    <r>
      <rPr>
        <sz val="10"/>
        <color indexed="8"/>
        <rFont val="Arial"/>
        <family val="2"/>
      </rPr>
      <t>R-43-10mee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1,1,1,2,2,3,4,5,5,5-</t>
    </r>
    <r>
      <rPr>
        <sz val="10"/>
        <color indexed="8"/>
        <rFont val="宋体"/>
        <family val="3"/>
        <charset val="134"/>
      </rPr>
      <t>十氟戊烷，</t>
    </r>
    <r>
      <rPr>
        <sz val="10"/>
        <color indexed="8"/>
        <rFont val="Arial"/>
        <family val="2"/>
      </rPr>
      <t>CF3CHFCHFCF2CF3</t>
    </r>
  </si>
  <si>
    <t>R401A</t>
  </si>
  <si>
    <r>
      <rPr>
        <sz val="10"/>
        <color indexed="8"/>
        <rFont val="Arial"/>
        <family val="2"/>
      </rPr>
      <t>R22/152a/R124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53/13/34</t>
    </r>
    <r>
      <rPr>
        <sz val="10"/>
        <color indexed="8"/>
        <rFont val="宋体"/>
        <family val="3"/>
        <charset val="134"/>
      </rPr>
      <t>）</t>
    </r>
  </si>
  <si>
    <r>
      <rPr>
        <sz val="10"/>
        <color indexed="8"/>
        <rFont val="宋体"/>
        <family val="3"/>
        <charset val="134"/>
      </rPr>
      <t>只考虑了</t>
    </r>
    <r>
      <rPr>
        <sz val="10"/>
        <color indexed="8"/>
        <rFont val="Arial"/>
        <family val="2"/>
      </rPr>
      <t>R152a</t>
    </r>
  </si>
  <si>
    <t>R401B</t>
  </si>
  <si>
    <r>
      <rPr>
        <sz val="10"/>
        <color indexed="8"/>
        <rFont val="Arial"/>
        <family val="2"/>
      </rPr>
      <t>R22/152a/R124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61/11/28</t>
    </r>
    <r>
      <rPr>
        <sz val="10"/>
        <color indexed="8"/>
        <rFont val="宋体"/>
        <family val="3"/>
        <charset val="134"/>
      </rPr>
      <t>）</t>
    </r>
  </si>
  <si>
    <t>R404A</t>
  </si>
  <si>
    <r>
      <rPr>
        <sz val="10"/>
        <color indexed="8"/>
        <rFont val="Arial"/>
        <family val="2"/>
      </rPr>
      <t>R125/143a/R134a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44/52/4</t>
    </r>
    <r>
      <rPr>
        <sz val="10"/>
        <color indexed="8"/>
        <rFont val="宋体"/>
        <family val="3"/>
        <charset val="134"/>
      </rPr>
      <t>）</t>
    </r>
  </si>
  <si>
    <t>R407A</t>
  </si>
  <si>
    <r>
      <rPr>
        <sz val="10"/>
        <color indexed="8"/>
        <rFont val="Arial"/>
        <family val="2"/>
      </rPr>
      <t>R32/R125/R134a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20/40/40</t>
    </r>
    <r>
      <rPr>
        <sz val="10"/>
        <color indexed="8"/>
        <rFont val="宋体"/>
        <family val="3"/>
        <charset val="134"/>
      </rPr>
      <t>）</t>
    </r>
  </si>
  <si>
    <t>R407B</t>
  </si>
  <si>
    <r>
      <rPr>
        <sz val="10"/>
        <color indexed="8"/>
        <rFont val="Arial"/>
        <family val="2"/>
      </rPr>
      <t>R32/R125/R134a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10/70/20</t>
    </r>
    <r>
      <rPr>
        <sz val="10"/>
        <color indexed="8"/>
        <rFont val="宋体"/>
        <family val="3"/>
        <charset val="134"/>
      </rPr>
      <t>）</t>
    </r>
  </si>
  <si>
    <t>R407C</t>
  </si>
  <si>
    <r>
      <rPr>
        <sz val="10"/>
        <color indexed="8"/>
        <rFont val="Arial"/>
        <family val="2"/>
      </rPr>
      <t>R32/R125/R134a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23/25/52</t>
    </r>
    <r>
      <rPr>
        <sz val="10"/>
        <color indexed="8"/>
        <rFont val="宋体"/>
        <family val="3"/>
        <charset val="134"/>
      </rPr>
      <t>）</t>
    </r>
  </si>
  <si>
    <t>R408A</t>
  </si>
  <si>
    <r>
      <rPr>
        <sz val="10"/>
        <color indexed="8"/>
        <rFont val="Arial"/>
        <family val="2"/>
      </rPr>
      <t>R125/R143a/R22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7/46/47</t>
    </r>
    <r>
      <rPr>
        <sz val="10"/>
        <color indexed="8"/>
        <rFont val="宋体"/>
        <family val="3"/>
        <charset val="134"/>
      </rPr>
      <t>）</t>
    </r>
  </si>
  <si>
    <r>
      <rPr>
        <sz val="10"/>
        <color indexed="8"/>
        <rFont val="宋体"/>
        <family val="3"/>
        <charset val="134"/>
      </rPr>
      <t>未考虑</t>
    </r>
    <r>
      <rPr>
        <sz val="10"/>
        <color indexed="8"/>
        <rFont val="Arial"/>
        <family val="2"/>
      </rPr>
      <t>R22</t>
    </r>
  </si>
  <si>
    <t>R410A</t>
  </si>
  <si>
    <r>
      <rPr>
        <sz val="10"/>
        <color indexed="8"/>
        <rFont val="Arial"/>
        <family val="2"/>
      </rPr>
      <t>R32/R125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50/50</t>
    </r>
    <r>
      <rPr>
        <sz val="10"/>
        <color indexed="8"/>
        <rFont val="宋体"/>
        <family val="3"/>
        <charset val="134"/>
      </rPr>
      <t>）</t>
    </r>
  </si>
  <si>
    <t>R413A</t>
  </si>
  <si>
    <r>
      <rPr>
        <sz val="10"/>
        <color indexed="8"/>
        <rFont val="Arial"/>
        <family val="2"/>
      </rPr>
      <t>R218/R134a/R600a(9/88/3</t>
    </r>
    <r>
      <rPr>
        <sz val="10"/>
        <color indexed="8"/>
        <rFont val="宋体"/>
        <family val="3"/>
        <charset val="134"/>
      </rPr>
      <t>）</t>
    </r>
    <r>
      <rPr>
        <sz val="10"/>
        <color indexed="8"/>
        <rFont val="Arial"/>
        <family val="2"/>
      </rPr>
      <t xml:space="preserve"> </t>
    </r>
  </si>
  <si>
    <t>R417A</t>
  </si>
  <si>
    <t>R125/R134a/R600a(46.6/50/3.4)</t>
  </si>
  <si>
    <t>R503</t>
  </si>
  <si>
    <r>
      <rPr>
        <sz val="10"/>
        <color indexed="8"/>
        <rFont val="Arial"/>
        <family val="2"/>
      </rPr>
      <t>R23/R13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40.1/59.9</t>
    </r>
    <r>
      <rPr>
        <sz val="10"/>
        <color indexed="8"/>
        <rFont val="宋体"/>
        <family val="3"/>
        <charset val="134"/>
      </rPr>
      <t>）</t>
    </r>
  </si>
  <si>
    <r>
      <rPr>
        <sz val="10"/>
        <color indexed="8"/>
        <rFont val="宋体"/>
        <family val="3"/>
        <charset val="134"/>
      </rPr>
      <t>只考虑了</t>
    </r>
    <r>
      <rPr>
        <sz val="10"/>
        <color indexed="8"/>
        <rFont val="Arial"/>
        <family val="2"/>
      </rPr>
      <t>R23,</t>
    </r>
    <r>
      <rPr>
        <sz val="10"/>
        <color indexed="8"/>
        <rFont val="宋体"/>
        <family val="3"/>
        <charset val="134"/>
      </rPr>
      <t>未考虑</t>
    </r>
    <r>
      <rPr>
        <sz val="10"/>
        <color indexed="8"/>
        <rFont val="Arial"/>
        <family val="2"/>
      </rPr>
      <t>R13</t>
    </r>
  </si>
  <si>
    <t>R507A</t>
  </si>
  <si>
    <r>
      <rPr>
        <sz val="10"/>
        <color indexed="8"/>
        <rFont val="Arial"/>
        <family val="2"/>
      </rPr>
      <t>R125/R143a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50.0/50.0</t>
    </r>
    <r>
      <rPr>
        <sz val="10"/>
        <color indexed="8"/>
        <rFont val="宋体"/>
        <family val="3"/>
        <charset val="134"/>
      </rPr>
      <t>）</t>
    </r>
  </si>
  <si>
    <t>R508A</t>
  </si>
  <si>
    <r>
      <rPr>
        <sz val="10"/>
        <color indexed="8"/>
        <rFont val="Arial"/>
        <family val="2"/>
      </rPr>
      <t>R23/R116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39.0/61.0</t>
    </r>
    <r>
      <rPr>
        <sz val="10"/>
        <color indexed="8"/>
        <rFont val="宋体"/>
        <family val="3"/>
        <charset val="134"/>
      </rPr>
      <t>）</t>
    </r>
  </si>
  <si>
    <t>R508B</t>
  </si>
  <si>
    <r>
      <rPr>
        <sz val="10"/>
        <color indexed="8"/>
        <rFont val="Arial"/>
        <family val="2"/>
      </rPr>
      <t>R23/R116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46.0/54.0</t>
    </r>
    <r>
      <rPr>
        <sz val="10"/>
        <color indexed="8"/>
        <rFont val="宋体"/>
        <family val="3"/>
        <charset val="134"/>
      </rPr>
      <t>）</t>
    </r>
  </si>
  <si>
    <t>PFC-116</t>
  </si>
  <si>
    <r>
      <rPr>
        <sz val="10"/>
        <color indexed="8"/>
        <rFont val="Arial"/>
        <family val="2"/>
      </rPr>
      <t>R-116</t>
    </r>
    <r>
      <rPr>
        <sz val="10"/>
        <color indexed="8"/>
        <rFont val="宋体"/>
        <family val="3"/>
        <charset val="134"/>
      </rPr>
      <t>，六氟乙烷，</t>
    </r>
    <r>
      <rPr>
        <sz val="10"/>
        <color indexed="8"/>
        <rFont val="Arial"/>
        <family val="2"/>
      </rPr>
      <t>C2F6</t>
    </r>
  </si>
  <si>
    <t>PFC-14</t>
  </si>
  <si>
    <r>
      <rPr>
        <sz val="10"/>
        <color indexed="8"/>
        <rFont val="Arial"/>
        <family val="2"/>
      </rPr>
      <t>R-14</t>
    </r>
    <r>
      <rPr>
        <sz val="10"/>
        <color indexed="8"/>
        <rFont val="宋体"/>
        <family val="3"/>
        <charset val="134"/>
      </rPr>
      <t>，四氟化碳，</t>
    </r>
    <r>
      <rPr>
        <sz val="10"/>
        <color indexed="8"/>
        <rFont val="Arial"/>
        <family val="2"/>
      </rPr>
      <t>CF4</t>
    </r>
  </si>
  <si>
    <t>PFC-218</t>
  </si>
  <si>
    <r>
      <rPr>
        <sz val="10"/>
        <color indexed="8"/>
        <rFont val="Arial"/>
        <family val="2"/>
      </rPr>
      <t>C3F8</t>
    </r>
    <r>
      <rPr>
        <sz val="10"/>
        <color indexed="8"/>
        <rFont val="標楷體"/>
        <charset val="134"/>
      </rPr>
      <t>，全氟丙烷</t>
    </r>
  </si>
  <si>
    <t>PFC-318</t>
  </si>
  <si>
    <r>
      <rPr>
        <sz val="10"/>
        <color indexed="8"/>
        <rFont val="Arial"/>
        <family val="2"/>
      </rPr>
      <t>c-C4F8</t>
    </r>
    <r>
      <rPr>
        <sz val="10"/>
        <color indexed="8"/>
        <rFont val="宋体"/>
        <family val="3"/>
        <charset val="134"/>
      </rPr>
      <t>，八氟环丁烷</t>
    </r>
  </si>
  <si>
    <t>PFC-31-10</t>
  </si>
  <si>
    <r>
      <rPr>
        <sz val="10"/>
        <color indexed="8"/>
        <rFont val="Arial"/>
        <family val="2"/>
      </rPr>
      <t>C4F10</t>
    </r>
    <r>
      <rPr>
        <sz val="10"/>
        <color indexed="8"/>
        <rFont val="標楷體"/>
        <charset val="134"/>
      </rPr>
      <t>，全氟丁烷</t>
    </r>
  </si>
  <si>
    <t>PFC-41-12</t>
  </si>
  <si>
    <r>
      <rPr>
        <sz val="10"/>
        <color indexed="8"/>
        <rFont val="Arial"/>
        <family val="2"/>
      </rPr>
      <t>C5F12</t>
    </r>
    <r>
      <rPr>
        <sz val="10"/>
        <color indexed="8"/>
        <rFont val="標楷體"/>
        <charset val="134"/>
      </rPr>
      <t>，全氟戊烷</t>
    </r>
  </si>
  <si>
    <t>PFC-51-14</t>
  </si>
  <si>
    <r>
      <rPr>
        <sz val="10"/>
        <color indexed="8"/>
        <rFont val="Arial"/>
        <family val="2"/>
      </rPr>
      <t>C6F14</t>
    </r>
    <r>
      <rPr>
        <sz val="10"/>
        <color indexed="8"/>
        <rFont val="標楷體"/>
        <charset val="134"/>
      </rPr>
      <t>，全氟己烷</t>
    </r>
  </si>
  <si>
    <t>三氟化氮</t>
  </si>
  <si>
    <t>六氟化硫</t>
  </si>
  <si>
    <r>
      <rPr>
        <b/>
        <sz val="12"/>
        <color indexed="9"/>
        <rFont val="Arial"/>
        <family val="2"/>
      </rPr>
      <t>GHG</t>
    </r>
    <r>
      <rPr>
        <b/>
        <sz val="12"/>
        <color indexed="9"/>
        <rFont val="宋体"/>
        <family val="3"/>
        <charset val="134"/>
      </rPr>
      <t>排放类别</t>
    </r>
  </si>
  <si>
    <t>低位发热量</t>
  </si>
  <si>
    <r>
      <rPr>
        <b/>
        <sz val="12"/>
        <color indexed="9"/>
        <rFont val="宋体"/>
        <family val="3"/>
        <charset val="134"/>
      </rPr>
      <t>单位</t>
    </r>
  </si>
  <si>
    <t>氧化率</t>
  </si>
  <si>
    <t>基于热值排放系数，t GHG/GJ</t>
  </si>
  <si>
    <t>排放因子，t GHG/10000m³</t>
  </si>
  <si>
    <t>IPCC-2006缺省值</t>
  </si>
  <si>
    <t>计算值</t>
  </si>
  <si>
    <r>
      <rPr>
        <b/>
        <sz val="12"/>
        <color indexed="9"/>
        <rFont val="宋体"/>
        <family val="3"/>
        <charset val="134"/>
      </rPr>
      <t>企业温室气体排放核算与报告指南</t>
    </r>
    <r>
      <rPr>
        <b/>
        <sz val="12"/>
        <color indexed="9"/>
        <rFont val="Arial"/>
        <family val="2"/>
      </rPr>
      <t xml:space="preserve"> </t>
    </r>
    <r>
      <rPr>
        <b/>
        <sz val="12"/>
        <color indexed="9"/>
        <rFont val="宋体"/>
        <family val="3"/>
        <charset val="134"/>
      </rPr>
      <t>钢铁行业</t>
    </r>
  </si>
  <si>
    <r>
      <rPr>
        <sz val="10"/>
        <color indexed="8"/>
        <rFont val="宋体"/>
        <family val="3"/>
        <charset val="134"/>
      </rPr>
      <t>天然气</t>
    </r>
    <r>
      <rPr>
        <sz val="10"/>
        <color indexed="8"/>
        <rFont val="宋体"/>
        <family val="3"/>
        <charset val="134"/>
      </rPr>
      <t>燃烧</t>
    </r>
  </si>
  <si>
    <t>热处理炉</t>
  </si>
  <si>
    <r>
      <rPr>
        <sz val="10"/>
        <color indexed="8"/>
        <rFont val="Arial"/>
        <family val="2"/>
      </rPr>
      <t>GJ/10</t>
    </r>
    <r>
      <rPr>
        <vertAlign val="superscript"/>
        <sz val="10"/>
        <color indexed="8"/>
        <rFont val="Arial"/>
        <family val="2"/>
      </rPr>
      <t>4</t>
    </r>
    <r>
      <rPr>
        <sz val="10"/>
        <color indexed="8"/>
        <rFont val="Arial"/>
        <family val="2"/>
      </rPr>
      <t>Nm3</t>
    </r>
  </si>
  <si>
    <t>GJ/t</t>
  </si>
  <si>
    <t>烟煤燃烧</t>
  </si>
  <si>
    <t>无烟煤燃烧</t>
  </si>
  <si>
    <t>焦炭/焦屑/焦丁燃烧</t>
  </si>
  <si>
    <t>柴油燃烧</t>
  </si>
  <si>
    <t>火车/货车</t>
  </si>
  <si>
    <t>汽油燃烧</t>
  </si>
  <si>
    <t>公务车</t>
  </si>
  <si>
    <t>CO2排放因子</t>
  </si>
  <si>
    <r>
      <rPr>
        <sz val="10"/>
        <color indexed="8"/>
        <rFont val="宋体"/>
        <family val="3"/>
        <charset val="134"/>
      </rPr>
      <t>石灰窑</t>
    </r>
  </si>
  <si>
    <r>
      <rPr>
        <sz val="10"/>
        <color indexed="8"/>
        <rFont val="宋体"/>
        <family val="3"/>
        <charset val="134"/>
      </rPr>
      <t>高炉</t>
    </r>
  </si>
  <si>
    <r>
      <rPr>
        <sz val="10"/>
        <color indexed="8"/>
        <rFont val="宋体"/>
        <family val="3"/>
        <charset val="134"/>
      </rPr>
      <t>电极</t>
    </r>
  </si>
  <si>
    <r>
      <rPr>
        <sz val="10"/>
        <color indexed="8"/>
        <rFont val="宋体"/>
        <family val="3"/>
        <charset val="134"/>
      </rPr>
      <t>炼钢</t>
    </r>
  </si>
  <si>
    <r>
      <rPr>
        <sz val="10"/>
        <color indexed="8"/>
        <rFont val="宋体"/>
        <family val="3"/>
        <charset val="134"/>
      </rPr>
      <t>镍铁合金</t>
    </r>
  </si>
  <si>
    <r>
      <rPr>
        <sz val="10"/>
        <color indexed="8"/>
        <rFont val="宋体"/>
        <family val="3"/>
        <charset val="134"/>
      </rPr>
      <t>铬铁合金</t>
    </r>
  </si>
  <si>
    <r>
      <rPr>
        <sz val="10"/>
        <color indexed="8"/>
        <rFont val="宋体"/>
        <family val="3"/>
        <charset val="134"/>
      </rPr>
      <t>钼铁合金</t>
    </r>
  </si>
  <si>
    <r>
      <rPr>
        <sz val="10"/>
        <color indexed="8"/>
        <rFont val="宋体"/>
        <family val="3"/>
        <charset val="134"/>
      </rPr>
      <t>硅铁合金</t>
    </r>
  </si>
  <si>
    <r>
      <rPr>
        <sz val="10"/>
        <color indexed="8"/>
        <rFont val="宋体"/>
        <family val="3"/>
        <charset val="134"/>
      </rPr>
      <t>锰铁合金</t>
    </r>
  </si>
  <si>
    <r>
      <rPr>
        <sz val="10"/>
        <color indexed="8"/>
        <rFont val="宋体"/>
        <family val="3"/>
        <charset val="134"/>
      </rPr>
      <t>废钢</t>
    </r>
  </si>
  <si>
    <r>
      <rPr>
        <sz val="10"/>
        <color indexed="8"/>
        <rFont val="宋体"/>
        <family val="3"/>
        <charset val="134"/>
      </rPr>
      <t>粗钢</t>
    </r>
  </si>
  <si>
    <t>HFCs/PFCs</t>
  </si>
  <si>
    <t>MCF</t>
  </si>
  <si>
    <t>Bo</t>
  </si>
  <si>
    <t>排放因子</t>
  </si>
  <si>
    <r>
      <rPr>
        <b/>
        <sz val="12"/>
        <color indexed="9"/>
        <rFont val="宋体"/>
        <family val="3"/>
        <charset val="134"/>
      </rPr>
      <t>排放因子引用源</t>
    </r>
  </si>
  <si>
    <r>
      <rPr>
        <b/>
        <sz val="12"/>
        <color indexed="9"/>
        <rFont val="Arial"/>
        <family val="2"/>
      </rPr>
      <t>EF</t>
    </r>
    <r>
      <rPr>
        <b/>
        <sz val="12"/>
        <color indexed="9"/>
        <rFont val="宋体"/>
        <family val="3"/>
        <charset val="134"/>
      </rPr>
      <t>估计值</t>
    </r>
  </si>
  <si>
    <r>
      <rPr>
        <sz val="10"/>
        <color indexed="8"/>
        <rFont val="Arial"/>
        <family val="2"/>
      </rPr>
      <t>SF6</t>
    </r>
    <r>
      <rPr>
        <sz val="10"/>
        <color indexed="8"/>
        <rFont val="宋体"/>
        <family val="3"/>
        <charset val="134"/>
      </rPr>
      <t>逸散</t>
    </r>
  </si>
  <si>
    <t>高压开关</t>
  </si>
  <si>
    <t>kgSF6/kg</t>
  </si>
  <si>
    <r>
      <rPr>
        <sz val="10"/>
        <color indexed="8"/>
        <rFont val="Arial"/>
        <family val="2"/>
      </rPr>
      <t xml:space="preserve">GB/T8905-2008 </t>
    </r>
    <r>
      <rPr>
        <sz val="10"/>
        <color indexed="8"/>
        <rFont val="宋体"/>
        <family val="3"/>
        <charset val="134"/>
      </rPr>
      <t>六氟化硫电气设备中气体管理和检测导则</t>
    </r>
    <r>
      <rPr>
        <sz val="10"/>
        <color indexed="8"/>
        <rFont val="Arial"/>
        <family val="2"/>
      </rPr>
      <t>9.3</t>
    </r>
  </si>
  <si>
    <r>
      <rPr>
        <sz val="10"/>
        <color rgb="FF000000"/>
        <rFont val="Arial"/>
        <family val="2"/>
      </rPr>
      <t>CO2</t>
    </r>
    <r>
      <rPr>
        <sz val="10"/>
        <color rgb="FF000000"/>
        <rFont val="宋体"/>
        <family val="3"/>
        <charset val="134"/>
      </rPr>
      <t>逸散</t>
    </r>
  </si>
  <si>
    <r>
      <rPr>
        <sz val="10"/>
        <color indexed="8"/>
        <rFont val="宋体"/>
        <family val="3"/>
        <charset val="134"/>
      </rPr>
      <t>二氧化碳灭火器</t>
    </r>
  </si>
  <si>
    <t>kgCO2/kg</t>
  </si>
  <si>
    <t>质量平衡</t>
  </si>
  <si>
    <r>
      <rPr>
        <sz val="10"/>
        <color rgb="FF000000"/>
        <rFont val="宋体"/>
        <family val="3"/>
        <charset val="134"/>
      </rPr>
      <t>制冷剂逸散（</t>
    </r>
    <r>
      <rPr>
        <sz val="10"/>
        <color rgb="FF000000"/>
        <rFont val="Arial"/>
        <family val="2"/>
      </rPr>
      <t>R32</t>
    </r>
    <r>
      <rPr>
        <sz val="10"/>
        <color rgb="FF000000"/>
        <rFont val="宋体"/>
        <family val="3"/>
        <charset val="134"/>
      </rPr>
      <t>）</t>
    </r>
  </si>
  <si>
    <t>kgGHG/kg</t>
  </si>
  <si>
    <t>kgCH4/kgBOD</t>
  </si>
  <si>
    <r>
      <rPr>
        <sz val="10"/>
        <rFont val="Arial"/>
        <family val="2"/>
      </rPr>
      <t>2006</t>
    </r>
    <r>
      <rPr>
        <sz val="10"/>
        <rFont val="宋体"/>
        <family val="3"/>
        <charset val="134"/>
      </rPr>
      <t>年</t>
    </r>
    <r>
      <rPr>
        <sz val="10"/>
        <rFont val="Arial"/>
        <family val="2"/>
      </rPr>
      <t>IPCC</t>
    </r>
    <r>
      <rPr>
        <sz val="10"/>
        <rFont val="宋体"/>
        <family val="3"/>
        <charset val="134"/>
      </rPr>
      <t>国家温室气体清单指南</t>
    </r>
    <r>
      <rPr>
        <sz val="10"/>
        <rFont val="Arial"/>
        <family val="2"/>
      </rPr>
      <t>V5_6_Ch6 Table6.2/6.3;</t>
    </r>
    <r>
      <rPr>
        <sz val="10"/>
        <rFont val="宋体"/>
        <family val="3"/>
        <charset val="134"/>
      </rPr>
      <t>公式</t>
    </r>
    <r>
      <rPr>
        <sz val="10"/>
        <rFont val="Arial"/>
        <family val="2"/>
      </rPr>
      <t>6.1/6.2</t>
    </r>
  </si>
  <si>
    <r>
      <rPr>
        <sz val="10"/>
        <color indexed="8"/>
        <rFont val="宋体"/>
        <family val="3"/>
        <charset val="134"/>
      </rPr>
      <t>厌氧池</t>
    </r>
  </si>
  <si>
    <t>kgCH4/kgCOD</t>
  </si>
  <si>
    <r>
      <rPr>
        <sz val="10"/>
        <color indexed="8"/>
        <rFont val="宋体"/>
        <family val="3"/>
        <charset val="134"/>
      </rPr>
      <t>厌氧池</t>
    </r>
    <r>
      <rPr>
        <sz val="10"/>
        <color indexed="8"/>
        <rFont val="宋体"/>
        <family val="3"/>
        <charset val="134"/>
      </rPr>
      <t>、厕所、下水道等</t>
    </r>
  </si>
  <si>
    <r>
      <rPr>
        <sz val="10"/>
        <color indexed="8"/>
        <rFont val="Arial"/>
        <family val="2"/>
      </rPr>
      <t>gBOD/</t>
    </r>
    <r>
      <rPr>
        <sz val="10"/>
        <color indexed="8"/>
        <rFont val="宋体"/>
        <family val="3"/>
        <charset val="134"/>
      </rPr>
      <t>人</t>
    </r>
    <r>
      <rPr>
        <sz val="10"/>
        <color indexed="8"/>
        <rFont val="Arial"/>
        <family val="2"/>
      </rPr>
      <t>·</t>
    </r>
    <r>
      <rPr>
        <sz val="10"/>
        <color indexed="8"/>
        <rFont val="宋体"/>
        <family val="3"/>
        <charset val="134"/>
      </rPr>
      <t>天</t>
    </r>
  </si>
  <si>
    <r>
      <rPr>
        <sz val="10"/>
        <rFont val="Arial"/>
        <family val="2"/>
      </rPr>
      <t>2006</t>
    </r>
    <r>
      <rPr>
        <sz val="10"/>
        <rFont val="宋体"/>
        <family val="3"/>
        <charset val="134"/>
      </rPr>
      <t>年</t>
    </r>
    <r>
      <rPr>
        <sz val="10"/>
        <rFont val="Arial"/>
        <family val="2"/>
      </rPr>
      <t>IPCC</t>
    </r>
    <r>
      <rPr>
        <sz val="10"/>
        <rFont val="宋体"/>
        <family val="3"/>
        <charset val="134"/>
      </rPr>
      <t>国家温室气体清单指南</t>
    </r>
    <r>
      <rPr>
        <sz val="10"/>
        <rFont val="Arial"/>
        <family val="2"/>
      </rPr>
      <t>V5_6_Ch6 Table 6.4;</t>
    </r>
    <r>
      <rPr>
        <sz val="10"/>
        <rFont val="宋体"/>
        <family val="3"/>
        <charset val="134"/>
      </rPr>
      <t>公式</t>
    </r>
    <r>
      <rPr>
        <sz val="10"/>
        <rFont val="Arial"/>
        <family val="2"/>
      </rPr>
      <t>6.3</t>
    </r>
  </si>
  <si>
    <r>
      <rPr>
        <sz val="10"/>
        <rFont val="宋体"/>
        <family val="3"/>
        <charset val="134"/>
      </rPr>
      <t>电力</t>
    </r>
  </si>
  <si>
    <r>
      <rPr>
        <sz val="10"/>
        <color indexed="8"/>
        <rFont val="宋体"/>
        <family val="3"/>
        <charset val="134"/>
      </rPr>
      <t>生态环境部、国家能源局发布</t>
    </r>
    <r>
      <rPr>
        <sz val="10"/>
        <color indexed="8"/>
        <rFont val="Arial"/>
        <family val="2"/>
      </rPr>
      <t>2022</t>
    </r>
    <r>
      <rPr>
        <sz val="10"/>
        <color indexed="8"/>
        <rFont val="宋体"/>
        <family val="3"/>
        <charset val="134"/>
      </rPr>
      <t>年电力二氧化碳排放因子的公告（</t>
    </r>
    <r>
      <rPr>
        <sz val="10"/>
        <color indexed="8"/>
        <rFont val="Arial"/>
        <family val="2"/>
      </rPr>
      <t>2022</t>
    </r>
    <r>
      <rPr>
        <sz val="10"/>
        <color indexed="8"/>
        <rFont val="宋体"/>
        <family val="3"/>
        <charset val="134"/>
      </rPr>
      <t>年全国电力排放因子）</t>
    </r>
  </si>
  <si>
    <r>
      <rPr>
        <sz val="10"/>
        <color indexed="8"/>
        <rFont val="宋体"/>
        <family val="3"/>
        <charset val="134"/>
      </rPr>
      <t>生态环境部、国家能源局发布</t>
    </r>
    <r>
      <rPr>
        <sz val="10"/>
        <color indexed="8"/>
        <rFont val="Arial"/>
        <family val="2"/>
      </rPr>
      <t>2022</t>
    </r>
    <r>
      <rPr>
        <sz val="10"/>
        <color indexed="8"/>
        <rFont val="宋体"/>
        <family val="3"/>
        <charset val="134"/>
      </rPr>
      <t>年电力二氧化碳排放因子的公告（</t>
    </r>
    <r>
      <rPr>
        <sz val="10"/>
        <color indexed="8"/>
        <rFont val="Arial"/>
        <family val="2"/>
      </rPr>
      <t>2022</t>
    </r>
    <r>
      <rPr>
        <sz val="10"/>
        <color indexed="8"/>
        <rFont val="宋体"/>
        <family val="3"/>
        <charset val="134"/>
      </rPr>
      <t>年全国电力平均二氧化碳排放因子（不包括市场化交易的非化石能源电量））</t>
    </r>
  </si>
  <si>
    <t>Activity name</t>
  </si>
  <si>
    <t>Geography</t>
  </si>
  <si>
    <r>
      <rPr>
        <b/>
        <sz val="12"/>
        <color indexed="9"/>
        <rFont val="宋体"/>
        <family val="3"/>
        <charset val="134"/>
      </rPr>
      <t>引用源</t>
    </r>
  </si>
  <si>
    <r>
      <rPr>
        <b/>
        <sz val="12"/>
        <color indexed="9"/>
        <rFont val="宋体"/>
        <family val="3"/>
        <charset val="134"/>
      </rPr>
      <t>缺省排放因子</t>
    </r>
  </si>
  <si>
    <t>marker for Iron ore,crude ore,63% Fe</t>
  </si>
  <si>
    <t>Global (GLO)</t>
  </si>
  <si>
    <t>ecoinvent 3.10-cut off</t>
  </si>
  <si>
    <t>market for quicklime, in pieces, loose</t>
  </si>
  <si>
    <t>Rest-of-World (RoW)</t>
  </si>
  <si>
    <t>market for limestone, crushed, for mill</t>
  </si>
  <si>
    <t>marker for dolomite</t>
  </si>
  <si>
    <t>market for iron pellet</t>
  </si>
  <si>
    <t>market for waste reinforcement steel</t>
  </si>
  <si>
    <t>market for electrode, negative, LiC6</t>
  </si>
  <si>
    <t>market for ferromanganese,high-coal,74.5% Mn</t>
  </si>
  <si>
    <t>market for ferronickel</t>
  </si>
  <si>
    <t>market for ferrochromium,high-carbom.55% Cr</t>
  </si>
  <si>
    <t>market for fluorspar, 97% purity</t>
  </si>
  <si>
    <t>ferrosilicon production</t>
  </si>
  <si>
    <t>China (CN)</t>
  </si>
  <si>
    <t xml:space="preserve">Ferro-Molybdenum </t>
  </si>
  <si>
    <t xml:space="preserve"> CO2 data collection user guide, version 11, WSA</t>
  </si>
  <si>
    <t>market for aluminium,cast alloy</t>
  </si>
  <si>
    <t>global warming potential (GWP100)</t>
  </si>
  <si>
    <t>market for aluminium,primary,ingot</t>
  </si>
  <si>
    <t>market for recarburizer</t>
  </si>
  <si>
    <t>ecoinvent 3.11-cut off</t>
  </si>
  <si>
    <t>market for iron scrap, unsorted</t>
  </si>
  <si>
    <t>market for ammonia, anhydrous, liquid</t>
  </si>
  <si>
    <t>market for silicon carbide</t>
  </si>
  <si>
    <t>market for magnesium</t>
  </si>
  <si>
    <t>All Other Converted Paper Product Manufacturing</t>
  </si>
  <si>
    <t>SupplyChainGHGEmissionFactors_v1.3.0_NAICS_CO2e_USD2022</t>
  </si>
  <si>
    <t>Office Supplies (except Paper) Manufacturing</t>
  </si>
  <si>
    <t>market for tap water</t>
  </si>
  <si>
    <t>Warm Air Heating and Air-Conditioning Equipment and Supplies Merchant Wholesalers</t>
  </si>
  <si>
    <t>Electronic Computer Manufacturing</t>
  </si>
  <si>
    <t>Welding and Soldering Equipment Manufacturing</t>
  </si>
  <si>
    <t>Other Industrial Machinery Manufacturing</t>
  </si>
  <si>
    <t>Instrument Manufacturing for Measuring and Testing Electricity and Electrical Signals</t>
  </si>
  <si>
    <t>Computer Systems Design Services</t>
  </si>
  <si>
    <t>Mechanical Power Transmission Equipment Manufacturing</t>
  </si>
  <si>
    <t>Measuring, Dispensing, and Other Pumping Equipment Manufacturing</t>
  </si>
  <si>
    <t>Instruments and Related Products Manufacturing for Measuring, Displaying, and Controlling Industrial Process Variables</t>
  </si>
  <si>
    <t>All Other Miscellaneous Electrical Equipment and Component Manufacturing</t>
  </si>
  <si>
    <t>All Other Miscellaneous Manufacturing</t>
  </si>
  <si>
    <t>范围一、二之外燃料和能源相关的活动产生的排放</t>
  </si>
  <si>
    <t>market for liquefied petroleum gas</t>
  </si>
  <si>
    <t>market for hard coal</t>
  </si>
  <si>
    <t>market for diesel</t>
  </si>
  <si>
    <t>market for petrol, unleaded</t>
  </si>
  <si>
    <t xml:space="preserve">market for coke </t>
  </si>
  <si>
    <t>market for natural gas, high pressure</t>
  </si>
  <si>
    <t>tCO2/10000Nm³</t>
  </si>
  <si>
    <r>
      <rPr>
        <sz val="10"/>
        <color indexed="8"/>
        <rFont val="Arial"/>
        <family val="2"/>
      </rPr>
      <t>2023</t>
    </r>
    <r>
      <rPr>
        <sz val="10"/>
        <color indexed="8"/>
        <rFont val="宋体"/>
        <family val="3"/>
        <charset val="134"/>
      </rPr>
      <t>年全国电力平均碳足迹因子、</t>
    </r>
    <r>
      <rPr>
        <sz val="10"/>
        <color indexed="8"/>
        <rFont val="Arial"/>
        <family val="2"/>
      </rPr>
      <t>2022</t>
    </r>
    <r>
      <rPr>
        <sz val="10"/>
        <color indexed="8"/>
        <rFont val="宋体"/>
        <family val="3"/>
        <charset val="134"/>
      </rPr>
      <t>年全国电力平均排放因子</t>
    </r>
  </si>
  <si>
    <t>market for transport, freight, inland waterways, barge</t>
  </si>
  <si>
    <t>tCO2-Eq/tkm</t>
  </si>
  <si>
    <t>market group for transport, freight, lorry, unspecified</t>
  </si>
  <si>
    <t>market for transport, freight train</t>
  </si>
  <si>
    <t>生活垃圾处理站</t>
  </si>
  <si>
    <t>market for average incineration residue</t>
  </si>
  <si>
    <t>treatment of waste mineral oil, hazardous waste incineration</t>
  </si>
  <si>
    <t>treatment of hazardous waste, hazardous waste incineration</t>
  </si>
  <si>
    <t>国内航空客运（中型飞机）</t>
  </si>
  <si>
    <t>kgCO2/passenger*km</t>
  </si>
  <si>
    <t>CPCD, China Products Carbon Footprint Factors Database</t>
  </si>
  <si>
    <t>transport, passenger train, high-speed</t>
  </si>
  <si>
    <t>酒店住宿</t>
  </si>
  <si>
    <t>中国大陆</t>
  </si>
  <si>
    <t>电动公交车运输</t>
  </si>
  <si>
    <t>电瓶车</t>
  </si>
  <si>
    <t>transport,passenger,electic bicycle</t>
  </si>
  <si>
    <t>transport,passenger car</t>
  </si>
  <si>
    <t>kgCO2/km</t>
  </si>
  <si>
    <t>引用源</t>
  </si>
  <si>
    <r>
      <rPr>
        <sz val="10"/>
        <color indexed="8"/>
        <rFont val="宋体"/>
        <family val="3"/>
        <charset val="134"/>
      </rPr>
      <t>厂商反馈《细化收资清单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宋体"/>
        <family val="3"/>
        <charset val="134"/>
      </rPr>
      <t>锻材》</t>
    </r>
  </si>
  <si>
    <r>
      <rPr>
        <sz val="10"/>
        <color indexed="8"/>
        <rFont val="宋体"/>
        <family val="3"/>
        <charset val="134"/>
      </rPr>
      <t>厂商反馈《细化收资清单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宋体"/>
        <family val="3"/>
        <charset val="134"/>
      </rPr>
      <t>棒材》</t>
    </r>
  </si>
  <si>
    <r>
      <rPr>
        <sz val="10"/>
        <color indexed="8"/>
        <rFont val="宋体"/>
        <family val="3"/>
        <charset val="134"/>
      </rPr>
      <t>厂商反馈《细化收资清单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宋体"/>
        <family val="3"/>
        <charset val="134"/>
      </rPr>
      <t>管材》</t>
    </r>
  </si>
  <si>
    <t>hot rolling, steel</t>
  </si>
  <si>
    <r>
      <rPr>
        <sz val="10"/>
        <color indexed="8"/>
        <rFont val="Arial"/>
        <family val="2"/>
      </rPr>
      <t>1.</t>
    </r>
    <r>
      <rPr>
        <sz val="10"/>
        <color indexed="8"/>
        <rFont val="宋体"/>
        <family val="3"/>
        <charset val="134"/>
      </rPr>
      <t>不用</t>
    </r>
    <r>
      <rPr>
        <sz val="10"/>
        <color indexed="8"/>
        <rFont val="Arial"/>
        <family val="2"/>
      </rPr>
      <t>CPCD</t>
    </r>
    <r>
      <rPr>
        <sz val="10"/>
        <color indexed="8"/>
        <rFont val="宋体"/>
        <family val="3"/>
        <charset val="134"/>
      </rPr>
      <t>因子的理由：因</t>
    </r>
    <r>
      <rPr>
        <sz val="10"/>
        <color indexed="8"/>
        <rFont val="Arial"/>
        <family val="2"/>
      </rPr>
      <t>CPCD</t>
    </r>
    <r>
      <rPr>
        <sz val="10"/>
        <color indexed="8"/>
        <rFont val="宋体"/>
        <family val="3"/>
        <charset val="134"/>
      </rPr>
      <t>排放因子过大，估计包含了“钢坯制造”和“钢坯加工”两部分排放在内，正常的钢坯加工工序排放强度仅在</t>
    </r>
    <r>
      <rPr>
        <sz val="10"/>
        <color indexed="8"/>
        <rFont val="Arial"/>
        <family val="2"/>
      </rPr>
      <t>0.2-0.3tCO2e/t</t>
    </r>
    <r>
      <rPr>
        <sz val="10"/>
        <color indexed="8"/>
        <rFont val="宋体"/>
        <family val="3"/>
        <charset val="134"/>
      </rPr>
      <t xml:space="preserve">钢材产品之间。
</t>
    </r>
    <r>
      <rPr>
        <sz val="10"/>
        <color indexed="8"/>
        <rFont val="Arial"/>
        <family val="2"/>
      </rPr>
      <t>2.</t>
    </r>
    <r>
      <rPr>
        <sz val="10"/>
        <color indexed="8"/>
        <rFont val="宋体"/>
        <family val="3"/>
        <charset val="134"/>
      </rPr>
      <t>选用ecoinvent因子的原因：钢坯加工成钢材的过程大多会经过热轧工序处理，选用热轧钢排放因子更具代表性。</t>
    </r>
  </si>
  <si>
    <t>treatment of scrap steel, inert material landfill</t>
  </si>
  <si>
    <t>2024年已实施的节能减排措施</t>
  </si>
  <si>
    <t>序号</t>
  </si>
  <si>
    <t>节能实施方案名称</t>
  </si>
  <si>
    <t>方案具体描述</t>
  </si>
  <si>
    <t>责任部门</t>
  </si>
  <si>
    <t>项目实施进度概况</t>
  </si>
  <si>
    <t>节能量预估</t>
  </si>
  <si>
    <t>节电</t>
  </si>
  <si>
    <t>通过选择经济购电套餐、错峰用电、降低计费容量等方式，2024年外购电价同比去年下降0.0784元/kWh（含年度交易电价下降0.0330元/kWh），减少外购电费13263万元，全年减少外购电费15560万元。</t>
  </si>
  <si>
    <t>能源环保部</t>
  </si>
  <si>
    <t>已完成</t>
  </si>
  <si>
    <t>预计全年减少外购电3800万kWh</t>
  </si>
  <si>
    <t>减少天然气外购</t>
  </si>
  <si>
    <t>推进焦气替代天然气项目，减少天然气外购，降低燃气成本。</t>
  </si>
  <si>
    <t>预计全年减少采购费用2000万元</t>
  </si>
  <si>
    <t>提升回收转炉煤气量</t>
  </si>
  <si>
    <t>通过改善回收条件、风机提频、管道清灰等措施提升转炉煤气回收量。</t>
  </si>
  <si>
    <t>预计全年创效1020万元</t>
  </si>
  <si>
    <t>管理类节能</t>
  </si>
  <si>
    <t>氩气提产降耗、提升转炉煤气回收等。</t>
  </si>
  <si>
    <t>吨钢氩气消耗量较去年下降1.3m³/t，转炉煤气回收较去年月均提高16.52m³/t</t>
  </si>
  <si>
    <t>2025年计划实施的节能减排措施</t>
  </si>
  <si>
    <t>提升绿电消耗量</t>
  </si>
  <si>
    <t>增加自建光伏发电面积，加大外购绿电消耗量</t>
  </si>
  <si>
    <t>实施中</t>
  </si>
  <si>
    <t>实现建筑物可利用面积光伏利用率≥90%，力争外购绿电消耗占比达10%</t>
  </si>
  <si>
    <t>提升焦炉煤气外送量</t>
  </si>
  <si>
    <t xml:space="preserve">按预定计划完成外供逸洋制管能源介质项目
</t>
  </si>
  <si>
    <t>计划全年外供煤气1800万m³，减少碳排放1.37万吨</t>
  </si>
  <si>
    <t>各排放源明细</t>
  </si>
  <si>
    <r>
      <rPr>
        <b/>
        <sz val="6"/>
        <rFont val="宋体"/>
        <family val="3"/>
        <charset val="134"/>
      </rPr>
      <t>编号</t>
    </r>
  </si>
  <si>
    <r>
      <rPr>
        <b/>
        <sz val="6"/>
        <rFont val="Arial"/>
        <family val="2"/>
      </rPr>
      <t>GHG</t>
    </r>
    <r>
      <rPr>
        <b/>
        <sz val="6"/>
        <rFont val="宋体"/>
        <family val="3"/>
        <charset val="134"/>
      </rPr>
      <t>排放类别</t>
    </r>
  </si>
  <si>
    <r>
      <rPr>
        <b/>
        <sz val="6"/>
        <rFont val="宋体"/>
        <family val="3"/>
        <charset val="134"/>
      </rPr>
      <t>排放源</t>
    </r>
  </si>
  <si>
    <r>
      <rPr>
        <b/>
        <sz val="6"/>
        <rFont val="宋体"/>
        <family val="3"/>
        <charset val="134"/>
      </rPr>
      <t>报告边界</t>
    </r>
  </si>
  <si>
    <r>
      <rPr>
        <b/>
        <sz val="6"/>
        <rFont val="宋体"/>
        <family val="3"/>
        <charset val="134"/>
      </rPr>
      <t>活动数据</t>
    </r>
  </si>
  <si>
    <r>
      <rPr>
        <b/>
        <sz val="6"/>
        <rFont val="宋体"/>
        <family val="3"/>
        <charset val="134"/>
      </rPr>
      <t>排放因子</t>
    </r>
    <r>
      <rPr>
        <b/>
        <sz val="6"/>
        <rFont val="Arial"/>
        <family val="2"/>
      </rPr>
      <t>&amp;</t>
    </r>
    <r>
      <rPr>
        <b/>
        <sz val="6"/>
        <rFont val="宋体"/>
        <family val="3"/>
        <charset val="134"/>
      </rPr>
      <t>系数</t>
    </r>
  </si>
  <si>
    <r>
      <rPr>
        <b/>
        <sz val="6"/>
        <rFont val="宋体"/>
        <family val="3"/>
        <charset val="134"/>
      </rPr>
      <t>排放量</t>
    </r>
  </si>
  <si>
    <r>
      <rPr>
        <b/>
        <sz val="6"/>
        <rFont val="宋体"/>
        <family val="3"/>
        <charset val="134"/>
      </rPr>
      <t>总量</t>
    </r>
  </si>
  <si>
    <r>
      <rPr>
        <b/>
        <sz val="6"/>
        <rFont val="宋体"/>
        <family val="3"/>
        <charset val="134"/>
      </rPr>
      <t>数值</t>
    </r>
  </si>
  <si>
    <r>
      <rPr>
        <b/>
        <sz val="6"/>
        <rFont val="宋体"/>
        <family val="3"/>
        <charset val="134"/>
      </rPr>
      <t>计量单位</t>
    </r>
  </si>
  <si>
    <r>
      <rPr>
        <b/>
        <sz val="6"/>
        <rFont val="宋体"/>
        <family val="3"/>
        <charset val="134"/>
      </rPr>
      <t>型号</t>
    </r>
  </si>
  <si>
    <t>tCO2/10000Nm4</t>
  </si>
  <si>
    <t>tCO2/10000Nm5</t>
  </si>
  <si>
    <t>tCO2/10000Nm6</t>
  </si>
  <si>
    <t>tCO2/10000Nm7</t>
  </si>
  <si>
    <t>tCO2/10000Nm8</t>
  </si>
  <si>
    <t>tCO2/10000Nm9</t>
  </si>
  <si>
    <t>tCO2/10000Nm10</t>
  </si>
  <si>
    <t>tCO2/10000Nm11</t>
  </si>
  <si>
    <t>tCO2/10000Nm12</t>
  </si>
  <si>
    <t>tCO2/10000Nm13</t>
  </si>
  <si>
    <t>tCO2/10000Nm14</t>
  </si>
  <si>
    <t>tCO2/10000Nm15</t>
  </si>
  <si>
    <t>tCO2/10000Nm16</t>
  </si>
  <si>
    <t>tCO2/10000Nm17</t>
  </si>
  <si>
    <t>tCO2/10000Nm18</t>
  </si>
  <si>
    <t>tCO2/10000Nm19</t>
  </si>
  <si>
    <t>tCO2/10000Nm20</t>
  </si>
  <si>
    <t>tCO2/10000Nm21</t>
  </si>
  <si>
    <t>tCO2/10000Nm22</t>
  </si>
  <si>
    <t>tCO2/10000Nm23</t>
  </si>
  <si>
    <t>tCO2/10000Nm24</t>
  </si>
  <si>
    <t>tCO2/10000Nm25</t>
  </si>
  <si>
    <t>tCO2/10000Nm26</t>
  </si>
  <si>
    <t>tCO2/10000Nm27</t>
  </si>
  <si>
    <t>tCO2/10000Nm28</t>
  </si>
  <si>
    <t>tCO2/10000Nm29</t>
  </si>
  <si>
    <t>tCO2/10000Nm30</t>
  </si>
  <si>
    <t>tCO2/10000Nm32</t>
  </si>
  <si>
    <t>tCO2/10000Nm33</t>
  </si>
  <si>
    <t>tCO2/10000Nm34</t>
  </si>
  <si>
    <t>tCO2/10000Nm35</t>
  </si>
  <si>
    <t>tCO2/10000Nm36</t>
  </si>
  <si>
    <t>tCO2/10000Nm37</t>
  </si>
  <si>
    <t>tCO2/10000Nm38</t>
  </si>
  <si>
    <t>tCO2/10000Nm39</t>
  </si>
  <si>
    <t>tCO2/10000Nm40</t>
  </si>
  <si>
    <t>tCO2/10000Nm41</t>
  </si>
  <si>
    <t>tCO2/10000Nm42</t>
  </si>
  <si>
    <t>tCO2/10000Nm43</t>
  </si>
  <si>
    <t>tCO2/10000Nm44</t>
  </si>
  <si>
    <t>tCO2/10000Nm45</t>
  </si>
  <si>
    <t>tCO2/10000Nm46</t>
  </si>
  <si>
    <t>tCO2/10000Nm47</t>
  </si>
  <si>
    <t>tCO2/10000Nm48</t>
  </si>
  <si>
    <t>tCO2/10000Nm49</t>
  </si>
  <si>
    <t>tCO2/10000Nm50</t>
  </si>
  <si>
    <t>tCO2/10000Nm51</t>
  </si>
  <si>
    <t>tCO2/10000Nm52</t>
  </si>
  <si>
    <t>tCO2/10000Nm53</t>
  </si>
  <si>
    <t>tCO2/10000Nm54</t>
  </si>
  <si>
    <t>tCO2/10000Nm55</t>
  </si>
  <si>
    <t>tCO2/10000Nm56</t>
  </si>
  <si>
    <t>tCO2/10000Nm57</t>
  </si>
  <si>
    <t>tCO2/10000Nm58</t>
  </si>
  <si>
    <t>tCO2/10000Nm59</t>
  </si>
  <si>
    <t>tCO2/10000Nm60</t>
  </si>
  <si>
    <t>tCO2/10000Nm61</t>
  </si>
  <si>
    <t>tCO2/10000Nm62</t>
  </si>
  <si>
    <t>tCO2/10000Nm63</t>
  </si>
  <si>
    <t>tCO2/10000Nm64</t>
  </si>
  <si>
    <t>tCO2/10000Nm65</t>
  </si>
  <si>
    <t>tCO2/10000Nm66</t>
  </si>
  <si>
    <t>tCO2/10000Nm67</t>
  </si>
  <si>
    <t>tCO2/10000Nm68</t>
  </si>
  <si>
    <t>tCO2/10000Nm69</t>
  </si>
  <si>
    <t>tCO2/10000Nm70</t>
  </si>
  <si>
    <t>tCO2/10000Nm71</t>
  </si>
  <si>
    <t>tCO2/10000Nm72</t>
  </si>
  <si>
    <t>tCO2/10000Nm73</t>
  </si>
  <si>
    <t>tCO2/10000Nm74</t>
  </si>
  <si>
    <t>tCO2/10000Nm75</t>
  </si>
  <si>
    <t>tCO2/10000Nm76</t>
  </si>
  <si>
    <t>tCO2/10000Nm77</t>
  </si>
  <si>
    <t>tCO2/10000Nm78</t>
  </si>
  <si>
    <t>tCO2/10000Nm79</t>
  </si>
  <si>
    <t>tCO2/10000Nm80</t>
  </si>
  <si>
    <t>tCO2/10000Nm81</t>
  </si>
  <si>
    <t>tCO2/10000Nm82</t>
  </si>
  <si>
    <t>tCO2/10000Nm83</t>
  </si>
  <si>
    <t>tCO2/10000Nm84</t>
  </si>
  <si>
    <t>tCO2/10000Nm85</t>
  </si>
  <si>
    <t>tCO2/10000Nm86</t>
  </si>
  <si>
    <t>tCO2/10000Nm87</t>
  </si>
  <si>
    <t>tCO2/10000Nm88</t>
  </si>
  <si>
    <t>tCO2/10000Nm89</t>
  </si>
  <si>
    <t>tCO2/10000Nm90</t>
  </si>
  <si>
    <t>tCO2/10000Nm91</t>
  </si>
  <si>
    <t>tCO2/10000Nm92</t>
  </si>
  <si>
    <t>tCO2/10000Nm93</t>
  </si>
  <si>
    <t>tCO2/10000Nm94</t>
  </si>
  <si>
    <t>tCO2/10000Nm95</t>
  </si>
  <si>
    <t>tCO2/10000Nm96</t>
  </si>
  <si>
    <t>tCO2/10000Nm97</t>
  </si>
  <si>
    <t>tCO2/10000Nm98</t>
  </si>
  <si>
    <t>tCO2/10000Nm99</t>
  </si>
  <si>
    <t>tCO2/10000Nm100</t>
  </si>
  <si>
    <t>tCO2/10000Nm31</t>
  </si>
  <si>
    <t>直接温室气体排放</t>
  </si>
  <si>
    <t>占比</t>
  </si>
  <si>
    <t>温室气体</t>
  </si>
  <si>
    <t>汇总</t>
  </si>
  <si>
    <t>输入能源间接温室气体排放（基于位置）</t>
  </si>
  <si>
    <r>
      <rPr>
        <b/>
        <sz val="6.5"/>
        <color rgb="FFFFFFFF"/>
        <rFont val="宋体"/>
        <family val="3"/>
        <charset val="134"/>
      </rPr>
      <t>范围三类别</t>
    </r>
    <r>
      <rPr>
        <b/>
        <sz val="6.5"/>
        <color indexed="9"/>
        <rFont val="Arial"/>
        <family val="2"/>
      </rPr>
      <t>1</t>
    </r>
  </si>
  <si>
    <t>外购商品和服务的上游产生的排放</t>
  </si>
  <si>
    <t>范围三类别2</t>
  </si>
  <si>
    <t>资本货物产生的排放</t>
  </si>
  <si>
    <t>范围三类别3</t>
  </si>
  <si>
    <t>范围三类别4</t>
  </si>
  <si>
    <t>范围三类别5</t>
  </si>
  <si>
    <t>运营产生的废物产生的排放</t>
  </si>
  <si>
    <t>范围三类别6</t>
  </si>
  <si>
    <t>范围三类别7</t>
  </si>
  <si>
    <t>范围三类别8</t>
  </si>
  <si>
    <t>上游租赁资产产生的排放</t>
  </si>
  <si>
    <t>范围三类别9</t>
  </si>
  <si>
    <t>范围三类别10</t>
  </si>
  <si>
    <t>范围三类别11</t>
  </si>
  <si>
    <t>范围三类别12</t>
  </si>
  <si>
    <t>范围三类别13</t>
  </si>
  <si>
    <t>下游租赁资产产生的排放</t>
  </si>
  <si>
    <t>范围三类别14</t>
  </si>
  <si>
    <t>特许经营产生的排放</t>
  </si>
  <si>
    <t>范围三类别15</t>
  </si>
  <si>
    <t>投资产生的排放</t>
  </si>
  <si>
    <t>合计</t>
  </si>
  <si>
    <r>
      <rPr>
        <b/>
        <sz val="6.5"/>
        <rFont val="宋体"/>
        <family val="3"/>
        <charset val="134"/>
      </rPr>
      <t>范围二</t>
    </r>
    <r>
      <rPr>
        <b/>
        <sz val="6.5"/>
        <rFont val="Arial"/>
        <family val="2"/>
      </rPr>
      <t xml:space="preserve">
</t>
    </r>
    <r>
      <rPr>
        <b/>
        <sz val="6.5"/>
        <rFont val="宋体"/>
        <family val="3"/>
        <charset val="134"/>
      </rPr>
      <t>（基于位置）</t>
    </r>
  </si>
  <si>
    <t>总计</t>
  </si>
  <si>
    <t>输入能源间接温室气体排放（基于市场）</t>
  </si>
  <si>
    <r>
      <rPr>
        <b/>
        <sz val="6.5"/>
        <rFont val="宋体"/>
        <family val="3"/>
        <charset val="134"/>
      </rPr>
      <t>范围二</t>
    </r>
    <r>
      <rPr>
        <b/>
        <sz val="6.5"/>
        <rFont val="Arial"/>
        <family val="2"/>
      </rPr>
      <t xml:space="preserve">
</t>
    </r>
    <r>
      <rPr>
        <b/>
        <sz val="6.5"/>
        <rFont val="宋体"/>
        <family val="3"/>
        <charset val="134"/>
      </rPr>
      <t>（基于市场）</t>
    </r>
  </si>
  <si>
    <t>uncertainty_score_location_based</t>
    <phoneticPr fontId="87" type="noConversion"/>
  </si>
  <si>
    <t>uncertainty_score_market_based</t>
    <phoneticPr fontId="87" type="noConversion"/>
  </si>
  <si>
    <t>uncertainty_level_market_based</t>
    <phoneticPr fontId="87" type="noConversion"/>
  </si>
  <si>
    <t>GWP_Value_Reference_Document</t>
    <phoneticPr fontId="87" type="noConversion"/>
  </si>
  <si>
    <t>{{item.number}}</t>
    <phoneticPr fontId="87" type="noConversion"/>
  </si>
  <si>
    <t>{%tr endfor %}</t>
    <phoneticPr fontId="87" type="noConversion"/>
  </si>
  <si>
    <t>{{item.total_green_house_gas_emissions}}</t>
    <phoneticPr fontId="87" type="noConversion"/>
  </si>
  <si>
    <t>{{item.CO2_emissions}}</t>
    <phoneticPr fontId="87" type="noConversion"/>
  </si>
  <si>
    <t>{{item.CH4_emissions}}</t>
    <phoneticPr fontId="87" type="noConversion"/>
  </si>
  <si>
    <t>{{item.N2O_emissions}}</t>
    <phoneticPr fontId="87" type="noConversion"/>
  </si>
  <si>
    <t>{{item.HFCs_emissions}}</t>
    <phoneticPr fontId="87" type="noConversion"/>
  </si>
  <si>
    <t>{{item.PFCs_emissions}}</t>
    <phoneticPr fontId="87" type="noConversion"/>
  </si>
  <si>
    <t>{{item.NF3_emissions}}</t>
    <phoneticPr fontId="87" type="noConversion"/>
  </si>
  <si>
    <t>{{item.SF6_emissions}}</t>
    <phoneticPr fontId="87" type="noConversion"/>
  </si>
  <si>
    <t>{{item.act_summary_loc}}</t>
    <phoneticPr fontId="87" type="noConversion"/>
  </si>
  <si>
    <t>{{item.act_summary_loc_unit}}</t>
    <phoneticPr fontId="87" type="noConversion"/>
  </si>
  <si>
    <t>{{loc_CO2_emissions_sum_formatted}}</t>
    <phoneticPr fontId="87" type="noConversion"/>
  </si>
  <si>
    <t>{%tr for item in act_summary_loc %}</t>
    <phoneticPr fontId="87" type="noConversion"/>
  </si>
  <si>
    <t>{{item.emission_source_type_loc}}</t>
    <phoneticPr fontId="87" type="noConversion"/>
  </si>
  <si>
    <t>{{item.emission_source_loc}}</t>
    <phoneticPr fontId="87" type="noConversion"/>
  </si>
  <si>
    <t>{{item. report_boundary_loc}}</t>
    <phoneticPr fontId="87" type="noConversion"/>
  </si>
  <si>
    <t>{{loc_CH4_emissions_sum_formatted}}</t>
    <phoneticPr fontId="87" type="noConversion"/>
  </si>
  <si>
    <t>{{loc_N2O_emissions_sum_formatted}}</t>
    <phoneticPr fontId="87" type="noConversion"/>
  </si>
  <si>
    <t>{{loc_HFCs_emissions_sum_formatted}}</t>
    <phoneticPr fontId="87" type="noConversion"/>
  </si>
  <si>
    <t>{{loc_PFCs_emissions_sum_formatted}}</t>
    <phoneticPr fontId="87" type="noConversion"/>
  </si>
  <si>
    <t>{{loc_SF6_emissions_sum_formatted}}</t>
    <phoneticPr fontId="87" type="noConversion"/>
  </si>
  <si>
    <t>{{loc_NF3_emissions_sum_formatted}}</t>
    <phoneticPr fontId="87" type="noConversion"/>
  </si>
  <si>
    <t>{{loc_total_green_house_gas_emissions_sum_formatted}}</t>
    <phoneticPr fontId="87" type="noConversion"/>
  </si>
  <si>
    <t>{%tr for item in act_summary_mar %}</t>
    <phoneticPr fontId="87" type="noConversion"/>
  </si>
  <si>
    <t>{{item.emission_source_type_mar}}</t>
    <phoneticPr fontId="87" type="noConversion"/>
  </si>
  <si>
    <t>{{item.emission_source_mar}}</t>
    <phoneticPr fontId="87" type="noConversion"/>
  </si>
  <si>
    <t>{{item. report_boundary_mar}}</t>
    <phoneticPr fontId="87" type="noConversion"/>
  </si>
  <si>
    <t>{{item.act_summary_mar}}</t>
    <phoneticPr fontId="87" type="noConversion"/>
  </si>
  <si>
    <t>{{item.act_summary_mar_unit}}</t>
    <phoneticPr fontId="87" type="noConversion"/>
  </si>
  <si>
    <t>{{mar_CO2_emissions_sum_formatted}}</t>
    <phoneticPr fontId="87" type="noConversion"/>
  </si>
  <si>
    <t>{{mar_CH4_emissions_sum_formatted}}</t>
    <phoneticPr fontId="87" type="noConversion"/>
  </si>
  <si>
    <t>{{mar_N2O_emissions_sum_formatted}}</t>
    <phoneticPr fontId="87" type="noConversion"/>
  </si>
  <si>
    <t>{{mar_HFCs_emissions_sum_formatted}}</t>
    <phoneticPr fontId="87" type="noConversion"/>
  </si>
  <si>
    <t>{{mar_PFCs_emissions_sum_formatted}}</t>
    <phoneticPr fontId="87" type="noConversion"/>
  </si>
  <si>
    <t>{{mar_SF6_emissions_sum_formatted}}</t>
    <phoneticPr fontId="87" type="noConversion"/>
  </si>
  <si>
    <t>{{mar_NF3_emissions_sum_formatted}}</t>
    <phoneticPr fontId="87" type="noConversion"/>
  </si>
  <si>
    <t>{{mar_total_green_house_gas_emissions_sum_formatted}}</t>
    <phoneticPr fontId="87" type="noConversion"/>
  </si>
  <si>
    <t>{{item.emission_source_type_dir}}</t>
    <phoneticPr fontId="87" type="noConversion"/>
  </si>
  <si>
    <t>{{item.emission_source_dir}}</t>
    <phoneticPr fontId="87" type="noConversion"/>
  </si>
  <si>
    <t>{{item.emission_facilities_dir}}</t>
    <phoneticPr fontId="87" type="noConversion"/>
  </si>
  <si>
    <t>{{item.ncv_dir}}</t>
    <phoneticPr fontId="87" type="noConversion"/>
  </si>
  <si>
    <t>{{item.emission_unit_dir}}</t>
    <phoneticPr fontId="87" type="noConversion"/>
  </si>
  <si>
    <t>{{item.emission_oa_dir}}</t>
    <phoneticPr fontId="87" type="noConversion"/>
  </si>
  <si>
    <t>{{item.CO2_emission_factor}}</t>
    <phoneticPr fontId="87" type="noConversion"/>
  </si>
  <si>
    <t>{{item.CH4_emission_factor}}</t>
    <phoneticPr fontId="87" type="noConversion"/>
  </si>
  <si>
    <t>{{item.N2O_emission_factor}}</t>
    <phoneticPr fontId="87" type="noConversion"/>
  </si>
  <si>
    <t>{{item.CO2_emission_cv_factor}}</t>
    <phoneticPr fontId="87" type="noConversion"/>
  </si>
  <si>
    <t>{{item.CH4_emission_cv_factor}}</t>
    <phoneticPr fontId="87" type="noConversion"/>
  </si>
  <si>
    <t>{{item.N2O_emission_cv_factor}}</t>
    <phoneticPr fontId="87" type="noConversion"/>
  </si>
  <si>
    <t>{{item.HFCs_PCFs_emission_factor}}</t>
    <phoneticPr fontId="87" type="noConversion"/>
  </si>
  <si>
    <t>{{item.MCF}}</t>
    <phoneticPr fontId="87" type="noConversion"/>
  </si>
  <si>
    <t>{{item.Bo}}</t>
    <phoneticPr fontId="87" type="noConversion"/>
  </si>
  <si>
    <t>{{item.emission_factor}}</t>
    <phoneticPr fontId="87" type="noConversion"/>
  </si>
  <si>
    <t>{%tr for item in pro_ef_items %}</t>
    <phoneticPr fontId="87" type="noConversion"/>
  </si>
  <si>
    <t>{%tr for item in com_ef_items %}</t>
    <phoneticPr fontId="87" type="noConversion"/>
  </si>
  <si>
    <t>{%tr for item in fug_ef_items %}</t>
    <phoneticPr fontId="87" type="noConversion"/>
  </si>
  <si>
    <t>{{item.elec_emission_factor}}</t>
    <phoneticPr fontId="87" type="noConversion"/>
  </si>
  <si>
    <t>{{item.elec_emission_unit}}</t>
    <phoneticPr fontId="87" type="noConversion"/>
  </si>
  <si>
    <t>{{item.elec_emission_source}}</t>
    <phoneticPr fontId="87" type="noConversion"/>
  </si>
  <si>
    <t>{{item.emission_source_type_indir}}</t>
    <phoneticPr fontId="87" type="noConversion"/>
  </si>
  <si>
    <t>{{item.emission_source_indir}}</t>
    <phoneticPr fontId="87" type="noConversion"/>
  </si>
  <si>
    <t>{{item.emission_facilities_indir}}</t>
    <phoneticPr fontId="87" type="noConversion"/>
  </si>
  <si>
    <t>{%tr for item in indir_ef_items %}</t>
    <phoneticPr fontId="87" type="noConversion"/>
  </si>
  <si>
    <t>{%tr for item in cat1_ef_items %}</t>
    <phoneticPr fontId="87" type="noConversion"/>
  </si>
  <si>
    <t>{{item.emission_source_type_cat1}}</t>
    <phoneticPr fontId="87" type="noConversion"/>
  </si>
  <si>
    <t>{{item.emission_source_cat1}}</t>
    <phoneticPr fontId="87" type="noConversion"/>
  </si>
  <si>
    <t>{{item.emission_name_cat1}}</t>
    <phoneticPr fontId="87" type="noConversion"/>
  </si>
  <si>
    <t>{{item.emission_geo_cat1}}</t>
    <phoneticPr fontId="87" type="noConversion"/>
  </si>
  <si>
    <t>{{item.cat1_emission_factor}}</t>
    <phoneticPr fontId="87" type="noConversion"/>
  </si>
  <si>
    <t>{{item.cat1_emission_unit}}</t>
    <phoneticPr fontId="87" type="noConversion"/>
  </si>
  <si>
    <t>{{item.cat1_emission_source}}</t>
    <phoneticPr fontId="87" type="noConversion"/>
  </si>
  <si>
    <t>{%tr for item in cat2_ef_items %}</t>
    <phoneticPr fontId="87" type="noConversion"/>
  </si>
  <si>
    <t>{{item.emission_source_type_cat2}}</t>
    <phoneticPr fontId="87" type="noConversion"/>
  </si>
  <si>
    <t>{{item.emission_source_cat2}}</t>
    <phoneticPr fontId="87" type="noConversion"/>
  </si>
  <si>
    <t>{{item.emission_name_cat2}}</t>
    <phoneticPr fontId="87" type="noConversion"/>
  </si>
  <si>
    <t>{{item.cat2_emission_factor}}</t>
    <phoneticPr fontId="87" type="noConversion"/>
  </si>
  <si>
    <t>{{item.cat2_emission_unit}}</t>
    <phoneticPr fontId="87" type="noConversion"/>
  </si>
  <si>
    <t>{{item.cat2_emission_source}}</t>
    <phoneticPr fontId="87" type="noConversion"/>
  </si>
  <si>
    <t>{%tr for item in cat4_ef_items %}</t>
  </si>
  <si>
    <t>{{item.emission_source_type_cat4}}</t>
  </si>
  <si>
    <t>{{item.emission_source_cat4}}</t>
  </si>
  <si>
    <t>{{item.emission_name_cat4}}</t>
  </si>
  <si>
    <t>{{item.emission_geo_cat4}}</t>
  </si>
  <si>
    <t>{{item.cat4_emission_factor}}</t>
  </si>
  <si>
    <t>{{item.cat4_emission_unit}}</t>
  </si>
  <si>
    <t>{{item.cat4_emission_source}}</t>
  </si>
  <si>
    <t>{%tr for item in cat3_ef_items %}</t>
    <phoneticPr fontId="87" type="noConversion"/>
  </si>
  <si>
    <t>{{item.emission_source_type_cat3}}</t>
    <phoneticPr fontId="87" type="noConversion"/>
  </si>
  <si>
    <t>{{item.emission_source_cat3}}</t>
    <phoneticPr fontId="87" type="noConversion"/>
  </si>
  <si>
    <t>{{item.emission_name_cat3}}</t>
    <phoneticPr fontId="87" type="noConversion"/>
  </si>
  <si>
    <t>{{item.emission_geo_cat3}}</t>
    <phoneticPr fontId="87" type="noConversion"/>
  </si>
  <si>
    <t>{{item.cat3_emission_factor}}</t>
    <phoneticPr fontId="87" type="noConversion"/>
  </si>
  <si>
    <t>{{item.cat3_emission_unit}}</t>
    <phoneticPr fontId="87" type="noConversion"/>
  </si>
  <si>
    <t>{{item.cat3_emission_source}}</t>
    <phoneticPr fontId="87" type="noConversion"/>
  </si>
  <si>
    <t>{%tr for item in cat5_ef_items %}</t>
    <phoneticPr fontId="87" type="noConversion"/>
  </si>
  <si>
    <t>{{item.emission_source_type_cat5}}</t>
    <phoneticPr fontId="87" type="noConversion"/>
  </si>
  <si>
    <t>{{item.emission_source_cat5}}</t>
    <phoneticPr fontId="87" type="noConversion"/>
  </si>
  <si>
    <t>{{item.emission_name_cat5}}</t>
    <phoneticPr fontId="87" type="noConversion"/>
  </si>
  <si>
    <t>{{item.emission_geo_cat5}}</t>
    <phoneticPr fontId="87" type="noConversion"/>
  </si>
  <si>
    <t>{{item.cat5_emission_factor}}</t>
    <phoneticPr fontId="87" type="noConversion"/>
  </si>
  <si>
    <t>{{item.cat5_emission_unit}}</t>
    <phoneticPr fontId="87" type="noConversion"/>
  </si>
  <si>
    <t>{{item.cat5_emission_source}}</t>
    <phoneticPr fontId="87" type="noConversion"/>
  </si>
  <si>
    <t>{%tr for item in cat6_ef_items %}</t>
    <phoneticPr fontId="87" type="noConversion"/>
  </si>
  <si>
    <t>{{item.emission_source_type_cat6}}</t>
    <phoneticPr fontId="87" type="noConversion"/>
  </si>
  <si>
    <t>{{item.emission_source_cat6}}</t>
    <phoneticPr fontId="87" type="noConversion"/>
  </si>
  <si>
    <t>{{item.emission_name_cat6}}</t>
    <phoneticPr fontId="87" type="noConversion"/>
  </si>
  <si>
    <t>{{item.emission_geo_cat6}}</t>
    <phoneticPr fontId="87" type="noConversion"/>
  </si>
  <si>
    <t>{{item.cat6_emission_factor}}</t>
    <phoneticPr fontId="87" type="noConversion"/>
  </si>
  <si>
    <t>{{item.cat6_emission_unit}}</t>
    <phoneticPr fontId="87" type="noConversion"/>
  </si>
  <si>
    <t>{{item.cat6_emission_source}}</t>
    <phoneticPr fontId="87" type="noConversion"/>
  </si>
  <si>
    <t>{%tr for item in cat7_ef_items %}</t>
    <phoneticPr fontId="87" type="noConversion"/>
  </si>
  <si>
    <t>{{item.emission_source_type_cat7}}</t>
    <phoneticPr fontId="87" type="noConversion"/>
  </si>
  <si>
    <t>{{item.emission_source_cat7}}</t>
    <phoneticPr fontId="87" type="noConversion"/>
  </si>
  <si>
    <t>{{item.emission_name_cat7}}</t>
    <phoneticPr fontId="87" type="noConversion"/>
  </si>
  <si>
    <t>{{item.emission_geo_cat7}}</t>
    <phoneticPr fontId="87" type="noConversion"/>
  </si>
  <si>
    <t>{{item.cat7_emission_factor}}</t>
    <phoneticPr fontId="87" type="noConversion"/>
  </si>
  <si>
    <t>{{item.cat7_emission_unit}}</t>
    <phoneticPr fontId="87" type="noConversion"/>
  </si>
  <si>
    <t>{{item.cat7_emission_source}}</t>
    <phoneticPr fontId="87" type="noConversion"/>
  </si>
  <si>
    <t>{%tr for item in cat9_ef_items %}</t>
    <phoneticPr fontId="87" type="noConversion"/>
  </si>
  <si>
    <t>{{item.cat9_emission_remark}}</t>
  </si>
  <si>
    <t>{{item.emission_source_type_cat9}}</t>
    <phoneticPr fontId="87" type="noConversion"/>
  </si>
  <si>
    <t>{{item.emission_source_cat9}}</t>
    <phoneticPr fontId="87" type="noConversion"/>
  </si>
  <si>
    <t>{{item.emission_name_cat9}}</t>
    <phoneticPr fontId="87" type="noConversion"/>
  </si>
  <si>
    <t>{{item.cat9_emission_factor}}</t>
    <phoneticPr fontId="87" type="noConversion"/>
  </si>
  <si>
    <t>{{item.cat9_emission_unit}}</t>
    <phoneticPr fontId="87" type="noConversion"/>
  </si>
  <si>
    <t>{{item.cat9_emission_source}}</t>
    <phoneticPr fontId="87" type="noConversion"/>
  </si>
  <si>
    <t>{%tr for item in cat11_ef_items %}</t>
    <phoneticPr fontId="87" type="noConversion"/>
  </si>
  <si>
    <t>{{item.ncv_cat11}}</t>
    <phoneticPr fontId="87" type="noConversion"/>
  </si>
  <si>
    <t>{{item.emission_oa_cat11}}</t>
  </si>
  <si>
    <t>{{item.emission_source_type_cat11}}</t>
    <phoneticPr fontId="87" type="noConversion"/>
  </si>
  <si>
    <t>{{item.emission_source_cat11}}</t>
    <phoneticPr fontId="87" type="noConversion"/>
  </si>
  <si>
    <t>{{item.emission_name_cat11}}</t>
    <phoneticPr fontId="87" type="noConversion"/>
  </si>
  <si>
    <t>{{item.emission_unit_cat11}}</t>
    <phoneticPr fontId="87" type="noConversion"/>
  </si>
  <si>
    <t>{%tr for item in cat12_ef_items %}</t>
    <phoneticPr fontId="87" type="noConversion"/>
  </si>
  <si>
    <t>{{item.emission_source_type_cat12}}</t>
    <phoneticPr fontId="87" type="noConversion"/>
  </si>
  <si>
    <t>{{item.emission_source_cat12}}</t>
    <phoneticPr fontId="87" type="noConversion"/>
  </si>
  <si>
    <t>{{item.emission_name_cat12}}</t>
    <phoneticPr fontId="87" type="noConversion"/>
  </si>
  <si>
    <t>{{item.emission_geo_cat12}}</t>
    <phoneticPr fontId="87" type="noConversion"/>
  </si>
  <si>
    <t>{{item.cat12_emission_factor}}</t>
    <phoneticPr fontId="87" type="noConversion"/>
  </si>
  <si>
    <t>{{item.cat12_emission_unit}}</t>
    <phoneticPr fontId="87" type="noConversion"/>
  </si>
  <si>
    <t>{{item.cat12_emission_source}}</t>
    <phoneticPr fontId="87" type="noConversion"/>
  </si>
  <si>
    <t>范围一 固定燃烧排放</t>
    <phoneticPr fontId="87" type="noConversion"/>
  </si>
  <si>
    <t>范围一 移动燃烧排放</t>
    <phoneticPr fontId="87" type="noConversion"/>
  </si>
  <si>
    <t>范围一 制程排放</t>
    <phoneticPr fontId="87" type="noConversion"/>
  </si>
  <si>
    <t>范围一 逸散排放</t>
    <phoneticPr fontId="87" type="noConversion"/>
  </si>
  <si>
    <t>范围二 外购能源间接排放</t>
    <phoneticPr fontId="87" type="noConversion"/>
  </si>
  <si>
    <t>范围三 类别1 外购商品和服务的上游排放</t>
    <phoneticPr fontId="87" type="noConversion"/>
  </si>
  <si>
    <t>范围三 类别2 资本货物</t>
    <phoneticPr fontId="87" type="noConversion"/>
  </si>
  <si>
    <t>范围三 类别3 范围一、二之外燃料和能源相关的活动产生的排放</t>
    <phoneticPr fontId="87" type="noConversion"/>
  </si>
  <si>
    <t>范围三 类别4 上下游运输配送产生的排放</t>
    <phoneticPr fontId="87" type="noConversion"/>
  </si>
  <si>
    <t>范围三 类别5 运营中产生的废物排放</t>
    <phoneticPr fontId="87" type="noConversion"/>
  </si>
  <si>
    <t>范围三 类别6 商务旅行产生的排放</t>
    <phoneticPr fontId="87" type="noConversion"/>
  </si>
  <si>
    <t>范围三 类别7 员工通勤产生的排放</t>
    <phoneticPr fontId="87" type="noConversion"/>
  </si>
  <si>
    <t>范围三 类别9 外销产品加工产生的排放</t>
    <phoneticPr fontId="87" type="noConversion"/>
  </si>
  <si>
    <t>范围三 类别11 外销产品使用产生的排放</t>
    <phoneticPr fontId="87" type="noConversion"/>
  </si>
  <si>
    <t>范围三 类别12 外售产品报废产生的排放</t>
    <phoneticPr fontId="87" type="noConversion"/>
  </si>
  <si>
    <t>审核</t>
    <phoneticPr fontId="87" type="noConversion"/>
  </si>
  <si>
    <t>制作</t>
    <phoneticPr fontId="87" type="noConversion"/>
  </si>
  <si>
    <t>核准</t>
    <phoneticPr fontId="87" type="noConversion"/>
  </si>
  <si>
    <t>auditor</t>
    <phoneticPr fontId="87" type="noConversion"/>
  </si>
  <si>
    <t>producer</t>
    <phoneticPr fontId="87" type="noConversion"/>
  </si>
  <si>
    <t>approver</t>
    <phoneticPr fontId="87" type="noConversion"/>
  </si>
  <si>
    <t>杨春英</t>
    <phoneticPr fontId="87" type="noConversion"/>
  </si>
  <si>
    <t>{{summary_data.scope1.co2}}</t>
    <phoneticPr fontId="87" type="noConversion"/>
  </si>
  <si>
    <t>{{summary_data.scope1.ch4}}</t>
    <phoneticPr fontId="87" type="noConversion"/>
  </si>
  <si>
    <t>{{summary_data.scope1.n2o}}</t>
    <phoneticPr fontId="87" type="noConversion"/>
  </si>
  <si>
    <t>{{summary_data.scope1.hfcs}}</t>
    <phoneticPr fontId="87" type="noConversion"/>
  </si>
  <si>
    <t>{{summary_data.scope1.pfcs}}</t>
    <phoneticPr fontId="87" type="noConversion"/>
  </si>
  <si>
    <t>{{summary_data.scope1.sf6}}</t>
    <phoneticPr fontId="87" type="noConversion"/>
  </si>
  <si>
    <t>{{summary_data.scope1.nf3}}</t>
    <phoneticPr fontId="87" type="noConversion"/>
  </si>
  <si>
    <t>{{summary_data.scope1.total}}</t>
    <phoneticPr fontId="87" type="noConversion"/>
  </si>
  <si>
    <t>{{summary_data.scope2.loc.co2}}</t>
    <phoneticPr fontId="87" type="noConversion"/>
  </si>
  <si>
    <t>{{summary_data.scope2.loc.ch4}}</t>
    <phoneticPr fontId="87" type="noConversion"/>
  </si>
  <si>
    <t>{{summary_data.scope2.loc.n2o}}</t>
    <phoneticPr fontId="87" type="noConversion"/>
  </si>
  <si>
    <t>{{summary_data.scope2.loc.hfcs}}</t>
    <phoneticPr fontId="87" type="noConversion"/>
  </si>
  <si>
    <t>{{summary_data.scope2.loc.pfcs}}</t>
    <phoneticPr fontId="87" type="noConversion"/>
  </si>
  <si>
    <t>{{summary_data.scope2.loc.sf6}}</t>
    <phoneticPr fontId="87" type="noConversion"/>
  </si>
  <si>
    <t>{{summary_data.scope2.loc.nf3}}</t>
    <phoneticPr fontId="87" type="noConversion"/>
  </si>
  <si>
    <t>{{summary_data.scope2.loc.total}}</t>
    <phoneticPr fontId="87" type="noConversion"/>
  </si>
  <si>
    <t>{{summary_data.scope3.cat1.co2}}</t>
    <phoneticPr fontId="87" type="noConversion"/>
  </si>
  <si>
    <t>{{summary_data.scope3.cat1.ch4}}</t>
    <phoneticPr fontId="87" type="noConversion"/>
  </si>
  <si>
    <t>{{summary_data.scope3.cat1.n2o}}</t>
    <phoneticPr fontId="87" type="noConversion"/>
  </si>
  <si>
    <t>{{summary_data.scope3.cat1.hfcs}}</t>
    <phoneticPr fontId="87" type="noConversion"/>
  </si>
  <si>
    <t>{{summary_data.scope3.cat1.pfcs}}</t>
    <phoneticPr fontId="87" type="noConversion"/>
  </si>
  <si>
    <t>{{summary_data.scope3.cat1.sf6}}</t>
    <phoneticPr fontId="87" type="noConversion"/>
  </si>
  <si>
    <t>{{summary_data.scope3.cat1.nf3}}</t>
    <phoneticPr fontId="87" type="noConversion"/>
  </si>
  <si>
    <t>{{summary_data.scope3.cat1.total}}</t>
    <phoneticPr fontId="87" type="noConversion"/>
  </si>
  <si>
    <t>{{summary_data.scope3.cat2.co2}}</t>
  </si>
  <si>
    <t>{{summary_data.scope3.cat2.ch4}}</t>
  </si>
  <si>
    <t>{{summary_data.scope3.cat2.n2o}}</t>
  </si>
  <si>
    <t>{{summary_data.scope3.cat2.hfcs}}</t>
  </si>
  <si>
    <t>{{summary_data.scope3.cat2.pfcs}}</t>
  </si>
  <si>
    <t>{{summary_data.scope3.cat2.sf6}}</t>
  </si>
  <si>
    <t>{{summary_data.scope3.cat2.nf3}}</t>
  </si>
  <si>
    <t>{{summary_data.scope3.cat2.total}}</t>
  </si>
  <si>
    <t>{{summary_data.scope3.cat3.co2}}</t>
  </si>
  <si>
    <t>{{summary_data.scope3.cat3.ch4}}</t>
  </si>
  <si>
    <t>{{summary_data.scope3.cat3.n2o}}</t>
  </si>
  <si>
    <t>{{summary_data.scope3.cat3.hfcs}}</t>
  </si>
  <si>
    <t>{{summary_data.scope3.cat3.pfcs}}</t>
  </si>
  <si>
    <t>{{summary_data.scope3.cat3.sf6}}</t>
  </si>
  <si>
    <t>{{summary_data.scope3.cat3.nf3}}</t>
  </si>
  <si>
    <t>{{summary_data.scope3.cat3.total}}</t>
  </si>
  <si>
    <t>{{summary_data.scope3.cat4.co2}}</t>
  </si>
  <si>
    <t>{{summary_data.scope3.cat4.ch4}}</t>
  </si>
  <si>
    <t>{{summary_data.scope3.cat4.n2o}}</t>
  </si>
  <si>
    <t>{{summary_data.scope3.cat4.hfcs}}</t>
  </si>
  <si>
    <t>{{summary_data.scope3.cat4.pfcs}}</t>
  </si>
  <si>
    <t>{{summary_data.scope3.cat4.sf6}}</t>
  </si>
  <si>
    <t>{{summary_data.scope3.cat4.nf3}}</t>
  </si>
  <si>
    <t>{{summary_data.scope3.cat4.total}}</t>
  </si>
  <si>
    <t>{{summary_data.scope3.cat5.co2}}</t>
  </si>
  <si>
    <t>{{summary_data.scope3.cat5.ch4}}</t>
  </si>
  <si>
    <t>{{summary_data.scope3.cat5.n2o}}</t>
  </si>
  <si>
    <t>{{summary_data.scope3.cat5.hfcs}}</t>
  </si>
  <si>
    <t>{{summary_data.scope3.cat5.pfcs}}</t>
  </si>
  <si>
    <t>{{summary_data.scope3.cat5.sf6}}</t>
  </si>
  <si>
    <t>{{summary_data.scope3.cat5.nf3}}</t>
  </si>
  <si>
    <t>{{summary_data.scope3.cat5.total}}</t>
  </si>
  <si>
    <t>{{summary_data.scope3.cat6.co2}}</t>
  </si>
  <si>
    <t>{{summary_data.scope3.cat6.ch4}}</t>
  </si>
  <si>
    <t>{{summary_data.scope3.cat6.n2o}}</t>
  </si>
  <si>
    <t>{{summary_data.scope3.cat6.hfcs}}</t>
  </si>
  <si>
    <t>{{summary_data.scope3.cat6.pfcs}}</t>
  </si>
  <si>
    <t>{{summary_data.scope3.cat6.sf6}}</t>
  </si>
  <si>
    <t>{{summary_data.scope3.cat6.nf3}}</t>
  </si>
  <si>
    <t>{{summary_data.scope3.cat6.total}}</t>
  </si>
  <si>
    <t>{{summary_data.scope3.cat7.co2}}</t>
  </si>
  <si>
    <t>{{summary_data.scope3.cat7.ch4}}</t>
  </si>
  <si>
    <t>{{summary_data.scope3.cat7.n2o}}</t>
  </si>
  <si>
    <t>{{summary_data.scope3.cat7.hfcs}}</t>
  </si>
  <si>
    <t>{{summary_data.scope3.cat7.pfcs}}</t>
  </si>
  <si>
    <t>{{summary_data.scope3.cat7.sf6}}</t>
  </si>
  <si>
    <t>{{summary_data.scope3.cat7.nf3}}</t>
  </si>
  <si>
    <t>{{summary_data.scope3.cat7.total}}</t>
  </si>
  <si>
    <t>{{summary_data.scope3.cat8.co2}}</t>
  </si>
  <si>
    <t>{{summary_data.scope3.cat8.ch4}}</t>
  </si>
  <si>
    <t>{{summary_data.scope3.cat8.n2o}}</t>
  </si>
  <si>
    <t>{{summary_data.scope3.cat8.hfcs}}</t>
  </si>
  <si>
    <t>{{summary_data.scope3.cat8.pfcs}}</t>
  </si>
  <si>
    <t>{{summary_data.scope3.cat8.sf6}}</t>
  </si>
  <si>
    <t>{{summary_data.scope3.cat8.nf3}}</t>
  </si>
  <si>
    <t>{{summary_data.scope3.cat8.total}}</t>
  </si>
  <si>
    <t>{{summary_data.scope3.cat9.co2}}</t>
  </si>
  <si>
    <t>{{summary_data.scope3.cat9.ch4}}</t>
  </si>
  <si>
    <t>{{summary_data.scope3.cat9.n2o}}</t>
  </si>
  <si>
    <t>{{summary_data.scope3.cat9.hfcs}}</t>
  </si>
  <si>
    <t>{{summary_data.scope3.cat9.pfcs}}</t>
  </si>
  <si>
    <t>{{summary_data.scope3.cat9.sf6}}</t>
  </si>
  <si>
    <t>{{summary_data.scope3.cat9.nf3}}</t>
  </si>
  <si>
    <t>{{summary_data.scope3.cat9.total}}</t>
  </si>
  <si>
    <t>{{summary_data.scope3.cat10.co2}}</t>
  </si>
  <si>
    <t>{{summary_data.scope3.cat10.ch4}}</t>
  </si>
  <si>
    <t>{{summary_data.scope3.cat10.n2o}}</t>
  </si>
  <si>
    <t>{{summary_data.scope3.cat10.hfcs}}</t>
  </si>
  <si>
    <t>{{summary_data.scope3.cat10.pfcs}}</t>
  </si>
  <si>
    <t>{{summary_data.scope3.cat10.sf6}}</t>
  </si>
  <si>
    <t>{{summary_data.scope3.cat10.nf3}}</t>
  </si>
  <si>
    <t>{{summary_data.scope3.cat10.total}}</t>
  </si>
  <si>
    <t>{{summary_data.scope3.cat11.co2}}</t>
  </si>
  <si>
    <t>{{summary_data.scope3.cat11.ch4}}</t>
  </si>
  <si>
    <t>{{summary_data.scope3.cat11.n2o}}</t>
  </si>
  <si>
    <t>{{summary_data.scope3.cat11.hfcs}}</t>
  </si>
  <si>
    <t>{{summary_data.scope3.cat11.pfcs}}</t>
  </si>
  <si>
    <t>{{summary_data.scope3.cat11.sf6}}</t>
  </si>
  <si>
    <t>{{summary_data.scope3.cat11.nf3}}</t>
  </si>
  <si>
    <t>{{summary_data.scope3.cat11.total}}</t>
  </si>
  <si>
    <t>{{summary_data.scope3.cat12.co2}}</t>
  </si>
  <si>
    <t>{{summary_data.scope3.cat12.ch4}}</t>
  </si>
  <si>
    <t>{{summary_data.scope3.cat12.n2o}}</t>
  </si>
  <si>
    <t>{{summary_data.scope3.cat12.hfcs}}</t>
  </si>
  <si>
    <t>{{summary_data.scope3.cat12.pfcs}}</t>
  </si>
  <si>
    <t>{{summary_data.scope3.cat12.sf6}}</t>
  </si>
  <si>
    <t>{{summary_data.scope3.cat12.nf3}}</t>
  </si>
  <si>
    <t>{{summary_data.scope3.cat12.total}}</t>
  </si>
  <si>
    <t>{{summary_data.scope3.cat13.co2}}</t>
  </si>
  <si>
    <t>{{summary_data.scope3.cat13.ch4}}</t>
  </si>
  <si>
    <t>{{summary_data.scope3.cat13.n2o}}</t>
  </si>
  <si>
    <t>{{summary_data.scope3.cat13.hfcs}}</t>
  </si>
  <si>
    <t>{{summary_data.scope3.cat13.pfcs}}</t>
  </si>
  <si>
    <t>{{summary_data.scope3.cat13.sf6}}</t>
  </si>
  <si>
    <t>{{summary_data.scope3.cat13.nf3}}</t>
  </si>
  <si>
    <t>{{summary_data.scope3.cat13.total}}</t>
  </si>
  <si>
    <t>{{summary_data.scope3.cat14.co2}}</t>
  </si>
  <si>
    <t>{{summary_data.scope3.cat14.ch4}}</t>
  </si>
  <si>
    <t>{{summary_data.scope3.cat14.n2o}}</t>
  </si>
  <si>
    <t>{{summary_data.scope3.cat14.hfcs}}</t>
  </si>
  <si>
    <t>{{summary_data.scope3.cat14.pfcs}}</t>
  </si>
  <si>
    <t>{{summary_data.scope3.cat14.sf6}}</t>
  </si>
  <si>
    <t>{{summary_data.scope3.cat14.nf3}}</t>
  </si>
  <si>
    <t>{{summary_data.scope3.cat14.total}}</t>
  </si>
  <si>
    <t>{{summary_data.scope3.cat15.co2}}</t>
  </si>
  <si>
    <t>{{summary_data.scope3.cat15.ch4}}</t>
  </si>
  <si>
    <t>{{summary_data.scope3.cat15.n2o}}</t>
  </si>
  <si>
    <t>{{summary_data.scope3.cat15.hfcs}}</t>
  </si>
  <si>
    <t>{{summary_data.scope3.cat15.pfcs}}</t>
  </si>
  <si>
    <t>{{summary_data.scope3.cat15.sf6}}</t>
  </si>
  <si>
    <t>{{summary_data.scope3.cat15.nf3}}</t>
  </si>
  <si>
    <t>{{summary_data.scope3.cat15.total}}</t>
  </si>
  <si>
    <t>{{summary_data.scope3.co2}}</t>
  </si>
  <si>
    <t>{{summary_data.scope3.ch4}}</t>
  </si>
  <si>
    <t>{{summary_data.scope3.n2o}}</t>
  </si>
  <si>
    <t>{{summary_data.scope3.hfcs}}</t>
  </si>
  <si>
    <t>{{summary_data.scope3.pfcs}}</t>
  </si>
  <si>
    <t>{{summary_data.scope3.sf6}}</t>
  </si>
  <si>
    <t>{{summary_data.scope3.nf3}}</t>
  </si>
  <si>
    <t>{{summary_data.scope3.total}}</t>
  </si>
  <si>
    <t>{{summary_data.scope2.mar.co2}}</t>
  </si>
  <si>
    <t>{{summary_data.scope2.mar.ch4}}</t>
  </si>
  <si>
    <t>{{summary_data.scope2.mar.n2o}}</t>
  </si>
  <si>
    <t>{{summary_data.scope2.mar.hfcs}}</t>
  </si>
  <si>
    <t>{{summary_data.scope2.mar.pfcs}}</t>
  </si>
  <si>
    <t>{{summary_data.scope2.mar.sf6}}</t>
  </si>
  <si>
    <t>{{summary_data.scope2.mar.nf3}}</t>
  </si>
  <si>
    <t>{{summary_data.scope2.mar.total}}</t>
  </si>
  <si>
    <t>{{summary_data.total.co2}}</t>
    <phoneticPr fontId="87" type="noConversion"/>
  </si>
  <si>
    <t>{{summary_data.total.n2o}}</t>
    <phoneticPr fontId="87" type="noConversion"/>
  </si>
  <si>
    <t>{{summary_data.total.hfcs}}</t>
    <phoneticPr fontId="87" type="noConversion"/>
  </si>
  <si>
    <t>{{summary_data.total.pfcs}}</t>
    <phoneticPr fontId="87" type="noConversion"/>
  </si>
  <si>
    <t>{{summary_data.total.sf6}}</t>
    <phoneticPr fontId="87" type="noConversion"/>
  </si>
  <si>
    <t>{{summary_data.total.nf3}}</t>
    <phoneticPr fontId="87" type="noConversion"/>
  </si>
  <si>
    <t>{{summary_data.total.total}}</t>
    <phoneticPr fontId="87" type="noConversion"/>
  </si>
  <si>
    <t>{{summary_data.total.ch4}}</t>
    <phoneticPr fontId="87" type="noConversion"/>
  </si>
  <si>
    <t>报告年</t>
    <phoneticPr fontId="87" type="noConversion"/>
  </si>
  <si>
    <t>reporting_year</t>
    <phoneticPr fontId="87" type="noConversion"/>
  </si>
  <si>
    <t>下一年</t>
    <phoneticPr fontId="87" type="noConversion"/>
  </si>
  <si>
    <t>next_year</t>
    <phoneticPr fontId="87" type="noConversion"/>
  </si>
  <si>
    <t>{{loop.index}}</t>
    <phoneticPr fontId="87" type="noConversion"/>
  </si>
  <si>
    <t>{{item.plan_name}}</t>
    <phoneticPr fontId="87" type="noConversion"/>
  </si>
  <si>
    <t>{{item.description}}</t>
    <phoneticPr fontId="87" type="noConversion"/>
  </si>
  <si>
    <t>{{item.department}}</t>
    <phoneticPr fontId="87" type="noConversion"/>
  </si>
  <si>
    <t>{{item.progress}}</t>
    <phoneticPr fontId="87" type="noConversion"/>
  </si>
  <si>
    <t>{{item.estimated_savings}}</t>
    <phoneticPr fontId="87" type="noConversion"/>
  </si>
  <si>
    <t>{%tr for item in implemented_reduction_items %}</t>
    <phoneticPr fontId="87" type="noConversion"/>
  </si>
  <si>
    <t>{%tr for item in planned_reduction_items %}</t>
    <phoneticPr fontId="8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</si>
</sst>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 * #,##0.00_ ;_ * \-#,##0.00_ ;_ * &quot;-&quot;??_ ;_ @_ "/>
    <numFmt numFmtId="176" formatCode="_-* #,##0.00_-;\-* #,##0.00_-;_-* &quot;-&quot;??_-;_-@_-"/>
    <numFmt numFmtId="177" formatCode="#,##0.00_ "/>
    <numFmt numFmtId="178" formatCode="#,##0.00;[Red]#,##0.00"/>
    <numFmt numFmtId="179" formatCode="0.00_ "/>
    <numFmt numFmtId="180" formatCode="#,##0_ "/>
    <numFmt numFmtId="181" formatCode="0.0000000"/>
    <numFmt numFmtId="182" formatCode="0.0000000E+00"/>
    <numFmt numFmtId="183" formatCode="0.000"/>
    <numFmt numFmtId="184" formatCode="0.000000_ "/>
    <numFmt numFmtId="185" formatCode="0.0%"/>
    <numFmt numFmtId="186" formatCode="0.0000"/>
    <numFmt numFmtId="187" formatCode="0.00000"/>
    <numFmt numFmtId="188" formatCode="#,##0.0_ "/>
    <numFmt numFmtId="189" formatCode="0.000_);[Red]\(0.000\)"/>
    <numFmt numFmtId="190" formatCode="0_);[Red]\(0\)"/>
    <numFmt numFmtId="191" formatCode="0_ "/>
    <numFmt numFmtId="192" formatCode="0.000_ "/>
    <numFmt numFmtId="193" formatCode="0.0000_ "/>
    <numFmt numFmtId="194" formatCode="0.000E+00"/>
    <numFmt numFmtId="195" formatCode="0.00_);[Red]\(0.00\)"/>
  </numFmts>
  <fonts count="90">
    <font>
      <sz val="12"/>
      <color indexed="8"/>
      <name val="新細明體"/>
      <charset val="134"/>
    </font>
    <font>
      <b/>
      <sz val="6.5"/>
      <color indexed="9"/>
      <name val="宋体"/>
      <family val="3"/>
      <charset val="134"/>
    </font>
    <font>
      <b/>
      <sz val="6.5"/>
      <color rgb="FFFFFFFF"/>
      <name val="宋体"/>
      <family val="3"/>
      <charset val="134"/>
    </font>
    <font>
      <b/>
      <sz val="6.5"/>
      <color indexed="9"/>
      <name val="Arial"/>
      <family val="2"/>
    </font>
    <font>
      <b/>
      <sz val="6.5"/>
      <name val="宋体"/>
      <family val="3"/>
      <charset val="134"/>
    </font>
    <font>
      <b/>
      <sz val="6.5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2"/>
      <name val="宋体"/>
      <family val="3"/>
      <charset val="134"/>
    </font>
    <font>
      <b/>
      <sz val="12"/>
      <color rgb="FFFF0000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20"/>
      <name val="宋体"/>
      <family val="3"/>
      <charset val="134"/>
    </font>
    <font>
      <b/>
      <sz val="20"/>
      <name val="Arial"/>
      <family val="2"/>
    </font>
    <font>
      <b/>
      <sz val="6"/>
      <name val="Arial"/>
      <family val="2"/>
    </font>
    <font>
      <b/>
      <sz val="6"/>
      <name val="宋体"/>
      <family val="3"/>
      <charset val="134"/>
    </font>
    <font>
      <sz val="6"/>
      <name val="Arial"/>
      <family val="2"/>
    </font>
    <font>
      <sz val="12"/>
      <color indexed="8"/>
      <name val="宋体"/>
      <family val="3"/>
      <charset val="134"/>
      <scheme val="major"/>
    </font>
    <font>
      <b/>
      <sz val="14"/>
      <color theme="1"/>
      <name val="方正书宋简体"/>
      <charset val="134"/>
    </font>
    <font>
      <b/>
      <sz val="11"/>
      <name val="方正书宋简体"/>
      <charset val="134"/>
    </font>
    <font>
      <b/>
      <sz val="11"/>
      <color rgb="FF000000"/>
      <name val="方正书宋简体"/>
      <charset val="134"/>
    </font>
    <font>
      <sz val="11"/>
      <name val="方正书宋简体"/>
      <charset val="134"/>
    </font>
    <font>
      <sz val="12"/>
      <name val="方正书宋简体"/>
      <charset val="134"/>
    </font>
    <font>
      <b/>
      <sz val="14"/>
      <name val="方正书宋简体"/>
      <charset val="134"/>
    </font>
    <font>
      <sz val="10"/>
      <name val="方正书宋简体"/>
      <charset val="134"/>
    </font>
    <font>
      <b/>
      <sz val="12"/>
      <color indexed="9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color indexed="9"/>
      <name val="宋体"/>
      <family val="3"/>
      <charset val="134"/>
    </font>
    <font>
      <b/>
      <sz val="12"/>
      <color rgb="FFFFFFFF"/>
      <name val="宋体"/>
      <family val="3"/>
      <charset val="134"/>
    </font>
    <font>
      <sz val="10"/>
      <color rgb="FF000000"/>
      <name val="Arial"/>
      <family val="2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name val="宋体"/>
      <family val="3"/>
      <charset val="134"/>
    </font>
    <font>
      <b/>
      <sz val="12"/>
      <color rgb="FFFFFFFF"/>
      <name val="Arial"/>
      <family val="2"/>
    </font>
    <font>
      <sz val="10"/>
      <color theme="1"/>
      <name val="Arial"/>
      <family val="2"/>
    </font>
    <font>
      <sz val="12"/>
      <color indexed="8"/>
      <name val="Arial"/>
      <family val="2"/>
    </font>
    <font>
      <b/>
      <sz val="16"/>
      <color indexed="8"/>
      <name val="新細明體"/>
      <charset val="134"/>
    </font>
    <font>
      <sz val="11"/>
      <color indexed="8"/>
      <name val="Arial"/>
      <family val="2"/>
    </font>
    <font>
      <b/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rgb="FFFF000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name val="宋体"/>
      <family val="3"/>
      <charset val="134"/>
    </font>
    <font>
      <sz val="12"/>
      <name val="宋体"/>
      <family val="3"/>
      <charset val="134"/>
    </font>
    <font>
      <b/>
      <sz val="10"/>
      <color theme="1"/>
      <name val="Arial"/>
      <family val="2"/>
    </font>
    <font>
      <b/>
      <sz val="20"/>
      <color indexed="8"/>
      <name val="Arial"/>
      <family val="2"/>
    </font>
    <font>
      <b/>
      <sz val="12"/>
      <color rgb="FFFF66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宋体"/>
      <family val="3"/>
      <charset val="134"/>
    </font>
    <font>
      <b/>
      <sz val="10"/>
      <color indexed="9"/>
      <name val="宋体"/>
      <family val="3"/>
      <charset val="134"/>
    </font>
    <font>
      <b/>
      <sz val="10"/>
      <color theme="0"/>
      <name val="宋体"/>
      <family val="3"/>
      <charset val="134"/>
    </font>
    <font>
      <b/>
      <sz val="10"/>
      <color indexed="9"/>
      <name val="Arial"/>
      <family val="2"/>
    </font>
    <font>
      <b/>
      <sz val="10"/>
      <color theme="0"/>
      <name val="Arial"/>
      <family val="2"/>
    </font>
    <font>
      <b/>
      <sz val="10"/>
      <color indexed="8"/>
      <name val="宋体"/>
      <family val="3"/>
      <charset val="134"/>
    </font>
    <font>
      <b/>
      <sz val="10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name val="新細明體"/>
      <charset val="134"/>
    </font>
    <font>
      <sz val="12"/>
      <color theme="1"/>
      <name val="宋体"/>
      <family val="3"/>
      <charset val="134"/>
      <scheme val="minor"/>
    </font>
    <font>
      <sz val="9"/>
      <name val="Geneva"/>
      <family val="1"/>
    </font>
    <font>
      <b/>
      <sz val="12"/>
      <color indexed="53"/>
      <name val="宋体"/>
      <family val="3"/>
      <charset val="134"/>
    </font>
    <font>
      <b/>
      <vertAlign val="subscript"/>
      <sz val="10"/>
      <color theme="0"/>
      <name val="Arial"/>
      <family val="2"/>
    </font>
    <font>
      <b/>
      <sz val="12"/>
      <color indexed="53"/>
      <name val="Arial"/>
      <family val="2"/>
    </font>
    <font>
      <b/>
      <sz val="12"/>
      <color indexed="8"/>
      <name val="宋体"/>
      <family val="3"/>
      <charset val="134"/>
    </font>
    <font>
      <b/>
      <vertAlign val="subscript"/>
      <sz val="10"/>
      <color indexed="9"/>
      <name val="Arial"/>
      <family val="2"/>
    </font>
    <font>
      <b/>
      <sz val="12"/>
      <color indexed="8"/>
      <name val="Arial"/>
      <family val="2"/>
    </font>
    <font>
      <b/>
      <vertAlign val="subscript"/>
      <sz val="12"/>
      <color indexed="8"/>
      <name val="Arial"/>
      <family val="2"/>
    </font>
    <font>
      <sz val="10"/>
      <color indexed="8"/>
      <name val="標楷體"/>
      <charset val="134"/>
    </font>
    <font>
      <b/>
      <sz val="20"/>
      <color indexed="8"/>
      <name val="宋体"/>
      <family val="3"/>
      <charset val="134"/>
    </font>
    <font>
      <i/>
      <sz val="10"/>
      <name val="宋体"/>
      <family val="3"/>
      <charset val="134"/>
    </font>
    <font>
      <b/>
      <sz val="10"/>
      <color indexed="8"/>
      <name val="Arial"/>
      <family val="2"/>
    </font>
    <font>
      <b/>
      <i/>
      <sz val="10"/>
      <name val="宋体"/>
      <family val="3"/>
      <charset val="134"/>
    </font>
    <font>
      <vertAlign val="superscript"/>
      <sz val="10"/>
      <color indexed="8"/>
      <name val="Arial"/>
      <family val="2"/>
    </font>
    <font>
      <b/>
      <sz val="16"/>
      <color indexed="8"/>
      <name val="宋体"/>
      <family val="3"/>
      <charset val="134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12"/>
      <color indexed="8"/>
      <name val="新細明體"/>
      <charset val="134"/>
    </font>
    <font>
      <sz val="9"/>
      <name val="新細明體"/>
      <charset val="134"/>
    </font>
    <font>
      <b/>
      <sz val="10"/>
      <color rgb="FF000000"/>
      <name val="Arial"/>
      <family val="2"/>
    </font>
    <font>
      <sz val="10"/>
      <color rgb="FF000000"/>
      <name val="PMingLiU"/>
      <family val="1"/>
      <charset val="136"/>
    </font>
  </fonts>
  <fills count="29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784844508194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73754081850645"/>
        <bgColor indexed="64"/>
      </patternFill>
    </fill>
    <fill>
      <patternFill patternType="solid">
        <fgColor theme="8" tint="0.79973754081850645"/>
        <bgColor indexed="64"/>
      </patternFill>
    </fill>
    <fill>
      <patternFill patternType="darkUp">
        <bgColor indexed="9"/>
      </patternFill>
    </fill>
    <fill>
      <patternFill patternType="darkUp">
        <bgColor theme="0"/>
      </patternFill>
    </fill>
    <fill>
      <patternFill patternType="darkUp"/>
    </fill>
    <fill>
      <patternFill patternType="solid">
        <fgColor rgb="FFFF660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73143711661124"/>
        <bgColor indexed="64"/>
      </patternFill>
    </fill>
    <fill>
      <patternFill patternType="solid">
        <fgColor theme="9" tint="0.3997009186071352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79646"/>
        <bgColor indexed="64"/>
      </patternFill>
    </fill>
  </fills>
  <borders count="7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indexed="23"/>
      </left>
      <right style="thin">
        <color auto="1"/>
      </right>
      <top style="thick">
        <color indexed="23"/>
      </top>
      <bottom style="thin">
        <color auto="1"/>
      </bottom>
      <diagonal/>
    </border>
    <border>
      <left style="thin">
        <color indexed="23"/>
      </left>
      <right style="thin">
        <color auto="1"/>
      </right>
      <top style="thick">
        <color indexed="23"/>
      </top>
      <bottom style="thin">
        <color auto="1"/>
      </bottom>
      <diagonal/>
    </border>
    <border>
      <left style="thin">
        <color indexed="23"/>
      </left>
      <right style="thin">
        <color auto="1"/>
      </right>
      <top style="thick">
        <color indexed="23"/>
      </top>
      <bottom/>
      <diagonal/>
    </border>
    <border>
      <left style="thin">
        <color indexed="23"/>
      </left>
      <right/>
      <top style="thick">
        <color indexed="23"/>
      </top>
      <bottom/>
      <diagonal/>
    </border>
    <border>
      <left style="thin">
        <color indexed="23"/>
      </left>
      <right style="thick">
        <color auto="1"/>
      </right>
      <top style="thick">
        <color indexed="23"/>
      </top>
      <bottom style="thin">
        <color auto="1"/>
      </bottom>
      <diagonal/>
    </border>
    <border>
      <left style="thick">
        <color indexed="23"/>
      </left>
      <right style="thin">
        <color auto="1"/>
      </right>
      <top style="thin">
        <color indexed="23"/>
      </top>
      <bottom style="thin">
        <color auto="1"/>
      </bottom>
      <diagonal/>
    </border>
    <border>
      <left style="thin">
        <color indexed="23"/>
      </left>
      <right style="thin">
        <color auto="1"/>
      </right>
      <top style="thin">
        <color indexed="23"/>
      </top>
      <bottom style="thin">
        <color auto="1"/>
      </bottom>
      <diagonal/>
    </border>
    <border>
      <left style="thin">
        <color indexed="23"/>
      </left>
      <right/>
      <top style="thin">
        <color indexed="23"/>
      </top>
      <bottom style="thin">
        <color auto="1"/>
      </bottom>
      <diagonal/>
    </border>
    <border>
      <left style="thick">
        <color indexed="53"/>
      </left>
      <right style="thin">
        <color auto="1"/>
      </right>
      <top style="thick">
        <color indexed="53"/>
      </top>
      <bottom style="thin">
        <color auto="1"/>
      </bottom>
      <diagonal/>
    </border>
    <border>
      <left style="thin">
        <color indexed="23"/>
      </left>
      <right style="thin">
        <color auto="1"/>
      </right>
      <top style="thick">
        <color indexed="53"/>
      </top>
      <bottom style="thin">
        <color auto="1"/>
      </bottom>
      <diagonal/>
    </border>
    <border>
      <left style="thin">
        <color indexed="23"/>
      </left>
      <right style="thick">
        <color auto="1"/>
      </right>
      <top style="thick">
        <color indexed="53"/>
      </top>
      <bottom style="thin">
        <color auto="1"/>
      </bottom>
      <diagonal/>
    </border>
    <border>
      <left style="thin">
        <color indexed="23"/>
      </left>
      <right style="thick">
        <color auto="1"/>
      </right>
      <top style="thin">
        <color indexed="23"/>
      </top>
      <bottom style="thin">
        <color auto="1"/>
      </bottom>
      <diagonal/>
    </border>
    <border>
      <left style="thick">
        <color indexed="53"/>
      </left>
      <right style="thin">
        <color auto="1"/>
      </right>
      <top style="thin">
        <color indexed="23"/>
      </top>
      <bottom style="thin">
        <color auto="1"/>
      </bottom>
      <diagonal/>
    </border>
    <border>
      <left/>
      <right/>
      <top style="thin">
        <color indexed="23"/>
      </top>
      <bottom style="thin">
        <color auto="1"/>
      </bottom>
      <diagonal/>
    </border>
    <border>
      <left style="thick">
        <color indexed="23"/>
      </left>
      <right style="thin">
        <color auto="1"/>
      </right>
      <top style="thin">
        <color indexed="23"/>
      </top>
      <bottom style="thick">
        <color auto="1"/>
      </bottom>
      <diagonal/>
    </border>
    <border>
      <left style="thin">
        <color indexed="23"/>
      </left>
      <right style="thin">
        <color auto="1"/>
      </right>
      <top style="thin">
        <color indexed="23"/>
      </top>
      <bottom style="thick">
        <color auto="1"/>
      </bottom>
      <diagonal/>
    </border>
    <border>
      <left style="thin">
        <color indexed="23"/>
      </left>
      <right/>
      <top style="thin">
        <color indexed="23"/>
      </top>
      <bottom style="thick">
        <color auto="1"/>
      </bottom>
      <diagonal/>
    </border>
    <border>
      <left style="thick">
        <color indexed="53"/>
      </left>
      <right style="thin">
        <color auto="1"/>
      </right>
      <top style="thin">
        <color indexed="23"/>
      </top>
      <bottom style="thick">
        <color auto="1"/>
      </bottom>
      <diagonal/>
    </border>
    <border>
      <left style="thin">
        <color indexed="23"/>
      </left>
      <right style="thick">
        <color auto="1"/>
      </right>
      <top style="thin">
        <color indexed="23"/>
      </top>
      <bottom style="thick">
        <color auto="1"/>
      </bottom>
      <diagonal/>
    </border>
    <border>
      <left/>
      <right/>
      <top style="thin">
        <color indexed="23"/>
      </top>
      <bottom style="thick">
        <color auto="1"/>
      </bottom>
      <diagonal/>
    </border>
    <border>
      <left/>
      <right/>
      <top/>
      <bottom style="thick">
        <color indexed="23"/>
      </bottom>
      <diagonal/>
    </border>
    <border>
      <left style="thin">
        <color indexed="23"/>
      </left>
      <right style="thin">
        <color auto="1"/>
      </right>
      <top style="thin">
        <color indexed="23"/>
      </top>
      <bottom/>
      <diagonal/>
    </border>
    <border>
      <left/>
      <right style="thin">
        <color auto="1"/>
      </right>
      <top style="thin">
        <color indexed="23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ck">
        <color rgb="FFFF6600"/>
      </bottom>
      <diagonal/>
    </border>
    <border>
      <left/>
      <right/>
      <top/>
      <bottom style="thick">
        <color rgb="FFFF6600"/>
      </bottom>
      <diagonal/>
    </border>
    <border>
      <left/>
      <right style="thin">
        <color theme="0"/>
      </right>
      <top/>
      <bottom style="thick">
        <color rgb="FFFF6600"/>
      </bottom>
      <diagonal/>
    </border>
    <border>
      <left style="thin">
        <color theme="0"/>
      </left>
      <right/>
      <top style="thin">
        <color theme="0"/>
      </top>
      <bottom style="thick">
        <color rgb="FFFF6600"/>
      </bottom>
      <diagonal/>
    </border>
    <border>
      <left/>
      <right style="thin">
        <color theme="0"/>
      </right>
      <top style="thin">
        <color theme="0"/>
      </top>
      <bottom style="thick">
        <color rgb="FFFF6600"/>
      </bottom>
      <diagonal/>
    </border>
    <border>
      <left style="thin">
        <color theme="0"/>
      </left>
      <right style="thin">
        <color theme="0"/>
      </right>
      <top style="thick">
        <color rgb="FFFF660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rgb="FFFFCC99"/>
      </right>
      <top/>
      <bottom style="thin">
        <color theme="1"/>
      </bottom>
      <diagonal/>
    </border>
    <border>
      <left style="thin">
        <color rgb="FFFFCC99"/>
      </left>
      <right style="thin">
        <color rgb="FFFFCC99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rgb="FFFFCC99"/>
      </right>
      <top style="thin">
        <color theme="1"/>
      </top>
      <bottom style="thin">
        <color theme="1"/>
      </bottom>
      <diagonal/>
    </border>
    <border>
      <left style="thin">
        <color rgb="FFFFCC99"/>
      </left>
      <right style="thin">
        <color rgb="FFFFCC99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auto="1"/>
      </bottom>
      <diagonal/>
    </border>
    <border>
      <left style="thin">
        <color rgb="FFFFCC99"/>
      </left>
      <right style="thin">
        <color rgb="FFFFCC99"/>
      </right>
      <top style="thin">
        <color theme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rgb="FFFF660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9" fontId="86" fillId="0" borderId="0" applyFont="0" applyFill="0" applyBorder="0" applyAlignment="0" applyProtection="0">
      <alignment vertical="center"/>
    </xf>
    <xf numFmtId="0" fontId="65" fillId="0" borderId="0"/>
    <xf numFmtId="0" fontId="29" fillId="25" borderId="67">
      <protection locked="0"/>
    </xf>
    <xf numFmtId="9" fontId="65" fillId="0" borderId="0">
      <alignment vertical="center"/>
    </xf>
    <xf numFmtId="0" fontId="51" fillId="0" borderId="0"/>
    <xf numFmtId="0" fontId="64" fillId="0" borderId="0"/>
    <xf numFmtId="0" fontId="64" fillId="0" borderId="0">
      <alignment vertical="center"/>
    </xf>
    <xf numFmtId="0" fontId="51" fillId="0" borderId="0"/>
    <xf numFmtId="0" fontId="65" fillId="0" borderId="0"/>
    <xf numFmtId="0" fontId="65" fillId="0" borderId="0">
      <alignment vertical="center"/>
    </xf>
    <xf numFmtId="0" fontId="66" fillId="0" borderId="0">
      <alignment vertical="center"/>
    </xf>
    <xf numFmtId="0" fontId="86" fillId="0" borderId="0"/>
    <xf numFmtId="176" fontId="86" fillId="0" borderId="0" applyFont="0" applyFill="0" applyBorder="0" applyAlignment="0" applyProtection="0">
      <alignment vertical="center"/>
    </xf>
    <xf numFmtId="43" fontId="86" fillId="0" borderId="0" applyFont="0" applyFill="0" applyBorder="0" applyAlignment="0" applyProtection="0">
      <alignment vertical="center"/>
    </xf>
    <xf numFmtId="43" fontId="86" fillId="0" borderId="0" applyFont="0" applyFill="0" applyBorder="0" applyAlignment="0" applyProtection="0">
      <alignment vertical="center"/>
    </xf>
    <xf numFmtId="43" fontId="86" fillId="0" borderId="0" applyFont="0" applyFill="0" applyBorder="0" applyAlignment="0" applyProtection="0">
      <alignment vertical="center"/>
    </xf>
    <xf numFmtId="176" fontId="65" fillId="0" borderId="0">
      <alignment vertical="center"/>
    </xf>
    <xf numFmtId="0" fontId="65" fillId="0" borderId="0"/>
    <xf numFmtId="0" fontId="65" fillId="0" borderId="0"/>
    <xf numFmtId="0" fontId="66" fillId="0" borderId="0">
      <alignment vertical="center"/>
    </xf>
    <xf numFmtId="0" fontId="67" fillId="0" borderId="0"/>
    <xf numFmtId="0" fontId="65" fillId="0" borderId="0"/>
  </cellStyleXfs>
  <cellXfs count="66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0" fontId="0" fillId="0" borderId="0" xfId="1" applyNumberFormat="1" applyFont="1" applyAlignment="1">
      <alignment vertical="center"/>
    </xf>
    <xf numFmtId="10" fontId="2" fillId="2" borderId="2" xfId="1" applyNumberFormat="1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>
      <alignment horizontal="center" vertical="center"/>
    </xf>
    <xf numFmtId="177" fontId="5" fillId="3" borderId="2" xfId="0" applyNumberFormat="1" applyFont="1" applyFill="1" applyBorder="1" applyAlignment="1">
      <alignment horizontal="center" vertical="center"/>
    </xf>
    <xf numFmtId="10" fontId="5" fillId="3" borderId="2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 applyProtection="1">
      <alignment horizontal="center" vertical="center"/>
      <protection locked="0"/>
    </xf>
    <xf numFmtId="177" fontId="5" fillId="3" borderId="2" xfId="0" applyNumberFormat="1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center" wrapText="1"/>
      <protection locked="0"/>
    </xf>
    <xf numFmtId="10" fontId="5" fillId="4" borderId="2" xfId="1" applyNumberFormat="1" applyFont="1" applyFill="1" applyBorder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0" fontId="7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0" fontId="9" fillId="5" borderId="0" xfId="0" applyFont="1" applyFill="1" applyAlignment="1" applyProtection="1">
      <alignment horizontal="center" vertical="center"/>
      <protection locked="0"/>
    </xf>
    <xf numFmtId="0" fontId="10" fillId="5" borderId="0" xfId="0" applyFont="1" applyFill="1" applyAlignment="1" applyProtection="1">
      <alignment vertical="center"/>
      <protection locked="0"/>
    </xf>
    <xf numFmtId="0" fontId="11" fillId="6" borderId="0" xfId="0" applyFont="1" applyFill="1" applyAlignment="1" applyProtection="1">
      <alignment vertical="center"/>
      <protection locked="0"/>
    </xf>
    <xf numFmtId="0" fontId="12" fillId="5" borderId="0" xfId="0" applyFont="1" applyFill="1" applyAlignment="1" applyProtection="1">
      <alignment vertical="center"/>
      <protection locked="0"/>
    </xf>
    <xf numFmtId="0" fontId="12" fillId="5" borderId="0" xfId="0" applyFont="1" applyFill="1" applyAlignment="1" applyProtection="1">
      <alignment vertical="center" wrapText="1"/>
      <protection locked="0"/>
    </xf>
    <xf numFmtId="0" fontId="15" fillId="2" borderId="2" xfId="0" applyFont="1" applyFill="1" applyBorder="1" applyAlignment="1" applyProtection="1">
      <alignment horizontal="center" vertical="center"/>
      <protection locked="0"/>
    </xf>
    <xf numFmtId="0" fontId="15" fillId="6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 applyProtection="1">
      <alignment vertical="center" wrapText="1"/>
      <protection locked="0"/>
    </xf>
    <xf numFmtId="0" fontId="15" fillId="0" borderId="2" xfId="0" applyFont="1" applyBorder="1" applyAlignment="1" applyProtection="1">
      <alignment vertical="center" wrapText="1"/>
      <protection locked="0"/>
    </xf>
    <xf numFmtId="0" fontId="16" fillId="6" borderId="2" xfId="0" applyFont="1" applyFill="1" applyBorder="1" applyAlignment="1" applyProtection="1">
      <alignment horizontal="center" vertical="center" wrapText="1"/>
      <protection locked="0"/>
    </xf>
    <xf numFmtId="178" fontId="15" fillId="6" borderId="2" xfId="0" applyNumberFormat="1" applyFont="1" applyFill="1" applyBorder="1" applyAlignment="1" applyProtection="1">
      <alignment vertical="center"/>
      <protection locked="0"/>
    </xf>
    <xf numFmtId="0" fontId="15" fillId="6" borderId="2" xfId="0" applyFont="1" applyFill="1" applyBorder="1" applyAlignment="1" applyProtection="1">
      <alignment vertical="center"/>
      <protection locked="0"/>
    </xf>
    <xf numFmtId="179" fontId="15" fillId="7" borderId="2" xfId="0" applyNumberFormat="1" applyFont="1" applyFill="1" applyBorder="1" applyAlignment="1" applyProtection="1">
      <alignment vertical="center"/>
      <protection locked="0"/>
    </xf>
    <xf numFmtId="0" fontId="15" fillId="3" borderId="2" xfId="0" applyFont="1" applyFill="1" applyBorder="1" applyAlignment="1">
      <alignment horizontal="center" vertical="center"/>
    </xf>
    <xf numFmtId="11" fontId="15" fillId="7" borderId="2" xfId="0" applyNumberFormat="1" applyFont="1" applyFill="1" applyBorder="1" applyAlignment="1" applyProtection="1">
      <alignment vertical="center"/>
      <protection locked="0"/>
    </xf>
    <xf numFmtId="9" fontId="15" fillId="7" borderId="2" xfId="0" applyNumberFormat="1" applyFont="1" applyFill="1" applyBorder="1" applyAlignment="1" applyProtection="1">
      <alignment horizontal="center" vertical="center"/>
      <protection locked="0"/>
    </xf>
    <xf numFmtId="0" fontId="15" fillId="5" borderId="2" xfId="0" applyFont="1" applyFill="1" applyBorder="1" applyAlignment="1" applyProtection="1">
      <alignment horizontal="center" vertical="center"/>
      <protection locked="0"/>
    </xf>
    <xf numFmtId="180" fontId="15" fillId="3" borderId="2" xfId="0" applyNumberFormat="1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vertical="center"/>
    </xf>
    <xf numFmtId="178" fontId="15" fillId="3" borderId="2" xfId="0" applyNumberFormat="1" applyFont="1" applyFill="1" applyBorder="1" applyAlignment="1">
      <alignment horizontal="center" vertical="center"/>
    </xf>
    <xf numFmtId="0" fontId="17" fillId="5" borderId="0" xfId="0" applyFont="1" applyFill="1" applyAlignment="1" applyProtection="1">
      <alignment vertical="center"/>
      <protection locked="0"/>
    </xf>
    <xf numFmtId="0" fontId="17" fillId="5" borderId="0" xfId="0" applyFont="1" applyFill="1" applyAlignment="1" applyProtection="1">
      <alignment vertical="center" wrapText="1"/>
      <protection locked="0"/>
    </xf>
    <xf numFmtId="178" fontId="17" fillId="8" borderId="6" xfId="0" applyNumberFormat="1" applyFont="1" applyFill="1" applyBorder="1" applyAlignment="1">
      <alignment horizontal="center" vertical="center"/>
    </xf>
    <xf numFmtId="178" fontId="17" fillId="8" borderId="7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20" fillId="5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 wrapText="1"/>
    </xf>
    <xf numFmtId="0" fontId="22" fillId="10" borderId="2" xfId="0" applyFont="1" applyFill="1" applyBorder="1" applyAlignment="1">
      <alignment horizontal="center" vertical="center"/>
    </xf>
    <xf numFmtId="0" fontId="22" fillId="10" borderId="2" xfId="0" applyFont="1" applyFill="1" applyBorder="1" applyAlignment="1">
      <alignment horizontal="center" vertical="center" wrapText="1"/>
    </xf>
    <xf numFmtId="0" fontId="22" fillId="10" borderId="2" xfId="0" applyFont="1" applyFill="1" applyBorder="1" applyAlignment="1">
      <alignment horizontal="left" vertical="center" wrapText="1"/>
    </xf>
    <xf numFmtId="0" fontId="22" fillId="10" borderId="2" xfId="0" applyFont="1" applyFill="1" applyBorder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25" fillId="10" borderId="2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horizontal="left" vertical="center" wrapText="1"/>
    </xf>
    <xf numFmtId="0" fontId="26" fillId="5" borderId="0" xfId="0" applyFont="1" applyFill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0" fontId="28" fillId="6" borderId="0" xfId="0" applyFont="1" applyFill="1" applyAlignment="1">
      <alignment vertical="center"/>
    </xf>
    <xf numFmtId="0" fontId="29" fillId="6" borderId="0" xfId="12" applyFont="1" applyFill="1" applyAlignment="1">
      <alignment vertical="center"/>
    </xf>
    <xf numFmtId="0" fontId="29" fillId="6" borderId="0" xfId="0" applyFont="1" applyFill="1" applyAlignment="1">
      <alignment vertical="center"/>
    </xf>
    <xf numFmtId="0" fontId="29" fillId="5" borderId="0" xfId="0" applyFont="1" applyFill="1" applyAlignment="1">
      <alignment horizontal="center" vertical="center"/>
    </xf>
    <xf numFmtId="0" fontId="29" fillId="5" borderId="2" xfId="0" applyFont="1" applyFill="1" applyBorder="1" applyAlignment="1">
      <alignment vertical="center"/>
    </xf>
    <xf numFmtId="0" fontId="29" fillId="5" borderId="2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29" fillId="6" borderId="2" xfId="0" applyFont="1" applyFill="1" applyBorder="1" applyAlignment="1">
      <alignment horizontal="center" vertical="center"/>
    </xf>
    <xf numFmtId="0" fontId="32" fillId="6" borderId="2" xfId="0" applyFont="1" applyFill="1" applyBorder="1" applyAlignment="1">
      <alignment vertical="center" wrapText="1"/>
    </xf>
    <xf numFmtId="0" fontId="33" fillId="6" borderId="2" xfId="0" applyFont="1" applyFill="1" applyBorder="1" applyAlignment="1">
      <alignment horizontal="left" vertical="center"/>
    </xf>
    <xf numFmtId="0" fontId="29" fillId="6" borderId="2" xfId="0" applyFont="1" applyFill="1" applyBorder="1" applyAlignment="1">
      <alignment horizontal="center" vertical="center" wrapText="1"/>
    </xf>
    <xf numFmtId="9" fontId="29" fillId="11" borderId="2" xfId="1" applyFont="1" applyFill="1" applyBorder="1" applyAlignment="1">
      <alignment horizontal="center" vertical="center"/>
    </xf>
    <xf numFmtId="181" fontId="29" fillId="11" borderId="2" xfId="0" applyNumberFormat="1" applyFont="1" applyFill="1" applyBorder="1" applyAlignment="1">
      <alignment horizontal="center" vertical="center"/>
    </xf>
    <xf numFmtId="182" fontId="29" fillId="6" borderId="2" xfId="0" applyNumberFormat="1" applyFont="1" applyFill="1" applyBorder="1" applyAlignment="1">
      <alignment horizontal="center" vertical="center"/>
    </xf>
    <xf numFmtId="0" fontId="34" fillId="0" borderId="2" xfId="0" applyFont="1" applyBorder="1" applyAlignment="1" applyProtection="1">
      <alignment vertical="center"/>
      <protection locked="0"/>
    </xf>
    <xf numFmtId="0" fontId="34" fillId="6" borderId="2" xfId="0" applyFont="1" applyFill="1" applyBorder="1" applyAlignment="1" applyProtection="1">
      <alignment vertical="center" wrapText="1"/>
      <protection locked="0"/>
    </xf>
    <xf numFmtId="0" fontId="29" fillId="11" borderId="2" xfId="0" applyFont="1" applyFill="1" applyBorder="1" applyAlignment="1">
      <alignment horizontal="center" vertical="center"/>
    </xf>
    <xf numFmtId="0" fontId="33" fillId="12" borderId="2" xfId="0" applyFont="1" applyFill="1" applyBorder="1" applyAlignment="1">
      <alignment horizontal="left" vertical="center"/>
    </xf>
    <xf numFmtId="0" fontId="29" fillId="12" borderId="2" xfId="0" applyFont="1" applyFill="1" applyBorder="1" applyAlignment="1">
      <alignment horizontal="center" vertical="center"/>
    </xf>
    <xf numFmtId="0" fontId="29" fillId="12" borderId="2" xfId="0" applyFont="1" applyFill="1" applyBorder="1" applyAlignment="1">
      <alignment horizontal="center" vertical="center" wrapText="1"/>
    </xf>
    <xf numFmtId="9" fontId="29" fillId="11" borderId="2" xfId="0" applyNumberFormat="1" applyFont="1" applyFill="1" applyBorder="1" applyAlignment="1">
      <alignment horizontal="center" vertical="center"/>
    </xf>
    <xf numFmtId="0" fontId="29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left" vertical="center"/>
    </xf>
    <xf numFmtId="0" fontId="33" fillId="6" borderId="0" xfId="0" applyFont="1" applyFill="1" applyAlignment="1">
      <alignment horizontal="left" vertical="center"/>
    </xf>
    <xf numFmtId="0" fontId="29" fillId="6" borderId="0" xfId="0" applyFont="1" applyFill="1" applyAlignment="1">
      <alignment horizontal="center" vertical="center" wrapText="1"/>
    </xf>
    <xf numFmtId="9" fontId="29" fillId="6" borderId="0" xfId="1" applyFont="1" applyFill="1" applyBorder="1" applyAlignment="1">
      <alignment horizontal="center" vertical="center"/>
    </xf>
    <xf numFmtId="181" fontId="29" fillId="6" borderId="0" xfId="0" applyNumberFormat="1" applyFont="1" applyFill="1" applyAlignment="1">
      <alignment horizontal="center" vertical="center"/>
    </xf>
    <xf numFmtId="182" fontId="29" fillId="6" borderId="0" xfId="0" applyNumberFormat="1" applyFont="1" applyFill="1" applyAlignment="1">
      <alignment horizontal="center" vertical="center"/>
    </xf>
    <xf numFmtId="183" fontId="29" fillId="12" borderId="2" xfId="0" applyNumberFormat="1" applyFont="1" applyFill="1" applyBorder="1" applyAlignment="1">
      <alignment horizontal="center" vertical="center"/>
    </xf>
    <xf numFmtId="184" fontId="29" fillId="12" borderId="2" xfId="0" applyNumberFormat="1" applyFont="1" applyFill="1" applyBorder="1" applyAlignment="1">
      <alignment horizontal="center" vertical="center"/>
    </xf>
    <xf numFmtId="0" fontId="33" fillId="11" borderId="2" xfId="0" applyFont="1" applyFill="1" applyBorder="1" applyAlignment="1">
      <alignment horizontal="left" vertical="center"/>
    </xf>
    <xf numFmtId="183" fontId="29" fillId="11" borderId="2" xfId="0" applyNumberFormat="1" applyFont="1" applyFill="1" applyBorder="1" applyAlignment="1">
      <alignment horizontal="center" vertical="center"/>
    </xf>
    <xf numFmtId="184" fontId="29" fillId="11" borderId="2" xfId="0" applyNumberFormat="1" applyFont="1" applyFill="1" applyBorder="1" applyAlignment="1">
      <alignment horizontal="center" vertical="center"/>
    </xf>
    <xf numFmtId="0" fontId="32" fillId="5" borderId="2" xfId="0" applyFont="1" applyFill="1" applyBorder="1" applyAlignment="1">
      <alignment vertical="center" wrapText="1"/>
    </xf>
    <xf numFmtId="0" fontId="33" fillId="0" borderId="2" xfId="0" applyFont="1" applyBorder="1" applyAlignment="1">
      <alignment horizontal="left" vertical="center"/>
    </xf>
    <xf numFmtId="0" fontId="29" fillId="0" borderId="2" xfId="0" applyFont="1" applyBorder="1" applyAlignment="1">
      <alignment horizontal="left" vertical="center"/>
    </xf>
    <xf numFmtId="183" fontId="29" fillId="6" borderId="2" xfId="0" applyNumberFormat="1" applyFont="1" applyFill="1" applyBorder="1" applyAlignment="1">
      <alignment horizontal="center" vertical="center"/>
    </xf>
    <xf numFmtId="184" fontId="29" fillId="6" borderId="2" xfId="0" applyNumberFormat="1" applyFont="1" applyFill="1" applyBorder="1" applyAlignment="1">
      <alignment horizontal="center" vertical="center"/>
    </xf>
    <xf numFmtId="0" fontId="32" fillId="0" borderId="2" xfId="0" applyFont="1" applyBorder="1" applyAlignment="1">
      <alignment horizontal="left" vertical="center"/>
    </xf>
    <xf numFmtId="0" fontId="29" fillId="13" borderId="2" xfId="0" applyFont="1" applyFill="1" applyBorder="1" applyAlignment="1">
      <alignment horizontal="left" vertical="center"/>
    </xf>
    <xf numFmtId="0" fontId="33" fillId="13" borderId="2" xfId="0" applyFont="1" applyFill="1" applyBorder="1" applyAlignment="1">
      <alignment horizontal="left" vertical="center"/>
    </xf>
    <xf numFmtId="0" fontId="29" fillId="13" borderId="2" xfId="0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179" fontId="28" fillId="0" borderId="0" xfId="22" applyNumberFormat="1" applyFont="1" applyAlignment="1">
      <alignment horizontal="center" vertical="center"/>
    </xf>
    <xf numFmtId="184" fontId="29" fillId="0" borderId="0" xfId="0" applyNumberFormat="1" applyFont="1" applyAlignment="1">
      <alignment horizontal="center" vertical="center"/>
    </xf>
    <xf numFmtId="0" fontId="28" fillId="5" borderId="0" xfId="0" applyFont="1" applyFill="1" applyAlignment="1">
      <alignment horizontal="left" vertical="center"/>
    </xf>
    <xf numFmtId="0" fontId="26" fillId="2" borderId="2" xfId="0" applyFont="1" applyFill="1" applyBorder="1" applyAlignment="1">
      <alignment vertical="center"/>
    </xf>
    <xf numFmtId="0" fontId="36" fillId="0" borderId="2" xfId="0" applyFont="1" applyBorder="1" applyAlignment="1">
      <alignment horizontal="left" vertical="center"/>
    </xf>
    <xf numFmtId="0" fontId="35" fillId="6" borderId="2" xfId="0" applyFont="1" applyFill="1" applyBorder="1" applyAlignment="1">
      <alignment horizontal="left" vertical="center"/>
    </xf>
    <xf numFmtId="185" fontId="29" fillId="5" borderId="2" xfId="0" applyNumberFormat="1" applyFont="1" applyFill="1" applyBorder="1" applyAlignment="1">
      <alignment horizontal="center" vertical="center"/>
    </xf>
    <xf numFmtId="0" fontId="28" fillId="5" borderId="2" xfId="0" applyFont="1" applyFill="1" applyBorder="1" applyAlignment="1" applyProtection="1">
      <alignment horizontal="center" vertical="center"/>
      <protection locked="0"/>
    </xf>
    <xf numFmtId="0" fontId="28" fillId="14" borderId="2" xfId="0" applyFont="1" applyFill="1" applyBorder="1" applyAlignment="1">
      <alignment horizontal="center" vertical="center"/>
    </xf>
    <xf numFmtId="0" fontId="29" fillId="0" borderId="2" xfId="0" applyFont="1" applyBorder="1" applyAlignment="1">
      <alignment vertical="center"/>
    </xf>
    <xf numFmtId="0" fontId="32" fillId="6" borderId="2" xfId="0" applyFont="1" applyFill="1" applyBorder="1" applyAlignment="1">
      <alignment horizontal="left" vertical="center"/>
    </xf>
    <xf numFmtId="9" fontId="29" fillId="5" borderId="2" xfId="0" applyNumberFormat="1" applyFont="1" applyFill="1" applyBorder="1" applyAlignment="1">
      <alignment horizontal="center" vertical="center"/>
    </xf>
    <xf numFmtId="184" fontId="29" fillId="0" borderId="2" xfId="0" applyNumberFormat="1" applyFont="1" applyBorder="1" applyAlignment="1">
      <alignment horizontal="center" vertical="center"/>
    </xf>
    <xf numFmtId="0" fontId="28" fillId="15" borderId="2" xfId="0" applyFont="1" applyFill="1" applyBorder="1" applyAlignment="1">
      <alignment horizontal="center" vertical="center"/>
    </xf>
    <xf numFmtId="0" fontId="33" fillId="0" borderId="2" xfId="0" applyFont="1" applyBorder="1" applyAlignment="1">
      <alignment vertical="center"/>
    </xf>
    <xf numFmtId="0" fontId="28" fillId="0" borderId="2" xfId="0" applyFont="1" applyBorder="1" applyAlignment="1" applyProtection="1">
      <alignment horizontal="left" vertical="center"/>
      <protection locked="0"/>
    </xf>
    <xf numFmtId="0" fontId="28" fillId="0" borderId="0" xfId="0" applyFont="1" applyAlignment="1">
      <alignment vertical="center"/>
    </xf>
    <xf numFmtId="0" fontId="28" fillId="0" borderId="2" xfId="0" applyFont="1" applyBorder="1" applyAlignment="1">
      <alignment horizontal="left" vertical="center"/>
    </xf>
    <xf numFmtId="0" fontId="28" fillId="6" borderId="2" xfId="0" applyFont="1" applyFill="1" applyBorder="1" applyAlignment="1">
      <alignment horizontal="left" vertical="center"/>
    </xf>
    <xf numFmtId="0" fontId="28" fillId="14" borderId="2" xfId="0" applyFont="1" applyFill="1" applyBorder="1" applyAlignment="1">
      <alignment vertical="center"/>
    </xf>
    <xf numFmtId="179" fontId="28" fillId="16" borderId="2" xfId="22" applyNumberFormat="1" applyFont="1" applyFill="1" applyBorder="1" applyAlignment="1">
      <alignment horizontal="center" vertical="center"/>
    </xf>
    <xf numFmtId="0" fontId="28" fillId="6" borderId="2" xfId="0" applyFont="1" applyFill="1" applyBorder="1" applyAlignment="1" applyProtection="1">
      <alignment horizontal="center" vertical="center"/>
      <protection locked="0"/>
    </xf>
    <xf numFmtId="0" fontId="29" fillId="5" borderId="0" xfId="0" applyFont="1" applyFill="1" applyAlignment="1">
      <alignment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37" fillId="2" borderId="2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186" fontId="28" fillId="0" borderId="2" xfId="0" applyNumberFormat="1" applyFont="1" applyBorder="1" applyAlignment="1">
      <alignment horizontal="left" vertical="center"/>
    </xf>
    <xf numFmtId="0" fontId="28" fillId="0" borderId="2" xfId="0" applyFont="1" applyBorder="1" applyAlignment="1">
      <alignment vertical="center"/>
    </xf>
    <xf numFmtId="186" fontId="28" fillId="11" borderId="2" xfId="0" applyNumberFormat="1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186" fontId="28" fillId="0" borderId="2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8" fillId="5" borderId="0" xfId="0" applyFont="1" applyFill="1" applyAlignment="1">
      <alignment horizontal="left" vertical="center" wrapText="1"/>
    </xf>
    <xf numFmtId="0" fontId="32" fillId="6" borderId="0" xfId="0" applyFont="1" applyFill="1" applyAlignment="1">
      <alignment horizontal="left" vertical="center"/>
    </xf>
    <xf numFmtId="0" fontId="29" fillId="5" borderId="0" xfId="0" applyFont="1" applyFill="1" applyAlignment="1">
      <alignment horizontal="left" vertical="center"/>
    </xf>
    <xf numFmtId="0" fontId="26" fillId="17" borderId="8" xfId="0" applyFont="1" applyFill="1" applyBorder="1" applyAlignment="1">
      <alignment horizontal="center" vertical="center"/>
    </xf>
    <xf numFmtId="0" fontId="26" fillId="17" borderId="8" xfId="0" applyFont="1" applyFill="1" applyBorder="1" applyAlignment="1">
      <alignment vertical="center"/>
    </xf>
    <xf numFmtId="0" fontId="31" fillId="17" borderId="2" xfId="0" applyFont="1" applyFill="1" applyBorder="1" applyAlignment="1">
      <alignment horizontal="center" vertical="center"/>
    </xf>
    <xf numFmtId="0" fontId="26" fillId="17" borderId="2" xfId="0" applyFont="1" applyFill="1" applyBorder="1" applyAlignment="1">
      <alignment horizontal="center" vertical="center"/>
    </xf>
    <xf numFmtId="0" fontId="34" fillId="6" borderId="4" xfId="0" applyFont="1" applyFill="1" applyBorder="1" applyAlignment="1" applyProtection="1">
      <alignment vertical="center" wrapText="1"/>
      <protection locked="0"/>
    </xf>
    <xf numFmtId="187" fontId="29" fillId="6" borderId="2" xfId="0" applyNumberFormat="1" applyFont="1" applyFill="1" applyBorder="1" applyAlignment="1">
      <alignment horizontal="center" vertical="center"/>
    </xf>
    <xf numFmtId="0" fontId="38" fillId="6" borderId="2" xfId="0" applyFont="1" applyFill="1" applyBorder="1" applyAlignment="1" applyProtection="1">
      <alignment horizontal="center" vertical="center"/>
      <protection locked="0"/>
    </xf>
    <xf numFmtId="0" fontId="34" fillId="11" borderId="4" xfId="0" applyFont="1" applyFill="1" applyBorder="1" applyAlignment="1" applyProtection="1">
      <alignment vertical="center" wrapText="1"/>
      <protection locked="0"/>
    </xf>
    <xf numFmtId="0" fontId="29" fillId="15" borderId="2" xfId="0" applyFont="1" applyFill="1" applyBorder="1" applyAlignment="1">
      <alignment horizontal="center" vertical="center"/>
    </xf>
    <xf numFmtId="187" fontId="29" fillId="11" borderId="2" xfId="0" applyNumberFormat="1" applyFont="1" applyFill="1" applyBorder="1" applyAlignment="1">
      <alignment horizontal="center" vertical="center"/>
    </xf>
    <xf numFmtId="0" fontId="34" fillId="6" borderId="2" xfId="0" applyFont="1" applyFill="1" applyBorder="1" applyAlignment="1" applyProtection="1">
      <alignment vertical="center"/>
      <protection locked="0"/>
    </xf>
    <xf numFmtId="0" fontId="34" fillId="6" borderId="0" xfId="0" applyFont="1" applyFill="1" applyAlignment="1" applyProtection="1">
      <alignment vertical="center" wrapText="1"/>
      <protection locked="0"/>
    </xf>
    <xf numFmtId="0" fontId="34" fillId="6" borderId="0" xfId="0" applyFont="1" applyFill="1" applyAlignment="1" applyProtection="1">
      <alignment vertical="center"/>
      <protection locked="0"/>
    </xf>
    <xf numFmtId="0" fontId="38" fillId="6" borderId="0" xfId="0" applyFont="1" applyFill="1" applyAlignment="1" applyProtection="1">
      <alignment horizontal="center" vertical="center"/>
      <protection locked="0"/>
    </xf>
    <xf numFmtId="187" fontId="29" fillId="6" borderId="0" xfId="0" applyNumberFormat="1" applyFont="1" applyFill="1" applyAlignment="1">
      <alignment horizontal="center" vertical="center"/>
    </xf>
    <xf numFmtId="0" fontId="34" fillId="11" borderId="2" xfId="0" applyFont="1" applyFill="1" applyBorder="1" applyAlignment="1" applyProtection="1">
      <alignment vertical="center"/>
      <protection locked="0"/>
    </xf>
    <xf numFmtId="0" fontId="38" fillId="11" borderId="2" xfId="0" applyFont="1" applyFill="1" applyBorder="1" applyAlignment="1" applyProtection="1">
      <alignment horizontal="center" vertical="center"/>
      <protection locked="0"/>
    </xf>
    <xf numFmtId="0" fontId="38" fillId="4" borderId="2" xfId="0" applyFont="1" applyFill="1" applyBorder="1" applyAlignment="1" applyProtection="1">
      <alignment horizontal="center" vertical="center"/>
      <protection locked="0"/>
    </xf>
    <xf numFmtId="0" fontId="34" fillId="0" borderId="4" xfId="0" applyFont="1" applyBorder="1" applyAlignment="1" applyProtection="1">
      <alignment vertical="center"/>
      <protection locked="0"/>
    </xf>
    <xf numFmtId="0" fontId="29" fillId="6" borderId="2" xfId="12" applyFont="1" applyFill="1" applyBorder="1" applyAlignment="1">
      <alignment horizontal="center" vertical="center"/>
    </xf>
    <xf numFmtId="0" fontId="34" fillId="6" borderId="4" xfId="12" applyFont="1" applyFill="1" applyBorder="1" applyAlignment="1" applyProtection="1">
      <alignment vertical="center" wrapText="1"/>
      <protection locked="0"/>
    </xf>
    <xf numFmtId="0" fontId="34" fillId="0" borderId="4" xfId="12" applyFont="1" applyBorder="1" applyAlignment="1" applyProtection="1">
      <alignment vertical="center"/>
      <protection locked="0"/>
    </xf>
    <xf numFmtId="187" fontId="29" fillId="6" borderId="2" xfId="12" applyNumberFormat="1" applyFont="1" applyFill="1" applyBorder="1" applyAlignment="1">
      <alignment horizontal="center" vertical="center"/>
    </xf>
    <xf numFmtId="184" fontId="29" fillId="6" borderId="2" xfId="12" applyNumberFormat="1" applyFont="1" applyFill="1" applyBorder="1" applyAlignment="1">
      <alignment horizontal="center" vertical="center"/>
    </xf>
    <xf numFmtId="183" fontId="29" fillId="6" borderId="2" xfId="12" applyNumberFormat="1" applyFont="1" applyFill="1" applyBorder="1" applyAlignment="1">
      <alignment horizontal="center" vertical="center"/>
    </xf>
    <xf numFmtId="11" fontId="29" fillId="5" borderId="0" xfId="0" applyNumberFormat="1" applyFont="1" applyFill="1" applyAlignment="1">
      <alignment horizontal="left" vertical="center"/>
    </xf>
    <xf numFmtId="0" fontId="29" fillId="6" borderId="2" xfId="0" applyFont="1" applyFill="1" applyBorder="1" applyAlignment="1">
      <alignment vertical="center"/>
    </xf>
    <xf numFmtId="0" fontId="29" fillId="6" borderId="2" xfId="0" applyFont="1" applyFill="1" applyBorder="1" applyAlignment="1">
      <alignment vertical="center" wrapText="1"/>
    </xf>
    <xf numFmtId="0" fontId="34" fillId="0" borderId="0" xfId="0" applyFont="1" applyAlignment="1" applyProtection="1">
      <alignment vertical="center"/>
      <protection locked="0"/>
    </xf>
    <xf numFmtId="183" fontId="29" fillId="11" borderId="0" xfId="0" applyNumberFormat="1" applyFont="1" applyFill="1" applyAlignment="1">
      <alignment horizontal="center" vertical="center"/>
    </xf>
    <xf numFmtId="184" fontId="29" fillId="6" borderId="0" xfId="0" applyNumberFormat="1" applyFont="1" applyFill="1" applyAlignment="1">
      <alignment horizontal="center" vertical="center"/>
    </xf>
    <xf numFmtId="0" fontId="29" fillId="15" borderId="0" xfId="0" applyFont="1" applyFill="1" applyAlignment="1">
      <alignment horizontal="center" vertical="center"/>
    </xf>
    <xf numFmtId="0" fontId="29" fillId="6" borderId="0" xfId="0" applyFont="1" applyFill="1" applyAlignment="1">
      <alignment vertical="center" wrapText="1"/>
    </xf>
    <xf numFmtId="9" fontId="29" fillId="6" borderId="2" xfId="1" applyFont="1" applyFill="1" applyBorder="1" applyAlignment="1">
      <alignment horizontal="center" vertical="center"/>
    </xf>
    <xf numFmtId="181" fontId="29" fillId="6" borderId="2" xfId="0" applyNumberFormat="1" applyFont="1" applyFill="1" applyBorder="1" applyAlignment="1">
      <alignment horizontal="center" vertical="center"/>
    </xf>
    <xf numFmtId="0" fontId="26" fillId="17" borderId="11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right" vertical="center"/>
    </xf>
    <xf numFmtId="0" fontId="30" fillId="2" borderId="13" xfId="0" applyFont="1" applyFill="1" applyBorder="1" applyAlignment="1">
      <alignment horizontal="center" vertical="center"/>
    </xf>
    <xf numFmtId="0" fontId="30" fillId="2" borderId="14" xfId="0" applyFont="1" applyFill="1" applyBorder="1" applyAlignment="1">
      <alignment horizontal="center" vertical="center"/>
    </xf>
    <xf numFmtId="0" fontId="26" fillId="2" borderId="15" xfId="0" applyFont="1" applyFill="1" applyBorder="1" applyAlignment="1">
      <alignment horizontal="center" vertical="center"/>
    </xf>
    <xf numFmtId="0" fontId="30" fillId="2" borderId="16" xfId="0" applyFont="1" applyFill="1" applyBorder="1" applyAlignment="1">
      <alignment horizontal="center" vertical="center"/>
    </xf>
    <xf numFmtId="0" fontId="30" fillId="2" borderId="17" xfId="0" applyFont="1" applyFill="1" applyBorder="1" applyAlignment="1">
      <alignment horizontal="center" vertical="center"/>
    </xf>
    <xf numFmtId="0" fontId="29" fillId="5" borderId="18" xfId="0" applyFont="1" applyFill="1" applyBorder="1" applyAlignment="1">
      <alignment vertical="center"/>
    </xf>
    <xf numFmtId="0" fontId="35" fillId="5" borderId="19" xfId="0" applyFont="1" applyFill="1" applyBorder="1" applyAlignment="1">
      <alignment vertical="center"/>
    </xf>
    <xf numFmtId="0" fontId="29" fillId="5" borderId="20" xfId="0" applyFont="1" applyFill="1" applyBorder="1" applyAlignment="1">
      <alignment vertical="center"/>
    </xf>
    <xf numFmtId="180" fontId="29" fillId="5" borderId="21" xfId="0" applyNumberFormat="1" applyFont="1" applyFill="1" applyBorder="1" applyAlignment="1">
      <alignment horizontal="right" vertical="center" wrapText="1"/>
    </xf>
    <xf numFmtId="0" fontId="29" fillId="0" borderId="22" xfId="0" applyFont="1" applyBorder="1" applyAlignment="1">
      <alignment horizontal="right" vertical="center"/>
    </xf>
    <xf numFmtId="0" fontId="29" fillId="0" borderId="23" xfId="0" applyFont="1" applyBorder="1" applyAlignment="1">
      <alignment horizontal="right" vertical="center"/>
    </xf>
    <xf numFmtId="0" fontId="29" fillId="0" borderId="5" xfId="0" applyFont="1" applyBorder="1" applyAlignment="1">
      <alignment horizontal="right" vertical="center"/>
    </xf>
    <xf numFmtId="0" fontId="29" fillId="5" borderId="24" xfId="0" applyFont="1" applyFill="1" applyBorder="1" applyAlignment="1">
      <alignment horizontal="center" vertical="center"/>
    </xf>
    <xf numFmtId="188" fontId="29" fillId="5" borderId="25" xfId="0" applyNumberFormat="1" applyFont="1" applyFill="1" applyBorder="1" applyAlignment="1">
      <alignment horizontal="right" vertical="center" wrapText="1"/>
    </xf>
    <xf numFmtId="0" fontId="29" fillId="0" borderId="19" xfId="0" applyFont="1" applyBorder="1" applyAlignment="1">
      <alignment horizontal="right" vertical="center"/>
    </xf>
    <xf numFmtId="0" fontId="29" fillId="0" borderId="24" xfId="0" applyFont="1" applyBorder="1" applyAlignment="1">
      <alignment horizontal="right" vertical="center"/>
    </xf>
    <xf numFmtId="180" fontId="29" fillId="5" borderId="25" xfId="0" applyNumberFormat="1" applyFont="1" applyFill="1" applyBorder="1" applyAlignment="1">
      <alignment horizontal="right" vertical="center" wrapText="1"/>
    </xf>
    <xf numFmtId="0" fontId="29" fillId="3" borderId="18" xfId="0" applyFont="1" applyFill="1" applyBorder="1" applyAlignment="1">
      <alignment vertical="center"/>
    </xf>
    <xf numFmtId="0" fontId="29" fillId="3" borderId="19" xfId="0" applyFont="1" applyFill="1" applyBorder="1" applyAlignment="1">
      <alignment vertical="center"/>
    </xf>
    <xf numFmtId="0" fontId="29" fillId="3" borderId="20" xfId="0" applyFont="1" applyFill="1" applyBorder="1" applyAlignment="1">
      <alignment vertical="center"/>
    </xf>
    <xf numFmtId="0" fontId="29" fillId="3" borderId="25" xfId="0" applyFont="1" applyFill="1" applyBorder="1" applyAlignment="1">
      <alignment horizontal="right" vertical="center"/>
    </xf>
    <xf numFmtId="180" fontId="29" fillId="3" borderId="19" xfId="0" applyNumberFormat="1" applyFont="1" applyFill="1" applyBorder="1" applyAlignment="1">
      <alignment horizontal="right" vertical="center" wrapText="1"/>
    </xf>
    <xf numFmtId="180" fontId="29" fillId="3" borderId="24" xfId="0" applyNumberFormat="1" applyFont="1" applyFill="1" applyBorder="1" applyAlignment="1">
      <alignment horizontal="right" vertical="center" wrapText="1"/>
    </xf>
    <xf numFmtId="0" fontId="29" fillId="3" borderId="5" xfId="0" applyFont="1" applyFill="1" applyBorder="1" applyAlignment="1">
      <alignment horizontal="right" vertical="center"/>
    </xf>
    <xf numFmtId="0" fontId="29" fillId="3" borderId="24" xfId="0" applyFont="1" applyFill="1" applyBorder="1" applyAlignment="1">
      <alignment horizontal="center" vertical="center"/>
    </xf>
    <xf numFmtId="0" fontId="35" fillId="3" borderId="19" xfId="0" applyFont="1" applyFill="1" applyBorder="1" applyAlignment="1">
      <alignment vertical="center"/>
    </xf>
    <xf numFmtId="188" fontId="29" fillId="3" borderId="19" xfId="0" applyNumberFormat="1" applyFont="1" applyFill="1" applyBorder="1" applyAlignment="1">
      <alignment horizontal="right" vertical="center" wrapText="1"/>
    </xf>
    <xf numFmtId="177" fontId="29" fillId="3" borderId="19" xfId="0" applyNumberFormat="1" applyFont="1" applyFill="1" applyBorder="1" applyAlignment="1">
      <alignment horizontal="right" vertical="center" wrapText="1"/>
    </xf>
    <xf numFmtId="180" fontId="28" fillId="3" borderId="19" xfId="0" applyNumberFormat="1" applyFont="1" applyFill="1" applyBorder="1" applyAlignment="1">
      <alignment horizontal="right" vertical="center" wrapText="1"/>
    </xf>
    <xf numFmtId="0" fontId="29" fillId="5" borderId="19" xfId="0" applyFont="1" applyFill="1" applyBorder="1" applyAlignment="1">
      <alignment vertical="center"/>
    </xf>
    <xf numFmtId="0" fontId="29" fillId="0" borderId="25" xfId="0" applyFont="1" applyBorder="1" applyAlignment="1">
      <alignment horizontal="right" vertical="center"/>
    </xf>
    <xf numFmtId="40" fontId="29" fillId="5" borderId="19" xfId="0" applyNumberFormat="1" applyFont="1" applyFill="1" applyBorder="1" applyAlignment="1">
      <alignment horizontal="right" vertical="center" wrapText="1"/>
    </xf>
    <xf numFmtId="0" fontId="35" fillId="5" borderId="24" xfId="0" applyFont="1" applyFill="1" applyBorder="1" applyAlignment="1">
      <alignment horizontal="center" vertical="center"/>
    </xf>
    <xf numFmtId="38" fontId="29" fillId="5" borderId="19" xfId="0" applyNumberFormat="1" applyFont="1" applyFill="1" applyBorder="1" applyAlignment="1">
      <alignment horizontal="right" vertical="center"/>
    </xf>
    <xf numFmtId="40" fontId="29" fillId="5" borderId="19" xfId="0" applyNumberFormat="1" applyFont="1" applyFill="1" applyBorder="1" applyAlignment="1">
      <alignment horizontal="right" vertical="center"/>
    </xf>
    <xf numFmtId="40" fontId="29" fillId="0" borderId="19" xfId="0" applyNumberFormat="1" applyFont="1" applyBorder="1" applyAlignment="1">
      <alignment horizontal="right" vertical="center"/>
    </xf>
    <xf numFmtId="38" fontId="29" fillId="0" borderId="19" xfId="0" applyNumberFormat="1" applyFont="1" applyBorder="1" applyAlignment="1">
      <alignment horizontal="right" vertical="center"/>
    </xf>
    <xf numFmtId="0" fontId="29" fillId="5" borderId="25" xfId="0" applyFont="1" applyFill="1" applyBorder="1" applyAlignment="1">
      <alignment horizontal="right" vertical="center"/>
    </xf>
    <xf numFmtId="0" fontId="29" fillId="5" borderId="24" xfId="0" applyFont="1" applyFill="1" applyBorder="1" applyAlignment="1">
      <alignment horizontal="right" vertical="center"/>
    </xf>
    <xf numFmtId="0" fontId="29" fillId="3" borderId="19" xfId="0" applyFont="1" applyFill="1" applyBorder="1" applyAlignment="1">
      <alignment horizontal="right" vertical="center"/>
    </xf>
    <xf numFmtId="0" fontId="29" fillId="3" borderId="26" xfId="0" applyFont="1" applyFill="1" applyBorder="1" applyAlignment="1">
      <alignment horizontal="right" vertical="center"/>
    </xf>
    <xf numFmtId="0" fontId="29" fillId="18" borderId="18" xfId="0" applyFont="1" applyFill="1" applyBorder="1" applyAlignment="1">
      <alignment vertical="center"/>
    </xf>
    <xf numFmtId="0" fontId="35" fillId="18" borderId="19" xfId="0" applyFont="1" applyFill="1" applyBorder="1" applyAlignment="1">
      <alignment vertical="center"/>
    </xf>
    <xf numFmtId="0" fontId="29" fillId="18" borderId="20" xfId="0" applyFont="1" applyFill="1" applyBorder="1" applyAlignment="1">
      <alignment vertical="center"/>
    </xf>
    <xf numFmtId="180" fontId="29" fillId="18" borderId="25" xfId="0" applyNumberFormat="1" applyFont="1" applyFill="1" applyBorder="1" applyAlignment="1">
      <alignment horizontal="right" vertical="center" wrapText="1"/>
    </xf>
    <xf numFmtId="0" fontId="29" fillId="18" borderId="19" xfId="0" applyFont="1" applyFill="1" applyBorder="1" applyAlignment="1">
      <alignment horizontal="right" vertical="center"/>
    </xf>
    <xf numFmtId="0" fontId="29" fillId="18" borderId="24" xfId="0" applyFont="1" applyFill="1" applyBorder="1" applyAlignment="1">
      <alignment horizontal="right" vertical="center"/>
    </xf>
    <xf numFmtId="0" fontId="29" fillId="18" borderId="26" xfId="0" applyFont="1" applyFill="1" applyBorder="1" applyAlignment="1">
      <alignment horizontal="right" vertical="center"/>
    </xf>
    <xf numFmtId="0" fontId="29" fillId="18" borderId="24" xfId="0" applyFont="1" applyFill="1" applyBorder="1" applyAlignment="1">
      <alignment horizontal="center" vertical="center"/>
    </xf>
    <xf numFmtId="0" fontId="29" fillId="18" borderId="27" xfId="0" applyFont="1" applyFill="1" applyBorder="1" applyAlignment="1">
      <alignment vertical="center"/>
    </xf>
    <xf numFmtId="0" fontId="35" fillId="18" borderId="28" xfId="0" applyFont="1" applyFill="1" applyBorder="1" applyAlignment="1">
      <alignment vertical="center"/>
    </xf>
    <xf numFmtId="0" fontId="29" fillId="18" borderId="29" xfId="0" applyFont="1" applyFill="1" applyBorder="1" applyAlignment="1">
      <alignment vertical="center"/>
    </xf>
    <xf numFmtId="180" fontId="29" fillId="18" borderId="30" xfId="0" applyNumberFormat="1" applyFont="1" applyFill="1" applyBorder="1" applyAlignment="1">
      <alignment horizontal="right" vertical="center" wrapText="1"/>
    </xf>
    <xf numFmtId="0" fontId="29" fillId="18" borderId="28" xfId="0" applyFont="1" applyFill="1" applyBorder="1" applyAlignment="1">
      <alignment horizontal="right" vertical="center"/>
    </xf>
    <xf numFmtId="0" fontId="29" fillId="18" borderId="31" xfId="0" applyFont="1" applyFill="1" applyBorder="1" applyAlignment="1">
      <alignment horizontal="right" vertical="center"/>
    </xf>
    <xf numFmtId="0" fontId="29" fillId="18" borderId="32" xfId="0" applyFont="1" applyFill="1" applyBorder="1" applyAlignment="1">
      <alignment horizontal="right" vertical="center"/>
    </xf>
    <xf numFmtId="0" fontId="29" fillId="18" borderId="31" xfId="0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26" fillId="2" borderId="14" xfId="0" applyFont="1" applyFill="1" applyBorder="1" applyAlignment="1" applyProtection="1">
      <alignment horizontal="center" vertical="center"/>
      <protection locked="0"/>
    </xf>
    <xf numFmtId="0" fontId="26" fillId="2" borderId="14" xfId="0" applyFont="1" applyFill="1" applyBorder="1" applyAlignment="1" applyProtection="1">
      <alignment horizontal="center" vertical="center" wrapText="1"/>
      <protection locked="0"/>
    </xf>
    <xf numFmtId="189" fontId="26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26" fillId="2" borderId="17" xfId="0" applyFont="1" applyFill="1" applyBorder="1" applyAlignment="1" applyProtection="1">
      <alignment horizontal="center" vertical="center" wrapText="1"/>
      <protection locked="0"/>
    </xf>
    <xf numFmtId="0" fontId="41" fillId="3" borderId="18" xfId="0" applyFont="1" applyFill="1" applyBorder="1" applyAlignment="1">
      <alignment horizontal="center" vertical="center"/>
    </xf>
    <xf numFmtId="0" fontId="29" fillId="3" borderId="19" xfId="0" applyFont="1" applyFill="1" applyBorder="1" applyAlignment="1">
      <alignment horizontal="left" vertical="center" wrapText="1"/>
    </xf>
    <xf numFmtId="0" fontId="35" fillId="6" borderId="19" xfId="0" applyFont="1" applyFill="1" applyBorder="1" applyAlignment="1" applyProtection="1">
      <alignment vertical="center"/>
      <protection locked="0"/>
    </xf>
    <xf numFmtId="0" fontId="41" fillId="3" borderId="19" xfId="0" applyFont="1" applyFill="1" applyBorder="1" applyAlignment="1">
      <alignment horizontal="center" vertical="center" wrapText="1"/>
    </xf>
    <xf numFmtId="0" fontId="41" fillId="3" borderId="19" xfId="0" applyFont="1" applyFill="1" applyBorder="1" applyAlignment="1">
      <alignment horizontal="center" vertical="center"/>
    </xf>
    <xf numFmtId="190" fontId="41" fillId="3" borderId="19" xfId="0" applyNumberFormat="1" applyFont="1" applyFill="1" applyBorder="1" applyAlignment="1">
      <alignment horizontal="center" vertical="center"/>
    </xf>
    <xf numFmtId="179" fontId="41" fillId="3" borderId="19" xfId="0" applyNumberFormat="1" applyFont="1" applyFill="1" applyBorder="1" applyAlignment="1">
      <alignment horizontal="right" vertical="center"/>
    </xf>
    <xf numFmtId="10" fontId="41" fillId="3" borderId="19" xfId="0" applyNumberFormat="1" applyFont="1" applyFill="1" applyBorder="1" applyAlignment="1">
      <alignment horizontal="center" vertical="center"/>
    </xf>
    <xf numFmtId="179" fontId="41" fillId="3" borderId="24" xfId="0" applyNumberFormat="1" applyFont="1" applyFill="1" applyBorder="1" applyAlignment="1">
      <alignment horizontal="center" vertical="center"/>
    </xf>
    <xf numFmtId="0" fontId="35" fillId="4" borderId="19" xfId="0" applyFont="1" applyFill="1" applyBorder="1" applyAlignment="1" applyProtection="1">
      <alignment vertical="center"/>
      <protection locked="0"/>
    </xf>
    <xf numFmtId="0" fontId="39" fillId="0" borderId="0" xfId="0" applyFont="1" applyAlignment="1" applyProtection="1">
      <alignment vertical="center"/>
      <protection locked="0"/>
    </xf>
    <xf numFmtId="191" fontId="39" fillId="4" borderId="0" xfId="0" applyNumberFormat="1" applyFont="1" applyFill="1" applyAlignment="1">
      <alignment horizontal="right" vertical="center"/>
    </xf>
    <xf numFmtId="0" fontId="42" fillId="3" borderId="13" xfId="0" applyFont="1" applyFill="1" applyBorder="1" applyAlignment="1">
      <alignment horizontal="center" vertical="center" wrapText="1"/>
    </xf>
    <xf numFmtId="179" fontId="41" fillId="3" borderId="17" xfId="0" applyNumberFormat="1" applyFont="1" applyFill="1" applyBorder="1" applyAlignment="1">
      <alignment horizontal="center" vertical="center"/>
    </xf>
    <xf numFmtId="0" fontId="42" fillId="3" borderId="27" xfId="0" applyFont="1" applyFill="1" applyBorder="1" applyAlignment="1">
      <alignment horizontal="center" vertical="center" wrapText="1"/>
    </xf>
    <xf numFmtId="0" fontId="41" fillId="3" borderId="31" xfId="0" applyFont="1" applyFill="1" applyBorder="1" applyAlignment="1">
      <alignment horizontal="center" vertical="center"/>
    </xf>
    <xf numFmtId="189" fontId="39" fillId="0" borderId="0" xfId="0" applyNumberFormat="1" applyFont="1" applyAlignment="1">
      <alignment vertical="center"/>
    </xf>
    <xf numFmtId="0" fontId="43" fillId="0" borderId="0" xfId="0" applyFont="1" applyAlignment="1">
      <alignment vertical="center"/>
    </xf>
    <xf numFmtId="0" fontId="43" fillId="3" borderId="13" xfId="0" applyFont="1" applyFill="1" applyBorder="1" applyAlignment="1">
      <alignment vertical="center"/>
    </xf>
    <xf numFmtId="0" fontId="39" fillId="3" borderId="17" xfId="0" applyFont="1" applyFill="1" applyBorder="1" applyAlignment="1">
      <alignment vertical="center"/>
    </xf>
    <xf numFmtId="0" fontId="43" fillId="3" borderId="18" xfId="0" applyFont="1" applyFill="1" applyBorder="1" applyAlignment="1">
      <alignment vertical="center"/>
    </xf>
    <xf numFmtId="0" fontId="39" fillId="3" borderId="24" xfId="0" applyFont="1" applyFill="1" applyBorder="1" applyAlignment="1">
      <alignment vertical="center"/>
    </xf>
    <xf numFmtId="0" fontId="43" fillId="3" borderId="27" xfId="0" applyFont="1" applyFill="1" applyBorder="1" applyAlignment="1">
      <alignment vertical="center"/>
    </xf>
    <xf numFmtId="0" fontId="39" fillId="3" borderId="31" xfId="0" applyFont="1" applyFill="1" applyBorder="1" applyAlignment="1">
      <alignment vertical="center"/>
    </xf>
    <xf numFmtId="0" fontId="12" fillId="6" borderId="0" xfId="0" applyFont="1" applyFill="1" applyAlignment="1" applyProtection="1">
      <alignment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28" fillId="6" borderId="2" xfId="0" applyFont="1" applyFill="1" applyBorder="1" applyAlignment="1">
      <alignment horizontal="center" vertical="center"/>
    </xf>
    <xf numFmtId="0" fontId="28" fillId="6" borderId="2" xfId="0" applyFont="1" applyFill="1" applyBorder="1" applyAlignment="1" applyProtection="1">
      <alignment vertical="center" wrapText="1"/>
      <protection locked="0"/>
    </xf>
    <xf numFmtId="0" fontId="28" fillId="0" borderId="2" xfId="0" applyFont="1" applyBorder="1" applyAlignment="1" applyProtection="1">
      <alignment vertical="center"/>
      <protection locked="0"/>
    </xf>
    <xf numFmtId="0" fontId="36" fillId="0" borderId="2" xfId="0" applyFont="1" applyBorder="1" applyAlignment="1" applyProtection="1">
      <alignment horizontal="left" vertical="center"/>
      <protection locked="0"/>
    </xf>
    <xf numFmtId="0" fontId="36" fillId="6" borderId="2" xfId="0" applyFont="1" applyFill="1" applyBorder="1" applyAlignment="1" applyProtection="1">
      <alignment horizontal="center" vertical="center"/>
      <protection locked="0"/>
    </xf>
    <xf numFmtId="178" fontId="28" fillId="0" borderId="2" xfId="0" applyNumberFormat="1" applyFont="1" applyBorder="1" applyAlignment="1" applyProtection="1">
      <alignment vertical="center"/>
      <protection locked="0"/>
    </xf>
    <xf numFmtId="0" fontId="28" fillId="6" borderId="2" xfId="0" applyFont="1" applyFill="1" applyBorder="1" applyAlignment="1" applyProtection="1">
      <alignment vertical="center"/>
      <protection locked="0"/>
    </xf>
    <xf numFmtId="179" fontId="28" fillId="7" borderId="2" xfId="0" applyNumberFormat="1" applyFont="1" applyFill="1" applyBorder="1" applyAlignment="1" applyProtection="1">
      <alignment vertical="center"/>
      <protection locked="0"/>
    </xf>
    <xf numFmtId="0" fontId="28" fillId="3" borderId="2" xfId="0" applyFont="1" applyFill="1" applyBorder="1" applyAlignment="1">
      <alignment horizontal="center" vertical="center"/>
    </xf>
    <xf numFmtId="11" fontId="28" fillId="7" borderId="2" xfId="0" applyNumberFormat="1" applyFont="1" applyFill="1" applyBorder="1" applyAlignment="1" applyProtection="1">
      <alignment vertical="center"/>
      <protection locked="0"/>
    </xf>
    <xf numFmtId="9" fontId="28" fillId="7" borderId="2" xfId="0" applyNumberFormat="1" applyFont="1" applyFill="1" applyBorder="1" applyAlignment="1" applyProtection="1">
      <alignment horizontal="center" vertical="center"/>
      <protection locked="0"/>
    </xf>
    <xf numFmtId="180" fontId="28" fillId="3" borderId="2" xfId="0" applyNumberFormat="1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vertical="center"/>
    </xf>
    <xf numFmtId="178" fontId="28" fillId="3" borderId="2" xfId="0" applyNumberFormat="1" applyFont="1" applyFill="1" applyBorder="1" applyAlignment="1">
      <alignment horizontal="center" vertical="center"/>
    </xf>
    <xf numFmtId="178" fontId="38" fillId="0" borderId="2" xfId="0" applyNumberFormat="1" applyFont="1" applyBorder="1" applyAlignment="1" applyProtection="1">
      <alignment vertical="center"/>
      <protection locked="0"/>
    </xf>
    <xf numFmtId="0" fontId="38" fillId="6" borderId="2" xfId="0" applyFont="1" applyFill="1" applyBorder="1" applyAlignment="1" applyProtection="1">
      <alignment vertical="center"/>
      <protection locked="0"/>
    </xf>
    <xf numFmtId="0" fontId="38" fillId="3" borderId="2" xfId="0" applyFont="1" applyFill="1" applyBorder="1" applyAlignment="1">
      <alignment horizontal="center" vertical="center"/>
    </xf>
    <xf numFmtId="0" fontId="38" fillId="0" borderId="2" xfId="0" applyFont="1" applyBorder="1" applyAlignment="1" applyProtection="1">
      <alignment vertical="center"/>
      <protection locked="0"/>
    </xf>
    <xf numFmtId="9" fontId="38" fillId="7" borderId="2" xfId="0" applyNumberFormat="1" applyFont="1" applyFill="1" applyBorder="1" applyAlignment="1" applyProtection="1">
      <alignment horizontal="center" vertical="center"/>
      <protection locked="0"/>
    </xf>
    <xf numFmtId="0" fontId="38" fillId="5" borderId="2" xfId="0" applyFont="1" applyFill="1" applyBorder="1" applyAlignment="1" applyProtection="1">
      <alignment horizontal="center" vertical="center"/>
      <protection locked="0"/>
    </xf>
    <xf numFmtId="180" fontId="38" fillId="3" borderId="2" xfId="0" applyNumberFormat="1" applyFont="1" applyFill="1" applyBorder="1" applyAlignment="1">
      <alignment horizontal="right" vertical="center"/>
    </xf>
    <xf numFmtId="0" fontId="38" fillId="5" borderId="2" xfId="0" applyFont="1" applyFill="1" applyBorder="1" applyAlignment="1" applyProtection="1">
      <alignment horizontal="left" vertical="center"/>
      <protection locked="0"/>
    </xf>
    <xf numFmtId="11" fontId="38" fillId="7" borderId="2" xfId="0" applyNumberFormat="1" applyFont="1" applyFill="1" applyBorder="1" applyAlignment="1" applyProtection="1">
      <alignment vertical="center"/>
      <protection locked="0"/>
    </xf>
    <xf numFmtId="0" fontId="38" fillId="3" borderId="2" xfId="0" applyFont="1" applyFill="1" applyBorder="1" applyAlignment="1">
      <alignment vertical="center"/>
    </xf>
    <xf numFmtId="178" fontId="38" fillId="11" borderId="2" xfId="0" applyNumberFormat="1" applyFont="1" applyFill="1" applyBorder="1" applyAlignment="1" applyProtection="1">
      <alignment vertical="center"/>
      <protection locked="0"/>
    </xf>
    <xf numFmtId="0" fontId="36" fillId="6" borderId="19" xfId="0" applyFont="1" applyFill="1" applyBorder="1" applyAlignment="1" applyProtection="1">
      <alignment vertical="center" wrapText="1"/>
      <protection locked="0"/>
    </xf>
    <xf numFmtId="0" fontId="36" fillId="0" borderId="2" xfId="0" applyFont="1" applyBorder="1" applyAlignment="1" applyProtection="1">
      <alignment vertical="center"/>
      <protection locked="0"/>
    </xf>
    <xf numFmtId="0" fontId="36" fillId="0" borderId="34" xfId="0" applyFont="1" applyBorder="1" applyAlignment="1" applyProtection="1">
      <alignment horizontal="left" vertical="center"/>
      <protection locked="0"/>
    </xf>
    <xf numFmtId="178" fontId="28" fillId="11" borderId="12" xfId="0" applyNumberFormat="1" applyFont="1" applyFill="1" applyBorder="1" applyAlignment="1" applyProtection="1">
      <alignment vertical="center"/>
      <protection locked="0"/>
    </xf>
    <xf numFmtId="0" fontId="28" fillId="6" borderId="35" xfId="0" applyFont="1" applyFill="1" applyBorder="1" applyAlignment="1" applyProtection="1">
      <alignment vertical="center"/>
      <protection locked="0"/>
    </xf>
    <xf numFmtId="0" fontId="28" fillId="6" borderId="19" xfId="0" applyFont="1" applyFill="1" applyBorder="1" applyAlignment="1" applyProtection="1">
      <alignment vertical="center"/>
      <protection locked="0"/>
    </xf>
    <xf numFmtId="0" fontId="28" fillId="3" borderId="19" xfId="0" applyFont="1" applyFill="1" applyBorder="1" applyAlignment="1">
      <alignment horizontal="center" vertical="center"/>
    </xf>
    <xf numFmtId="9" fontId="28" fillId="7" borderId="12" xfId="0" applyNumberFormat="1" applyFont="1" applyFill="1" applyBorder="1" applyAlignment="1" applyProtection="1">
      <alignment horizontal="center" vertical="center"/>
      <protection locked="0"/>
    </xf>
    <xf numFmtId="0" fontId="28" fillId="5" borderId="19" xfId="0" applyFont="1" applyFill="1" applyBorder="1" applyAlignment="1" applyProtection="1">
      <alignment horizontal="center" vertical="center"/>
      <protection locked="0"/>
    </xf>
    <xf numFmtId="180" fontId="28" fillId="3" borderId="19" xfId="0" applyNumberFormat="1" applyFont="1" applyFill="1" applyBorder="1" applyAlignment="1">
      <alignment horizontal="center" vertical="center"/>
    </xf>
    <xf numFmtId="11" fontId="28" fillId="7" borderId="19" xfId="0" applyNumberFormat="1" applyFont="1" applyFill="1" applyBorder="1" applyAlignment="1" applyProtection="1">
      <alignment vertical="center"/>
      <protection locked="0"/>
    </xf>
    <xf numFmtId="0" fontId="28" fillId="3" borderId="19" xfId="0" applyFont="1" applyFill="1" applyBorder="1" applyAlignment="1">
      <alignment vertical="center"/>
    </xf>
    <xf numFmtId="0" fontId="44" fillId="6" borderId="2" xfId="0" applyFont="1" applyFill="1" applyBorder="1" applyAlignment="1" applyProtection="1">
      <alignment vertical="center" wrapText="1"/>
      <protection locked="0"/>
    </xf>
    <xf numFmtId="0" fontId="44" fillId="0" borderId="2" xfId="0" applyFont="1" applyBorder="1" applyAlignment="1" applyProtection="1">
      <alignment vertical="center"/>
      <protection locked="0"/>
    </xf>
    <xf numFmtId="0" fontId="44" fillId="6" borderId="2" xfId="0" applyFont="1" applyFill="1" applyBorder="1" applyAlignment="1" applyProtection="1">
      <alignment horizontal="center" vertical="center"/>
      <protection locked="0"/>
    </xf>
    <xf numFmtId="178" fontId="45" fillId="0" borderId="2" xfId="0" applyNumberFormat="1" applyFont="1" applyBorder="1" applyAlignment="1" applyProtection="1">
      <alignment vertical="center"/>
      <protection locked="0"/>
    </xf>
    <xf numFmtId="0" fontId="45" fillId="6" borderId="2" xfId="0" applyFont="1" applyFill="1" applyBorder="1" applyAlignment="1" applyProtection="1">
      <alignment vertical="center"/>
      <protection locked="0"/>
    </xf>
    <xf numFmtId="0" fontId="45" fillId="3" borderId="2" xfId="0" applyFont="1" applyFill="1" applyBorder="1" applyAlignment="1">
      <alignment horizontal="center" vertical="center"/>
    </xf>
    <xf numFmtId="0" fontId="45" fillId="0" borderId="2" xfId="0" applyFont="1" applyBorder="1" applyAlignment="1" applyProtection="1">
      <alignment vertical="center"/>
      <protection locked="0"/>
    </xf>
    <xf numFmtId="9" fontId="45" fillId="7" borderId="2" xfId="0" applyNumberFormat="1" applyFont="1" applyFill="1" applyBorder="1" applyAlignment="1" applyProtection="1">
      <alignment horizontal="center" vertical="center"/>
      <protection locked="0"/>
    </xf>
    <xf numFmtId="0" fontId="45" fillId="5" borderId="2" xfId="0" applyFont="1" applyFill="1" applyBorder="1" applyAlignment="1" applyProtection="1">
      <alignment horizontal="center" vertical="center"/>
      <protection locked="0"/>
    </xf>
    <xf numFmtId="180" fontId="45" fillId="3" borderId="2" xfId="0" applyNumberFormat="1" applyFont="1" applyFill="1" applyBorder="1" applyAlignment="1">
      <alignment horizontal="right" vertical="center"/>
    </xf>
    <xf numFmtId="0" fontId="45" fillId="5" borderId="2" xfId="0" applyFont="1" applyFill="1" applyBorder="1" applyAlignment="1" applyProtection="1">
      <alignment horizontal="left" vertical="center"/>
      <protection locked="0"/>
    </xf>
    <xf numFmtId="11" fontId="45" fillId="7" borderId="2" xfId="0" applyNumberFormat="1" applyFont="1" applyFill="1" applyBorder="1" applyAlignment="1" applyProtection="1">
      <alignment vertical="center"/>
      <protection locked="0"/>
    </xf>
    <xf numFmtId="0" fontId="45" fillId="3" borderId="2" xfId="0" applyFont="1" applyFill="1" applyBorder="1" applyAlignment="1">
      <alignment vertical="center"/>
    </xf>
    <xf numFmtId="178" fontId="45" fillId="3" borderId="2" xfId="0" applyNumberFormat="1" applyFont="1" applyFill="1" applyBorder="1" applyAlignment="1">
      <alignment horizontal="center" vertical="center"/>
    </xf>
    <xf numFmtId="185" fontId="28" fillId="11" borderId="2" xfId="0" applyNumberFormat="1" applyFont="1" applyFill="1" applyBorder="1" applyAlignment="1" applyProtection="1">
      <alignment horizontal="center" vertical="center"/>
      <protection locked="0"/>
    </xf>
    <xf numFmtId="180" fontId="28" fillId="3" borderId="2" xfId="0" applyNumberFormat="1" applyFont="1" applyFill="1" applyBorder="1" applyAlignment="1">
      <alignment horizontal="right" vertical="center"/>
    </xf>
    <xf numFmtId="0" fontId="28" fillId="6" borderId="2" xfId="0" applyFont="1" applyFill="1" applyBorder="1" applyAlignment="1" applyProtection="1">
      <alignment horizontal="left" vertical="center"/>
      <protection locked="0"/>
    </xf>
    <xf numFmtId="9" fontId="28" fillId="7" borderId="2" xfId="1" applyFont="1" applyFill="1" applyBorder="1" applyAlignment="1" applyProtection="1">
      <alignment vertical="center"/>
      <protection locked="0"/>
    </xf>
    <xf numFmtId="11" fontId="28" fillId="11" borderId="2" xfId="0" applyNumberFormat="1" applyFont="1" applyFill="1" applyBorder="1" applyAlignment="1" applyProtection="1">
      <alignment vertical="center"/>
      <protection locked="0"/>
    </xf>
    <xf numFmtId="0" fontId="36" fillId="6" borderId="34" xfId="0" applyFont="1" applyFill="1" applyBorder="1" applyAlignment="1" applyProtection="1">
      <alignment vertical="center" wrapText="1"/>
      <protection locked="0"/>
    </xf>
    <xf numFmtId="178" fontId="28" fillId="0" borderId="12" xfId="0" applyNumberFormat="1" applyFont="1" applyBorder="1" applyAlignment="1" applyProtection="1">
      <alignment vertical="center"/>
      <protection locked="0"/>
    </xf>
    <xf numFmtId="9" fontId="28" fillId="7" borderId="12" xfId="1" applyFont="1" applyFill="1" applyBorder="1" applyAlignment="1" applyProtection="1">
      <alignment vertical="center"/>
      <protection locked="0"/>
    </xf>
    <xf numFmtId="11" fontId="28" fillId="11" borderId="19" xfId="0" applyNumberFormat="1" applyFont="1" applyFill="1" applyBorder="1" applyAlignment="1" applyProtection="1">
      <alignment vertical="center"/>
      <protection locked="0"/>
    </xf>
    <xf numFmtId="0" fontId="28" fillId="0" borderId="35" xfId="0" applyFont="1" applyBorder="1" applyAlignment="1" applyProtection="1">
      <alignment vertical="center"/>
      <protection locked="0"/>
    </xf>
    <xf numFmtId="0" fontId="45" fillId="5" borderId="19" xfId="0" applyFont="1" applyFill="1" applyBorder="1" applyAlignment="1" applyProtection="1">
      <alignment horizontal="center" vertical="center"/>
      <protection locked="0"/>
    </xf>
    <xf numFmtId="0" fontId="45" fillId="3" borderId="19" xfId="0" applyFont="1" applyFill="1" applyBorder="1" applyAlignment="1">
      <alignment horizontal="center" vertical="center"/>
    </xf>
    <xf numFmtId="185" fontId="28" fillId="7" borderId="2" xfId="0" applyNumberFormat="1" applyFont="1" applyFill="1" applyBorder="1" applyAlignment="1" applyProtection="1">
      <alignment horizontal="center" vertical="center"/>
      <protection locked="0"/>
    </xf>
    <xf numFmtId="0" fontId="36" fillId="6" borderId="2" xfId="0" applyFont="1" applyFill="1" applyBorder="1" applyAlignment="1" applyProtection="1">
      <alignment vertical="center" wrapText="1"/>
      <protection locked="0"/>
    </xf>
    <xf numFmtId="192" fontId="28" fillId="7" borderId="2" xfId="0" applyNumberFormat="1" applyFont="1" applyFill="1" applyBorder="1" applyAlignment="1" applyProtection="1">
      <alignment vertical="center"/>
      <protection locked="0"/>
    </xf>
    <xf numFmtId="193" fontId="28" fillId="7" borderId="2" xfId="0" applyNumberFormat="1" applyFont="1" applyFill="1" applyBorder="1" applyAlignment="1" applyProtection="1">
      <alignment vertical="center"/>
      <protection locked="0"/>
    </xf>
    <xf numFmtId="0" fontId="44" fillId="0" borderId="2" xfId="0" applyFont="1" applyBorder="1" applyAlignment="1" applyProtection="1">
      <alignment horizontal="left" vertical="center"/>
      <protection locked="0"/>
    </xf>
    <xf numFmtId="193" fontId="45" fillId="7" borderId="2" xfId="0" applyNumberFormat="1" applyFont="1" applyFill="1" applyBorder="1" applyAlignment="1" applyProtection="1">
      <alignment vertical="center"/>
      <protection locked="0"/>
    </xf>
    <xf numFmtId="0" fontId="44" fillId="11" borderId="2" xfId="0" applyFont="1" applyFill="1" applyBorder="1" applyAlignment="1" applyProtection="1">
      <alignment vertical="center"/>
      <protection locked="0"/>
    </xf>
    <xf numFmtId="178" fontId="45" fillId="6" borderId="2" xfId="0" applyNumberFormat="1" applyFont="1" applyFill="1" applyBorder="1" applyAlignment="1" applyProtection="1">
      <alignment vertical="center"/>
      <protection locked="0"/>
    </xf>
    <xf numFmtId="192" fontId="45" fillId="7" borderId="2" xfId="0" applyNumberFormat="1" applyFont="1" applyFill="1" applyBorder="1" applyAlignment="1" applyProtection="1">
      <alignment vertical="center"/>
      <protection locked="0"/>
    </xf>
    <xf numFmtId="178" fontId="45" fillId="4" borderId="2" xfId="0" applyNumberFormat="1" applyFont="1" applyFill="1" applyBorder="1" applyAlignment="1" applyProtection="1">
      <alignment vertical="center"/>
      <protection locked="0"/>
    </xf>
    <xf numFmtId="0" fontId="28" fillId="6" borderId="2" xfId="0" applyFont="1" applyFill="1" applyBorder="1" applyAlignment="1" applyProtection="1">
      <alignment horizontal="left" vertical="center" wrapText="1"/>
      <protection locked="0"/>
    </xf>
    <xf numFmtId="178" fontId="28" fillId="11" borderId="2" xfId="0" applyNumberFormat="1" applyFont="1" applyFill="1" applyBorder="1" applyAlignment="1" applyProtection="1">
      <alignment vertical="center"/>
      <protection locked="0"/>
    </xf>
    <xf numFmtId="192" fontId="38" fillId="7" borderId="2" xfId="0" applyNumberFormat="1" applyFont="1" applyFill="1" applyBorder="1" applyAlignment="1" applyProtection="1">
      <alignment vertical="center"/>
      <protection locked="0"/>
    </xf>
    <xf numFmtId="0" fontId="34" fillId="0" borderId="4" xfId="0" applyFont="1" applyBorder="1" applyAlignment="1" applyProtection="1">
      <alignment vertical="center" wrapText="1"/>
      <protection locked="0"/>
    </xf>
    <xf numFmtId="0" fontId="36" fillId="0" borderId="4" xfId="0" applyFont="1" applyBorder="1" applyAlignment="1" applyProtection="1">
      <alignment horizontal="left" vertical="center"/>
      <protection locked="0"/>
    </xf>
    <xf numFmtId="0" fontId="34" fillId="6" borderId="4" xfId="0" applyFont="1" applyFill="1" applyBorder="1" applyAlignment="1" applyProtection="1">
      <alignment vertical="center"/>
      <protection locked="0"/>
    </xf>
    <xf numFmtId="178" fontId="28" fillId="3" borderId="1" xfId="0" applyNumberFormat="1" applyFont="1" applyFill="1" applyBorder="1" applyAlignment="1">
      <alignment horizontal="center" vertical="center"/>
    </xf>
    <xf numFmtId="0" fontId="47" fillId="6" borderId="4" xfId="0" applyFont="1" applyFill="1" applyBorder="1" applyAlignment="1" applyProtection="1">
      <alignment horizontal="left" vertical="center"/>
      <protection locked="0"/>
    </xf>
    <xf numFmtId="178" fontId="45" fillId="6" borderId="0" xfId="0" applyNumberFormat="1" applyFont="1" applyFill="1" applyAlignment="1" applyProtection="1">
      <alignment vertical="center"/>
      <protection locked="0"/>
    </xf>
    <xf numFmtId="0" fontId="28" fillId="6" borderId="0" xfId="0" applyFont="1" applyFill="1" applyAlignment="1" applyProtection="1">
      <alignment vertical="center"/>
      <protection locked="0"/>
    </xf>
    <xf numFmtId="194" fontId="28" fillId="6" borderId="0" xfId="0" applyNumberFormat="1" applyFont="1" applyFill="1" applyAlignment="1" applyProtection="1">
      <alignment vertical="center"/>
      <protection locked="0"/>
    </xf>
    <xf numFmtId="0" fontId="28" fillId="6" borderId="0" xfId="0" applyFont="1" applyFill="1" applyAlignment="1">
      <alignment horizontal="center" vertical="center"/>
    </xf>
    <xf numFmtId="11" fontId="28" fillId="6" borderId="0" xfId="0" applyNumberFormat="1" applyFont="1" applyFill="1" applyAlignment="1" applyProtection="1">
      <alignment vertical="center"/>
      <protection locked="0"/>
    </xf>
    <xf numFmtId="178" fontId="48" fillId="11" borderId="7" xfId="0" applyNumberFormat="1" applyFont="1" applyFill="1" applyBorder="1" applyAlignment="1">
      <alignment horizontal="center" vertical="center"/>
    </xf>
    <xf numFmtId="0" fontId="47" fillId="6" borderId="2" xfId="0" applyFont="1" applyFill="1" applyBorder="1" applyAlignment="1" applyProtection="1">
      <alignment horizontal="left" vertical="center"/>
      <protection locked="0"/>
    </xf>
    <xf numFmtId="0" fontId="28" fillId="6" borderId="0" xfId="0" applyFont="1" applyFill="1" applyAlignment="1" applyProtection="1">
      <alignment vertical="center" wrapText="1"/>
      <protection locked="0"/>
    </xf>
    <xf numFmtId="0" fontId="28" fillId="6" borderId="0" xfId="0" applyFont="1" applyFill="1" applyAlignment="1" applyProtection="1">
      <alignment horizontal="left" vertical="center"/>
      <protection locked="0"/>
    </xf>
    <xf numFmtId="0" fontId="28" fillId="6" borderId="0" xfId="0" applyFont="1" applyFill="1" applyAlignment="1" applyProtection="1">
      <alignment horizontal="center" vertical="center"/>
      <protection locked="0"/>
    </xf>
    <xf numFmtId="178" fontId="8" fillId="0" borderId="0" xfId="0" applyNumberFormat="1" applyFont="1" applyAlignment="1">
      <alignment horizontal="left" vertical="center"/>
    </xf>
    <xf numFmtId="178" fontId="28" fillId="0" borderId="0" xfId="0" applyNumberFormat="1" applyFont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178" fontId="12" fillId="0" borderId="0" xfId="0" applyNumberFormat="1" applyFont="1" applyAlignment="1" applyProtection="1">
      <alignment vertical="center"/>
      <protection locked="0"/>
    </xf>
    <xf numFmtId="0" fontId="26" fillId="2" borderId="2" xfId="0" applyFont="1" applyFill="1" applyBorder="1" applyAlignment="1" applyProtection="1">
      <alignment vertical="center"/>
      <protection locked="0"/>
    </xf>
    <xf numFmtId="0" fontId="26" fillId="2" borderId="2" xfId="0" applyFont="1" applyFill="1" applyBorder="1" applyAlignment="1" applyProtection="1">
      <alignment horizontal="center" vertical="center"/>
      <protection locked="0"/>
    </xf>
    <xf numFmtId="178" fontId="12" fillId="5" borderId="0" xfId="0" applyNumberFormat="1" applyFont="1" applyFill="1" applyAlignment="1" applyProtection="1">
      <alignment vertical="center"/>
      <protection locked="0"/>
    </xf>
    <xf numFmtId="0" fontId="6" fillId="3" borderId="2" xfId="0" applyFont="1" applyFill="1" applyBorder="1" applyAlignment="1">
      <alignment vertical="center"/>
    </xf>
    <xf numFmtId="177" fontId="49" fillId="6" borderId="2" xfId="0" applyNumberFormat="1" applyFont="1" applyFill="1" applyBorder="1" applyAlignment="1">
      <alignment horizontal="center" vertical="center"/>
    </xf>
    <xf numFmtId="0" fontId="37" fillId="2" borderId="2" xfId="0" applyFont="1" applyFill="1" applyBorder="1" applyAlignment="1" applyProtection="1">
      <alignment horizontal="center" vertical="center"/>
      <protection locked="0"/>
    </xf>
    <xf numFmtId="0" fontId="49" fillId="3" borderId="2" xfId="0" applyFont="1" applyFill="1" applyBorder="1" applyAlignment="1">
      <alignment vertical="center"/>
    </xf>
    <xf numFmtId="177" fontId="49" fillId="3" borderId="2" xfId="0" applyNumberFormat="1" applyFont="1" applyFill="1" applyBorder="1" applyAlignment="1">
      <alignment horizontal="center" vertical="center"/>
    </xf>
    <xf numFmtId="3" fontId="12" fillId="5" borderId="0" xfId="0" applyNumberFormat="1" applyFont="1" applyFill="1" applyAlignment="1" applyProtection="1">
      <alignment vertical="center"/>
      <protection locked="0"/>
    </xf>
    <xf numFmtId="183" fontId="12" fillId="5" borderId="0" xfId="0" applyNumberFormat="1" applyFont="1" applyFill="1" applyAlignment="1" applyProtection="1">
      <alignment vertical="center"/>
      <protection locked="0"/>
    </xf>
    <xf numFmtId="4" fontId="12" fillId="5" borderId="0" xfId="0" applyNumberFormat="1" applyFont="1" applyFill="1" applyAlignment="1" applyProtection="1">
      <alignment vertical="center"/>
      <protection locked="0"/>
    </xf>
    <xf numFmtId="177" fontId="49" fillId="6" borderId="0" xfId="0" applyNumberFormat="1" applyFont="1" applyFill="1" applyAlignment="1" applyProtection="1">
      <alignment horizontal="center" vertical="center"/>
      <protection locked="0"/>
    </xf>
    <xf numFmtId="177" fontId="49" fillId="6" borderId="0" xfId="0" applyNumberFormat="1" applyFont="1" applyFill="1" applyAlignment="1">
      <alignment horizontal="center" vertical="center"/>
    </xf>
    <xf numFmtId="0" fontId="26" fillId="20" borderId="2" xfId="0" applyFont="1" applyFill="1" applyBorder="1" applyAlignment="1" applyProtection="1">
      <alignment vertical="center"/>
      <protection locked="0"/>
    </xf>
    <xf numFmtId="0" fontId="26" fillId="20" borderId="2" xfId="0" applyFont="1" applyFill="1" applyBorder="1" applyAlignment="1" applyProtection="1">
      <alignment horizontal="center" vertical="center"/>
      <protection locked="0"/>
    </xf>
    <xf numFmtId="0" fontId="49" fillId="3" borderId="2" xfId="0" applyFont="1" applyFill="1" applyBorder="1" applyAlignment="1" applyProtection="1">
      <alignment vertical="center"/>
      <protection locked="0"/>
    </xf>
    <xf numFmtId="177" fontId="49" fillId="3" borderId="2" xfId="0" applyNumberFormat="1" applyFont="1" applyFill="1" applyBorder="1" applyAlignment="1" applyProtection="1">
      <alignment horizontal="center" vertical="center"/>
      <protection locked="0"/>
    </xf>
    <xf numFmtId="0" fontId="49" fillId="6" borderId="0" xfId="0" applyFont="1" applyFill="1" applyAlignment="1" applyProtection="1">
      <alignment vertical="center"/>
      <protection locked="0"/>
    </xf>
    <xf numFmtId="177" fontId="49" fillId="6" borderId="0" xfId="0" applyNumberFormat="1" applyFont="1" applyFill="1" applyAlignment="1" applyProtection="1">
      <alignment horizontal="left" vertical="center"/>
      <protection locked="0"/>
    </xf>
    <xf numFmtId="0" fontId="49" fillId="6" borderId="0" xfId="0" applyFont="1" applyFill="1" applyAlignment="1">
      <alignment vertical="center"/>
    </xf>
    <xf numFmtId="177" fontId="50" fillId="6" borderId="0" xfId="0" applyNumberFormat="1" applyFont="1" applyFill="1" applyAlignment="1" applyProtection="1">
      <alignment horizontal="left" vertical="center"/>
      <protection locked="0"/>
    </xf>
    <xf numFmtId="0" fontId="30" fillId="20" borderId="2" xfId="0" applyFont="1" applyFill="1" applyBorder="1" applyAlignment="1" applyProtection="1">
      <alignment horizontal="center" vertical="center"/>
      <protection locked="0"/>
    </xf>
    <xf numFmtId="0" fontId="51" fillId="5" borderId="0" xfId="0" applyFont="1" applyFill="1" applyAlignment="1" applyProtection="1">
      <alignment vertical="center"/>
      <protection locked="0"/>
    </xf>
    <xf numFmtId="10" fontId="49" fillId="3" borderId="2" xfId="0" applyNumberFormat="1" applyFont="1" applyFill="1" applyBorder="1" applyAlignment="1" applyProtection="1">
      <alignment horizontal="center" vertical="center"/>
      <protection locked="0"/>
    </xf>
    <xf numFmtId="9" fontId="49" fillId="6" borderId="2" xfId="1" applyFont="1" applyFill="1" applyBorder="1" applyAlignment="1">
      <alignment horizontal="center" vertical="center"/>
    </xf>
    <xf numFmtId="0" fontId="38" fillId="0" borderId="37" xfId="9" applyFont="1" applyBorder="1" applyAlignment="1">
      <alignment vertical="center"/>
    </xf>
    <xf numFmtId="0" fontId="52" fillId="0" borderId="37" xfId="9" applyFont="1" applyBorder="1" applyAlignment="1">
      <alignment vertical="center"/>
    </xf>
    <xf numFmtId="0" fontId="38" fillId="0" borderId="37" xfId="0" applyFont="1" applyBorder="1" applyAlignment="1">
      <alignment vertical="center"/>
    </xf>
    <xf numFmtId="0" fontId="38" fillId="6" borderId="37" xfId="0" applyFont="1" applyFill="1" applyBorder="1" applyAlignment="1">
      <alignment vertical="center"/>
    </xf>
    <xf numFmtId="0" fontId="38" fillId="0" borderId="38" xfId="9" applyFont="1" applyBorder="1"/>
    <xf numFmtId="0" fontId="38" fillId="6" borderId="0" xfId="9" applyFont="1" applyFill="1"/>
    <xf numFmtId="0" fontId="38" fillId="6" borderId="37" xfId="9" applyFont="1" applyFill="1" applyBorder="1"/>
    <xf numFmtId="0" fontId="38" fillId="0" borderId="37" xfId="9" applyFont="1" applyBorder="1"/>
    <xf numFmtId="0" fontId="38" fillId="0" borderId="37" xfId="9" applyFont="1" applyBorder="1" applyAlignment="1">
      <alignment wrapText="1"/>
    </xf>
    <xf numFmtId="195" fontId="38" fillId="0" borderId="37" xfId="9" applyNumberFormat="1" applyFont="1" applyBorder="1"/>
    <xf numFmtId="0" fontId="38" fillId="6" borderId="37" xfId="9" applyFont="1" applyFill="1" applyBorder="1" applyAlignment="1">
      <alignment vertical="center"/>
    </xf>
    <xf numFmtId="0" fontId="54" fillId="0" borderId="51" xfId="9" applyFont="1" applyBorder="1" applyAlignment="1">
      <alignment vertical="center"/>
    </xf>
    <xf numFmtId="0" fontId="55" fillId="0" borderId="51" xfId="9" applyFont="1" applyBorder="1" applyAlignment="1">
      <alignment vertical="center"/>
    </xf>
    <xf numFmtId="0" fontId="55" fillId="0" borderId="51" xfId="9" applyFont="1" applyBorder="1" applyAlignment="1">
      <alignment vertical="center" wrapText="1"/>
    </xf>
    <xf numFmtId="195" fontId="55" fillId="0" borderId="51" xfId="9" applyNumberFormat="1" applyFont="1" applyBorder="1" applyAlignment="1" applyProtection="1">
      <alignment vertical="center"/>
      <protection locked="0"/>
    </xf>
    <xf numFmtId="195" fontId="55" fillId="0" borderId="51" xfId="9" applyNumberFormat="1" applyFont="1" applyBorder="1" applyAlignment="1">
      <alignment vertical="center"/>
    </xf>
    <xf numFmtId="0" fontId="54" fillId="0" borderId="37" xfId="9" applyFont="1" applyBorder="1" applyAlignment="1">
      <alignment vertical="center"/>
    </xf>
    <xf numFmtId="0" fontId="55" fillId="6" borderId="37" xfId="9" applyFont="1" applyFill="1" applyBorder="1" applyAlignment="1">
      <alignment vertical="center"/>
    </xf>
    <xf numFmtId="0" fontId="55" fillId="0" borderId="37" xfId="9" applyFont="1" applyBorder="1" applyAlignment="1">
      <alignment vertical="center" wrapText="1"/>
    </xf>
    <xf numFmtId="195" fontId="38" fillId="0" borderId="37" xfId="9" applyNumberFormat="1" applyFont="1" applyBorder="1" applyAlignment="1">
      <alignment vertical="center"/>
    </xf>
    <xf numFmtId="195" fontId="56" fillId="0" borderId="37" xfId="9" applyNumberFormat="1" applyFont="1" applyBorder="1" applyAlignment="1">
      <alignment vertical="center"/>
    </xf>
    <xf numFmtId="195" fontId="55" fillId="0" borderId="37" xfId="9" applyNumberFormat="1" applyFont="1" applyBorder="1" applyAlignment="1">
      <alignment vertical="center"/>
    </xf>
    <xf numFmtId="0" fontId="55" fillId="0" borderId="37" xfId="9" applyFont="1" applyBorder="1" applyAlignment="1">
      <alignment vertical="center"/>
    </xf>
    <xf numFmtId="0" fontId="52" fillId="6" borderId="37" xfId="9" applyFont="1" applyFill="1" applyBorder="1" applyAlignment="1">
      <alignment vertical="center"/>
    </xf>
    <xf numFmtId="0" fontId="54" fillId="4" borderId="38" xfId="9" applyFont="1" applyFill="1" applyBorder="1" applyAlignment="1">
      <alignment horizontal="left" vertical="center"/>
    </xf>
    <xf numFmtId="0" fontId="8" fillId="4" borderId="39" xfId="9" applyFont="1" applyFill="1" applyBorder="1" applyAlignment="1">
      <alignment vertical="center"/>
    </xf>
    <xf numFmtId="0" fontId="6" fillId="6" borderId="41" xfId="9" applyFont="1" applyFill="1" applyBorder="1" applyAlignment="1">
      <alignment vertical="center" wrapText="1"/>
    </xf>
    <xf numFmtId="195" fontId="54" fillId="4" borderId="38" xfId="9" applyNumberFormat="1" applyFont="1" applyFill="1" applyBorder="1" applyAlignment="1">
      <alignment horizontal="left" vertical="center"/>
    </xf>
    <xf numFmtId="195" fontId="54" fillId="0" borderId="38" xfId="9" applyNumberFormat="1" applyFont="1" applyBorder="1" applyAlignment="1">
      <alignment horizontal="center" vertical="center"/>
    </xf>
    <xf numFmtId="195" fontId="56" fillId="0" borderId="38" xfId="9" applyNumberFormat="1" applyFont="1" applyBorder="1" applyAlignment="1">
      <alignment vertical="center"/>
    </xf>
    <xf numFmtId="0" fontId="52" fillId="0" borderId="38" xfId="9" applyFont="1" applyBorder="1" applyAlignment="1">
      <alignment vertical="center"/>
    </xf>
    <xf numFmtId="195" fontId="54" fillId="4" borderId="38" xfId="9" applyNumberFormat="1" applyFont="1" applyFill="1" applyBorder="1" applyAlignment="1">
      <alignment vertical="center"/>
    </xf>
    <xf numFmtId="0" fontId="52" fillId="6" borderId="52" xfId="9" applyFont="1" applyFill="1" applyBorder="1" applyAlignment="1">
      <alignment vertical="center"/>
    </xf>
    <xf numFmtId="0" fontId="56" fillId="6" borderId="0" xfId="9" applyFont="1" applyFill="1" applyAlignment="1">
      <alignment vertical="center"/>
    </xf>
    <xf numFmtId="0" fontId="56" fillId="0" borderId="0" xfId="9" applyFont="1" applyAlignment="1">
      <alignment vertical="center" wrapText="1"/>
    </xf>
    <xf numFmtId="0" fontId="57" fillId="6" borderId="0" xfId="9" applyFont="1" applyFill="1" applyAlignment="1">
      <alignment vertical="center"/>
    </xf>
    <xf numFmtId="43" fontId="56" fillId="6" borderId="0" xfId="9" applyNumberFormat="1" applyFont="1" applyFill="1" applyAlignment="1">
      <alignment vertical="center"/>
    </xf>
    <xf numFmtId="195" fontId="56" fillId="6" borderId="0" xfId="9" applyNumberFormat="1" applyFont="1" applyFill="1" applyAlignment="1">
      <alignment vertical="center"/>
    </xf>
    <xf numFmtId="0" fontId="38" fillId="6" borderId="0" xfId="9" applyFont="1" applyFill="1" applyAlignment="1">
      <alignment vertical="center"/>
    </xf>
    <xf numFmtId="0" fontId="52" fillId="0" borderId="53" xfId="9" applyFont="1" applyBorder="1" applyAlignment="1">
      <alignment vertical="center"/>
    </xf>
    <xf numFmtId="0" fontId="54" fillId="6" borderId="44" xfId="9" applyFont="1" applyFill="1" applyBorder="1" applyAlignment="1">
      <alignment horizontal="left" vertical="center"/>
    </xf>
    <xf numFmtId="0" fontId="8" fillId="6" borderId="44" xfId="9" applyFont="1" applyFill="1" applyBorder="1" applyAlignment="1">
      <alignment vertical="center"/>
    </xf>
    <xf numFmtId="0" fontId="6" fillId="6" borderId="45" xfId="9" applyFont="1" applyFill="1" applyBorder="1" applyAlignment="1">
      <alignment vertical="center" wrapText="1"/>
    </xf>
    <xf numFmtId="43" fontId="56" fillId="6" borderId="0" xfId="9" applyNumberFormat="1" applyFont="1" applyFill="1" applyAlignment="1">
      <alignment horizontal="left" vertical="center"/>
    </xf>
    <xf numFmtId="43" fontId="56" fillId="6" borderId="45" xfId="9" applyNumberFormat="1" applyFont="1" applyFill="1" applyBorder="1" applyAlignment="1">
      <alignment horizontal="left" vertical="center"/>
    </xf>
    <xf numFmtId="195" fontId="54" fillId="6" borderId="54" xfId="9" applyNumberFormat="1" applyFont="1" applyFill="1" applyBorder="1" applyAlignment="1">
      <alignment horizontal="center" vertical="center"/>
    </xf>
    <xf numFmtId="195" fontId="56" fillId="6" borderId="54" xfId="9" applyNumberFormat="1" applyFont="1" applyFill="1" applyBorder="1" applyAlignment="1">
      <alignment vertical="center"/>
    </xf>
    <xf numFmtId="0" fontId="52" fillId="6" borderId="54" xfId="9" applyFont="1" applyFill="1" applyBorder="1" applyAlignment="1">
      <alignment vertical="center"/>
    </xf>
    <xf numFmtId="195" fontId="54" fillId="6" borderId="54" xfId="9" applyNumberFormat="1" applyFont="1" applyFill="1" applyBorder="1" applyAlignment="1">
      <alignment vertical="center"/>
    </xf>
    <xf numFmtId="0" fontId="8" fillId="6" borderId="44" xfId="9" applyFont="1" applyFill="1" applyBorder="1" applyAlignment="1">
      <alignment horizontal="left" vertical="center"/>
    </xf>
    <xf numFmtId="0" fontId="6" fillId="6" borderId="45" xfId="9" applyFont="1" applyFill="1" applyBorder="1" applyAlignment="1">
      <alignment horizontal="left" vertical="center"/>
    </xf>
    <xf numFmtId="0" fontId="38" fillId="0" borderId="37" xfId="9" applyFont="1" applyBorder="1" applyAlignment="1">
      <alignment vertical="center" wrapText="1"/>
    </xf>
    <xf numFmtId="43" fontId="38" fillId="6" borderId="37" xfId="9" applyNumberFormat="1" applyFont="1" applyFill="1" applyBorder="1" applyAlignment="1">
      <alignment vertical="center"/>
    </xf>
    <xf numFmtId="0" fontId="54" fillId="0" borderId="54" xfId="9" applyFont="1" applyBorder="1" applyAlignment="1">
      <alignment vertical="center"/>
    </xf>
    <xf numFmtId="0" fontId="56" fillId="0" borderId="44" xfId="9" applyFont="1" applyBorder="1" applyAlignment="1">
      <alignment vertical="center"/>
    </xf>
    <xf numFmtId="0" fontId="56" fillId="0" borderId="54" xfId="9" applyFont="1" applyBorder="1" applyAlignment="1">
      <alignment vertical="center" wrapText="1"/>
    </xf>
    <xf numFmtId="43" fontId="56" fillId="6" borderId="54" xfId="9" applyNumberFormat="1" applyFont="1" applyFill="1" applyBorder="1" applyAlignment="1">
      <alignment vertical="center"/>
    </xf>
    <xf numFmtId="0" fontId="38" fillId="6" borderId="52" xfId="9" applyFont="1" applyFill="1" applyBorder="1" applyAlignment="1">
      <alignment vertical="center"/>
    </xf>
    <xf numFmtId="195" fontId="60" fillId="17" borderId="2" xfId="9" applyNumberFormat="1" applyFont="1" applyFill="1" applyBorder="1" applyAlignment="1">
      <alignment horizontal="center" vertical="center"/>
    </xf>
    <xf numFmtId="195" fontId="61" fillId="17" borderId="2" xfId="9" applyNumberFormat="1" applyFont="1" applyFill="1" applyBorder="1" applyAlignment="1">
      <alignment horizontal="center" vertical="center"/>
    </xf>
    <xf numFmtId="0" fontId="38" fillId="0" borderId="53" xfId="9" applyFont="1" applyBorder="1" applyAlignment="1">
      <alignment vertical="center"/>
    </xf>
    <xf numFmtId="0" fontId="62" fillId="21" borderId="55" xfId="9" applyFont="1" applyFill="1" applyBorder="1" applyAlignment="1">
      <alignment horizontal="left" vertical="center"/>
    </xf>
    <xf numFmtId="0" fontId="52" fillId="21" borderId="56" xfId="9" applyFont="1" applyFill="1" applyBorder="1" applyAlignment="1">
      <alignment vertical="center"/>
    </xf>
    <xf numFmtId="0" fontId="52" fillId="21" borderId="56" xfId="9" applyFont="1" applyFill="1" applyBorder="1" applyAlignment="1">
      <alignment vertical="center" wrapText="1"/>
    </xf>
    <xf numFmtId="195" fontId="52" fillId="21" borderId="56" xfId="9" applyNumberFormat="1" applyFont="1" applyFill="1" applyBorder="1" applyAlignment="1">
      <alignment horizontal="center" vertical="center"/>
    </xf>
    <xf numFmtId="0" fontId="38" fillId="10" borderId="57" xfId="9" applyFont="1" applyFill="1" applyBorder="1" applyAlignment="1">
      <alignment horizontal="left" vertical="center"/>
    </xf>
    <xf numFmtId="0" fontId="35" fillId="10" borderId="57" xfId="9" applyFont="1" applyFill="1" applyBorder="1" applyAlignment="1">
      <alignment vertical="center"/>
    </xf>
    <xf numFmtId="0" fontId="38" fillId="10" borderId="57" xfId="9" applyFont="1" applyFill="1" applyBorder="1" applyAlignment="1">
      <alignment vertical="center" wrapText="1"/>
    </xf>
    <xf numFmtId="0" fontId="38" fillId="10" borderId="57" xfId="9" applyFont="1" applyFill="1" applyBorder="1" applyAlignment="1">
      <alignment vertical="center"/>
    </xf>
    <xf numFmtId="195" fontId="38" fillId="10" borderId="37" xfId="9" applyNumberFormat="1" applyFont="1" applyFill="1" applyBorder="1" applyAlignment="1">
      <alignment horizontal="center" vertical="center"/>
    </xf>
    <xf numFmtId="195" fontId="38" fillId="10" borderId="57" xfId="9" applyNumberFormat="1" applyFont="1" applyFill="1" applyBorder="1" applyAlignment="1">
      <alignment horizontal="center" vertical="center"/>
    </xf>
    <xf numFmtId="0" fontId="38" fillId="4" borderId="37" xfId="9" applyFont="1" applyFill="1" applyBorder="1" applyAlignment="1">
      <alignment horizontal="left" vertical="center"/>
    </xf>
    <xf numFmtId="0" fontId="34" fillId="4" borderId="37" xfId="9" applyFont="1" applyFill="1" applyBorder="1" applyAlignment="1">
      <alignment vertical="center" wrapText="1"/>
    </xf>
    <xf numFmtId="195" fontId="38" fillId="22" borderId="37" xfId="9" applyNumberFormat="1" applyFont="1" applyFill="1" applyBorder="1" applyAlignment="1">
      <alignment horizontal="center" vertical="center"/>
    </xf>
    <xf numFmtId="0" fontId="38" fillId="10" borderId="37" xfId="9" applyFont="1" applyFill="1" applyBorder="1" applyAlignment="1">
      <alignment horizontal="left" vertical="center"/>
    </xf>
    <xf numFmtId="0" fontId="34" fillId="10" borderId="37" xfId="9" applyFont="1" applyFill="1" applyBorder="1" applyAlignment="1">
      <alignment vertical="center"/>
    </xf>
    <xf numFmtId="0" fontId="38" fillId="10" borderId="37" xfId="9" applyFont="1" applyFill="1" applyBorder="1" applyAlignment="1">
      <alignment vertical="center" wrapText="1"/>
    </xf>
    <xf numFmtId="0" fontId="38" fillId="10" borderId="37" xfId="9" applyFont="1" applyFill="1" applyBorder="1" applyAlignment="1">
      <alignment vertical="center"/>
    </xf>
    <xf numFmtId="0" fontId="38" fillId="4" borderId="37" xfId="9" applyFont="1" applyFill="1" applyBorder="1" applyAlignment="1">
      <alignment vertical="center" wrapText="1"/>
    </xf>
    <xf numFmtId="0" fontId="38" fillId="23" borderId="61" xfId="9" applyFont="1" applyFill="1" applyBorder="1" applyAlignment="1">
      <alignment vertical="center"/>
    </xf>
    <xf numFmtId="195" fontId="52" fillId="23" borderId="61" xfId="9" applyNumberFormat="1" applyFont="1" applyFill="1" applyBorder="1" applyAlignment="1">
      <alignment horizontal="center" vertical="center"/>
    </xf>
    <xf numFmtId="0" fontId="38" fillId="4" borderId="54" xfId="9" applyFont="1" applyFill="1" applyBorder="1" applyAlignment="1">
      <alignment horizontal="left" vertical="center"/>
    </xf>
    <xf numFmtId="0" fontId="38" fillId="6" borderId="38" xfId="9" applyFont="1" applyFill="1" applyBorder="1" applyAlignment="1">
      <alignment vertical="center"/>
    </xf>
    <xf numFmtId="195" fontId="38" fillId="22" borderId="38" xfId="9" applyNumberFormat="1" applyFont="1" applyFill="1" applyBorder="1" applyAlignment="1">
      <alignment horizontal="center" vertical="center"/>
    </xf>
    <xf numFmtId="0" fontId="38" fillId="6" borderId="54" xfId="9" applyFont="1" applyFill="1" applyBorder="1" applyAlignment="1">
      <alignment vertical="center"/>
    </xf>
    <xf numFmtId="0" fontId="38" fillId="6" borderId="54" xfId="9" applyFont="1" applyFill="1" applyBorder="1" applyAlignment="1">
      <alignment horizontal="left" vertical="center"/>
    </xf>
    <xf numFmtId="0" fontId="38" fillId="6" borderId="57" xfId="9" applyFont="1" applyFill="1" applyBorder="1" applyAlignment="1">
      <alignment vertical="center" wrapText="1"/>
    </xf>
    <xf numFmtId="195" fontId="38" fillId="6" borderId="57" xfId="9" applyNumberFormat="1" applyFont="1" applyFill="1" applyBorder="1" applyAlignment="1">
      <alignment horizontal="center" vertical="center"/>
    </xf>
    <xf numFmtId="195" fontId="38" fillId="6" borderId="54" xfId="9" applyNumberFormat="1" applyFont="1" applyFill="1" applyBorder="1" applyAlignment="1">
      <alignment horizontal="center" vertical="center"/>
    </xf>
    <xf numFmtId="0" fontId="62" fillId="24" borderId="62" xfId="9" applyFont="1" applyFill="1" applyBorder="1" applyAlignment="1">
      <alignment vertical="center"/>
    </xf>
    <xf numFmtId="0" fontId="63" fillId="24" borderId="62" xfId="9" applyFont="1" applyFill="1" applyBorder="1" applyAlignment="1">
      <alignment vertical="center"/>
    </xf>
    <xf numFmtId="0" fontId="38" fillId="24" borderId="62" xfId="9" applyFont="1" applyFill="1" applyBorder="1" applyAlignment="1">
      <alignment vertical="center" wrapText="1"/>
    </xf>
    <xf numFmtId="0" fontId="38" fillId="24" borderId="62" xfId="9" applyFont="1" applyFill="1" applyBorder="1" applyAlignment="1">
      <alignment vertical="center"/>
    </xf>
    <xf numFmtId="195" fontId="52" fillId="23" borderId="63" xfId="9" applyNumberFormat="1" applyFont="1" applyFill="1" applyBorder="1" applyAlignment="1">
      <alignment horizontal="center" vertical="center"/>
    </xf>
    <xf numFmtId="0" fontId="38" fillId="4" borderId="57" xfId="0" applyFont="1" applyFill="1" applyBorder="1" applyAlignment="1">
      <alignment horizontal="left" vertical="center"/>
    </xf>
    <xf numFmtId="0" fontId="34" fillId="4" borderId="57" xfId="0" applyFont="1" applyFill="1" applyBorder="1" applyAlignment="1">
      <alignment vertical="center"/>
    </xf>
    <xf numFmtId="0" fontId="34" fillId="4" borderId="57" xfId="0" applyFont="1" applyFill="1" applyBorder="1" applyAlignment="1">
      <alignment vertical="center" wrapText="1"/>
    </xf>
    <xf numFmtId="0" fontId="38" fillId="6" borderId="57" xfId="0" applyFont="1" applyFill="1" applyBorder="1" applyAlignment="1">
      <alignment vertical="center"/>
    </xf>
    <xf numFmtId="0" fontId="38" fillId="6" borderId="57" xfId="0" applyFont="1" applyFill="1" applyBorder="1" applyAlignment="1">
      <alignment horizontal="left" vertical="center"/>
    </xf>
    <xf numFmtId="0" fontId="38" fillId="6" borderId="57" xfId="0" applyFont="1" applyFill="1" applyBorder="1" applyAlignment="1">
      <alignment vertical="center" wrapText="1"/>
    </xf>
    <xf numFmtId="195" fontId="38" fillId="6" borderId="57" xfId="0" applyNumberFormat="1" applyFont="1" applyFill="1" applyBorder="1" applyAlignment="1">
      <alignment horizontal="center" vertical="center"/>
    </xf>
    <xf numFmtId="0" fontId="63" fillId="24" borderId="62" xfId="9" applyFont="1" applyFill="1" applyBorder="1" applyAlignment="1">
      <alignment vertical="center" wrapText="1"/>
    </xf>
    <xf numFmtId="0" fontId="38" fillId="6" borderId="37" xfId="0" applyFont="1" applyFill="1" applyBorder="1" applyAlignment="1">
      <alignment horizontal="left" vertical="center"/>
    </xf>
    <xf numFmtId="0" fontId="38" fillId="6" borderId="37" xfId="0" applyFont="1" applyFill="1" applyBorder="1" applyAlignment="1">
      <alignment vertical="center" wrapText="1"/>
    </xf>
    <xf numFmtId="195" fontId="38" fillId="6" borderId="37" xfId="9" applyNumberFormat="1" applyFont="1" applyFill="1" applyBorder="1" applyAlignment="1">
      <alignment vertical="center"/>
    </xf>
    <xf numFmtId="0" fontId="62" fillId="24" borderId="64" xfId="9" applyFont="1" applyFill="1" applyBorder="1" applyAlignment="1">
      <alignment vertical="center"/>
    </xf>
    <xf numFmtId="0" fontId="63" fillId="24" borderId="64" xfId="9" applyFont="1" applyFill="1" applyBorder="1" applyAlignment="1">
      <alignment vertical="center"/>
    </xf>
    <xf numFmtId="0" fontId="38" fillId="24" borderId="64" xfId="9" applyFont="1" applyFill="1" applyBorder="1" applyAlignment="1">
      <alignment vertical="center" wrapText="1"/>
    </xf>
    <xf numFmtId="0" fontId="38" fillId="24" borderId="64" xfId="9" applyFont="1" applyFill="1" applyBorder="1" applyAlignment="1">
      <alignment vertical="center"/>
    </xf>
    <xf numFmtId="195" fontId="52" fillId="24" borderId="64" xfId="9" applyNumberFormat="1" applyFont="1" applyFill="1" applyBorder="1" applyAlignment="1">
      <alignment horizontal="center" vertical="center"/>
    </xf>
    <xf numFmtId="0" fontId="38" fillId="0" borderId="37" xfId="0" applyFont="1" applyBorder="1" applyAlignment="1">
      <alignment horizontal="left" vertical="center"/>
    </xf>
    <xf numFmtId="0" fontId="38" fillId="0" borderId="37" xfId="0" applyFont="1" applyBorder="1" applyAlignment="1">
      <alignment vertical="center" wrapText="1"/>
    </xf>
    <xf numFmtId="195" fontId="38" fillId="0" borderId="53" xfId="9" applyNumberFormat="1" applyFont="1" applyBorder="1" applyAlignment="1">
      <alignment vertical="center"/>
    </xf>
    <xf numFmtId="0" fontId="38" fillId="4" borderId="57" xfId="0" applyFont="1" applyFill="1" applyBorder="1" applyAlignment="1">
      <alignment vertical="center"/>
    </xf>
    <xf numFmtId="0" fontId="62" fillId="24" borderId="65" xfId="9" applyFont="1" applyFill="1" applyBorder="1" applyAlignment="1">
      <alignment vertical="center"/>
    </xf>
    <xf numFmtId="0" fontId="63" fillId="24" borderId="65" xfId="9" applyFont="1" applyFill="1" applyBorder="1" applyAlignment="1">
      <alignment vertical="center"/>
    </xf>
    <xf numFmtId="0" fontId="38" fillId="24" borderId="65" xfId="9" applyFont="1" applyFill="1" applyBorder="1" applyAlignment="1">
      <alignment vertical="center" wrapText="1"/>
    </xf>
    <xf numFmtId="0" fontId="38" fillId="4" borderId="57" xfId="0" applyFont="1" applyFill="1" applyBorder="1" applyAlignment="1">
      <alignment vertical="center" wrapText="1"/>
    </xf>
    <xf numFmtId="0" fontId="38" fillId="6" borderId="53" xfId="0" applyFont="1" applyFill="1" applyBorder="1" applyAlignment="1">
      <alignment vertical="center"/>
    </xf>
    <xf numFmtId="0" fontId="38" fillId="6" borderId="41" xfId="0" applyFont="1" applyFill="1" applyBorder="1" applyAlignment="1">
      <alignment vertical="center"/>
    </xf>
    <xf numFmtId="0" fontId="38" fillId="6" borderId="43" xfId="9" applyFont="1" applyFill="1" applyBorder="1" applyAlignment="1">
      <alignment vertical="center"/>
    </xf>
    <xf numFmtId="0" fontId="38" fillId="0" borderId="38" xfId="0" applyFont="1" applyBorder="1" applyAlignment="1">
      <alignment horizontal="left" vertical="center"/>
    </xf>
    <xf numFmtId="0" fontId="38" fillId="0" borderId="38" xfId="0" applyFont="1" applyBorder="1" applyAlignment="1">
      <alignment vertical="center" wrapText="1"/>
    </xf>
    <xf numFmtId="0" fontId="38" fillId="0" borderId="38" xfId="0" applyFont="1" applyBorder="1" applyAlignment="1">
      <alignment vertical="center"/>
    </xf>
    <xf numFmtId="195" fontId="38" fillId="0" borderId="41" xfId="9" applyNumberFormat="1" applyFont="1" applyBorder="1" applyAlignment="1">
      <alignment vertical="center"/>
    </xf>
    <xf numFmtId="0" fontId="38" fillId="6" borderId="45" xfId="9" applyFont="1" applyFill="1" applyBorder="1" applyAlignment="1">
      <alignment vertical="center"/>
    </xf>
    <xf numFmtId="0" fontId="38" fillId="6" borderId="54" xfId="9" applyFont="1" applyFill="1" applyBorder="1" applyAlignment="1">
      <alignment vertical="center" wrapText="1"/>
    </xf>
    <xf numFmtId="0" fontId="38" fillId="6" borderId="57" xfId="9" applyFont="1" applyFill="1" applyBorder="1" applyAlignment="1">
      <alignment vertical="center"/>
    </xf>
    <xf numFmtId="0" fontId="38" fillId="6" borderId="38" xfId="9" applyFont="1" applyFill="1" applyBorder="1"/>
    <xf numFmtId="0" fontId="38" fillId="0" borderId="66" xfId="9" applyFont="1" applyBorder="1"/>
    <xf numFmtId="0" fontId="38" fillId="0" borderId="66" xfId="9" applyFont="1" applyBorder="1" applyAlignment="1">
      <alignment wrapText="1"/>
    </xf>
    <xf numFmtId="195" fontId="38" fillId="0" borderId="66" xfId="9" applyNumberFormat="1" applyFont="1" applyBorder="1"/>
    <xf numFmtId="0" fontId="38" fillId="0" borderId="54" xfId="9" applyFont="1" applyBorder="1"/>
    <xf numFmtId="0" fontId="38" fillId="0" borderId="54" xfId="9" applyFont="1" applyBorder="1" applyAlignment="1">
      <alignment wrapText="1"/>
    </xf>
    <xf numFmtId="195" fontId="38" fillId="0" borderId="54" xfId="9" applyNumberFormat="1" applyFont="1" applyBorder="1"/>
    <xf numFmtId="0" fontId="64" fillId="0" borderId="0" xfId="0" applyFont="1" applyAlignment="1">
      <alignment vertical="center"/>
    </xf>
    <xf numFmtId="31" fontId="64" fillId="0" borderId="0" xfId="0" applyNumberFormat="1" applyFont="1" applyAlignment="1">
      <alignment vertical="center"/>
    </xf>
    <xf numFmtId="0" fontId="64" fillId="0" borderId="0" xfId="0" applyFont="1" applyAlignment="1">
      <alignment vertical="center" wrapText="1"/>
    </xf>
    <xf numFmtId="0" fontId="88" fillId="26" borderId="68" xfId="0" applyFont="1" applyFill="1" applyBorder="1" applyAlignment="1">
      <alignment horizontal="center" vertical="center"/>
    </xf>
    <xf numFmtId="0" fontId="78" fillId="26" borderId="69" xfId="0" applyFont="1" applyFill="1" applyBorder="1" applyAlignment="1">
      <alignment vertical="center" wrapText="1"/>
    </xf>
    <xf numFmtId="0" fontId="78" fillId="0" borderId="69" xfId="0" applyFont="1" applyBorder="1" applyAlignment="1">
      <alignment vertical="center" wrapText="1"/>
    </xf>
    <xf numFmtId="0" fontId="62" fillId="26" borderId="69" xfId="0" applyFont="1" applyFill="1" applyBorder="1" applyAlignment="1">
      <alignment horizontal="center" vertical="center" wrapText="1"/>
    </xf>
    <xf numFmtId="0" fontId="78" fillId="26" borderId="69" xfId="0" applyFont="1" applyFill="1" applyBorder="1" applyAlignment="1">
      <alignment horizontal="right" vertical="center"/>
    </xf>
    <xf numFmtId="0" fontId="78" fillId="26" borderId="69" xfId="0" applyFont="1" applyFill="1" applyBorder="1" applyAlignment="1">
      <alignment vertical="center"/>
    </xf>
    <xf numFmtId="0" fontId="78" fillId="27" borderId="69" xfId="0" applyFont="1" applyFill="1" applyBorder="1" applyAlignment="1">
      <alignment horizontal="center" vertical="center"/>
    </xf>
    <xf numFmtId="0" fontId="88" fillId="26" borderId="69" xfId="0" applyFont="1" applyFill="1" applyBorder="1" applyAlignment="1">
      <alignment vertical="center" wrapText="1"/>
    </xf>
    <xf numFmtId="0" fontId="88" fillId="26" borderId="69" xfId="0" applyFont="1" applyFill="1" applyBorder="1" applyAlignment="1">
      <alignment horizontal="center" vertical="center" wrapText="1"/>
    </xf>
    <xf numFmtId="0" fontId="88" fillId="26" borderId="69" xfId="0" applyFont="1" applyFill="1" applyBorder="1" applyAlignment="1">
      <alignment horizontal="right" vertical="center"/>
    </xf>
    <xf numFmtId="0" fontId="88" fillId="26" borderId="69" xfId="0" applyFont="1" applyFill="1" applyBorder="1" applyAlignment="1">
      <alignment vertical="center"/>
    </xf>
    <xf numFmtId="0" fontId="88" fillId="27" borderId="69" xfId="0" applyFont="1" applyFill="1" applyBorder="1" applyAlignment="1">
      <alignment horizontal="center" vertical="center"/>
    </xf>
    <xf numFmtId="0" fontId="89" fillId="26" borderId="0" xfId="0" applyFont="1" applyFill="1" applyAlignment="1">
      <alignment vertical="center"/>
    </xf>
    <xf numFmtId="0" fontId="89" fillId="26" borderId="0" xfId="0" applyFont="1" applyFill="1" applyAlignment="1">
      <alignment vertical="center" wrapText="1"/>
    </xf>
    <xf numFmtId="0" fontId="32" fillId="28" borderId="70" xfId="0" applyFont="1" applyFill="1" applyBorder="1" applyAlignment="1">
      <alignment horizontal="center" vertical="center"/>
    </xf>
    <xf numFmtId="0" fontId="32" fillId="28" borderId="68" xfId="0" applyFont="1" applyFill="1" applyBorder="1" applyAlignment="1">
      <alignment horizontal="center" vertical="center"/>
    </xf>
    <xf numFmtId="181" fontId="29" fillId="0" borderId="2" xfId="0" applyNumberFormat="1" applyFont="1" applyBorder="1" applyAlignment="1">
      <alignment horizontal="center" vertical="center"/>
    </xf>
    <xf numFmtId="9" fontId="29" fillId="0" borderId="2" xfId="1" applyFont="1" applyFill="1" applyBorder="1" applyAlignment="1">
      <alignment horizontal="center" vertical="center"/>
    </xf>
    <xf numFmtId="0" fontId="28" fillId="0" borderId="71" xfId="0" applyFont="1" applyBorder="1" applyAlignment="1">
      <alignment horizontal="center" vertical="center" wrapText="1"/>
    </xf>
    <xf numFmtId="0" fontId="28" fillId="0" borderId="71" xfId="0" applyFont="1" applyBorder="1" applyAlignment="1">
      <alignment horizontal="left" vertical="center" wrapText="1"/>
    </xf>
    <xf numFmtId="186" fontId="28" fillId="0" borderId="71" xfId="0" applyNumberFormat="1" applyFont="1" applyBorder="1" applyAlignment="1">
      <alignment horizontal="left" vertical="center"/>
    </xf>
    <xf numFmtId="0" fontId="28" fillId="0" borderId="71" xfId="0" applyFont="1" applyBorder="1" applyAlignment="1">
      <alignment vertical="center"/>
    </xf>
    <xf numFmtId="186" fontId="28" fillId="0" borderId="71" xfId="0" applyNumberFormat="1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9" fillId="0" borderId="71" xfId="0" applyFont="1" applyBorder="1" applyAlignment="1">
      <alignment vertical="center"/>
    </xf>
    <xf numFmtId="0" fontId="32" fillId="0" borderId="2" xfId="0" applyFont="1" applyBorder="1" applyAlignment="1">
      <alignment vertical="center" wrapText="1"/>
    </xf>
    <xf numFmtId="0" fontId="29" fillId="0" borderId="71" xfId="0" applyFont="1" applyBorder="1" applyAlignment="1">
      <alignment horizontal="center" vertical="center"/>
    </xf>
    <xf numFmtId="0" fontId="0" fillId="0" borderId="71" xfId="0" applyBorder="1" applyAlignment="1">
      <alignment vertical="center"/>
    </xf>
    <xf numFmtId="0" fontId="32" fillId="0" borderId="2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 wrapText="1"/>
    </xf>
    <xf numFmtId="0" fontId="35" fillId="10" borderId="71" xfId="0" applyFont="1" applyFill="1" applyBorder="1" applyAlignment="1">
      <alignment vertical="center" wrapText="1"/>
    </xf>
    <xf numFmtId="0" fontId="33" fillId="10" borderId="71" xfId="0" applyFont="1" applyFill="1" applyBorder="1" applyAlignment="1">
      <alignment vertical="center" wrapText="1"/>
    </xf>
    <xf numFmtId="0" fontId="35" fillId="10" borderId="71" xfId="0" applyFont="1" applyFill="1" applyBorder="1" applyAlignment="1">
      <alignment horizontal="left" vertical="center"/>
    </xf>
    <xf numFmtId="0" fontId="36" fillId="0" borderId="71" xfId="0" applyFont="1" applyBorder="1" applyAlignment="1">
      <alignment horizontal="left" vertical="center"/>
    </xf>
    <xf numFmtId="0" fontId="36" fillId="10" borderId="71" xfId="0" applyFont="1" applyFill="1" applyBorder="1" applyAlignment="1">
      <alignment horizontal="left" vertical="center" wrapText="1"/>
    </xf>
    <xf numFmtId="0" fontId="34" fillId="10" borderId="4" xfId="0" applyFont="1" applyFill="1" applyBorder="1" applyAlignment="1" applyProtection="1">
      <alignment vertical="center" wrapText="1"/>
      <protection locked="0"/>
    </xf>
    <xf numFmtId="0" fontId="35" fillId="6" borderId="71" xfId="0" applyFont="1" applyFill="1" applyBorder="1" applyAlignment="1">
      <alignment horizontal="left" vertical="center"/>
    </xf>
    <xf numFmtId="0" fontId="34" fillId="6" borderId="71" xfId="0" applyFont="1" applyFill="1" applyBorder="1" applyAlignment="1" applyProtection="1">
      <alignment vertical="center" wrapText="1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4" fillId="3" borderId="2" xfId="0" applyFont="1" applyFill="1" applyBorder="1" applyAlignment="1">
      <alignment horizontal="center" vertical="center" wrapText="1"/>
    </xf>
    <xf numFmtId="177" fontId="5" fillId="3" borderId="2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77" fontId="5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1" fillId="2" borderId="8" xfId="0" applyFont="1" applyFill="1" applyBorder="1" applyAlignment="1" applyProtection="1">
      <alignment horizontal="center" vertical="center" wrapText="1"/>
      <protection locked="0"/>
    </xf>
    <xf numFmtId="0" fontId="1" fillId="2" borderId="10" xfId="0" applyFont="1" applyFill="1" applyBorder="1" applyAlignment="1" applyProtection="1">
      <alignment horizontal="center" vertical="center" wrapText="1"/>
      <protection locked="0"/>
    </xf>
    <xf numFmtId="0" fontId="1" fillId="2" borderId="9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195" fontId="61" fillId="17" borderId="2" xfId="9" applyNumberFormat="1" applyFont="1" applyFill="1" applyBorder="1" applyAlignment="1">
      <alignment horizontal="center" vertical="center"/>
    </xf>
    <xf numFmtId="0" fontId="63" fillId="23" borderId="58" xfId="9" applyFont="1" applyFill="1" applyBorder="1" applyAlignment="1">
      <alignment horizontal="left" vertical="center"/>
    </xf>
    <xf numFmtId="0" fontId="52" fillId="23" borderId="59" xfId="9" applyFont="1" applyFill="1" applyBorder="1" applyAlignment="1">
      <alignment horizontal="left" vertical="center"/>
    </xf>
    <xf numFmtId="0" fontId="52" fillId="23" borderId="60" xfId="9" applyFont="1" applyFill="1" applyBorder="1" applyAlignment="1">
      <alignment horizontal="left" vertical="center"/>
    </xf>
    <xf numFmtId="0" fontId="58" fillId="17" borderId="2" xfId="9" applyFont="1" applyFill="1" applyBorder="1" applyAlignment="1">
      <alignment horizontal="center" vertical="center"/>
    </xf>
    <xf numFmtId="0" fontId="59" fillId="17" borderId="2" xfId="9" applyFont="1" applyFill="1" applyBorder="1" applyAlignment="1">
      <alignment horizontal="center" vertical="center"/>
    </xf>
    <xf numFmtId="0" fontId="59" fillId="17" borderId="2" xfId="9" applyFont="1" applyFill="1" applyBorder="1" applyAlignment="1">
      <alignment horizontal="center" vertical="center" wrapText="1"/>
    </xf>
    <xf numFmtId="195" fontId="59" fillId="17" borderId="2" xfId="9" applyNumberFormat="1" applyFont="1" applyFill="1" applyBorder="1" applyAlignment="1">
      <alignment horizontal="center" vertical="center"/>
    </xf>
    <xf numFmtId="0" fontId="34" fillId="0" borderId="42" xfId="2" applyFont="1" applyBorder="1" applyAlignment="1">
      <alignment horizontal="left" vertical="center"/>
    </xf>
    <xf numFmtId="0" fontId="38" fillId="0" borderId="43" xfId="2" applyFont="1" applyBorder="1" applyAlignment="1">
      <alignment horizontal="left" vertical="center"/>
    </xf>
    <xf numFmtId="0" fontId="38" fillId="0" borderId="42" xfId="2" applyFont="1" applyBorder="1" applyAlignment="1">
      <alignment horizontal="left" vertical="center"/>
    </xf>
    <xf numFmtId="195" fontId="34" fillId="0" borderId="49" xfId="9" applyNumberFormat="1" applyFont="1" applyBorder="1" applyAlignment="1">
      <alignment horizontal="left"/>
    </xf>
    <xf numFmtId="195" fontId="38" fillId="0" borderId="50" xfId="9" applyNumberFormat="1" applyFont="1" applyBorder="1" applyAlignment="1">
      <alignment horizontal="left"/>
    </xf>
    <xf numFmtId="0" fontId="8" fillId="4" borderId="39" xfId="9" applyFont="1" applyFill="1" applyBorder="1" applyAlignment="1">
      <alignment horizontal="left" vertical="center"/>
    </xf>
    <xf numFmtId="0" fontId="6" fillId="4" borderId="41" xfId="9" applyFont="1" applyFill="1" applyBorder="1" applyAlignment="1">
      <alignment horizontal="left" vertical="center"/>
    </xf>
    <xf numFmtId="0" fontId="53" fillId="0" borderId="39" xfId="9" applyFont="1" applyBorder="1" applyAlignment="1">
      <alignment horizontal="center" vertical="center"/>
    </xf>
    <xf numFmtId="0" fontId="53" fillId="0" borderId="40" xfId="9" applyFont="1" applyBorder="1" applyAlignment="1">
      <alignment horizontal="center" vertical="center"/>
    </xf>
    <xf numFmtId="0" fontId="53" fillId="0" borderId="41" xfId="9" applyFont="1" applyBorder="1" applyAlignment="1">
      <alignment horizontal="center" vertical="center"/>
    </xf>
    <xf numFmtId="0" fontId="53" fillId="0" borderId="44" xfId="9" applyFont="1" applyBorder="1" applyAlignment="1">
      <alignment horizontal="center" vertical="center"/>
    </xf>
    <xf numFmtId="0" fontId="53" fillId="0" borderId="0" xfId="9" applyFont="1" applyAlignment="1">
      <alignment horizontal="center" vertical="center"/>
    </xf>
    <xf numFmtId="0" fontId="53" fillId="0" borderId="45" xfId="9" applyFont="1" applyBorder="1" applyAlignment="1">
      <alignment horizontal="center" vertical="center"/>
    </xf>
    <xf numFmtId="0" fontId="53" fillId="0" borderId="46" xfId="9" applyFont="1" applyBorder="1" applyAlignment="1">
      <alignment horizontal="center" vertical="center"/>
    </xf>
    <xf numFmtId="0" fontId="53" fillId="0" borderId="47" xfId="9" applyFont="1" applyBorder="1" applyAlignment="1">
      <alignment horizontal="center" vertical="center"/>
    </xf>
    <xf numFmtId="0" fontId="53" fillId="0" borderId="48" xfId="9" applyFont="1" applyBorder="1" applyAlignment="1">
      <alignment horizontal="center" vertical="center"/>
    </xf>
    <xf numFmtId="0" fontId="26" fillId="17" borderId="11" xfId="0" applyFont="1" applyFill="1" applyBorder="1" applyAlignment="1">
      <alignment horizontal="center" vertical="center"/>
    </xf>
    <xf numFmtId="0" fontId="26" fillId="17" borderId="12" xfId="0" applyFont="1" applyFill="1" applyBorder="1" applyAlignment="1">
      <alignment horizontal="center" vertical="center"/>
    </xf>
    <xf numFmtId="0" fontId="26" fillId="17" borderId="3" xfId="0" applyFont="1" applyFill="1" applyBorder="1" applyAlignment="1">
      <alignment horizontal="center" vertical="center"/>
    </xf>
    <xf numFmtId="0" fontId="26" fillId="17" borderId="4" xfId="0" applyFont="1" applyFill="1" applyBorder="1" applyAlignment="1">
      <alignment horizontal="center" vertical="center"/>
    </xf>
    <xf numFmtId="0" fontId="30" fillId="17" borderId="3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30" fillId="17" borderId="2" xfId="0" applyFont="1" applyFill="1" applyBorder="1" applyAlignment="1">
      <alignment horizontal="center" vertical="center"/>
    </xf>
    <xf numFmtId="0" fontId="26" fillId="17" borderId="2" xfId="0" applyFont="1" applyFill="1" applyBorder="1" applyAlignment="1">
      <alignment horizontal="center" vertical="center"/>
    </xf>
    <xf numFmtId="0" fontId="30" fillId="17" borderId="1" xfId="0" applyFont="1" applyFill="1" applyBorder="1" applyAlignment="1">
      <alignment horizontal="center" vertical="center"/>
    </xf>
    <xf numFmtId="0" fontId="30" fillId="17" borderId="4" xfId="0" applyFont="1" applyFill="1" applyBorder="1" applyAlignment="1">
      <alignment horizontal="center" vertical="center"/>
    </xf>
    <xf numFmtId="0" fontId="26" fillId="17" borderId="8" xfId="0" applyFont="1" applyFill="1" applyBorder="1" applyAlignment="1">
      <alignment horizontal="center" vertical="center"/>
    </xf>
    <xf numFmtId="0" fontId="26" fillId="17" borderId="9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30" fillId="20" borderId="2" xfId="0" applyFont="1" applyFill="1" applyBorder="1" applyAlignment="1" applyProtection="1">
      <alignment horizontal="left" vertical="center"/>
      <protection locked="0"/>
    </xf>
    <xf numFmtId="0" fontId="26" fillId="20" borderId="2" xfId="0" applyFont="1" applyFill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46" fillId="19" borderId="2" xfId="0" applyFont="1" applyFill="1" applyBorder="1" applyAlignment="1">
      <alignment horizontal="center" vertical="center"/>
    </xf>
    <xf numFmtId="0" fontId="30" fillId="20" borderId="8" xfId="0" applyFont="1" applyFill="1" applyBorder="1" applyAlignment="1" applyProtection="1">
      <alignment horizontal="left" vertical="center"/>
      <protection locked="0"/>
    </xf>
    <xf numFmtId="0" fontId="30" fillId="20" borderId="10" xfId="0" applyFont="1" applyFill="1" applyBorder="1" applyAlignment="1" applyProtection="1">
      <alignment horizontal="left" vertical="center"/>
      <protection locked="0"/>
    </xf>
    <xf numFmtId="0" fontId="30" fillId="20" borderId="9" xfId="0" applyFont="1" applyFill="1" applyBorder="1" applyAlignment="1" applyProtection="1">
      <alignment horizontal="left" vertical="center"/>
      <protection locked="0"/>
    </xf>
    <xf numFmtId="0" fontId="30" fillId="2" borderId="8" xfId="0" applyFont="1" applyFill="1" applyBorder="1" applyAlignment="1" applyProtection="1">
      <alignment horizontal="left" vertical="center"/>
      <protection locked="0"/>
    </xf>
    <xf numFmtId="0" fontId="30" fillId="2" borderId="10" xfId="0" applyFont="1" applyFill="1" applyBorder="1" applyAlignment="1" applyProtection="1">
      <alignment horizontal="left" vertical="center"/>
      <protection locked="0"/>
    </xf>
    <xf numFmtId="0" fontId="30" fillId="2" borderId="9" xfId="0" applyFont="1" applyFill="1" applyBorder="1" applyAlignment="1" applyProtection="1">
      <alignment horizontal="left" vertical="center"/>
      <protection locked="0"/>
    </xf>
    <xf numFmtId="0" fontId="30" fillId="2" borderId="2" xfId="0" applyFont="1" applyFill="1" applyBorder="1" applyAlignment="1" applyProtection="1">
      <alignment horizontal="left" vertical="center"/>
      <protection locked="0"/>
    </xf>
    <xf numFmtId="0" fontId="26" fillId="2" borderId="2" xfId="0" applyFont="1" applyFill="1" applyBorder="1" applyAlignment="1" applyProtection="1">
      <alignment horizontal="left" vertical="center"/>
      <protection locked="0"/>
    </xf>
    <xf numFmtId="0" fontId="47" fillId="19" borderId="2" xfId="0" applyFont="1" applyFill="1" applyBorder="1" applyAlignment="1" applyProtection="1">
      <alignment horizontal="left" vertical="center" wrapText="1"/>
      <protection locked="0"/>
    </xf>
    <xf numFmtId="178" fontId="48" fillId="11" borderId="6" xfId="0" applyNumberFormat="1" applyFont="1" applyFill="1" applyBorder="1" applyAlignment="1">
      <alignment horizontal="center" vertical="center"/>
    </xf>
    <xf numFmtId="178" fontId="48" fillId="11" borderId="36" xfId="0" applyNumberFormat="1" applyFont="1" applyFill="1" applyBorder="1" applyAlignment="1">
      <alignment horizontal="center" vertical="center"/>
    </xf>
    <xf numFmtId="0" fontId="14" fillId="5" borderId="0" xfId="0" applyFont="1" applyFill="1" applyAlignment="1" applyProtection="1">
      <alignment horizontal="center" vertical="center"/>
      <protection locked="0"/>
    </xf>
    <xf numFmtId="0" fontId="40" fillId="0" borderId="33" xfId="0" applyFont="1" applyBorder="1" applyAlignment="1">
      <alignment horizontal="center" vertical="center"/>
    </xf>
    <xf numFmtId="0" fontId="29" fillId="11" borderId="8" xfId="0" applyFont="1" applyFill="1" applyBorder="1" applyAlignment="1">
      <alignment horizontal="center" vertical="center"/>
    </xf>
    <xf numFmtId="0" fontId="29" fillId="11" borderId="9" xfId="0" applyFont="1" applyFill="1" applyBorder="1" applyAlignment="1">
      <alignment horizontal="center" vertical="center"/>
    </xf>
    <xf numFmtId="0" fontId="29" fillId="15" borderId="8" xfId="0" applyFont="1" applyFill="1" applyBorder="1" applyAlignment="1">
      <alignment horizontal="center" vertical="center"/>
    </xf>
    <xf numFmtId="0" fontId="29" fillId="15" borderId="9" xfId="0" applyFont="1" applyFill="1" applyBorder="1" applyAlignment="1">
      <alignment horizontal="center" vertical="center"/>
    </xf>
    <xf numFmtId="0" fontId="29" fillId="11" borderId="8" xfId="0" applyFont="1" applyFill="1" applyBorder="1" applyAlignment="1">
      <alignment horizontal="left" vertical="center"/>
    </xf>
    <xf numFmtId="0" fontId="32" fillId="11" borderId="10" xfId="0" applyFont="1" applyFill="1" applyBorder="1" applyAlignment="1">
      <alignment horizontal="left" vertical="center"/>
    </xf>
    <xf numFmtId="0" fontId="32" fillId="11" borderId="9" xfId="0" applyFont="1" applyFill="1" applyBorder="1" applyAlignment="1">
      <alignment horizontal="left" vertical="center"/>
    </xf>
    <xf numFmtId="0" fontId="29" fillId="5" borderId="8" xfId="0" applyFont="1" applyFill="1" applyBorder="1" applyAlignment="1">
      <alignment horizontal="left" vertical="center"/>
    </xf>
    <xf numFmtId="0" fontId="32" fillId="5" borderId="10" xfId="0" applyFont="1" applyFill="1" applyBorder="1" applyAlignment="1">
      <alignment horizontal="left" vertical="center"/>
    </xf>
    <xf numFmtId="0" fontId="32" fillId="5" borderId="9" xfId="0" applyFont="1" applyFill="1" applyBorder="1" applyAlignment="1">
      <alignment horizontal="left" vertical="center"/>
    </xf>
    <xf numFmtId="0" fontId="28" fillId="14" borderId="8" xfId="0" applyFont="1" applyFill="1" applyBorder="1" applyAlignment="1">
      <alignment horizontal="center" vertical="center"/>
    </xf>
    <xf numFmtId="0" fontId="28" fillId="14" borderId="9" xfId="0" applyFont="1" applyFill="1" applyBorder="1" applyAlignment="1">
      <alignment horizontal="center" vertical="center"/>
    </xf>
    <xf numFmtId="0" fontId="28" fillId="15" borderId="8" xfId="0" applyFont="1" applyFill="1" applyBorder="1" applyAlignment="1">
      <alignment horizontal="center" vertical="center"/>
    </xf>
    <xf numFmtId="0" fontId="28" fillId="15" borderId="9" xfId="0" applyFont="1" applyFill="1" applyBorder="1" applyAlignment="1">
      <alignment horizontal="center" vertical="center"/>
    </xf>
    <xf numFmtId="179" fontId="28" fillId="15" borderId="8" xfId="22" applyNumberFormat="1" applyFont="1" applyFill="1" applyBorder="1" applyAlignment="1">
      <alignment horizontal="center" vertical="center"/>
    </xf>
    <xf numFmtId="179" fontId="28" fillId="15" borderId="9" xfId="22" applyNumberFormat="1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/>
    </xf>
    <xf numFmtId="0" fontId="19" fillId="9" borderId="2" xfId="0" applyFont="1" applyFill="1" applyBorder="1" applyAlignment="1">
      <alignment horizontal="left" vertical="center"/>
    </xf>
    <xf numFmtId="0" fontId="24" fillId="9" borderId="2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left" vertical="center"/>
    </xf>
    <xf numFmtId="0" fontId="15" fillId="2" borderId="2" xfId="0" applyFont="1" applyFill="1" applyBorder="1" applyAlignment="1" applyProtection="1">
      <alignment horizontal="center" vertical="center"/>
      <protection locked="0"/>
    </xf>
    <xf numFmtId="0" fontId="15" fillId="2" borderId="2" xfId="0" applyFont="1" applyFill="1" applyBorder="1" applyAlignment="1" applyProtection="1">
      <alignment horizontal="center" vertical="center" wrapText="1"/>
      <protection locked="0"/>
    </xf>
    <xf numFmtId="0" fontId="13" fillId="5" borderId="5" xfId="0" applyFont="1" applyFill="1" applyBorder="1" applyAlignment="1" applyProtection="1">
      <alignment horizontal="center" vertical="center"/>
      <protection locked="0"/>
    </xf>
    <xf numFmtId="0" fontId="14" fillId="5" borderId="5" xfId="0" applyFont="1" applyFill="1" applyBorder="1" applyAlignment="1" applyProtection="1">
      <alignment horizontal="center" vertical="center"/>
      <protection locked="0"/>
    </xf>
  </cellXfs>
  <cellStyles count="23">
    <cellStyle name="Normal 2" xfId="2" xr:uid="{00000000-0005-0000-0000-000031000000}"/>
    <cellStyle name="SAPBEXaggData 2 4 3 2 2 5" xfId="3" xr:uid="{00000000-0005-0000-0000-000032000000}"/>
    <cellStyle name="百分比" xfId="1" builtinId="5"/>
    <cellStyle name="百分比 2" xfId="4" xr:uid="{00000000-0005-0000-0000-000033000000}"/>
    <cellStyle name="常规" xfId="0" builtinId="0"/>
    <cellStyle name="常规 2" xfId="5" xr:uid="{00000000-0005-0000-0000-000034000000}"/>
    <cellStyle name="常规 2 2" xfId="6" xr:uid="{00000000-0005-0000-0000-000035000000}"/>
    <cellStyle name="常规 2 3" xfId="7" xr:uid="{00000000-0005-0000-0000-000036000000}"/>
    <cellStyle name="常规 3" xfId="8" xr:uid="{00000000-0005-0000-0000-000037000000}"/>
    <cellStyle name="常规 4" xfId="9" xr:uid="{00000000-0005-0000-0000-000038000000}"/>
    <cellStyle name="常规 5" xfId="10" xr:uid="{00000000-0005-0000-0000-000039000000}"/>
    <cellStyle name="常规 6" xfId="11" xr:uid="{00000000-0005-0000-0000-00003A000000}"/>
    <cellStyle name="常规 8" xfId="12" xr:uid="{00000000-0005-0000-0000-00003B000000}"/>
    <cellStyle name="千分位 2 2" xfId="13" xr:uid="{00000000-0005-0000-0000-00003C000000}"/>
    <cellStyle name="千位分隔 2" xfId="14" xr:uid="{00000000-0005-0000-0000-00003D000000}"/>
    <cellStyle name="千位分隔 2 2" xfId="15" xr:uid="{00000000-0005-0000-0000-00003E000000}"/>
    <cellStyle name="千位分隔 3" xfId="16" xr:uid="{00000000-0005-0000-0000-00003F000000}"/>
    <cellStyle name="千位分隔 4" xfId="17" xr:uid="{00000000-0005-0000-0000-000040000000}"/>
    <cellStyle name="一般 2" xfId="18" xr:uid="{00000000-0005-0000-0000-000041000000}"/>
    <cellStyle name="一般 2 2" xfId="19" xr:uid="{00000000-0005-0000-0000-000042000000}"/>
    <cellStyle name="一般 3" xfId="20" xr:uid="{00000000-0005-0000-0000-000043000000}"/>
    <cellStyle name="一般_Greenhouse Gas Inventory2009" xfId="21" xr:uid="{00000000-0005-0000-0000-000044000000}"/>
    <cellStyle name="一般_排放清冊-台中廠-1127_DDB103900溫室氣體盤查清冊管理表" xfId="22" xr:uid="{00000000-0005-0000-0000-000045000000}"/>
  </cellStyles>
  <dxfs count="0"/>
  <tableStyles count="0" defaultTableStyle="TableStyleMedium2" defaultPivotStyle="PivotStyleLight16"/>
  <colors>
    <mruColors>
      <color rgb="FFFF6600"/>
      <color rgb="FFFABF8F"/>
      <color rgb="FFFFFF00"/>
      <color rgb="FFFF0000"/>
      <color rgb="FFC00000"/>
      <color rgb="FFA6A6A6"/>
      <color rgb="FFFFCC99"/>
      <color rgb="FFC0C0C0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0</xdr:col>
      <xdr:colOff>9525</xdr:colOff>
      <xdr:row>0</xdr:row>
      <xdr:rowOff>0</xdr:rowOff>
    </xdr:to>
    <xdr:sp macro="" textlink="">
      <xdr:nvSpPr>
        <xdr:cNvPr id="24403" name="Line 507">
          <a:extLst>
            <a:ext uri="{FF2B5EF4-FFF2-40B4-BE49-F238E27FC236}">
              <a16:creationId xmlns:a16="http://schemas.microsoft.com/office/drawing/2014/main" id="{00000000-0008-0000-0300-0000535F0000}"/>
            </a:ext>
          </a:extLst>
        </xdr:cNvPr>
        <xdr:cNvSpPr/>
      </xdr:nvSpPr>
      <xdr:spPr>
        <a:xfrm>
          <a:off x="9525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24404" name="Line 508">
          <a:extLst>
            <a:ext uri="{FF2B5EF4-FFF2-40B4-BE49-F238E27FC236}">
              <a16:creationId xmlns:a16="http://schemas.microsoft.com/office/drawing/2014/main" id="{00000000-0008-0000-0300-0000545F0000}"/>
            </a:ext>
          </a:extLst>
        </xdr:cNvPr>
        <xdr:cNvSpPr/>
      </xdr:nvSpPr>
      <xdr:spPr>
        <a:xfrm>
          <a:off x="6686550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24405" name="Line 509">
          <a:extLst>
            <a:ext uri="{FF2B5EF4-FFF2-40B4-BE49-F238E27FC236}">
              <a16:creationId xmlns:a16="http://schemas.microsoft.com/office/drawing/2014/main" id="{00000000-0008-0000-0300-0000555F0000}"/>
            </a:ext>
          </a:extLst>
        </xdr:cNvPr>
        <xdr:cNvSpPr/>
      </xdr:nvSpPr>
      <xdr:spPr>
        <a:xfrm>
          <a:off x="6686550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32</xdr:col>
      <xdr:colOff>942975</xdr:colOff>
      <xdr:row>111</xdr:row>
      <xdr:rowOff>28575</xdr:rowOff>
    </xdr:from>
    <xdr:to>
      <xdr:col>41</xdr:col>
      <xdr:colOff>683558</xdr:colOff>
      <xdr:row>129</xdr:row>
      <xdr:rowOff>57149</xdr:rowOff>
    </xdr:to>
    <xdr:pic>
      <xdr:nvPicPr>
        <xdr:cNvPr id="24406" name="图片 2">
          <a:extLst>
            <a:ext uri="{FF2B5EF4-FFF2-40B4-BE49-F238E27FC236}">
              <a16:creationId xmlns:a16="http://schemas.microsoft.com/office/drawing/2014/main" id="{00000000-0008-0000-0300-0000565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18175" y="22165310"/>
          <a:ext cx="8410575" cy="4142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30</xdr:col>
      <xdr:colOff>334010</xdr:colOff>
      <xdr:row>122</xdr:row>
      <xdr:rowOff>152400</xdr:rowOff>
    </xdr:from>
    <xdr:to>
      <xdr:col>35</xdr:col>
      <xdr:colOff>649361</xdr:colOff>
      <xdr:row>127</xdr:row>
      <xdr:rowOff>19050</xdr:rowOff>
    </xdr:to>
    <xdr:pic>
      <xdr:nvPicPr>
        <xdr:cNvPr id="24407" name="图片 3">
          <a:extLst>
            <a:ext uri="{FF2B5EF4-FFF2-40B4-BE49-F238E27FC236}">
              <a16:creationId xmlns:a16="http://schemas.microsoft.com/office/drawing/2014/main" id="{00000000-0008-0000-0300-0000575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004135" y="24803735"/>
          <a:ext cx="5934710" cy="1009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101</xdr:row>
      <xdr:rowOff>40339</xdr:rowOff>
    </xdr:from>
    <xdr:to>
      <xdr:col>5</xdr:col>
      <xdr:colOff>657225</xdr:colOff>
      <xdr:row>110</xdr:row>
      <xdr:rowOff>95307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>
        <a:xfrm>
          <a:off x="0" y="23020020"/>
          <a:ext cx="7143750" cy="178879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lnSpc>
              <a:spcPts val="1500"/>
            </a:lnSpc>
            <a:defRPr sz="1000"/>
          </a:pPr>
          <a:r>
            <a:rPr lang="zh-CN" altLang="en-US" sz="1200" b="1" i="0" u="none" strike="noStrike" baseline="0">
              <a:solidFill>
                <a:srgbClr val="FF6600"/>
              </a:solidFill>
              <a:latin typeface="宋体" panose="02010600030101010101" pitchFamily="7" charset="-122"/>
              <a:ea typeface="宋体" panose="02010600030101010101" pitchFamily="7" charset="-122"/>
            </a:rPr>
            <a:t>备注：</a:t>
          </a:r>
          <a:endParaRPr lang="zh-CN" altLang="en-US" sz="12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l" rtl="0">
            <a:lnSpc>
              <a:spcPts val="15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平均积分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=(</a:t>
          </a:r>
          <a:r>
            <a:rPr lang="zh-CN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活动数据得分</a:t>
          </a:r>
          <a:r>
            <a:rPr lang="en-GB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+</a:t>
          </a:r>
          <a:r>
            <a:rPr lang="zh-CN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排放系数得分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+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校准频率得分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)/3</a:t>
          </a:r>
        </a:p>
        <a:p>
          <a:pPr algn="l" rtl="0">
            <a:lnSpc>
              <a:spcPts val="15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排放量占比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=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排放源排放量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/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总排放量</a:t>
          </a:r>
        </a:p>
        <a:p>
          <a:pPr algn="l" rtl="0">
            <a:lnSpc>
              <a:spcPts val="14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加权平均积分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=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平均积分*排放占比</a:t>
          </a:r>
        </a:p>
        <a:p>
          <a:pPr algn="l" rtl="0">
            <a:lnSpc>
              <a:spcPts val="15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加权合计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=</a:t>
          </a:r>
          <a:r>
            <a:rPr lang="el-GR" altLang="zh-CN" sz="1200" b="0" i="0" u="none" strike="noStrike" baseline="0">
              <a:solidFill>
                <a:srgbClr val="000000"/>
              </a:solidFill>
              <a:ea typeface="宋体" panose="02010600030101010101" pitchFamily="7" charset="-122"/>
            </a:rPr>
            <a:t>Σ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加权平均积分</a:t>
          </a:r>
        </a:p>
        <a:p>
          <a:pPr algn="l" rtl="0">
            <a:lnSpc>
              <a:spcPts val="1400"/>
            </a:lnSpc>
            <a:defRPr sz="1000"/>
          </a:pP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lnSpc>
              <a:spcPts val="15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数据品质分为五级。</a:t>
          </a:r>
        </a:p>
        <a:p>
          <a:pPr algn="l" rtl="0">
            <a:lnSpc>
              <a:spcPts val="1400"/>
            </a:lnSpc>
            <a:defRPr sz="1000"/>
          </a:pP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lnSpc>
              <a:spcPts val="14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级别评分对照表：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101</xdr:row>
      <xdr:rowOff>40339</xdr:rowOff>
    </xdr:from>
    <xdr:to>
      <xdr:col>5</xdr:col>
      <xdr:colOff>657225</xdr:colOff>
      <xdr:row>110</xdr:row>
      <xdr:rowOff>95307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>
        <a:xfrm>
          <a:off x="0" y="23020020"/>
          <a:ext cx="8048625" cy="178879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lnSpc>
              <a:spcPts val="1500"/>
            </a:lnSpc>
            <a:defRPr sz="1000"/>
          </a:pPr>
          <a:r>
            <a:rPr lang="zh-CN" altLang="en-US" sz="1200" b="1" i="0" u="none" strike="noStrike" baseline="0">
              <a:solidFill>
                <a:srgbClr val="FF6600"/>
              </a:solidFill>
              <a:latin typeface="宋体" panose="02010600030101010101" pitchFamily="7" charset="-122"/>
              <a:ea typeface="宋体" panose="02010600030101010101" pitchFamily="7" charset="-122"/>
            </a:rPr>
            <a:t>备注：</a:t>
          </a:r>
          <a:endParaRPr lang="zh-CN" altLang="en-US" sz="12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l" rtl="0">
            <a:lnSpc>
              <a:spcPts val="15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平均积分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=(</a:t>
          </a:r>
          <a:r>
            <a:rPr lang="zh-CN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活动数据得分</a:t>
          </a:r>
          <a:r>
            <a:rPr lang="en-GB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+</a:t>
          </a:r>
          <a:r>
            <a:rPr lang="zh-CN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排放系数得分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+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校准频率得分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)/3</a:t>
          </a:r>
        </a:p>
        <a:p>
          <a:pPr algn="l" rtl="0">
            <a:lnSpc>
              <a:spcPts val="15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排放量占比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=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排放源排放量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/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总排放量</a:t>
          </a:r>
        </a:p>
        <a:p>
          <a:pPr algn="l" rtl="0">
            <a:lnSpc>
              <a:spcPts val="14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加权平均积分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=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平均积分*排放占比</a:t>
          </a:r>
        </a:p>
        <a:p>
          <a:pPr algn="l" rtl="0">
            <a:lnSpc>
              <a:spcPts val="15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加权合计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=</a:t>
          </a:r>
          <a:r>
            <a:rPr lang="el-GR" altLang="zh-CN" sz="1200" b="0" i="0" u="none" strike="noStrike" baseline="0">
              <a:solidFill>
                <a:srgbClr val="000000"/>
              </a:solidFill>
              <a:ea typeface="宋体" panose="02010600030101010101" pitchFamily="7" charset="-122"/>
            </a:rPr>
            <a:t>Σ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加权平均积分</a:t>
          </a:r>
        </a:p>
        <a:p>
          <a:pPr algn="l" rtl="0">
            <a:lnSpc>
              <a:spcPts val="1400"/>
            </a:lnSpc>
            <a:defRPr sz="1000"/>
          </a:pP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lnSpc>
              <a:spcPts val="15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数据品质分为五级。</a:t>
          </a:r>
        </a:p>
        <a:p>
          <a:pPr algn="l" rtl="0">
            <a:lnSpc>
              <a:spcPts val="1400"/>
            </a:lnSpc>
            <a:defRPr sz="1000"/>
          </a:pP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lnSpc>
              <a:spcPts val="14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级别评分对照表：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704215</xdr:colOff>
      <xdr:row>0</xdr:row>
      <xdr:rowOff>0</xdr:rowOff>
    </xdr:to>
    <xdr:sp macro="" textlink="">
      <xdr:nvSpPr>
        <xdr:cNvPr id="23194" name="Text Box 6">
          <a:extLst>
            <a:ext uri="{FF2B5EF4-FFF2-40B4-BE49-F238E27FC236}">
              <a16:creationId xmlns:a16="http://schemas.microsoft.com/office/drawing/2014/main" id="{00000000-0008-0000-0700-00009A5A0000}"/>
            </a:ext>
          </a:extLst>
        </xdr:cNvPr>
        <xdr:cNvSpPr txBox="1"/>
      </xdr:nvSpPr>
      <xdr:spPr>
        <a:xfrm>
          <a:off x="57150" y="0"/>
          <a:ext cx="1161415" cy="0"/>
        </a:xfrm>
        <a:prstGeom prst="rect">
          <a:avLst/>
        </a:prstGeom>
        <a:solidFill>
          <a:srgbClr val="FFFFFF">
            <a:alpha val="100000"/>
          </a:srgbClr>
        </a:solidFill>
        <a:ln w="9525">
          <a:noFill/>
        </a:ln>
      </xdr:spPr>
    </xdr:sp>
    <xdr:clientData/>
  </xdr:twoCellAnchor>
  <xdr:twoCellAnchor>
    <xdr:from>
      <xdr:col>1</xdr:col>
      <xdr:colOff>9525</xdr:colOff>
      <xdr:row>0</xdr:row>
      <xdr:rowOff>0</xdr:rowOff>
    </xdr:from>
    <xdr:to>
      <xdr:col>1</xdr:col>
      <xdr:colOff>9525</xdr:colOff>
      <xdr:row>0</xdr:row>
      <xdr:rowOff>0</xdr:rowOff>
    </xdr:to>
    <xdr:sp macro="" textlink="">
      <xdr:nvSpPr>
        <xdr:cNvPr id="23195" name="Line 2">
          <a:extLst>
            <a:ext uri="{FF2B5EF4-FFF2-40B4-BE49-F238E27FC236}">
              <a16:creationId xmlns:a16="http://schemas.microsoft.com/office/drawing/2014/main" id="{00000000-0008-0000-0700-00009B5A0000}"/>
            </a:ext>
          </a:extLst>
        </xdr:cNvPr>
        <xdr:cNvSpPr/>
      </xdr:nvSpPr>
      <xdr:spPr>
        <a:xfrm>
          <a:off x="66675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sp macro="" textlink="">
      <xdr:nvSpPr>
        <xdr:cNvPr id="23196" name="Line 3">
          <a:extLst>
            <a:ext uri="{FF2B5EF4-FFF2-40B4-BE49-F238E27FC236}">
              <a16:creationId xmlns:a16="http://schemas.microsoft.com/office/drawing/2014/main" id="{00000000-0008-0000-0700-00009C5A0000}"/>
            </a:ext>
          </a:extLst>
        </xdr:cNvPr>
        <xdr:cNvSpPr/>
      </xdr:nvSpPr>
      <xdr:spPr>
        <a:xfrm>
          <a:off x="4552950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sp macro="" textlink="">
      <xdr:nvSpPr>
        <xdr:cNvPr id="23197" name="Line 4">
          <a:extLst>
            <a:ext uri="{FF2B5EF4-FFF2-40B4-BE49-F238E27FC236}">
              <a16:creationId xmlns:a16="http://schemas.microsoft.com/office/drawing/2014/main" id="{00000000-0008-0000-0700-00009D5A0000}"/>
            </a:ext>
          </a:extLst>
        </xdr:cNvPr>
        <xdr:cNvSpPr/>
      </xdr:nvSpPr>
      <xdr:spPr>
        <a:xfrm>
          <a:off x="4552950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0</xdr:col>
      <xdr:colOff>9525</xdr:colOff>
      <xdr:row>0</xdr:row>
      <xdr:rowOff>0</xdr:rowOff>
    </xdr:to>
    <xdr:sp macro="" textlink="">
      <xdr:nvSpPr>
        <xdr:cNvPr id="15799" name="Line 507">
          <a:extLst>
            <a:ext uri="{FF2B5EF4-FFF2-40B4-BE49-F238E27FC236}">
              <a16:creationId xmlns:a16="http://schemas.microsoft.com/office/drawing/2014/main" id="{00000000-0008-0000-0900-0000B73D0000}"/>
            </a:ext>
          </a:extLst>
        </xdr:cNvPr>
        <xdr:cNvSpPr/>
      </xdr:nvSpPr>
      <xdr:spPr>
        <a:xfrm>
          <a:off x="9525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5800" name="Line 508">
          <a:extLst>
            <a:ext uri="{FF2B5EF4-FFF2-40B4-BE49-F238E27FC236}">
              <a16:creationId xmlns:a16="http://schemas.microsoft.com/office/drawing/2014/main" id="{00000000-0008-0000-0900-0000B83D0000}"/>
            </a:ext>
          </a:extLst>
        </xdr:cNvPr>
        <xdr:cNvSpPr/>
      </xdr:nvSpPr>
      <xdr:spPr>
        <a:xfrm>
          <a:off x="2324100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5801" name="Line 509">
          <a:extLst>
            <a:ext uri="{FF2B5EF4-FFF2-40B4-BE49-F238E27FC236}">
              <a16:creationId xmlns:a16="http://schemas.microsoft.com/office/drawing/2014/main" id="{00000000-0008-0000-0900-0000B93D0000}"/>
            </a:ext>
          </a:extLst>
        </xdr:cNvPr>
        <xdr:cNvSpPr/>
      </xdr:nvSpPr>
      <xdr:spPr>
        <a:xfrm>
          <a:off x="2324100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0</xdr:col>
      <xdr:colOff>9525</xdr:colOff>
      <xdr:row>0</xdr:row>
      <xdr:rowOff>0</xdr:rowOff>
    </xdr:to>
    <xdr:sp macro="" textlink="">
      <xdr:nvSpPr>
        <xdr:cNvPr id="2" name="Line 507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9525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" name="Line 508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2324100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" name="Line 509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2324100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7"/>
  <sheetViews>
    <sheetView topLeftCell="A70" zoomScalePageLayoutView="130" workbookViewId="0">
      <selection activeCell="O53" sqref="O53"/>
    </sheetView>
  </sheetViews>
  <sheetFormatPr defaultColWidth="11" defaultRowHeight="12.75"/>
  <cols>
    <col min="1" max="1" width="3.375" style="391" customWidth="1"/>
    <col min="2" max="2" width="9.875" style="392" customWidth="1"/>
    <col min="3" max="3" width="22.625" style="392" customWidth="1"/>
    <col min="4" max="4" width="9.875" style="393" hidden="1" customWidth="1"/>
    <col min="5" max="5" width="31.5" style="392" hidden="1" customWidth="1"/>
    <col min="6" max="6" width="14.5" style="394" customWidth="1"/>
    <col min="7" max="7" width="10.25" style="394" customWidth="1"/>
    <col min="8" max="8" width="6.875" style="394" customWidth="1"/>
    <col min="9" max="9" width="8.625" style="394" customWidth="1"/>
    <col min="10" max="12" width="6.875" style="394" customWidth="1"/>
    <col min="13" max="13" width="7.5" style="394" customWidth="1"/>
    <col min="14" max="16384" width="11" style="392"/>
  </cols>
  <sheetData>
    <row r="1" spans="1:14" ht="15" customHeight="1">
      <c r="B1" s="598" t="s">
        <v>0</v>
      </c>
      <c r="C1" s="599"/>
      <c r="D1" s="599"/>
      <c r="E1" s="599"/>
      <c r="F1" s="599"/>
      <c r="G1" s="599"/>
      <c r="H1" s="599"/>
      <c r="I1" s="599"/>
      <c r="J1" s="599"/>
      <c r="K1" s="600"/>
      <c r="L1" s="591" t="s">
        <v>1</v>
      </c>
      <c r="M1" s="592"/>
    </row>
    <row r="2" spans="1:14" ht="15" customHeight="1">
      <c r="B2" s="601"/>
      <c r="C2" s="602"/>
      <c r="D2" s="602"/>
      <c r="E2" s="602"/>
      <c r="F2" s="602"/>
      <c r="G2" s="602"/>
      <c r="H2" s="602"/>
      <c r="I2" s="602"/>
      <c r="J2" s="602"/>
      <c r="K2" s="603"/>
      <c r="L2" s="593" t="s">
        <v>2</v>
      </c>
      <c r="M2" s="592"/>
    </row>
    <row r="3" spans="1:14" ht="15" customHeight="1">
      <c r="B3" s="604"/>
      <c r="C3" s="605"/>
      <c r="D3" s="605"/>
      <c r="E3" s="605"/>
      <c r="F3" s="605"/>
      <c r="G3" s="605"/>
      <c r="H3" s="605"/>
      <c r="I3" s="605"/>
      <c r="J3" s="605"/>
      <c r="K3" s="606"/>
      <c r="L3" s="594" t="s">
        <v>3</v>
      </c>
      <c r="M3" s="595"/>
    </row>
    <row r="4" spans="1:14" s="385" customFormat="1" ht="25.15" customHeight="1">
      <c r="A4" s="395"/>
      <c r="B4" s="396" t="s">
        <v>4</v>
      </c>
      <c r="C4" s="397" t="s">
        <v>5</v>
      </c>
      <c r="D4" s="398"/>
      <c r="E4" s="399"/>
      <c r="F4" s="400"/>
      <c r="G4" s="400"/>
      <c r="H4" s="400"/>
      <c r="I4" s="400"/>
      <c r="J4" s="400"/>
      <c r="K4" s="400"/>
      <c r="L4" s="400"/>
      <c r="M4" s="400"/>
    </row>
    <row r="5" spans="1:14" s="385" customFormat="1" ht="25.15" customHeight="1">
      <c r="A5" s="395"/>
      <c r="B5" s="401" t="s">
        <v>6</v>
      </c>
      <c r="C5" s="402" t="s">
        <v>7</v>
      </c>
      <c r="D5" s="403"/>
      <c r="E5" s="404"/>
      <c r="F5" s="405"/>
      <c r="G5" s="406"/>
      <c r="H5" s="406"/>
      <c r="I5" s="406"/>
      <c r="J5" s="406"/>
      <c r="K5" s="406"/>
      <c r="L5" s="406"/>
    </row>
    <row r="6" spans="1:14" s="385" customFormat="1" ht="25.15" customHeight="1">
      <c r="A6" s="395"/>
      <c r="B6" s="401" t="s">
        <v>8</v>
      </c>
      <c r="C6" s="407" t="s">
        <v>9</v>
      </c>
      <c r="D6" s="403"/>
      <c r="E6" s="406"/>
      <c r="F6" s="406"/>
      <c r="G6" s="406"/>
      <c r="H6" s="406"/>
      <c r="I6" s="406"/>
      <c r="J6" s="406"/>
      <c r="K6" s="406"/>
      <c r="L6" s="406"/>
    </row>
    <row r="7" spans="1:14" s="386" customFormat="1" ht="25.15" customHeight="1">
      <c r="A7" s="408"/>
      <c r="B7" s="409" t="s">
        <v>10</v>
      </c>
      <c r="C7" s="410"/>
      <c r="D7" s="411"/>
      <c r="E7" s="412" t="s">
        <v>11</v>
      </c>
      <c r="F7" s="596"/>
      <c r="G7" s="597"/>
      <c r="H7" s="413"/>
      <c r="I7" s="414"/>
      <c r="J7" s="415"/>
      <c r="K7" s="416" t="s">
        <v>12</v>
      </c>
      <c r="L7" s="596"/>
      <c r="M7" s="597"/>
    </row>
    <row r="8" spans="1:14" s="386" customFormat="1" ht="25.15" customHeight="1">
      <c r="A8" s="417"/>
      <c r="B8" s="418" t="s">
        <v>13</v>
      </c>
      <c r="C8" s="418" t="s">
        <v>14</v>
      </c>
      <c r="D8" s="419"/>
      <c r="E8" s="420" t="s">
        <v>15</v>
      </c>
      <c r="F8" s="421">
        <f>F14</f>
        <v>7122248.8339860998</v>
      </c>
      <c r="G8" s="421"/>
      <c r="H8" s="422"/>
      <c r="I8" s="422"/>
      <c r="J8" s="423"/>
      <c r="K8" s="422" t="s">
        <v>16</v>
      </c>
      <c r="L8" s="422"/>
      <c r="M8" s="422"/>
      <c r="N8" s="424"/>
    </row>
    <row r="9" spans="1:14" s="386" customFormat="1" ht="25.15" customHeight="1">
      <c r="A9" s="408"/>
      <c r="B9" s="425"/>
      <c r="C9" s="426"/>
      <c r="D9" s="427"/>
      <c r="E9" s="420" t="s">
        <v>17</v>
      </c>
      <c r="F9" s="428">
        <f>F47</f>
        <v>1069378.747982</v>
      </c>
      <c r="G9" s="429"/>
      <c r="H9" s="430"/>
      <c r="I9" s="431"/>
      <c r="J9" s="432"/>
      <c r="K9" s="433"/>
      <c r="L9" s="434"/>
      <c r="M9" s="435"/>
    </row>
    <row r="10" spans="1:14" s="385" customFormat="1" ht="25.15" customHeight="1">
      <c r="A10" s="395"/>
      <c r="D10" s="436"/>
      <c r="E10" s="420" t="s">
        <v>18</v>
      </c>
      <c r="F10" s="428">
        <f>F48</f>
        <v>1161900.3323520001</v>
      </c>
      <c r="G10" s="437"/>
      <c r="H10" s="395"/>
      <c r="I10" s="395"/>
      <c r="J10" s="395"/>
      <c r="K10" s="395"/>
      <c r="L10" s="395"/>
      <c r="M10" s="395"/>
    </row>
    <row r="11" spans="1:14" s="385" customFormat="1" ht="25.15" customHeight="1">
      <c r="A11" s="395"/>
      <c r="B11" s="438" t="s">
        <v>19</v>
      </c>
      <c r="C11" s="439"/>
      <c r="D11" s="440"/>
      <c r="E11" s="420" t="s">
        <v>20</v>
      </c>
      <c r="F11" s="428">
        <f>SUM(F50,F76,F89,F101,F106,F113,F118,F124,F130,F136)</f>
        <v>7328574.60995543</v>
      </c>
      <c r="G11" s="441"/>
      <c r="H11" s="431"/>
      <c r="I11" s="431"/>
      <c r="J11" s="431"/>
      <c r="K11" s="431"/>
      <c r="L11" s="431"/>
      <c r="M11" s="431"/>
    </row>
    <row r="12" spans="1:14" s="385" customFormat="1" ht="25.15" customHeight="1">
      <c r="A12" s="442"/>
      <c r="B12" s="587" t="s">
        <v>21</v>
      </c>
      <c r="C12" s="588" t="s">
        <v>22</v>
      </c>
      <c r="D12" s="589" t="s">
        <v>23</v>
      </c>
      <c r="E12" s="587" t="s">
        <v>24</v>
      </c>
      <c r="F12" s="590" t="s">
        <v>25</v>
      </c>
      <c r="G12" s="443" t="s">
        <v>26</v>
      </c>
      <c r="H12" s="444" t="s">
        <v>27</v>
      </c>
      <c r="I12" s="444" t="s">
        <v>28</v>
      </c>
      <c r="J12" s="444" t="s">
        <v>29</v>
      </c>
      <c r="K12" s="444" t="s">
        <v>30</v>
      </c>
      <c r="L12" s="444" t="s">
        <v>31</v>
      </c>
      <c r="M12" s="444" t="s">
        <v>32</v>
      </c>
      <c r="N12" s="445"/>
    </row>
    <row r="13" spans="1:14" s="385" customFormat="1" ht="25.15" customHeight="1">
      <c r="A13" s="442"/>
      <c r="B13" s="587"/>
      <c r="C13" s="588"/>
      <c r="D13" s="589"/>
      <c r="E13" s="587"/>
      <c r="F13" s="590"/>
      <c r="G13" s="583" t="s">
        <v>33</v>
      </c>
      <c r="H13" s="583"/>
      <c r="I13" s="583"/>
      <c r="J13" s="583"/>
      <c r="K13" s="583"/>
      <c r="L13" s="583"/>
      <c r="M13" s="583"/>
      <c r="N13" s="445"/>
    </row>
    <row r="14" spans="1:14" s="386" customFormat="1" ht="25.15" hidden="1" customHeight="1">
      <c r="A14" s="408"/>
      <c r="B14" s="446" t="s">
        <v>34</v>
      </c>
      <c r="C14" s="447"/>
      <c r="D14" s="448"/>
      <c r="E14" s="447"/>
      <c r="F14" s="449">
        <f t="shared" ref="F14:M14" si="0">F15+F24+F27+F33</f>
        <v>7122248.8339860998</v>
      </c>
      <c r="G14" s="449">
        <f t="shared" si="0"/>
        <v>7086080.3451288501</v>
      </c>
      <c r="H14" s="449">
        <f t="shared" si="0"/>
        <v>2569.6835348589698</v>
      </c>
      <c r="I14" s="449">
        <f t="shared" si="0"/>
        <v>30422.615322386999</v>
      </c>
      <c r="J14" s="449">
        <f t="shared" si="0"/>
        <v>717.03</v>
      </c>
      <c r="K14" s="449">
        <f t="shared" si="0"/>
        <v>0</v>
      </c>
      <c r="L14" s="449">
        <f t="shared" si="0"/>
        <v>2459.16</v>
      </c>
      <c r="M14" s="449">
        <f t="shared" si="0"/>
        <v>0</v>
      </c>
    </row>
    <row r="15" spans="1:14" s="385" customFormat="1" ht="25.15" hidden="1" customHeight="1">
      <c r="A15" s="395"/>
      <c r="B15" s="450">
        <v>1.1000000000000001</v>
      </c>
      <c r="C15" s="451" t="s">
        <v>35</v>
      </c>
      <c r="D15" s="452"/>
      <c r="E15" s="453"/>
      <c r="F15" s="454">
        <f>SUM(G15:M15)</f>
        <v>7227644.2377900602</v>
      </c>
      <c r="G15" s="455">
        <f>SUM(G16:G23)</f>
        <v>7195204.6403310904</v>
      </c>
      <c r="H15" s="455">
        <f t="shared" ref="H15:M15" si="1">SUM(H16:H23)</f>
        <v>2083.9815849094002</v>
      </c>
      <c r="I15" s="455">
        <f t="shared" si="1"/>
        <v>30355.615874062602</v>
      </c>
      <c r="J15" s="455">
        <f t="shared" si="1"/>
        <v>0</v>
      </c>
      <c r="K15" s="455">
        <f t="shared" si="1"/>
        <v>0</v>
      </c>
      <c r="L15" s="455">
        <f t="shared" si="1"/>
        <v>0</v>
      </c>
      <c r="M15" s="455">
        <f t="shared" si="1"/>
        <v>0</v>
      </c>
    </row>
    <row r="16" spans="1:14" s="385" customFormat="1" ht="25.15" hidden="1" customHeight="1">
      <c r="A16" s="395"/>
      <c r="B16" s="456" t="s">
        <v>36</v>
      </c>
      <c r="C16" s="457" t="str">
        <f>表1温室气体盘查表!C5</f>
        <v>天然气燃烧</v>
      </c>
      <c r="D16" s="457" t="str">
        <f>表1温室气体盘查表!D5</f>
        <v>热处理炉（加热炉）</v>
      </c>
      <c r="F16" s="458">
        <f>SUM(G16:M16)</f>
        <v>38881.726082692898</v>
      </c>
      <c r="G16" s="458">
        <f>表1温室气体盘查表!AE5</f>
        <v>38843.505734804101</v>
      </c>
      <c r="H16" s="458">
        <f>表1温室气体盘查表!AF5</f>
        <v>19.317893226399899</v>
      </c>
      <c r="I16" s="458">
        <f>表1温室气体盘查表!AG5</f>
        <v>18.9024546623913</v>
      </c>
      <c r="J16" s="458">
        <f>表1温室气体盘查表!AH5</f>
        <v>0</v>
      </c>
      <c r="K16" s="458">
        <f>表1温室气体盘查表!AI5</f>
        <v>0</v>
      </c>
      <c r="L16" s="458">
        <f>表1温室气体盘查表!AJ5</f>
        <v>0</v>
      </c>
      <c r="M16" s="458">
        <f>表1温室气体盘查表!AK5</f>
        <v>0</v>
      </c>
    </row>
    <row r="17" spans="1:13" s="385" customFormat="1" ht="25.15" hidden="1" customHeight="1">
      <c r="A17" s="395"/>
      <c r="B17" s="456" t="s">
        <v>37</v>
      </c>
      <c r="C17" s="457" t="str">
        <f>表1温室气体盘查表!C6</f>
        <v>液化石油气燃烧</v>
      </c>
      <c r="D17" s="457" t="str">
        <f>表1温室气体盘查表!D6</f>
        <v>冶钢宾馆</v>
      </c>
      <c r="F17" s="458">
        <f t="shared" ref="F17:F45" si="2">SUM(G17:M17)</f>
        <v>29.162367925877799</v>
      </c>
      <c r="G17" s="458">
        <f>表1温室气体盘查表!AE6</f>
        <v>29.13687892878</v>
      </c>
      <c r="H17" s="458">
        <f>表1温室气体盘查表!AF6</f>
        <v>1.2883025707019999E-2</v>
      </c>
      <c r="I17" s="458">
        <f>表1温室气体盘查表!AG6</f>
        <v>1.260597139074E-2</v>
      </c>
      <c r="J17" s="458">
        <f>表1温室气体盘查表!AH6</f>
        <v>0</v>
      </c>
      <c r="K17" s="458">
        <f>表1温室气体盘查表!AI6</f>
        <v>0</v>
      </c>
      <c r="L17" s="458">
        <f>表1温室气体盘查表!AJ6</f>
        <v>0</v>
      </c>
      <c r="M17" s="458">
        <f>表1温室气体盘查表!AK6</f>
        <v>0</v>
      </c>
    </row>
    <row r="18" spans="1:13" s="385" customFormat="1" ht="25.15" hidden="1" customHeight="1">
      <c r="A18" s="395"/>
      <c r="B18" s="456" t="s">
        <v>38</v>
      </c>
      <c r="C18" s="457" t="str">
        <f>表1温室气体盘查表!C7</f>
        <v>烟煤燃烧</v>
      </c>
      <c r="D18" s="457" t="str">
        <f>表1温室气体盘查表!D7</f>
        <v>高炉</v>
      </c>
      <c r="F18" s="458">
        <f t="shared" si="2"/>
        <v>925941.31884315598</v>
      </c>
      <c r="G18" s="458">
        <f>表1温室气体盘查表!AE7</f>
        <v>921839.46146325802</v>
      </c>
      <c r="H18" s="458">
        <f>表1温室气体盘查表!AF7</f>
        <v>261.641108594353</v>
      </c>
      <c r="I18" s="458">
        <f>表1温室气体盘查表!AG7</f>
        <v>3840.2162713042098</v>
      </c>
      <c r="J18" s="458">
        <f>表1温室气体盘查表!AH7</f>
        <v>0</v>
      </c>
      <c r="K18" s="458">
        <f>表1温室气体盘查表!AI7</f>
        <v>0</v>
      </c>
      <c r="L18" s="458">
        <f>表1温室气体盘查表!AJ7</f>
        <v>0</v>
      </c>
      <c r="M18" s="458">
        <f>表1温室气体盘查表!AK7</f>
        <v>0</v>
      </c>
    </row>
    <row r="19" spans="1:13" s="385" customFormat="1" ht="25.15" hidden="1" customHeight="1">
      <c r="A19" s="395"/>
      <c r="B19" s="456" t="s">
        <v>39</v>
      </c>
      <c r="C19" s="457" t="str">
        <f>表1温室气体盘查表!C8</f>
        <v>无烟煤燃烧</v>
      </c>
      <c r="D19" s="457" t="str">
        <f>表1温室气体盘查表!D8</f>
        <v>高炉、烧结</v>
      </c>
      <c r="F19" s="458">
        <f t="shared" si="2"/>
        <v>637282.392059932</v>
      </c>
      <c r="G19" s="458">
        <f>表1温室气体盘查表!AE8</f>
        <v>634459.27419084695</v>
      </c>
      <c r="H19" s="458">
        <f>表1温室气体盘查表!AF8</f>
        <v>180.07541963300699</v>
      </c>
      <c r="I19" s="458">
        <f>表1温室气体盘查表!AG8</f>
        <v>2643.0424494521999</v>
      </c>
      <c r="J19" s="458">
        <f>表1温室气体盘查表!AH8</f>
        <v>0</v>
      </c>
      <c r="K19" s="458">
        <f>表1温室气体盘查表!AI8</f>
        <v>0</v>
      </c>
      <c r="L19" s="458">
        <f>表1温室气体盘查表!AJ8</f>
        <v>0</v>
      </c>
      <c r="M19" s="458">
        <f>表1温室气体盘查表!AK8</f>
        <v>0</v>
      </c>
    </row>
    <row r="20" spans="1:13" s="385" customFormat="1" ht="25.15" hidden="1" customHeight="1">
      <c r="A20" s="395"/>
      <c r="B20" s="456" t="s">
        <v>40</v>
      </c>
      <c r="C20" s="457" t="str">
        <f>表1温室气体盘查表!C9</f>
        <v>洗精煤燃烧</v>
      </c>
      <c r="D20" s="457" t="str">
        <f>表1温室气体盘查表!D9</f>
        <v>焦炉</v>
      </c>
      <c r="F20" s="458">
        <f t="shared" si="2"/>
        <v>4824841.57343012</v>
      </c>
      <c r="G20" s="458">
        <f>表1温室气体盘查表!AE9</f>
        <v>4802635.7291601999</v>
      </c>
      <c r="H20" s="458">
        <f>表1温室气体盘查表!AF9</f>
        <v>1416.4221653654299</v>
      </c>
      <c r="I20" s="458">
        <f>表1温室气体盘查表!AG9</f>
        <v>20789.422104557099</v>
      </c>
      <c r="J20" s="458">
        <f>表1温室气体盘查表!AH9</f>
        <v>0</v>
      </c>
      <c r="K20" s="458">
        <f>表1温室气体盘查表!AI9</f>
        <v>0</v>
      </c>
      <c r="L20" s="458">
        <f>表1温室气体盘查表!AJ9</f>
        <v>0</v>
      </c>
      <c r="M20" s="458">
        <f>表1温室气体盘查表!AK9</f>
        <v>0</v>
      </c>
    </row>
    <row r="21" spans="1:13" s="385" customFormat="1" ht="25.15" hidden="1" customHeight="1">
      <c r="A21" s="395"/>
      <c r="B21" s="456" t="s">
        <v>41</v>
      </c>
      <c r="C21" s="457" t="str">
        <f>表1温室气体盘查表!C10</f>
        <v>焦炭燃烧</v>
      </c>
      <c r="D21" s="457" t="str">
        <f>表1温室气体盘查表!D10</f>
        <v>高炉</v>
      </c>
      <c r="F21" s="458">
        <f t="shared" si="2"/>
        <v>439843.84434853197</v>
      </c>
      <c r="G21" s="458">
        <f>表1温室气体盘查表!AE10</f>
        <v>438053.14858040999</v>
      </c>
      <c r="H21" s="458">
        <f>表1温室气体盘查表!AF10</f>
        <v>114.221335003677</v>
      </c>
      <c r="I21" s="458">
        <f>表1温室气体盘查表!AG10</f>
        <v>1676.47443311848</v>
      </c>
      <c r="J21" s="458">
        <f>表1温室气体盘查表!AH10</f>
        <v>0</v>
      </c>
      <c r="K21" s="458">
        <f>表1温室气体盘查表!AI10</f>
        <v>0</v>
      </c>
      <c r="L21" s="458">
        <f>表1温室气体盘查表!AJ10</f>
        <v>0</v>
      </c>
      <c r="M21" s="458">
        <f>表1温室气体盘查表!AK10</f>
        <v>0</v>
      </c>
    </row>
    <row r="22" spans="1:13" s="385" customFormat="1" ht="25.15" hidden="1" customHeight="1">
      <c r="A22" s="395"/>
      <c r="B22" s="456" t="s">
        <v>42</v>
      </c>
      <c r="C22" s="457" t="str">
        <f>表1温室气体盘查表!C11</f>
        <v>焦屑燃烧</v>
      </c>
      <c r="D22" s="457" t="str">
        <f>表1温室气体盘查表!D11</f>
        <v>烧结、高炉</v>
      </c>
      <c r="F22" s="458">
        <f t="shared" si="2"/>
        <v>364657.35614077898</v>
      </c>
      <c r="G22" s="458">
        <f>表1温室气体盘查表!AE11</f>
        <v>363172.76020327501</v>
      </c>
      <c r="H22" s="458">
        <f>表1温室气体盘查表!AF11</f>
        <v>94.696448688517506</v>
      </c>
      <c r="I22" s="458">
        <f>表1温室气体盘查表!AG11</f>
        <v>1389.89948881534</v>
      </c>
      <c r="J22" s="458">
        <f>表1温室气体盘查表!AH11</f>
        <v>0</v>
      </c>
      <c r="K22" s="458">
        <f>表1温室气体盘查表!AI11</f>
        <v>0</v>
      </c>
      <c r="L22" s="458">
        <f>表1温室气体盘查表!AJ11</f>
        <v>0</v>
      </c>
      <c r="M22" s="458">
        <f>表1温室气体盘查表!AK11</f>
        <v>0</v>
      </c>
    </row>
    <row r="23" spans="1:13" s="385" customFormat="1" ht="25.15" hidden="1" customHeight="1">
      <c r="A23" s="395"/>
      <c r="B23" s="456" t="s">
        <v>43</v>
      </c>
      <c r="C23" s="457" t="str">
        <f>表1温室气体盘查表!C12</f>
        <v>焦炉煤气燃烧</v>
      </c>
      <c r="D23" s="457" t="str">
        <f>表1温室气体盘查表!D12</f>
        <v>外售</v>
      </c>
      <c r="F23" s="458">
        <f t="shared" si="2"/>
        <v>-3833.1354830774699</v>
      </c>
      <c r="G23" s="458">
        <f>表1温室气体盘查表!AE12</f>
        <v>-3828.3758806312799</v>
      </c>
      <c r="H23" s="458">
        <f>表1温室气体盘查表!AF12</f>
        <v>-2.4056686276939798</v>
      </c>
      <c r="I23" s="458">
        <f>表1温室气体盘查表!AG12</f>
        <v>-2.3539338184962602</v>
      </c>
      <c r="J23" s="458">
        <f>表1温室气体盘查表!AH12</f>
        <v>0</v>
      </c>
      <c r="K23" s="458">
        <f>表1温室气体盘查表!AI12</f>
        <v>0</v>
      </c>
      <c r="L23" s="458">
        <f>表1温室气体盘查表!AJ12</f>
        <v>0</v>
      </c>
      <c r="M23" s="458">
        <f>表1温室气体盘查表!AK12</f>
        <v>0</v>
      </c>
    </row>
    <row r="24" spans="1:13" s="385" customFormat="1" ht="25.15" hidden="1" customHeight="1">
      <c r="A24" s="395"/>
      <c r="B24" s="459">
        <v>1.2</v>
      </c>
      <c r="C24" s="460" t="s">
        <v>44</v>
      </c>
      <c r="D24" s="461"/>
      <c r="E24" s="462"/>
      <c r="F24" s="454">
        <f t="shared" si="2"/>
        <v>4566.5427224150299</v>
      </c>
      <c r="G24" s="455">
        <f>SUM(G25:G26)</f>
        <v>4491.7139191411197</v>
      </c>
      <c r="H24" s="455">
        <f t="shared" ref="H24:M24" si="3">SUM(H25:H26)</f>
        <v>7.8293549495715098</v>
      </c>
      <c r="I24" s="455">
        <f t="shared" si="3"/>
        <v>66.999448324339397</v>
      </c>
      <c r="J24" s="455">
        <f t="shared" si="3"/>
        <v>0</v>
      </c>
      <c r="K24" s="455">
        <f t="shared" si="3"/>
        <v>0</v>
      </c>
      <c r="L24" s="455">
        <f t="shared" si="3"/>
        <v>0</v>
      </c>
      <c r="M24" s="455">
        <f t="shared" si="3"/>
        <v>0</v>
      </c>
    </row>
    <row r="25" spans="1:13" s="385" customFormat="1" ht="25.15" hidden="1" customHeight="1">
      <c r="A25" s="395"/>
      <c r="B25" s="456" t="s">
        <v>45</v>
      </c>
      <c r="C25" s="463" t="str">
        <f>表1温室气体盘查表!C13</f>
        <v>0#柴油燃烧</v>
      </c>
      <c r="D25" s="457" t="str">
        <f>表1温室气体盘查表!D13</f>
        <v>场内运输</v>
      </c>
      <c r="F25" s="458">
        <f t="shared" si="2"/>
        <v>4417.0725986272801</v>
      </c>
      <c r="G25" s="458">
        <f>表1温室气体盘查表!AE13</f>
        <v>4348.2106727623204</v>
      </c>
      <c r="H25" s="458">
        <f>表1温室气体盘查表!AF13</f>
        <v>6.38500409316151</v>
      </c>
      <c r="I25" s="458">
        <f>表1温室气体盘查表!AG13</f>
        <v>62.476921771795404</v>
      </c>
      <c r="J25" s="458">
        <f>表1温室气体盘查表!AH13</f>
        <v>0</v>
      </c>
      <c r="K25" s="458">
        <f>表1温室气体盘查表!AI13</f>
        <v>0</v>
      </c>
      <c r="L25" s="458">
        <f>表1温室气体盘查表!AJ13</f>
        <v>0</v>
      </c>
      <c r="M25" s="458">
        <f>表1温室气体盘查表!AK13</f>
        <v>0</v>
      </c>
    </row>
    <row r="26" spans="1:13" s="385" customFormat="1" ht="25.15" hidden="1" customHeight="1">
      <c r="A26" s="395"/>
      <c r="B26" s="456" t="s">
        <v>46</v>
      </c>
      <c r="C26" s="463" t="str">
        <f>表1温室气体盘查表!C14</f>
        <v>92#汽油燃烧</v>
      </c>
      <c r="D26" s="457" t="str">
        <f>表1温室气体盘查表!D14</f>
        <v>公务车</v>
      </c>
      <c r="F26" s="458">
        <f t="shared" si="2"/>
        <v>149.47012378775401</v>
      </c>
      <c r="G26" s="458">
        <f>表1温室气体盘查表!AE14</f>
        <v>143.50324637879999</v>
      </c>
      <c r="H26" s="458">
        <f>表1温室气体盘查表!AF14</f>
        <v>1.4443508564100001</v>
      </c>
      <c r="I26" s="458">
        <f>表1温室气体盘查表!AG14</f>
        <v>4.5225265525439999</v>
      </c>
      <c r="J26" s="458">
        <f>表1温室气体盘查表!AH14</f>
        <v>0</v>
      </c>
      <c r="K26" s="458">
        <f>表1温室气体盘查表!AI14</f>
        <v>0</v>
      </c>
      <c r="L26" s="458">
        <f>表1温室气体盘查表!AJ14</f>
        <v>0</v>
      </c>
      <c r="M26" s="458">
        <f>表1温室气体盘查表!AK14</f>
        <v>0</v>
      </c>
    </row>
    <row r="27" spans="1:13" s="385" customFormat="1" ht="25.15" hidden="1" customHeight="1">
      <c r="A27" s="395"/>
      <c r="B27" s="459">
        <v>1.3</v>
      </c>
      <c r="C27" s="460" t="s">
        <v>47</v>
      </c>
      <c r="D27" s="461"/>
      <c r="E27" s="462"/>
      <c r="F27" s="454">
        <f t="shared" si="2"/>
        <v>3654.7225950000002</v>
      </c>
      <c r="G27" s="454">
        <f t="shared" ref="G27:M27" si="4">SUM(G28:G32)</f>
        <v>0.66</v>
      </c>
      <c r="H27" s="454">
        <f t="shared" si="4"/>
        <v>477.87259499999999</v>
      </c>
      <c r="I27" s="454">
        <f t="shared" si="4"/>
        <v>0</v>
      </c>
      <c r="J27" s="454">
        <f t="shared" si="4"/>
        <v>717.03</v>
      </c>
      <c r="K27" s="454">
        <f t="shared" si="4"/>
        <v>0</v>
      </c>
      <c r="L27" s="454">
        <f t="shared" si="4"/>
        <v>2459.16</v>
      </c>
      <c r="M27" s="454">
        <f t="shared" si="4"/>
        <v>0</v>
      </c>
    </row>
    <row r="28" spans="1:13" s="385" customFormat="1" ht="25.15" hidden="1" customHeight="1">
      <c r="A28" s="395"/>
      <c r="B28" s="456" t="s">
        <v>48</v>
      </c>
      <c r="C28" s="457" t="str">
        <f>表1温室气体盘查表!C15</f>
        <v>制冷剂逸散（R32）</v>
      </c>
      <c r="D28" s="457" t="str">
        <f>表1温室气体盘查表!D15</f>
        <v>分体式空调</v>
      </c>
      <c r="F28" s="458">
        <f t="shared" si="2"/>
        <v>717.03</v>
      </c>
      <c r="G28" s="458">
        <f>表1温室气体盘查表!AE15</f>
        <v>0</v>
      </c>
      <c r="H28" s="458">
        <f>表1温室气体盘查表!AF15</f>
        <v>0</v>
      </c>
      <c r="I28" s="458">
        <f>表1温室气体盘查表!AG15</f>
        <v>0</v>
      </c>
      <c r="J28" s="458">
        <f>表1温室气体盘查表!AH15</f>
        <v>717.03</v>
      </c>
      <c r="K28" s="458">
        <f>表1温室气体盘查表!AI15</f>
        <v>0</v>
      </c>
      <c r="L28" s="458">
        <f>表1温室气体盘查表!AJ15</f>
        <v>0</v>
      </c>
      <c r="M28" s="458">
        <f>表1温室气体盘查表!AK15</f>
        <v>0</v>
      </c>
    </row>
    <row r="29" spans="1:13" s="385" customFormat="1" ht="25.15" hidden="1" customHeight="1">
      <c r="A29" s="395"/>
      <c r="B29" s="456" t="s">
        <v>49</v>
      </c>
      <c r="C29" s="457" t="str">
        <f>表1温室气体盘查表!C16</f>
        <v>CO2逸散</v>
      </c>
      <c r="D29" s="457" t="str">
        <f>表1温室气体盘查表!D16</f>
        <v>二氧化碳灭火器</v>
      </c>
      <c r="F29" s="458">
        <f t="shared" si="2"/>
        <v>0.66</v>
      </c>
      <c r="G29" s="458">
        <f>表1温室气体盘查表!AE16</f>
        <v>0.66</v>
      </c>
      <c r="H29" s="458">
        <f>表1温室气体盘查表!AF16</f>
        <v>0</v>
      </c>
      <c r="I29" s="458">
        <f>表1温室气体盘查表!AG16</f>
        <v>0</v>
      </c>
      <c r="J29" s="458">
        <f>表1温室气体盘查表!AH16</f>
        <v>0</v>
      </c>
      <c r="K29" s="458">
        <f>表1温室气体盘查表!AI16</f>
        <v>0</v>
      </c>
      <c r="L29" s="458">
        <f>表1温室气体盘查表!AJ16</f>
        <v>0</v>
      </c>
      <c r="M29" s="458">
        <f>表1温室气体盘查表!AK16</f>
        <v>0</v>
      </c>
    </row>
    <row r="30" spans="1:13" s="385" customFormat="1" ht="25.15" hidden="1" customHeight="1">
      <c r="A30" s="395"/>
      <c r="B30" s="456" t="s">
        <v>50</v>
      </c>
      <c r="C30" s="457" t="str">
        <f>表1温室气体盘查表!C17</f>
        <v>CH4逸散</v>
      </c>
      <c r="D30" s="457" t="str">
        <f>表1温室气体盘查表!D17</f>
        <v>化粪池</v>
      </c>
      <c r="F30" s="458">
        <f t="shared" si="2"/>
        <v>112.29192</v>
      </c>
      <c r="G30" s="458">
        <f>表1温室气体盘查表!AE17</f>
        <v>0</v>
      </c>
      <c r="H30" s="458">
        <f>表1温室气体盘查表!AF17</f>
        <v>112.29192</v>
      </c>
      <c r="I30" s="458">
        <f>表1温室气体盘查表!AG17</f>
        <v>0</v>
      </c>
      <c r="J30" s="458">
        <f>表1温室气体盘查表!AH17</f>
        <v>0</v>
      </c>
      <c r="K30" s="458">
        <f>表1温室气体盘查表!AI17</f>
        <v>0</v>
      </c>
      <c r="L30" s="458">
        <f>表1温室气体盘查表!AJ17</f>
        <v>0</v>
      </c>
      <c r="M30" s="458">
        <f>表1温室气体盘查表!AK17</f>
        <v>0</v>
      </c>
    </row>
    <row r="31" spans="1:13" s="385" customFormat="1" ht="25.15" hidden="1" customHeight="1">
      <c r="A31" s="395"/>
      <c r="B31" s="456" t="s">
        <v>51</v>
      </c>
      <c r="C31" s="457" t="str">
        <f>表1温室气体盘查表!C18</f>
        <v>CH4逸散</v>
      </c>
      <c r="D31" s="457" t="str">
        <f>表1温室气体盘查表!D18</f>
        <v>耗氧池</v>
      </c>
      <c r="F31" s="458">
        <f t="shared" si="2"/>
        <v>365.58067499999999</v>
      </c>
      <c r="G31" s="458">
        <f>表1温室气体盘查表!AE18</f>
        <v>0</v>
      </c>
      <c r="H31" s="458">
        <f>表1温室气体盘查表!AF18</f>
        <v>365.58067499999999</v>
      </c>
      <c r="I31" s="458">
        <f>表1温室气体盘查表!AG18</f>
        <v>0</v>
      </c>
      <c r="J31" s="458">
        <f>表1温室气体盘查表!AH18</f>
        <v>0</v>
      </c>
      <c r="K31" s="458">
        <f>表1温室气体盘查表!AI18</f>
        <v>0</v>
      </c>
      <c r="L31" s="458">
        <f>表1温室气体盘查表!AJ18</f>
        <v>0</v>
      </c>
      <c r="M31" s="458">
        <f>表1温室气体盘查表!AK18</f>
        <v>0</v>
      </c>
    </row>
    <row r="32" spans="1:13" s="385" customFormat="1" ht="25.15" hidden="1" customHeight="1">
      <c r="A32" s="395"/>
      <c r="B32" s="456" t="s">
        <v>52</v>
      </c>
      <c r="C32" s="457" t="str">
        <f>表1温室气体盘查表!C19</f>
        <v>SF6逸散</v>
      </c>
      <c r="D32" s="457" t="str">
        <f>表1温室气体盘查表!D19</f>
        <v>高压开关</v>
      </c>
      <c r="F32" s="458">
        <f t="shared" si="2"/>
        <v>2459.16</v>
      </c>
      <c r="G32" s="458">
        <f>表1温室气体盘查表!AE19</f>
        <v>0</v>
      </c>
      <c r="H32" s="458">
        <f>表1温室气体盘查表!AF19</f>
        <v>0</v>
      </c>
      <c r="I32" s="458">
        <f>表1温室气体盘查表!AG19</f>
        <v>0</v>
      </c>
      <c r="J32" s="458">
        <f>表1温室气体盘查表!AH19</f>
        <v>0</v>
      </c>
      <c r="K32" s="458">
        <f>表1温室气体盘查表!AI19</f>
        <v>0</v>
      </c>
      <c r="L32" s="458">
        <f>表1温室气体盘查表!AJ19</f>
        <v>2459.16</v>
      </c>
      <c r="M32" s="458">
        <f>表1温室气体盘查表!AK19</f>
        <v>0</v>
      </c>
    </row>
    <row r="33" spans="1:14" s="385" customFormat="1" ht="25.15" hidden="1" customHeight="1">
      <c r="A33" s="395"/>
      <c r="B33" s="459">
        <v>1.4</v>
      </c>
      <c r="C33" s="460" t="s">
        <v>53</v>
      </c>
      <c r="D33" s="461"/>
      <c r="E33" s="462"/>
      <c r="F33" s="454">
        <f t="shared" si="2"/>
        <v>-113616.669121381</v>
      </c>
      <c r="G33" s="454">
        <f t="shared" ref="G33:M33" si="5">SUM(G34:G45)</f>
        <v>-113616.669121381</v>
      </c>
      <c r="H33" s="454">
        <f t="shared" si="5"/>
        <v>0</v>
      </c>
      <c r="I33" s="454">
        <f t="shared" si="5"/>
        <v>0</v>
      </c>
      <c r="J33" s="454">
        <f t="shared" si="5"/>
        <v>0</v>
      </c>
      <c r="K33" s="454">
        <f t="shared" si="5"/>
        <v>0</v>
      </c>
      <c r="L33" s="454">
        <f t="shared" si="5"/>
        <v>0</v>
      </c>
      <c r="M33" s="454">
        <f t="shared" si="5"/>
        <v>0</v>
      </c>
    </row>
    <row r="34" spans="1:14" s="385" customFormat="1" ht="25.15" hidden="1" customHeight="1">
      <c r="A34" s="395"/>
      <c r="B34" s="456" t="s">
        <v>54</v>
      </c>
      <c r="C34" s="457" t="str">
        <f>表1温室气体盘查表!C20</f>
        <v>石灰石</v>
      </c>
      <c r="D34" s="457" t="str">
        <f>表1温室气体盘查表!D20</f>
        <v>石灰窑</v>
      </c>
      <c r="F34" s="458">
        <f t="shared" si="2"/>
        <v>8520.9387999999999</v>
      </c>
      <c r="G34" s="458">
        <f>表1温室气体盘查表!AE20</f>
        <v>8520.9387999999999</v>
      </c>
      <c r="H34" s="458">
        <f>表1温室气体盘查表!AF20</f>
        <v>0</v>
      </c>
      <c r="I34" s="458">
        <f>表1温室气体盘查表!AG20</f>
        <v>0</v>
      </c>
      <c r="J34" s="458">
        <f>表1温室气体盘查表!AH20</f>
        <v>0</v>
      </c>
      <c r="K34" s="458">
        <f>表1温室气体盘查表!AI20</f>
        <v>0</v>
      </c>
      <c r="L34" s="458">
        <f>表1温室气体盘查表!AJ20</f>
        <v>0</v>
      </c>
      <c r="M34" s="458">
        <f>表1温室气体盘查表!AK20</f>
        <v>0</v>
      </c>
    </row>
    <row r="35" spans="1:14" s="385" customFormat="1" ht="25.15" hidden="1" customHeight="1">
      <c r="A35" s="395"/>
      <c r="B35" s="456" t="s">
        <v>55</v>
      </c>
      <c r="C35" s="457" t="str">
        <f>表1温室气体盘查表!C21</f>
        <v>白云石</v>
      </c>
      <c r="D35" s="457" t="str">
        <f>表1温室气体盘查表!D21</f>
        <v>高炉</v>
      </c>
      <c r="F35" s="458">
        <f t="shared" si="2"/>
        <v>169593.74963999999</v>
      </c>
      <c r="G35" s="458">
        <f>表1温室气体盘查表!AE21</f>
        <v>169593.74963999999</v>
      </c>
      <c r="H35" s="458">
        <f>表1温室气体盘查表!AF21</f>
        <v>0</v>
      </c>
      <c r="I35" s="458">
        <f>表1温室气体盘查表!AG21</f>
        <v>0</v>
      </c>
      <c r="J35" s="458">
        <f>表1温室气体盘查表!AH21</f>
        <v>0</v>
      </c>
      <c r="K35" s="458">
        <f>表1温室气体盘查表!AI21</f>
        <v>0</v>
      </c>
      <c r="L35" s="458">
        <f>表1温室气体盘查表!AJ21</f>
        <v>0</v>
      </c>
      <c r="M35" s="458">
        <f>表1温室气体盘查表!AK21</f>
        <v>0</v>
      </c>
    </row>
    <row r="36" spans="1:14" s="385" customFormat="1" ht="25.15" hidden="1" customHeight="1">
      <c r="A36" s="395"/>
      <c r="B36" s="456" t="s">
        <v>56</v>
      </c>
      <c r="C36" s="457" t="str">
        <f>表1温室气体盘查表!C22</f>
        <v>电极</v>
      </c>
      <c r="D36" s="457" t="str">
        <f>表1温室气体盘查表!D22</f>
        <v>炼钢</v>
      </c>
      <c r="F36" s="458">
        <f t="shared" si="2"/>
        <v>17447.125410000001</v>
      </c>
      <c r="G36" s="458">
        <f>表1温室气体盘查表!AE22</f>
        <v>17447.125410000001</v>
      </c>
      <c r="H36" s="458">
        <f>表1温室气体盘查表!AF22</f>
        <v>0</v>
      </c>
      <c r="I36" s="458">
        <f>表1温室气体盘查表!AG22</f>
        <v>0</v>
      </c>
      <c r="J36" s="458">
        <f>表1温室气体盘查表!AH22</f>
        <v>0</v>
      </c>
      <c r="K36" s="458">
        <f>表1温室气体盘查表!AI22</f>
        <v>0</v>
      </c>
      <c r="L36" s="458">
        <f>表1温室气体盘查表!AJ22</f>
        <v>0</v>
      </c>
      <c r="M36" s="458">
        <f>表1温室气体盘查表!AK22</f>
        <v>0</v>
      </c>
    </row>
    <row r="37" spans="1:14" s="385" customFormat="1" ht="25.15" hidden="1" customHeight="1">
      <c r="A37" s="395"/>
      <c r="B37" s="456" t="s">
        <v>57</v>
      </c>
      <c r="C37" s="457" t="str">
        <f>表1温室气体盘查表!C23</f>
        <v>废钢</v>
      </c>
      <c r="D37" s="457" t="str">
        <f>表1温室气体盘查表!D23</f>
        <v>炼钢</v>
      </c>
      <c r="F37" s="458">
        <f t="shared" si="2"/>
        <v>39875.737794618602</v>
      </c>
      <c r="G37" s="458">
        <f>表1温室气体盘查表!AE23</f>
        <v>39875.737794618602</v>
      </c>
      <c r="H37" s="458">
        <f>表1温室气体盘查表!AF23</f>
        <v>0</v>
      </c>
      <c r="I37" s="458">
        <f>表1温室气体盘查表!AG23</f>
        <v>0</v>
      </c>
      <c r="J37" s="458">
        <f>表1温室气体盘查表!AH23</f>
        <v>0</v>
      </c>
      <c r="K37" s="458">
        <f>表1温室气体盘查表!AI23</f>
        <v>0</v>
      </c>
      <c r="L37" s="458">
        <f>表1温室气体盘查表!AJ23</f>
        <v>0</v>
      </c>
      <c r="M37" s="458">
        <f>表1温室气体盘查表!AK23</f>
        <v>0</v>
      </c>
    </row>
    <row r="38" spans="1:14" s="385" customFormat="1" ht="25.15" hidden="1" customHeight="1">
      <c r="A38" s="395"/>
      <c r="B38" s="456" t="s">
        <v>58</v>
      </c>
      <c r="C38" s="457" t="str">
        <f>表1温室气体盘查表!C24</f>
        <v>锰铁</v>
      </c>
      <c r="D38" s="457" t="str">
        <f>表1温室气体盘查表!D24</f>
        <v>炼钢</v>
      </c>
      <c r="F38" s="458">
        <f t="shared" si="2"/>
        <v>13114.101000000001</v>
      </c>
      <c r="G38" s="458">
        <f>表1温室气体盘查表!AE24</f>
        <v>13114.101000000001</v>
      </c>
      <c r="H38" s="458">
        <f>表1温室气体盘查表!AF24</f>
        <v>0</v>
      </c>
      <c r="I38" s="458">
        <f>表1温室气体盘查表!AG24</f>
        <v>0</v>
      </c>
      <c r="J38" s="458">
        <f>表1温室气体盘查表!AH24</f>
        <v>0</v>
      </c>
      <c r="K38" s="458">
        <f>表1温室气体盘查表!AI24</f>
        <v>0</v>
      </c>
      <c r="L38" s="458">
        <f>表1温室气体盘查表!AJ24</f>
        <v>0</v>
      </c>
      <c r="M38" s="458">
        <f>表1温室气体盘查表!AK24</f>
        <v>0</v>
      </c>
    </row>
    <row r="39" spans="1:14" s="385" customFormat="1" ht="25.15" hidden="1" customHeight="1">
      <c r="A39" s="395"/>
      <c r="B39" s="456" t="s">
        <v>59</v>
      </c>
      <c r="C39" s="457" t="str">
        <f>表1温室气体盘查表!C25</f>
        <v>镍铁</v>
      </c>
      <c r="D39" s="457" t="str">
        <f>表1温室气体盘查表!D25</f>
        <v>炼钢</v>
      </c>
      <c r="F39" s="458">
        <f t="shared" si="2"/>
        <v>349.46906999999999</v>
      </c>
      <c r="G39" s="458">
        <f>表1温室气体盘查表!AE25</f>
        <v>349.46906999999999</v>
      </c>
      <c r="H39" s="458">
        <f>表1温室气体盘查表!AF25</f>
        <v>0</v>
      </c>
      <c r="I39" s="458">
        <f>表1温室气体盘查表!AG25</f>
        <v>0</v>
      </c>
      <c r="J39" s="458">
        <f>表1温室气体盘查表!AH25</f>
        <v>0</v>
      </c>
      <c r="K39" s="458">
        <f>表1温室气体盘查表!AI25</f>
        <v>0</v>
      </c>
      <c r="L39" s="458">
        <f>表1温室气体盘查表!AJ25</f>
        <v>0</v>
      </c>
      <c r="M39" s="458">
        <f>表1温室气体盘查表!AK25</f>
        <v>0</v>
      </c>
    </row>
    <row r="40" spans="1:14" s="385" customFormat="1" ht="25.15" hidden="1" customHeight="1">
      <c r="A40" s="395"/>
      <c r="B40" s="456" t="s">
        <v>60</v>
      </c>
      <c r="C40" s="457" t="str">
        <f>表1温室气体盘查表!C26</f>
        <v>铬铁</v>
      </c>
      <c r="D40" s="457" t="str">
        <f>表1温室气体盘查表!D26</f>
        <v>炼钢</v>
      </c>
      <c r="F40" s="458">
        <f t="shared" si="2"/>
        <v>22918.907292</v>
      </c>
      <c r="G40" s="458">
        <f>表1温室气体盘查表!AE26</f>
        <v>22918.907292</v>
      </c>
      <c r="H40" s="458">
        <f>表1温室气体盘查表!AF26</f>
        <v>0</v>
      </c>
      <c r="I40" s="458">
        <f>表1温室气体盘查表!AG26</f>
        <v>0</v>
      </c>
      <c r="J40" s="458">
        <f>表1温室气体盘查表!AH26</f>
        <v>0</v>
      </c>
      <c r="K40" s="458">
        <f>表1温室气体盘查表!AI26</f>
        <v>0</v>
      </c>
      <c r="L40" s="458">
        <f>表1温室气体盘查表!AJ26</f>
        <v>0</v>
      </c>
      <c r="M40" s="458">
        <f>表1温室气体盘查表!AK26</f>
        <v>0</v>
      </c>
    </row>
    <row r="41" spans="1:14" s="385" customFormat="1" ht="25.15" hidden="1" customHeight="1">
      <c r="A41" s="395"/>
      <c r="B41" s="456" t="s">
        <v>61</v>
      </c>
      <c r="C41" s="457" t="str">
        <f>表1温室气体盘查表!C27</f>
        <v>硅铁</v>
      </c>
      <c r="D41" s="457" t="str">
        <f>表1温室气体盘查表!D27</f>
        <v>炼钢</v>
      </c>
      <c r="F41" s="458">
        <f t="shared" si="2"/>
        <v>74.707359999999994</v>
      </c>
      <c r="G41" s="458">
        <f>表1温室气体盘查表!AE27</f>
        <v>74.707359999999994</v>
      </c>
      <c r="H41" s="458">
        <f>表1温室气体盘查表!AF27</f>
        <v>0</v>
      </c>
      <c r="I41" s="458">
        <f>表1温室气体盘查表!AG27</f>
        <v>0</v>
      </c>
      <c r="J41" s="458">
        <f>表1温室气体盘查表!AH27</f>
        <v>0</v>
      </c>
      <c r="K41" s="458">
        <f>表1温室气体盘查表!AI27</f>
        <v>0</v>
      </c>
      <c r="L41" s="458">
        <f>表1温室气体盘查表!AJ27</f>
        <v>0</v>
      </c>
      <c r="M41" s="458">
        <f>表1温室气体盘查表!AK27</f>
        <v>0</v>
      </c>
    </row>
    <row r="42" spans="1:14" s="385" customFormat="1" ht="25.15" hidden="1" customHeight="1">
      <c r="A42" s="395"/>
      <c r="B42" s="456" t="s">
        <v>62</v>
      </c>
      <c r="C42" s="457" t="str">
        <f>表1温室气体盘查表!C28</f>
        <v>钼铁</v>
      </c>
      <c r="D42" s="457" t="str">
        <f>表1温室气体盘查表!D28</f>
        <v>炼钢</v>
      </c>
      <c r="F42" s="458">
        <f t="shared" si="2"/>
        <v>143.01295200000001</v>
      </c>
      <c r="G42" s="458">
        <f>表1温室气体盘查表!AE28</f>
        <v>143.01295200000001</v>
      </c>
      <c r="H42" s="458">
        <f>表1温室气体盘查表!AF28</f>
        <v>0</v>
      </c>
      <c r="I42" s="458">
        <f>表1温室气体盘查表!AG28</f>
        <v>0</v>
      </c>
      <c r="J42" s="458">
        <f>表1温室气体盘查表!AH28</f>
        <v>0</v>
      </c>
      <c r="K42" s="458">
        <f>表1温室气体盘查表!AI28</f>
        <v>0</v>
      </c>
      <c r="L42" s="458">
        <f>表1温室气体盘查表!AJ28</f>
        <v>0</v>
      </c>
      <c r="M42" s="458">
        <f>表1温室气体盘查表!AK28</f>
        <v>0</v>
      </c>
    </row>
    <row r="43" spans="1:14" s="385" customFormat="1" ht="25.15" hidden="1" customHeight="1">
      <c r="A43" s="395"/>
      <c r="B43" s="456" t="s">
        <v>63</v>
      </c>
      <c r="C43" s="457" t="str">
        <f>表1温室气体盘查表!C29</f>
        <v>钢坯</v>
      </c>
      <c r="D43" s="457" t="str">
        <f>表1温室气体盘查表!D29</f>
        <v>固碳产品</v>
      </c>
      <c r="F43" s="458">
        <f t="shared" si="2"/>
        <v>-160314.41177999999</v>
      </c>
      <c r="G43" s="458">
        <f>表1温室气体盘查表!AE29</f>
        <v>-160314.41177999999</v>
      </c>
      <c r="H43" s="458">
        <f>表1温室气体盘查表!AF29</f>
        <v>0</v>
      </c>
      <c r="I43" s="458">
        <f>表1温室气体盘查表!AG29</f>
        <v>0</v>
      </c>
      <c r="J43" s="458">
        <f>表1温室气体盘查表!AH29</f>
        <v>0</v>
      </c>
      <c r="K43" s="458">
        <f>表1温室气体盘查表!AI29</f>
        <v>0</v>
      </c>
      <c r="L43" s="458">
        <f>表1温室气体盘查表!AJ29</f>
        <v>0</v>
      </c>
      <c r="M43" s="458">
        <f>表1温室气体盘查表!AK29</f>
        <v>0</v>
      </c>
    </row>
    <row r="44" spans="1:14" s="385" customFormat="1" ht="25.15" hidden="1" customHeight="1">
      <c r="A44" s="395"/>
      <c r="B44" s="456" t="s">
        <v>64</v>
      </c>
      <c r="C44" s="457" t="str">
        <f>表1温室气体盘查表!C30</f>
        <v>粗苯</v>
      </c>
      <c r="D44" s="457" t="str">
        <f>表1温室气体盘查表!D30</f>
        <v>外售</v>
      </c>
      <c r="F44" s="458">
        <f t="shared" si="2"/>
        <v>-65952.990760000001</v>
      </c>
      <c r="G44" s="458">
        <f>表1温室气体盘查表!AE30</f>
        <v>-65952.990760000001</v>
      </c>
      <c r="H44" s="458">
        <f>表1温室气体盘查表!AF30</f>
        <v>0</v>
      </c>
      <c r="I44" s="458">
        <f>表1温室气体盘查表!AG30</f>
        <v>0</v>
      </c>
      <c r="J44" s="458">
        <f>表1温室气体盘查表!AH30</f>
        <v>0</v>
      </c>
      <c r="K44" s="458">
        <f>表1温室气体盘查表!AI30</f>
        <v>0</v>
      </c>
      <c r="L44" s="458">
        <f>表1温室气体盘查表!AJ30</f>
        <v>0</v>
      </c>
      <c r="M44" s="458">
        <f>表1温室气体盘查表!AK30</f>
        <v>0</v>
      </c>
    </row>
    <row r="45" spans="1:14" s="385" customFormat="1" ht="25.15" hidden="1" customHeight="1">
      <c r="A45" s="395"/>
      <c r="B45" s="456" t="s">
        <v>65</v>
      </c>
      <c r="C45" s="457" t="str">
        <f>表1温室气体盘查表!C31</f>
        <v>煤焦油</v>
      </c>
      <c r="D45" s="457" t="str">
        <f>表1温室气体盘查表!D31</f>
        <v>危废处置</v>
      </c>
      <c r="F45" s="458">
        <f t="shared" si="2"/>
        <v>-159387.0159</v>
      </c>
      <c r="G45" s="458">
        <f>表1温室气体盘查表!AE31</f>
        <v>-159387.0159</v>
      </c>
      <c r="H45" s="458">
        <f>表1温室气体盘查表!AF31</f>
        <v>0</v>
      </c>
      <c r="I45" s="458">
        <f>表1温室气体盘查表!AG31</f>
        <v>0</v>
      </c>
      <c r="J45" s="458">
        <f>表1温室气体盘查表!AH31</f>
        <v>0</v>
      </c>
      <c r="K45" s="458">
        <f>表1温室气体盘查表!AI31</f>
        <v>0</v>
      </c>
      <c r="L45" s="458">
        <f>表1温室气体盘查表!AJ31</f>
        <v>0</v>
      </c>
      <c r="M45" s="458">
        <f>表1温室气体盘查表!AK31</f>
        <v>0</v>
      </c>
    </row>
    <row r="46" spans="1:14" s="385" customFormat="1" ht="25.15" hidden="1" customHeight="1">
      <c r="A46" s="395"/>
      <c r="B46" s="584" t="s">
        <v>66</v>
      </c>
      <c r="C46" s="585"/>
      <c r="D46" s="586"/>
      <c r="E46" s="464"/>
      <c r="F46" s="465"/>
      <c r="G46" s="465"/>
      <c r="H46" s="465"/>
      <c r="I46" s="465"/>
      <c r="J46" s="465"/>
      <c r="K46" s="465"/>
      <c r="L46" s="465"/>
      <c r="M46" s="465"/>
    </row>
    <row r="47" spans="1:14" s="385" customFormat="1" ht="25.15" hidden="1" customHeight="1">
      <c r="A47" s="395"/>
      <c r="B47" s="466">
        <v>2.1</v>
      </c>
      <c r="C47" s="457" t="str">
        <f>表1温室气体盘查表!C32</f>
        <v>外购电力（基于位置）</v>
      </c>
      <c r="D47" s="457" t="str">
        <f>表1温室气体盘查表!D32</f>
        <v>用电设备</v>
      </c>
      <c r="E47" s="467"/>
      <c r="F47" s="458">
        <f>SUM(G47:M47)</f>
        <v>1069378.747982</v>
      </c>
      <c r="G47" s="468">
        <f>表1温室气体盘查表!AE32</f>
        <v>1069378.747982</v>
      </c>
      <c r="H47" s="468">
        <f>表1温室气体盘查表!AF32</f>
        <v>0</v>
      </c>
      <c r="I47" s="468">
        <f>表1温室气体盘查表!AG32</f>
        <v>0</v>
      </c>
      <c r="J47" s="468">
        <f>表1温室气体盘查表!AH32</f>
        <v>0</v>
      </c>
      <c r="K47" s="468">
        <f>表1温室气体盘查表!AI32</f>
        <v>0</v>
      </c>
      <c r="L47" s="468">
        <f>表1温室气体盘查表!AJ32</f>
        <v>0</v>
      </c>
      <c r="M47" s="468">
        <f>表1温室气体盘查表!AK32</f>
        <v>0</v>
      </c>
    </row>
    <row r="48" spans="1:14" s="385" customFormat="1" ht="25.15" hidden="1" customHeight="1">
      <c r="A48" s="442"/>
      <c r="B48" s="466">
        <v>2.2000000000000002</v>
      </c>
      <c r="C48" s="457" t="str">
        <f>表1温室气体盘查表!C33</f>
        <v>外购电力（基于市场）</v>
      </c>
      <c r="D48" s="457" t="str">
        <f>表1温室气体盘查表!D33</f>
        <v>用电设备</v>
      </c>
      <c r="E48" s="469"/>
      <c r="F48" s="458">
        <f>SUM(G48:M48)</f>
        <v>1161900.3323520001</v>
      </c>
      <c r="G48" s="468">
        <f>表1温室气体盘查表!AE33</f>
        <v>1161900.3323520001</v>
      </c>
      <c r="H48" s="468">
        <f>表1温室气体盘查表!AF33</f>
        <v>0</v>
      </c>
      <c r="I48" s="468">
        <f>表1温室气体盘查表!AG33</f>
        <v>0</v>
      </c>
      <c r="J48" s="468">
        <f>表1温室气体盘查表!AH33</f>
        <v>0</v>
      </c>
      <c r="K48" s="468">
        <f>表1温室气体盘查表!AI33</f>
        <v>0</v>
      </c>
      <c r="L48" s="468">
        <f>表1温室气体盘查表!AJ33</f>
        <v>0</v>
      </c>
      <c r="M48" s="468">
        <f>表1温室气体盘查表!AK33</f>
        <v>0</v>
      </c>
      <c r="N48" s="445"/>
    </row>
    <row r="49" spans="1:14" s="385" customFormat="1" ht="25.15" hidden="1" customHeight="1">
      <c r="A49" s="442"/>
      <c r="B49" s="470"/>
      <c r="C49" s="471"/>
      <c r="D49" s="471"/>
      <c r="E49" s="469"/>
      <c r="F49" s="472"/>
      <c r="G49" s="473"/>
      <c r="H49" s="473"/>
      <c r="I49" s="473"/>
      <c r="J49" s="473"/>
      <c r="K49" s="473"/>
      <c r="L49" s="473"/>
      <c r="M49" s="473"/>
      <c r="N49" s="445"/>
    </row>
    <row r="50" spans="1:14" s="385" customFormat="1" ht="25.15" customHeight="1">
      <c r="A50" s="442"/>
      <c r="B50" s="474" t="s">
        <v>67</v>
      </c>
      <c r="C50" s="475" t="s">
        <v>68</v>
      </c>
      <c r="D50" s="476"/>
      <c r="E50" s="477"/>
      <c r="F50" s="478">
        <f>SUM(G50:M50)</f>
        <v>2710165.6193504599</v>
      </c>
      <c r="G50" s="478">
        <f>SUM(G51:G74)</f>
        <v>2710165.6193504599</v>
      </c>
      <c r="H50" s="478">
        <f t="shared" ref="H50:M50" si="6">SUM(H51:H69)</f>
        <v>0</v>
      </c>
      <c r="I50" s="478">
        <f t="shared" si="6"/>
        <v>0</v>
      </c>
      <c r="J50" s="478">
        <f t="shared" si="6"/>
        <v>0</v>
      </c>
      <c r="K50" s="478">
        <f t="shared" si="6"/>
        <v>0</v>
      </c>
      <c r="L50" s="478">
        <f t="shared" si="6"/>
        <v>0</v>
      </c>
      <c r="M50" s="478">
        <f t="shared" si="6"/>
        <v>0</v>
      </c>
      <c r="N50" s="445"/>
    </row>
    <row r="51" spans="1:14" s="387" customFormat="1" ht="25.15" customHeight="1">
      <c r="A51" s="388"/>
      <c r="B51" s="479" t="s">
        <v>69</v>
      </c>
      <c r="C51" s="480" t="str">
        <f>表1温室气体盘查表!C34</f>
        <v>铁矿石生产</v>
      </c>
      <c r="D51" s="481" t="str">
        <f>表1温室气体盘查表!D34</f>
        <v>烧结</v>
      </c>
      <c r="E51" s="482"/>
      <c r="F51" s="458">
        <f>表1温室气体盘查表!AL34</f>
        <v>448588.57632498001</v>
      </c>
      <c r="G51" s="468">
        <f>表1温室气体盘查表!AE34</f>
        <v>448588.57632498001</v>
      </c>
      <c r="H51" s="468">
        <f>表1温室气体盘查表!AF34</f>
        <v>0</v>
      </c>
      <c r="I51" s="468">
        <f>表1温室气体盘查表!AG34</f>
        <v>0</v>
      </c>
      <c r="J51" s="468">
        <f>表1温室气体盘查表!AH34</f>
        <v>0</v>
      </c>
      <c r="K51" s="468">
        <f>表1温室气体盘查表!AI34</f>
        <v>0</v>
      </c>
      <c r="L51" s="468">
        <f>表1温室气体盘查表!AJ34</f>
        <v>0</v>
      </c>
      <c r="M51" s="468">
        <f>表1温室气体盘查表!AK34</f>
        <v>0</v>
      </c>
      <c r="N51" s="388"/>
    </row>
    <row r="52" spans="1:14" s="387" customFormat="1" ht="25.15" customHeight="1">
      <c r="A52" s="388"/>
      <c r="B52" s="479" t="s">
        <v>70</v>
      </c>
      <c r="C52" s="480" t="str">
        <f>表1温室气体盘查表!C35</f>
        <v>生石灰生产</v>
      </c>
      <c r="D52" s="481" t="str">
        <f>表1温室气体盘查表!D35</f>
        <v>烧结、转炉、电炉</v>
      </c>
      <c r="E52" s="388"/>
      <c r="F52" s="458">
        <f>表1温室气体盘查表!AL35</f>
        <v>727500.38047630398</v>
      </c>
      <c r="G52" s="468">
        <f>表1温室气体盘查表!AE35</f>
        <v>727500.38047630398</v>
      </c>
      <c r="H52" s="468">
        <f>表1温室气体盘查表!AF35</f>
        <v>0</v>
      </c>
      <c r="I52" s="468">
        <f>表1温室气体盘查表!AG35</f>
        <v>0</v>
      </c>
      <c r="J52" s="468">
        <f>表1温室气体盘查表!AH35</f>
        <v>0</v>
      </c>
      <c r="K52" s="468">
        <f>表1温室气体盘查表!AI35</f>
        <v>0</v>
      </c>
      <c r="L52" s="468">
        <f>表1温室气体盘查表!AJ35</f>
        <v>0</v>
      </c>
      <c r="M52" s="468">
        <f>表1温室气体盘查表!AK35</f>
        <v>0</v>
      </c>
      <c r="N52" s="388"/>
    </row>
    <row r="53" spans="1:14" s="387" customFormat="1" ht="25.15" customHeight="1">
      <c r="A53" s="388"/>
      <c r="B53" s="479" t="s">
        <v>71</v>
      </c>
      <c r="C53" s="480" t="str">
        <f>表1温室气体盘查表!C36</f>
        <v>石灰石生产</v>
      </c>
      <c r="D53" s="481" t="str">
        <f>表1温室气体盘查表!D36</f>
        <v>转炉</v>
      </c>
      <c r="E53" s="388"/>
      <c r="F53" s="458">
        <f>表1温室气体盘查表!AL36</f>
        <v>58.676346522999999</v>
      </c>
      <c r="G53" s="468">
        <f>表1温室气体盘查表!AE36</f>
        <v>58.676346522999999</v>
      </c>
      <c r="H53" s="468">
        <f>表1温室气体盘查表!AF36</f>
        <v>0</v>
      </c>
      <c r="I53" s="468">
        <f>表1温室气体盘查表!AG36</f>
        <v>0</v>
      </c>
      <c r="J53" s="468">
        <f>表1温室气体盘查表!AH36</f>
        <v>0</v>
      </c>
      <c r="K53" s="468">
        <f>表1温室气体盘查表!AI36</f>
        <v>0</v>
      </c>
      <c r="L53" s="468">
        <f>表1温室气体盘查表!AJ36</f>
        <v>0</v>
      </c>
      <c r="M53" s="468">
        <f>表1温室气体盘查表!AK36</f>
        <v>0</v>
      </c>
      <c r="N53" s="388"/>
    </row>
    <row r="54" spans="1:14" s="387" customFormat="1" ht="25.15" customHeight="1">
      <c r="A54" s="388"/>
      <c r="B54" s="479" t="s">
        <v>72</v>
      </c>
      <c r="C54" s="480" t="str">
        <f>表1温室气体盘查表!C37</f>
        <v>白云石生产</v>
      </c>
      <c r="D54" s="481" t="str">
        <f>表1温室气体盘查表!D37</f>
        <v>烧结、转炉、电炉</v>
      </c>
      <c r="E54" s="388"/>
      <c r="F54" s="458">
        <f>表1温室气体盘查表!AL37</f>
        <v>46435.196198700003</v>
      </c>
      <c r="G54" s="468">
        <f>表1温室气体盘查表!AE37</f>
        <v>46435.196198700003</v>
      </c>
      <c r="H54" s="468">
        <f>表1温室气体盘查表!AF37</f>
        <v>0</v>
      </c>
      <c r="I54" s="468">
        <f>表1温室气体盘查表!AG37</f>
        <v>0</v>
      </c>
      <c r="J54" s="468">
        <f>表1温室气体盘查表!AH37</f>
        <v>0</v>
      </c>
      <c r="K54" s="468">
        <f>表1温室气体盘查表!AI37</f>
        <v>0</v>
      </c>
      <c r="L54" s="468">
        <f>表1温室气体盘查表!AJ37</f>
        <v>0</v>
      </c>
      <c r="M54" s="468">
        <f>表1温室气体盘查表!AK37</f>
        <v>0</v>
      </c>
      <c r="N54" s="388"/>
    </row>
    <row r="55" spans="1:14" s="387" customFormat="1" ht="25.15" customHeight="1">
      <c r="A55" s="388"/>
      <c r="B55" s="479" t="s">
        <v>73</v>
      </c>
      <c r="C55" s="480" t="str">
        <f>表1温室气体盘查表!C38</f>
        <v>轻烧白云石生产</v>
      </c>
      <c r="D55" s="481" t="str">
        <f>表1温室气体盘查表!D39</f>
        <v>高炉、转炉</v>
      </c>
      <c r="E55" s="482"/>
      <c r="F55" s="458">
        <f>表1温室气体盘查表!AL38</f>
        <v>363.20885720000001</v>
      </c>
      <c r="G55" s="468">
        <f>表1温室气体盘查表!AE38</f>
        <v>363.20885720000001</v>
      </c>
      <c r="H55" s="468">
        <f>表1温室气体盘查表!AF38</f>
        <v>0</v>
      </c>
      <c r="I55" s="468">
        <f>表1温室气体盘查表!AG38</f>
        <v>0</v>
      </c>
      <c r="J55" s="468">
        <f>表1温室气体盘查表!AH38</f>
        <v>0</v>
      </c>
      <c r="K55" s="468">
        <f>表1温室气体盘查表!AI38</f>
        <v>0</v>
      </c>
      <c r="L55" s="468">
        <f>表1温室气体盘查表!AJ38</f>
        <v>0</v>
      </c>
      <c r="M55" s="468">
        <f>表1温室气体盘查表!AK38</f>
        <v>0</v>
      </c>
      <c r="N55" s="388"/>
    </row>
    <row r="56" spans="1:14" s="387" customFormat="1" ht="25.15" customHeight="1">
      <c r="A56" s="388"/>
      <c r="B56" s="479" t="s">
        <v>74</v>
      </c>
      <c r="C56" s="480" t="str">
        <f>表1温室气体盘查表!C39</f>
        <v>球团生产</v>
      </c>
      <c r="D56" s="481" t="str">
        <f>表1温室气体盘查表!D40</f>
        <v>转炉、电炉</v>
      </c>
      <c r="E56" s="482"/>
      <c r="F56" s="458">
        <f>表1温室气体盘查表!AL39</f>
        <v>71601.050909400001</v>
      </c>
      <c r="G56" s="468">
        <f>表1温室气体盘查表!AE39</f>
        <v>71601.050909400001</v>
      </c>
      <c r="H56" s="468">
        <f>表1温室气体盘查表!AF39</f>
        <v>0</v>
      </c>
      <c r="I56" s="468">
        <f>表1温室气体盘查表!AG39</f>
        <v>0</v>
      </c>
      <c r="J56" s="468">
        <f>表1温室气体盘查表!AH39</f>
        <v>0</v>
      </c>
      <c r="K56" s="468">
        <f>表1温室气体盘查表!AI39</f>
        <v>0</v>
      </c>
      <c r="L56" s="468">
        <f>表1温室气体盘查表!AJ39</f>
        <v>0</v>
      </c>
      <c r="M56" s="468">
        <f>表1温室气体盘查表!AK39</f>
        <v>0</v>
      </c>
      <c r="N56" s="388"/>
    </row>
    <row r="57" spans="1:14" s="387" customFormat="1" ht="25.15" customHeight="1">
      <c r="A57" s="388"/>
      <c r="B57" s="479" t="s">
        <v>75</v>
      </c>
      <c r="C57" s="480" t="str">
        <f>表1温室气体盘查表!C40</f>
        <v>废钢生产</v>
      </c>
      <c r="D57" s="481" t="str">
        <f>表1温室气体盘查表!D41</f>
        <v>转炉、电炉</v>
      </c>
      <c r="E57" s="482"/>
      <c r="F57" s="458">
        <f>表1温室气体盘查表!AL40</f>
        <v>79944.387942351706</v>
      </c>
      <c r="G57" s="468">
        <f>表1温室气体盘查表!AE40</f>
        <v>79944.387942351706</v>
      </c>
      <c r="H57" s="468">
        <f>表1温室气体盘查表!AF40</f>
        <v>0</v>
      </c>
      <c r="I57" s="468">
        <f>表1温室气体盘查表!AG40</f>
        <v>0</v>
      </c>
      <c r="J57" s="468">
        <f>表1温室气体盘查表!AH40</f>
        <v>0</v>
      </c>
      <c r="K57" s="468">
        <f>表1温室气体盘查表!AI40</f>
        <v>0</v>
      </c>
      <c r="L57" s="468">
        <f>表1温室气体盘查表!AJ40</f>
        <v>0</v>
      </c>
      <c r="M57" s="468">
        <f>表1温室气体盘查表!AK40</f>
        <v>0</v>
      </c>
      <c r="N57" s="388"/>
    </row>
    <row r="58" spans="1:14" s="387" customFormat="1" ht="25.15" customHeight="1">
      <c r="A58" s="388"/>
      <c r="B58" s="479" t="s">
        <v>76</v>
      </c>
      <c r="C58" s="480" t="str">
        <f>表1温室气体盘查表!C41</f>
        <v>电极生产</v>
      </c>
      <c r="D58" s="481" t="str">
        <f>表1温室气体盘查表!D42</f>
        <v>转炉、电炉</v>
      </c>
      <c r="E58" s="482"/>
      <c r="F58" s="458">
        <f>表1温室气体盘查表!AL41</f>
        <v>37742.8121526018</v>
      </c>
      <c r="G58" s="468">
        <f>表1温室气体盘查表!AE41</f>
        <v>37742.8121526018</v>
      </c>
      <c r="H58" s="468">
        <f>表1温室气体盘查表!AF41</f>
        <v>0</v>
      </c>
      <c r="I58" s="468">
        <f>表1温室气体盘查表!AG41</f>
        <v>0</v>
      </c>
      <c r="J58" s="468">
        <f>表1温室气体盘查表!AH41</f>
        <v>0</v>
      </c>
      <c r="K58" s="468">
        <f>表1温室气体盘查表!AI41</f>
        <v>0</v>
      </c>
      <c r="L58" s="468">
        <f>表1温室气体盘查表!AJ41</f>
        <v>0</v>
      </c>
      <c r="M58" s="468">
        <f>表1温室气体盘查表!AK41</f>
        <v>0</v>
      </c>
      <c r="N58" s="388"/>
    </row>
    <row r="59" spans="1:14" s="387" customFormat="1" ht="25.15" customHeight="1">
      <c r="A59" s="388"/>
      <c r="B59" s="479" t="s">
        <v>77</v>
      </c>
      <c r="C59" s="480" t="str">
        <f>表1温室气体盘查表!C42</f>
        <v>锰铁生产</v>
      </c>
      <c r="D59" s="481" t="str">
        <f>表1温室气体盘查表!D43</f>
        <v>转炉、电炉</v>
      </c>
      <c r="E59" s="482"/>
      <c r="F59" s="458">
        <f>表1温室气体盘查表!AL42</f>
        <v>141868.58169600001</v>
      </c>
      <c r="G59" s="468">
        <f>表1温室气体盘查表!AE42</f>
        <v>141868.58169600001</v>
      </c>
      <c r="H59" s="468">
        <f>表1温室气体盘查表!AF42</f>
        <v>0</v>
      </c>
      <c r="I59" s="468">
        <f>表1温室气体盘查表!AG42</f>
        <v>0</v>
      </c>
      <c r="J59" s="468">
        <f>表1温室气体盘查表!AH42</f>
        <v>0</v>
      </c>
      <c r="K59" s="468">
        <f>表1温室气体盘查表!AI42</f>
        <v>0</v>
      </c>
      <c r="L59" s="468">
        <f>表1温室气体盘查表!AJ42</f>
        <v>0</v>
      </c>
      <c r="M59" s="468">
        <f>表1温室气体盘查表!AK42</f>
        <v>0</v>
      </c>
      <c r="N59" s="388"/>
    </row>
    <row r="60" spans="1:14" s="387" customFormat="1" ht="25.15" customHeight="1">
      <c r="A60" s="388"/>
      <c r="B60" s="479" t="s">
        <v>78</v>
      </c>
      <c r="C60" s="480" t="str">
        <f>表1温室气体盘查表!C43</f>
        <v>镍铁生产</v>
      </c>
      <c r="D60" s="481" t="str">
        <f>表1温室气体盘查表!D44</f>
        <v>转炉、电炉</v>
      </c>
      <c r="E60" s="482"/>
      <c r="F60" s="458">
        <f>表1温室气体盘查表!AL43</f>
        <v>84819.123026999994</v>
      </c>
      <c r="G60" s="468">
        <f>表1温室气体盘查表!AE43</f>
        <v>84819.123026999994</v>
      </c>
      <c r="H60" s="468">
        <f>表1温室气体盘查表!AF43</f>
        <v>0</v>
      </c>
      <c r="I60" s="468">
        <f>表1温室气体盘查表!AG43</f>
        <v>0</v>
      </c>
      <c r="J60" s="468">
        <f>表1温室气体盘查表!AH43</f>
        <v>0</v>
      </c>
      <c r="K60" s="468">
        <f>表1温室气体盘查表!AI43</f>
        <v>0</v>
      </c>
      <c r="L60" s="468">
        <f>表1温室气体盘查表!AJ43</f>
        <v>0</v>
      </c>
      <c r="M60" s="468">
        <f>表1温室气体盘查表!AK43</f>
        <v>0</v>
      </c>
      <c r="N60" s="388"/>
    </row>
    <row r="61" spans="1:14" s="387" customFormat="1" ht="25.15" customHeight="1">
      <c r="A61" s="388"/>
      <c r="B61" s="479" t="s">
        <v>79</v>
      </c>
      <c r="C61" s="480" t="str">
        <f>表1温室气体盘查表!C44</f>
        <v>铬铁生产</v>
      </c>
      <c r="D61" s="481" t="str">
        <f>表1温室气体盘查表!D45</f>
        <v>转炉、电炉</v>
      </c>
      <c r="E61" s="482"/>
      <c r="F61" s="458">
        <f>表1温室气体盘查表!AL44</f>
        <v>345101.44475299999</v>
      </c>
      <c r="G61" s="468">
        <f>表1温室气体盘查表!AE44</f>
        <v>345101.44475299999</v>
      </c>
      <c r="H61" s="468">
        <f>表1温室气体盘查表!AF44</f>
        <v>0</v>
      </c>
      <c r="I61" s="468">
        <f>表1温室气体盘查表!AG44</f>
        <v>0</v>
      </c>
      <c r="J61" s="468">
        <f>表1温室气体盘查表!AH44</f>
        <v>0</v>
      </c>
      <c r="K61" s="468">
        <f>表1温室气体盘查表!AI44</f>
        <v>0</v>
      </c>
      <c r="L61" s="468">
        <f>表1温室气体盘查表!AJ44</f>
        <v>0</v>
      </c>
      <c r="M61" s="468">
        <f>表1温室气体盘查表!AK44</f>
        <v>0</v>
      </c>
      <c r="N61" s="388"/>
    </row>
    <row r="62" spans="1:14" s="387" customFormat="1" ht="25.15" customHeight="1">
      <c r="A62" s="388"/>
      <c r="B62" s="479" t="s">
        <v>80</v>
      </c>
      <c r="C62" s="480" t="str">
        <f>表1温室气体盘查表!C45</f>
        <v>萤石生产</v>
      </c>
      <c r="D62" s="481" t="str">
        <f>表1温室气体盘查表!D46</f>
        <v>转炉、电炉</v>
      </c>
      <c r="E62" s="482"/>
      <c r="F62" s="458">
        <f>表1温室气体盘查表!AL45</f>
        <v>685.06218720000004</v>
      </c>
      <c r="G62" s="468">
        <f>表1温室气体盘查表!AE45</f>
        <v>685.06218720000004</v>
      </c>
      <c r="H62" s="468">
        <f>表1温室气体盘查表!AF45</f>
        <v>0</v>
      </c>
      <c r="I62" s="468">
        <f>表1温室气体盘查表!AG45</f>
        <v>0</v>
      </c>
      <c r="J62" s="468">
        <f>表1温室气体盘查表!AH45</f>
        <v>0</v>
      </c>
      <c r="K62" s="468">
        <f>表1温室气体盘查表!AI45</f>
        <v>0</v>
      </c>
      <c r="L62" s="468">
        <f>表1温室气体盘查表!AJ45</f>
        <v>0</v>
      </c>
      <c r="M62" s="468">
        <f>表1温室气体盘查表!AK45</f>
        <v>0</v>
      </c>
      <c r="N62" s="388"/>
    </row>
    <row r="63" spans="1:14" s="387" customFormat="1" ht="25.15" customHeight="1">
      <c r="A63" s="388"/>
      <c r="B63" s="479" t="s">
        <v>81</v>
      </c>
      <c r="C63" s="480" t="str">
        <f>表1温室气体盘查表!C46</f>
        <v>硅铁生产</v>
      </c>
      <c r="D63" s="481" t="str">
        <f>表1温室气体盘查表!D47</f>
        <v>转炉、电炉</v>
      </c>
      <c r="E63" s="482"/>
      <c r="F63" s="458">
        <f>表1温室气体盘查表!AL46</f>
        <v>103575.7833</v>
      </c>
      <c r="G63" s="468">
        <f>表1温室气体盘查表!AE46</f>
        <v>103575.7833</v>
      </c>
      <c r="H63" s="468">
        <f>表1温室气体盘查表!AF46</f>
        <v>0</v>
      </c>
      <c r="I63" s="468">
        <f>表1温室气体盘查表!AG46</f>
        <v>0</v>
      </c>
      <c r="J63" s="468">
        <f>表1温室气体盘查表!AH46</f>
        <v>0</v>
      </c>
      <c r="K63" s="468">
        <f>表1温室气体盘查表!AI46</f>
        <v>0</v>
      </c>
      <c r="L63" s="468">
        <f>表1温室气体盘查表!AJ46</f>
        <v>0</v>
      </c>
      <c r="M63" s="468">
        <f>表1温室气体盘查表!AK46</f>
        <v>0</v>
      </c>
      <c r="N63" s="388"/>
    </row>
    <row r="64" spans="1:14" s="387" customFormat="1" ht="25.15" customHeight="1">
      <c r="A64" s="388"/>
      <c r="B64" s="479" t="s">
        <v>82</v>
      </c>
      <c r="C64" s="480" t="str">
        <f>表1温室气体盘查表!C47</f>
        <v>钼铁生产</v>
      </c>
      <c r="D64" s="481" t="str">
        <f>表1温室气体盘查表!D48</f>
        <v>转炉、电炉</v>
      </c>
      <c r="E64" s="482"/>
      <c r="F64" s="458">
        <f>表1温室气体盘查表!AL47</f>
        <v>66065.399999999994</v>
      </c>
      <c r="G64" s="468">
        <f>表1温室气体盘查表!AE47</f>
        <v>66065.399999999994</v>
      </c>
      <c r="H64" s="468">
        <f>表1温室气体盘查表!AF47</f>
        <v>0</v>
      </c>
      <c r="I64" s="468">
        <f>表1温室气体盘查表!AG47</f>
        <v>0</v>
      </c>
      <c r="J64" s="468">
        <f>表1温室气体盘查表!AH47</f>
        <v>0</v>
      </c>
      <c r="K64" s="468">
        <f>表1温室气体盘查表!AI47</f>
        <v>0</v>
      </c>
      <c r="L64" s="468">
        <f>表1温室气体盘查表!AJ47</f>
        <v>0</v>
      </c>
      <c r="M64" s="468">
        <f>表1温室气体盘查表!AK47</f>
        <v>0</v>
      </c>
      <c r="N64" s="388"/>
    </row>
    <row r="65" spans="1:14" s="387" customFormat="1" ht="25.15" customHeight="1">
      <c r="A65" s="388"/>
      <c r="B65" s="479" t="s">
        <v>83</v>
      </c>
      <c r="C65" s="480" t="str">
        <f>表1温室气体盘查表!C48</f>
        <v>铝铁生产</v>
      </c>
      <c r="D65" s="481" t="str">
        <f>表1温室气体盘查表!D49</f>
        <v>转炉、电炉</v>
      </c>
      <c r="E65" s="482"/>
      <c r="F65" s="458">
        <f>表1温室气体盘查表!AL48</f>
        <v>63158.190107505099</v>
      </c>
      <c r="G65" s="468">
        <f>表1温室气体盘查表!AE48</f>
        <v>63158.190107505099</v>
      </c>
      <c r="H65" s="468">
        <f>表1温室气体盘查表!AF48</f>
        <v>0</v>
      </c>
      <c r="I65" s="468">
        <f>表1温室气体盘查表!AG48</f>
        <v>0</v>
      </c>
      <c r="J65" s="468">
        <f>表1温室气体盘查表!AH48</f>
        <v>0</v>
      </c>
      <c r="K65" s="468">
        <f>表1温室气体盘查表!AI48</f>
        <v>0</v>
      </c>
      <c r="L65" s="468">
        <f>表1温室气体盘查表!AJ48</f>
        <v>0</v>
      </c>
      <c r="M65" s="468">
        <f>表1温室气体盘查表!AK48</f>
        <v>0</v>
      </c>
      <c r="N65" s="388"/>
    </row>
    <row r="66" spans="1:14" s="387" customFormat="1" ht="25.15" customHeight="1">
      <c r="A66" s="388"/>
      <c r="B66" s="479" t="s">
        <v>84</v>
      </c>
      <c r="C66" s="480" t="str">
        <f>表1温室气体盘查表!C49</f>
        <v>铝生产</v>
      </c>
      <c r="D66" s="481" t="str">
        <f>表1温室气体盘查表!D50</f>
        <v>转炉、电炉</v>
      </c>
      <c r="E66" s="482"/>
      <c r="F66" s="458">
        <f>表1温室气体盘查表!AL49</f>
        <v>63342.195032190299</v>
      </c>
      <c r="G66" s="468">
        <f>表1温室气体盘查表!AE49</f>
        <v>63342.195032190299</v>
      </c>
      <c r="H66" s="468">
        <f>表1温室气体盘查表!AF49</f>
        <v>0</v>
      </c>
      <c r="I66" s="468">
        <f>表1温室气体盘查表!AG49</f>
        <v>0</v>
      </c>
      <c r="J66" s="468">
        <f>表1温室气体盘查表!AH49</f>
        <v>0</v>
      </c>
      <c r="K66" s="468">
        <f>表1温室气体盘查表!AI49</f>
        <v>0</v>
      </c>
      <c r="L66" s="468">
        <f>表1温室气体盘查表!AJ49</f>
        <v>0</v>
      </c>
      <c r="M66" s="468">
        <f>表1温室气体盘查表!AK49</f>
        <v>0</v>
      </c>
      <c r="N66" s="388"/>
    </row>
    <row r="67" spans="1:14" s="387" customFormat="1" ht="25.15" customHeight="1">
      <c r="A67" s="388"/>
      <c r="B67" s="479" t="s">
        <v>85</v>
      </c>
      <c r="C67" s="480" t="str">
        <f>表1温室气体盘查表!C50</f>
        <v>增碳剂生产</v>
      </c>
      <c r="D67" s="481" t="str">
        <f>表1温室气体盘查表!D50</f>
        <v>转炉、电炉</v>
      </c>
      <c r="E67" s="482"/>
      <c r="F67" s="458">
        <f>表1温室气体盘查表!AL50</f>
        <v>17778.323207115402</v>
      </c>
      <c r="G67" s="468">
        <f>表1温室气体盘查表!AE50</f>
        <v>17778.323207115402</v>
      </c>
      <c r="H67" s="468">
        <f>表1温室气体盘查表!AF50</f>
        <v>0</v>
      </c>
      <c r="I67" s="468">
        <f>表1温室气体盘查表!AG50</f>
        <v>0</v>
      </c>
      <c r="J67" s="468">
        <f>表1温室气体盘查表!AH50</f>
        <v>0</v>
      </c>
      <c r="K67" s="468">
        <f>表1温室气体盘查表!AI50</f>
        <v>0</v>
      </c>
      <c r="L67" s="468">
        <f>表1温室气体盘查表!AJ50</f>
        <v>0</v>
      </c>
      <c r="M67" s="468">
        <f>表1温室气体盘查表!AK50</f>
        <v>0</v>
      </c>
      <c r="N67" s="388"/>
    </row>
    <row r="68" spans="1:14" s="387" customFormat="1" ht="25.15" customHeight="1">
      <c r="A68" s="388"/>
      <c r="B68" s="479" t="s">
        <v>86</v>
      </c>
      <c r="C68" s="480" t="str">
        <f>表1温室气体盘查表!C51</f>
        <v>铁鳞生产</v>
      </c>
      <c r="D68" s="481" t="str">
        <f>表1温室气体盘查表!D51</f>
        <v>炼钢</v>
      </c>
      <c r="E68" s="482"/>
      <c r="F68" s="458">
        <f>表1温室气体盘查表!AL51</f>
        <v>608.38394217142104</v>
      </c>
      <c r="G68" s="468">
        <f>表1温室气体盘查表!AE51</f>
        <v>608.38394217142104</v>
      </c>
      <c r="H68" s="468">
        <f>表1温室气体盘查表!AF51</f>
        <v>0</v>
      </c>
      <c r="I68" s="468">
        <f>表1温室气体盘查表!AG51</f>
        <v>0</v>
      </c>
      <c r="J68" s="468">
        <f>表1温室气体盘查表!AH51</f>
        <v>0</v>
      </c>
      <c r="K68" s="468">
        <f>表1温室气体盘查表!AI51</f>
        <v>0</v>
      </c>
      <c r="L68" s="468">
        <f>表1温室气体盘查表!AJ51</f>
        <v>0</v>
      </c>
      <c r="M68" s="468">
        <f>表1温室气体盘查表!AK51</f>
        <v>0</v>
      </c>
      <c r="N68" s="388"/>
    </row>
    <row r="69" spans="1:14" s="387" customFormat="1" ht="25.15" customHeight="1">
      <c r="A69" s="388"/>
      <c r="B69" s="479" t="s">
        <v>87</v>
      </c>
      <c r="C69" s="480" t="str">
        <f>表1温室气体盘查表!C52</f>
        <v>氨水生产</v>
      </c>
      <c r="D69" s="481" t="str">
        <f>表1温室气体盘查表!D52</f>
        <v>烧结</v>
      </c>
      <c r="E69" s="482"/>
      <c r="F69" s="458">
        <f>表1温室气体盘查表!AL52</f>
        <v>24444.815275563698</v>
      </c>
      <c r="G69" s="468">
        <f>表1温室气体盘查表!AE52</f>
        <v>24444.815275563698</v>
      </c>
      <c r="H69" s="468">
        <f>表1温室气体盘查表!AF52</f>
        <v>0</v>
      </c>
      <c r="I69" s="468">
        <f>表1温室气体盘查表!AG52</f>
        <v>0</v>
      </c>
      <c r="J69" s="468">
        <f>表1温室气体盘查表!AH52</f>
        <v>0</v>
      </c>
      <c r="K69" s="468">
        <f>表1温室气体盘查表!AI52</f>
        <v>0</v>
      </c>
      <c r="L69" s="468">
        <f>表1温室气体盘查表!AJ52</f>
        <v>0</v>
      </c>
      <c r="M69" s="468">
        <f>表1温室气体盘查表!AK52</f>
        <v>0</v>
      </c>
      <c r="N69" s="388"/>
    </row>
    <row r="70" spans="1:14" s="387" customFormat="1" ht="25.15" customHeight="1">
      <c r="A70" s="388"/>
      <c r="B70" s="479" t="s">
        <v>88</v>
      </c>
      <c r="C70" s="480" t="str">
        <f>表1温室气体盘查表!C53</f>
        <v>碳化硅生产</v>
      </c>
      <c r="D70" s="481" t="str">
        <f>表1温室气体盘查表!D53</f>
        <v>-</v>
      </c>
      <c r="E70" s="482"/>
      <c r="F70" s="458">
        <f>表1温室气体盘查表!AL53</f>
        <v>48149.585124286299</v>
      </c>
      <c r="G70" s="468">
        <f>表1温室气体盘查表!AE53</f>
        <v>48149.585124286299</v>
      </c>
      <c r="H70" s="468">
        <f>表1温室气体盘查表!AF53</f>
        <v>0</v>
      </c>
      <c r="I70" s="468">
        <f>表1温室气体盘查表!AG53</f>
        <v>0</v>
      </c>
      <c r="J70" s="468">
        <f>表1温室气体盘查表!AH53</f>
        <v>0</v>
      </c>
      <c r="K70" s="468">
        <f>表1温室气体盘查表!AI53</f>
        <v>0</v>
      </c>
      <c r="L70" s="468">
        <f>表1温室气体盘查表!AJ53</f>
        <v>0</v>
      </c>
      <c r="M70" s="468">
        <f>表1温室气体盘查表!AK53</f>
        <v>0</v>
      </c>
      <c r="N70" s="388"/>
    </row>
    <row r="71" spans="1:14" s="387" customFormat="1" ht="25.15" customHeight="1">
      <c r="A71" s="388"/>
      <c r="B71" s="479" t="s">
        <v>89</v>
      </c>
      <c r="C71" s="480" t="str">
        <f>表1温室气体盘查表!C54</f>
        <v>镁生产</v>
      </c>
      <c r="D71" s="481" t="str">
        <f>表1温室气体盘查表!D54</f>
        <v>-</v>
      </c>
      <c r="E71" s="482"/>
      <c r="F71" s="458">
        <f>表1温室气体盘查表!AL54</f>
        <v>308520.83395425999</v>
      </c>
      <c r="G71" s="468">
        <f>表1温室气体盘查表!AE54</f>
        <v>308520.83395425999</v>
      </c>
      <c r="H71" s="468">
        <f>表1温室气体盘查表!AF54</f>
        <v>0</v>
      </c>
      <c r="I71" s="468">
        <f>表1温室气体盘查表!AG54</f>
        <v>0</v>
      </c>
      <c r="J71" s="468">
        <f>表1温室气体盘查表!AH54</f>
        <v>0</v>
      </c>
      <c r="K71" s="468">
        <f>表1温室气体盘查表!AI54</f>
        <v>0</v>
      </c>
      <c r="L71" s="468">
        <f>表1温室气体盘查表!AJ54</f>
        <v>0</v>
      </c>
      <c r="M71" s="468">
        <f>表1温室气体盘查表!AK54</f>
        <v>0</v>
      </c>
      <c r="N71" s="388"/>
    </row>
    <row r="72" spans="1:14" s="387" customFormat="1" ht="25.15" customHeight="1">
      <c r="A72" s="388"/>
      <c r="B72" s="479" t="s">
        <v>90</v>
      </c>
      <c r="C72" s="480" t="str">
        <f>表1温室气体盘查表!C55</f>
        <v>所有其他纸制品加工制造</v>
      </c>
      <c r="D72" s="481" t="str">
        <f>表1温室气体盘查表!D55</f>
        <v>办公室</v>
      </c>
      <c r="E72" s="482"/>
      <c r="F72" s="458">
        <f>表1温室气体盘查表!AL55</f>
        <v>5.5436243100000002</v>
      </c>
      <c r="G72" s="468">
        <f>表1温室气体盘查表!AE55</f>
        <v>5.5436243100000002</v>
      </c>
      <c r="H72" s="468">
        <f>表1温室气体盘查表!AF55</f>
        <v>0</v>
      </c>
      <c r="I72" s="468">
        <f>表1温室气体盘查表!AG55</f>
        <v>0</v>
      </c>
      <c r="J72" s="468">
        <f>表1温室气体盘查表!AH55</f>
        <v>0</v>
      </c>
      <c r="K72" s="468">
        <f>表1温室气体盘查表!AI55</f>
        <v>0</v>
      </c>
      <c r="L72" s="468">
        <f>表1温室气体盘查表!AJ55</f>
        <v>0</v>
      </c>
      <c r="M72" s="468">
        <f>表1温室气体盘查表!AK55</f>
        <v>0</v>
      </c>
      <c r="N72" s="388"/>
    </row>
    <row r="73" spans="1:14" s="387" customFormat="1" ht="25.15" customHeight="1">
      <c r="A73" s="388"/>
      <c r="B73" s="479" t="s">
        <v>91</v>
      </c>
      <c r="C73" s="480" t="str">
        <f>表1温室气体盘查表!C56</f>
        <v>办公用品(纸张除外)制造</v>
      </c>
      <c r="D73" s="481" t="str">
        <f>表1温室气体盘查表!D56</f>
        <v>办公室</v>
      </c>
      <c r="E73" s="482"/>
      <c r="F73" s="458">
        <f>表1温室气体盘查表!AL56</f>
        <v>47.034256399999997</v>
      </c>
      <c r="G73" s="468">
        <f>表1温室气体盘查表!AE56</f>
        <v>47.034256399999997</v>
      </c>
      <c r="H73" s="468">
        <f>表1温室气体盘查表!AF56</f>
        <v>0</v>
      </c>
      <c r="I73" s="468">
        <f>表1温室气体盘查表!AG56</f>
        <v>0</v>
      </c>
      <c r="J73" s="468">
        <f>表1温室气体盘查表!AH56</f>
        <v>0</v>
      </c>
      <c r="K73" s="468">
        <f>表1温室气体盘查表!AI56</f>
        <v>0</v>
      </c>
      <c r="L73" s="468">
        <f>表1温室气体盘查表!AJ56</f>
        <v>0</v>
      </c>
      <c r="M73" s="468">
        <f>表1温室气体盘查表!AK56</f>
        <v>0</v>
      </c>
      <c r="N73" s="388"/>
    </row>
    <row r="74" spans="1:14" s="387" customFormat="1" ht="25.15" customHeight="1">
      <c r="A74" s="388"/>
      <c r="B74" s="479" t="s">
        <v>92</v>
      </c>
      <c r="C74" s="480" t="str">
        <f>表1温室气体盘查表!C57</f>
        <v>源水</v>
      </c>
      <c r="D74" s="481" t="str">
        <f>表1温室气体盘查表!D57</f>
        <v>水处理工序</v>
      </c>
      <c r="E74" s="482"/>
      <c r="F74" s="458">
        <f>表1温室气体盘查表!AL57</f>
        <v>29761.0306554007</v>
      </c>
      <c r="G74" s="468">
        <f>表1温室气体盘查表!AE57</f>
        <v>29761.0306554007</v>
      </c>
      <c r="H74" s="468">
        <f>表1温室气体盘查表!AF57</f>
        <v>0</v>
      </c>
      <c r="I74" s="468">
        <f>表1温室气体盘查表!AG57</f>
        <v>0</v>
      </c>
      <c r="J74" s="468">
        <f>表1温室气体盘查表!AH57</f>
        <v>0</v>
      </c>
      <c r="K74" s="468">
        <f>表1温室气体盘查表!AI57</f>
        <v>0</v>
      </c>
      <c r="L74" s="468">
        <f>表1温室气体盘查表!AJ57</f>
        <v>0</v>
      </c>
      <c r="M74" s="468">
        <f>表1温室气体盘查表!AK57</f>
        <v>0</v>
      </c>
      <c r="N74" s="388"/>
    </row>
    <row r="75" spans="1:14" s="388" customFormat="1" ht="25.15" customHeight="1">
      <c r="B75" s="483"/>
      <c r="C75" s="482"/>
      <c r="D75" s="484"/>
      <c r="E75" s="482"/>
      <c r="F75" s="472"/>
      <c r="G75" s="473"/>
      <c r="H75" s="473"/>
      <c r="I75" s="473"/>
      <c r="J75" s="473"/>
      <c r="K75" s="473"/>
      <c r="L75" s="473"/>
      <c r="M75" s="473"/>
    </row>
    <row r="76" spans="1:14" s="387" customFormat="1" ht="25.15" customHeight="1">
      <c r="A76" s="388"/>
      <c r="B76" s="474" t="s">
        <v>93</v>
      </c>
      <c r="C76" s="475" t="str">
        <f>表1温室气体盘查表!B58</f>
        <v>资本货物</v>
      </c>
      <c r="D76" s="476"/>
      <c r="E76" s="477"/>
      <c r="F76" s="465">
        <f>SUM(G76:M76)</f>
        <v>51806.970343360001</v>
      </c>
      <c r="G76" s="465">
        <f>SUM(G77:G87)</f>
        <v>51806.970343360001</v>
      </c>
      <c r="H76" s="465">
        <f t="shared" ref="H76:M76" si="7">SUM(H77:H87)</f>
        <v>0</v>
      </c>
      <c r="I76" s="465">
        <f t="shared" si="7"/>
        <v>0</v>
      </c>
      <c r="J76" s="465">
        <f t="shared" si="7"/>
        <v>0</v>
      </c>
      <c r="K76" s="465">
        <f t="shared" si="7"/>
        <v>0</v>
      </c>
      <c r="L76" s="465">
        <f t="shared" si="7"/>
        <v>0</v>
      </c>
      <c r="M76" s="465">
        <f t="shared" si="7"/>
        <v>0</v>
      </c>
      <c r="N76" s="388"/>
    </row>
    <row r="77" spans="1:14" s="387" customFormat="1" ht="32.1" customHeight="1">
      <c r="A77" s="388"/>
      <c r="B77" s="479" t="s">
        <v>94</v>
      </c>
      <c r="C77" s="481" t="str">
        <f>表1温室气体盘查表!C58</f>
        <v>采购产品空调和暖空气加热设备和商业和工业制冷设备制造</v>
      </c>
      <c r="D77" s="481" t="str">
        <f>表1温室气体盘查表!D58</f>
        <v>办公室、各工序</v>
      </c>
      <c r="E77" s="482"/>
      <c r="F77" s="458">
        <f>表1温室气体盘查表!AL58</f>
        <v>14.8324392</v>
      </c>
      <c r="G77" s="458">
        <f>表1温室气体盘查表!AE58</f>
        <v>14.8324392</v>
      </c>
      <c r="H77" s="458">
        <f>表1温室气体盘查表!AF58</f>
        <v>0</v>
      </c>
      <c r="I77" s="458">
        <f>表1温室气体盘查表!AG58</f>
        <v>0</v>
      </c>
      <c r="J77" s="458">
        <f>表1温室气体盘查表!AH58</f>
        <v>0</v>
      </c>
      <c r="K77" s="458">
        <f>表1温室气体盘查表!AI58</f>
        <v>0</v>
      </c>
      <c r="L77" s="458">
        <f>表1温室气体盘查表!AJ58</f>
        <v>0</v>
      </c>
      <c r="M77" s="458">
        <f>表1温室气体盘查表!AK58</f>
        <v>0</v>
      </c>
      <c r="N77" s="388"/>
    </row>
    <row r="78" spans="1:14" s="387" customFormat="1" ht="25.15" customHeight="1">
      <c r="A78" s="388"/>
      <c r="B78" s="479" t="s">
        <v>95</v>
      </c>
      <c r="C78" s="481" t="str">
        <f>表1温室气体盘查表!C59</f>
        <v>电子计算机制造</v>
      </c>
      <c r="D78" s="481" t="str">
        <f>表1温室气体盘查表!D59</f>
        <v>办公室、各工序</v>
      </c>
      <c r="E78" s="482"/>
      <c r="F78" s="458">
        <f>表1温室气体盘查表!AL59</f>
        <v>3.7880397399999999</v>
      </c>
      <c r="G78" s="458">
        <f>表1温室气体盘查表!AE59</f>
        <v>3.7880397399999999</v>
      </c>
      <c r="H78" s="458">
        <f>表1温室气体盘查表!AF59</f>
        <v>0</v>
      </c>
      <c r="I78" s="458">
        <f>表1温室气体盘查表!AG59</f>
        <v>0</v>
      </c>
      <c r="J78" s="458">
        <f>表1温室气体盘查表!AH59</f>
        <v>0</v>
      </c>
      <c r="K78" s="458">
        <f>表1温室气体盘查表!AI59</f>
        <v>0</v>
      </c>
      <c r="L78" s="458">
        <f>表1温室气体盘查表!AJ59</f>
        <v>0</v>
      </c>
      <c r="M78" s="458">
        <f>表1温室气体盘查表!AK59</f>
        <v>0</v>
      </c>
      <c r="N78" s="388"/>
    </row>
    <row r="79" spans="1:14" s="387" customFormat="1" ht="25.15" customHeight="1">
      <c r="A79" s="388"/>
      <c r="B79" s="479" t="s">
        <v>96</v>
      </c>
      <c r="C79" s="481" t="str">
        <f>表1温室气体盘查表!C60</f>
        <v>焊接及焊接设备制造</v>
      </c>
      <c r="D79" s="481" t="str">
        <f>表1温室气体盘查表!D60</f>
        <v>各工序</v>
      </c>
      <c r="E79" s="482"/>
      <c r="F79" s="458">
        <f>表1温室气体盘查表!AL60</f>
        <v>216.41132820000001</v>
      </c>
      <c r="G79" s="458">
        <f>表1温室气体盘查表!AE60</f>
        <v>216.41132820000001</v>
      </c>
      <c r="H79" s="458">
        <f>表1温室气体盘查表!AF60</f>
        <v>0</v>
      </c>
      <c r="I79" s="458">
        <f>表1温室气体盘查表!AG60</f>
        <v>0</v>
      </c>
      <c r="J79" s="458">
        <f>表1温室气体盘查表!AH60</f>
        <v>0</v>
      </c>
      <c r="K79" s="458">
        <f>表1温室气体盘查表!AI60</f>
        <v>0</v>
      </c>
      <c r="L79" s="458">
        <f>表1温室气体盘查表!AJ60</f>
        <v>0</v>
      </c>
      <c r="M79" s="458">
        <f>表1温室气体盘查表!AK60</f>
        <v>0</v>
      </c>
      <c r="N79" s="388"/>
    </row>
    <row r="80" spans="1:14" s="387" customFormat="1" ht="25.15" customHeight="1">
      <c r="A80" s="388"/>
      <c r="B80" s="479" t="s">
        <v>97</v>
      </c>
      <c r="C80" s="481" t="str">
        <f>表1温室气体盘查表!C61</f>
        <v>其他工业设备制造</v>
      </c>
      <c r="D80" s="481" t="str">
        <f>表1温室气体盘查表!D61</f>
        <v>各工序</v>
      </c>
      <c r="E80" s="482"/>
      <c r="F80" s="458">
        <f>表1温室气体盘查表!AL61</f>
        <v>1153.4663845499999</v>
      </c>
      <c r="G80" s="458">
        <f>表1温室气体盘查表!AE61</f>
        <v>1153.4663845499999</v>
      </c>
      <c r="H80" s="458">
        <f>表1温室气体盘查表!AF61</f>
        <v>0</v>
      </c>
      <c r="I80" s="458">
        <f>表1温室气体盘查表!AG61</f>
        <v>0</v>
      </c>
      <c r="J80" s="458">
        <f>表1温室气体盘查表!AH61</f>
        <v>0</v>
      </c>
      <c r="K80" s="458">
        <f>表1温室气体盘查表!AI61</f>
        <v>0</v>
      </c>
      <c r="L80" s="458">
        <f>表1温室气体盘查表!AJ61</f>
        <v>0</v>
      </c>
      <c r="M80" s="458">
        <f>表1温室气体盘查表!AK61</f>
        <v>0</v>
      </c>
      <c r="N80" s="388"/>
    </row>
    <row r="81" spans="1:14" s="387" customFormat="1" ht="25.15" customHeight="1">
      <c r="A81" s="388"/>
      <c r="B81" s="479" t="s">
        <v>98</v>
      </c>
      <c r="C81" s="481" t="str">
        <f>表1温室气体盘查表!C62</f>
        <v>测量和测试电力和电气信号的仪器制造</v>
      </c>
      <c r="D81" s="481" t="str">
        <f>表1温室气体盘查表!D62</f>
        <v>各工序</v>
      </c>
      <c r="E81" s="482"/>
      <c r="F81" s="458">
        <f>表1温室气体盘查表!AL62</f>
        <v>44.316302149999999</v>
      </c>
      <c r="G81" s="458">
        <f>表1温室气体盘查表!AE62</f>
        <v>44.316302149999999</v>
      </c>
      <c r="H81" s="458">
        <f>表1温室气体盘查表!AF62</f>
        <v>0</v>
      </c>
      <c r="I81" s="458">
        <f>表1温室气体盘查表!AG62</f>
        <v>0</v>
      </c>
      <c r="J81" s="458">
        <f>表1温室气体盘查表!AH62</f>
        <v>0</v>
      </c>
      <c r="K81" s="458">
        <f>表1温室气体盘查表!AI62</f>
        <v>0</v>
      </c>
      <c r="L81" s="458">
        <f>表1温室气体盘查表!AJ62</f>
        <v>0</v>
      </c>
      <c r="M81" s="458">
        <f>表1温室气体盘查表!AK62</f>
        <v>0</v>
      </c>
      <c r="N81" s="388"/>
    </row>
    <row r="82" spans="1:14" s="387" customFormat="1" ht="25.15" customHeight="1">
      <c r="A82" s="388"/>
      <c r="B82" s="479" t="s">
        <v>99</v>
      </c>
      <c r="C82" s="481" t="str">
        <f>表1温室气体盘查表!C63</f>
        <v>计算机系统设计服务</v>
      </c>
      <c r="D82" s="481" t="str">
        <f>表1温室气体盘查表!D63</f>
        <v>各工序</v>
      </c>
      <c r="E82" s="482"/>
      <c r="F82" s="458">
        <f>表1温室气体盘查表!AL63</f>
        <v>56.221168280000001</v>
      </c>
      <c r="G82" s="458">
        <f>表1温室气体盘查表!AE63</f>
        <v>56.221168280000001</v>
      </c>
      <c r="H82" s="458">
        <f>表1温室气体盘查表!AF63</f>
        <v>0</v>
      </c>
      <c r="I82" s="458">
        <f>表1温室气体盘查表!AG63</f>
        <v>0</v>
      </c>
      <c r="J82" s="458">
        <f>表1温室气体盘查表!AH63</f>
        <v>0</v>
      </c>
      <c r="K82" s="458">
        <f>表1温室气体盘查表!AI63</f>
        <v>0</v>
      </c>
      <c r="L82" s="458">
        <f>表1温室气体盘查表!AJ63</f>
        <v>0</v>
      </c>
      <c r="M82" s="458">
        <f>表1温室气体盘查表!AK63</f>
        <v>0</v>
      </c>
      <c r="N82" s="388"/>
    </row>
    <row r="83" spans="1:14" s="387" customFormat="1" ht="25.15" customHeight="1">
      <c r="A83" s="388"/>
      <c r="B83" s="479" t="s">
        <v>100</v>
      </c>
      <c r="C83" s="481" t="str">
        <f>表1温室气体盘查表!C64</f>
        <v>机械动力传动设备制造</v>
      </c>
      <c r="D83" s="481" t="str">
        <f>表1温室气体盘查表!D64</f>
        <v>各工序</v>
      </c>
      <c r="E83" s="482"/>
      <c r="F83" s="458">
        <f>表1温室气体盘查表!AL64</f>
        <v>35.30405219</v>
      </c>
      <c r="G83" s="458">
        <f>表1温室气体盘查表!AE64</f>
        <v>35.30405219</v>
      </c>
      <c r="H83" s="458">
        <f>表1温室气体盘查表!AF64</f>
        <v>0</v>
      </c>
      <c r="I83" s="458">
        <f>表1温室气体盘查表!AG64</f>
        <v>0</v>
      </c>
      <c r="J83" s="458">
        <f>表1温室气体盘查表!AH64</f>
        <v>0</v>
      </c>
      <c r="K83" s="458">
        <f>表1温室气体盘查表!AI64</f>
        <v>0</v>
      </c>
      <c r="L83" s="458">
        <f>表1温室气体盘查表!AJ64</f>
        <v>0</v>
      </c>
      <c r="M83" s="458">
        <f>表1温室气体盘查表!AK64</f>
        <v>0</v>
      </c>
      <c r="N83" s="388"/>
    </row>
    <row r="84" spans="1:14" s="387" customFormat="1" ht="25.15" customHeight="1">
      <c r="A84" s="388"/>
      <c r="B84" s="479" t="s">
        <v>101</v>
      </c>
      <c r="C84" s="481" t="str">
        <f>表1温室气体盘查表!C65</f>
        <v>测量、分配及其他泵类设备制造</v>
      </c>
      <c r="D84" s="481" t="str">
        <f>表1温室气体盘查表!D65</f>
        <v>各工序</v>
      </c>
      <c r="E84" s="482"/>
      <c r="F84" s="458">
        <f>表1温室气体盘查表!AL65</f>
        <v>432.06181985000001</v>
      </c>
      <c r="G84" s="458">
        <f>表1温室气体盘查表!AE65</f>
        <v>432.06181985000001</v>
      </c>
      <c r="H84" s="458">
        <f>表1温室气体盘查表!AF65</f>
        <v>0</v>
      </c>
      <c r="I84" s="458">
        <f>表1温室气体盘查表!AG65</f>
        <v>0</v>
      </c>
      <c r="J84" s="458">
        <f>表1温室气体盘查表!AH65</f>
        <v>0</v>
      </c>
      <c r="K84" s="458">
        <f>表1温室气体盘查表!AI65</f>
        <v>0</v>
      </c>
      <c r="L84" s="458">
        <f>表1温室气体盘查表!AJ65</f>
        <v>0</v>
      </c>
      <c r="M84" s="458">
        <f>表1温室气体盘查表!AK65</f>
        <v>0</v>
      </c>
      <c r="N84" s="388"/>
    </row>
    <row r="85" spans="1:14" s="387" customFormat="1" ht="25.15" customHeight="1">
      <c r="A85" s="388"/>
      <c r="B85" s="479" t="s">
        <v>102</v>
      </c>
      <c r="C85" s="481" t="str">
        <f>表1温室气体盘查表!C66</f>
        <v>用于测量、显示和控制工业过程变量的仪器及相关产品制造</v>
      </c>
      <c r="D85" s="481" t="str">
        <f>表1温室气体盘查表!D66</f>
        <v>各工序</v>
      </c>
      <c r="E85" s="482"/>
      <c r="F85" s="458">
        <f>表1温室气体盘查表!AL66</f>
        <v>11.18455254</v>
      </c>
      <c r="G85" s="458">
        <f>表1温室气体盘查表!AE66</f>
        <v>11.18455254</v>
      </c>
      <c r="H85" s="458">
        <f>表1温室气体盘查表!AF66</f>
        <v>0</v>
      </c>
      <c r="I85" s="458">
        <f>表1温室气体盘查表!AG66</f>
        <v>0</v>
      </c>
      <c r="J85" s="458">
        <f>表1温室气体盘查表!AH66</f>
        <v>0</v>
      </c>
      <c r="K85" s="458">
        <f>表1温室气体盘查表!AI66</f>
        <v>0</v>
      </c>
      <c r="L85" s="458">
        <f>表1温室气体盘查表!AJ66</f>
        <v>0</v>
      </c>
      <c r="M85" s="458">
        <f>表1温室气体盘查表!AK66</f>
        <v>0</v>
      </c>
      <c r="N85" s="388"/>
    </row>
    <row r="86" spans="1:14" s="387" customFormat="1" ht="25.15" customHeight="1">
      <c r="A86" s="388"/>
      <c r="B86" s="479" t="s">
        <v>103</v>
      </c>
      <c r="C86" s="481" t="str">
        <f>表1温室气体盘查表!C67</f>
        <v>所有其他杂项电气设备及元件制造</v>
      </c>
      <c r="D86" s="481" t="str">
        <f>表1温室气体盘查表!D67</f>
        <v>各工序</v>
      </c>
      <c r="E86" s="482"/>
      <c r="F86" s="458">
        <f>表1温室气体盘查表!AL67</f>
        <v>555.07219968000004</v>
      </c>
      <c r="G86" s="458">
        <f>表1温室气体盘查表!AE67</f>
        <v>555.07219968000004</v>
      </c>
      <c r="H86" s="458">
        <f>表1温室气体盘查表!AF67</f>
        <v>0</v>
      </c>
      <c r="I86" s="458">
        <f>表1温室气体盘查表!AG67</f>
        <v>0</v>
      </c>
      <c r="J86" s="458">
        <f>表1温室气体盘查表!AH67</f>
        <v>0</v>
      </c>
      <c r="K86" s="458">
        <f>表1温室气体盘查表!AI67</f>
        <v>0</v>
      </c>
      <c r="L86" s="458">
        <f>表1温室气体盘查表!AJ67</f>
        <v>0</v>
      </c>
      <c r="M86" s="458">
        <f>表1温室气体盘查表!AK67</f>
        <v>0</v>
      </c>
      <c r="N86" s="388"/>
    </row>
    <row r="87" spans="1:14" s="387" customFormat="1" ht="25.15" customHeight="1">
      <c r="A87" s="388"/>
      <c r="B87" s="479" t="s">
        <v>104</v>
      </c>
      <c r="C87" s="481" t="str">
        <f>表1温室气体盘查表!C68</f>
        <v>所有其他杂项制造</v>
      </c>
      <c r="D87" s="481" t="str">
        <f>表1温室气体盘查表!D68</f>
        <v>各工序</v>
      </c>
      <c r="E87" s="482"/>
      <c r="F87" s="458">
        <f>表1温室气体盘查表!AL68</f>
        <v>49284.312056980001</v>
      </c>
      <c r="G87" s="458">
        <f>表1温室气体盘查表!AE68</f>
        <v>49284.312056980001</v>
      </c>
      <c r="H87" s="458">
        <f>表1温室气体盘查表!AF68</f>
        <v>0</v>
      </c>
      <c r="I87" s="458">
        <f>表1温室气体盘查表!AG68</f>
        <v>0</v>
      </c>
      <c r="J87" s="458">
        <f>表1温室气体盘查表!AH68</f>
        <v>0</v>
      </c>
      <c r="K87" s="458">
        <f>表1温室气体盘查表!AI68</f>
        <v>0</v>
      </c>
      <c r="L87" s="458">
        <f>表1温室气体盘查表!AJ68</f>
        <v>0</v>
      </c>
      <c r="M87" s="458">
        <f>表1温室气体盘查表!AK68</f>
        <v>0</v>
      </c>
      <c r="N87" s="388"/>
    </row>
    <row r="88" spans="1:14" s="387" customFormat="1" ht="25.15" customHeight="1">
      <c r="A88" s="388"/>
      <c r="B88" s="483"/>
      <c r="C88" s="482"/>
      <c r="D88" s="484"/>
      <c r="E88" s="482"/>
      <c r="F88" s="485"/>
      <c r="G88" s="485"/>
      <c r="H88" s="485"/>
      <c r="I88" s="485"/>
      <c r="J88" s="485"/>
      <c r="K88" s="485"/>
      <c r="L88" s="485"/>
      <c r="M88" s="485"/>
      <c r="N88" s="388"/>
    </row>
    <row r="89" spans="1:14" s="385" customFormat="1" ht="25.15" customHeight="1">
      <c r="A89" s="395"/>
      <c r="B89" s="474" t="s">
        <v>105</v>
      </c>
      <c r="C89" s="486" t="str">
        <f>表1温室气体盘查表!B70</f>
        <v>范围一、二相关燃料和能源相关的活动产生的排放</v>
      </c>
      <c r="D89" s="476"/>
      <c r="E89" s="477"/>
      <c r="F89" s="465">
        <f>SUM(G89:M89)</f>
        <v>2016736.07196272</v>
      </c>
      <c r="G89" s="465">
        <f>SUM(G90:G99)</f>
        <v>2016736.07196272</v>
      </c>
      <c r="H89" s="465">
        <f t="shared" ref="H89:M89" si="8">SUM(H91:H98)</f>
        <v>0</v>
      </c>
      <c r="I89" s="465">
        <f t="shared" si="8"/>
        <v>0</v>
      </c>
      <c r="J89" s="465">
        <f t="shared" si="8"/>
        <v>0</v>
      </c>
      <c r="K89" s="465">
        <f t="shared" si="8"/>
        <v>0</v>
      </c>
      <c r="L89" s="465">
        <f t="shared" si="8"/>
        <v>0</v>
      </c>
      <c r="M89" s="465">
        <f t="shared" si="8"/>
        <v>0</v>
      </c>
    </row>
    <row r="90" spans="1:14" s="385" customFormat="1" ht="25.15" customHeight="1">
      <c r="A90" s="395"/>
      <c r="B90" s="479" t="s">
        <v>106</v>
      </c>
      <c r="C90" s="480" t="str">
        <f>表1温室气体盘查表!C69</f>
        <v>液化石油气生产</v>
      </c>
      <c r="D90" s="481" t="str">
        <f>表1温室气体盘查表!D69</f>
        <v>冶钢宾馆</v>
      </c>
      <c r="E90" s="469"/>
      <c r="F90" s="458">
        <f>表1温室气体盘查表!AL69</f>
        <v>9.4484580462838608</v>
      </c>
      <c r="G90" s="458">
        <f>表1温室气体盘查表!AE69</f>
        <v>9.4484580462838608</v>
      </c>
      <c r="H90" s="458">
        <f>表1温室气体盘查表!AF69</f>
        <v>0</v>
      </c>
      <c r="I90" s="458">
        <f>表1温室气体盘查表!AG69</f>
        <v>0</v>
      </c>
      <c r="J90" s="458">
        <f>表1温室气体盘查表!AH69</f>
        <v>0</v>
      </c>
      <c r="K90" s="458">
        <f>表1温室气体盘查表!AI69</f>
        <v>0</v>
      </c>
      <c r="L90" s="458">
        <f>表1温室气体盘查表!AJ69</f>
        <v>0</v>
      </c>
      <c r="M90" s="458">
        <f>表1温室气体盘查表!AK69</f>
        <v>0</v>
      </c>
    </row>
    <row r="91" spans="1:14" s="385" customFormat="1" ht="25.15" customHeight="1">
      <c r="A91" s="395"/>
      <c r="B91" s="479" t="s">
        <v>107</v>
      </c>
      <c r="C91" s="480" t="str">
        <f>表1温室气体盘查表!C70</f>
        <v>洗精煤生产</v>
      </c>
      <c r="D91" s="481" t="str">
        <f>表1温室气体盘查表!D70</f>
        <v>焦化</v>
      </c>
      <c r="E91" s="482"/>
      <c r="F91" s="458">
        <f>表1温室气体盘查表!AL70</f>
        <v>1120352.4211275</v>
      </c>
      <c r="G91" s="458">
        <f>表1温室气体盘查表!AE70</f>
        <v>1120352.4211275</v>
      </c>
      <c r="H91" s="458">
        <f>表1温室气体盘查表!AF70</f>
        <v>0</v>
      </c>
      <c r="I91" s="458">
        <f>表1温室气体盘查表!AG70</f>
        <v>0</v>
      </c>
      <c r="J91" s="458">
        <f>表1温室气体盘查表!AH70</f>
        <v>0</v>
      </c>
      <c r="K91" s="458">
        <f>表1温室气体盘查表!AI70</f>
        <v>0</v>
      </c>
      <c r="L91" s="458">
        <f>表1温室气体盘查表!AJ70</f>
        <v>0</v>
      </c>
      <c r="M91" s="458">
        <f>表1温室气体盘查表!AK70</f>
        <v>0</v>
      </c>
    </row>
    <row r="92" spans="1:14" s="385" customFormat="1" ht="25.15" customHeight="1">
      <c r="A92" s="395"/>
      <c r="B92" s="479" t="s">
        <v>108</v>
      </c>
      <c r="C92" s="480" t="str">
        <f>表1温室气体盘查表!C71</f>
        <v>柴油生产</v>
      </c>
      <c r="D92" s="481" t="str">
        <f>表1温室气体盘查表!D71</f>
        <v>各工序</v>
      </c>
      <c r="E92" s="388"/>
      <c r="F92" s="458">
        <f>表1温室气体盘查表!AL71</f>
        <v>1182.2270043999999</v>
      </c>
      <c r="G92" s="458">
        <f>表1温室气体盘查表!AE71</f>
        <v>1182.2270043999999</v>
      </c>
      <c r="H92" s="458">
        <f>表1温室气体盘查表!AF71</f>
        <v>0</v>
      </c>
      <c r="I92" s="458">
        <f>表1温室气体盘查表!AG71</f>
        <v>0</v>
      </c>
      <c r="J92" s="458">
        <f>表1温室气体盘查表!AH71</f>
        <v>0</v>
      </c>
      <c r="K92" s="458">
        <f>表1温室气体盘查表!AI71</f>
        <v>0</v>
      </c>
      <c r="L92" s="458">
        <f>表1温室气体盘查表!AJ71</f>
        <v>0</v>
      </c>
      <c r="M92" s="458">
        <f>表1温室气体盘查表!AK71</f>
        <v>0</v>
      </c>
    </row>
    <row r="93" spans="1:14" s="385" customFormat="1" ht="25.15" customHeight="1">
      <c r="A93" s="395"/>
      <c r="B93" s="479" t="s">
        <v>109</v>
      </c>
      <c r="C93" s="480" t="str">
        <f>表1温室气体盘查表!C72</f>
        <v>汽油生产</v>
      </c>
      <c r="D93" s="481" t="str">
        <f>表1温室气体盘查表!D72</f>
        <v>车队</v>
      </c>
      <c r="E93" s="388"/>
      <c r="F93" s="458">
        <f>表1温室气体盘查表!AL72</f>
        <v>48.438424774309503</v>
      </c>
      <c r="G93" s="458">
        <f>表1温室气体盘查表!AE72</f>
        <v>48.438424774309503</v>
      </c>
      <c r="H93" s="458">
        <f>表1温室气体盘查表!AF72</f>
        <v>0</v>
      </c>
      <c r="I93" s="458">
        <f>表1温室气体盘查表!AG72</f>
        <v>0</v>
      </c>
      <c r="J93" s="458">
        <f>表1温室气体盘查表!AH72</f>
        <v>0</v>
      </c>
      <c r="K93" s="458">
        <f>表1温室气体盘查表!AI72</f>
        <v>0</v>
      </c>
      <c r="L93" s="458">
        <f>表1温室气体盘查表!AJ72</f>
        <v>0</v>
      </c>
      <c r="M93" s="458">
        <f>表1温室气体盘查表!AK72</f>
        <v>0</v>
      </c>
    </row>
    <row r="94" spans="1:14" s="385" customFormat="1" ht="25.15" customHeight="1">
      <c r="A94" s="395"/>
      <c r="B94" s="479" t="s">
        <v>110</v>
      </c>
      <c r="C94" s="480" t="str">
        <f>表1温室气体盘查表!C73</f>
        <v>焦炭生产</v>
      </c>
      <c r="D94" s="481" t="str">
        <f>表1温室气体盘查表!D73</f>
        <v>烧结、高炉</v>
      </c>
      <c r="E94" s="388"/>
      <c r="F94" s="458">
        <f>表1温室气体盘查表!AL73</f>
        <v>184347.32152</v>
      </c>
      <c r="G94" s="458">
        <f>表1温室气体盘查表!AE73</f>
        <v>184347.32152</v>
      </c>
      <c r="H94" s="458">
        <f>表1温室气体盘查表!AF73</f>
        <v>0</v>
      </c>
      <c r="I94" s="458">
        <f>表1温室气体盘查表!AG73</f>
        <v>0</v>
      </c>
      <c r="J94" s="458">
        <f>表1温室气体盘查表!AH73</f>
        <v>0</v>
      </c>
      <c r="K94" s="458">
        <f>表1温室气体盘查表!AI73</f>
        <v>0</v>
      </c>
      <c r="L94" s="458">
        <f>表1温室气体盘查表!AJ73</f>
        <v>0</v>
      </c>
      <c r="M94" s="458">
        <f>表1温室气体盘查表!AK73</f>
        <v>0</v>
      </c>
    </row>
    <row r="95" spans="1:14" s="385" customFormat="1" ht="25.15" customHeight="1">
      <c r="A95" s="395"/>
      <c r="B95" s="479" t="s">
        <v>111</v>
      </c>
      <c r="C95" s="480" t="str">
        <f>表1温室气体盘查表!C74</f>
        <v>焦屑生产</v>
      </c>
      <c r="D95" s="481" t="str">
        <f>表1温室气体盘查表!D74</f>
        <v>烧结、高炉</v>
      </c>
      <c r="E95" s="388"/>
      <c r="F95" s="458">
        <f>表1温室气体盘查表!AL74</f>
        <v>152835.16579999999</v>
      </c>
      <c r="G95" s="458">
        <f>表1温室气体盘查表!AE74</f>
        <v>152835.16579999999</v>
      </c>
      <c r="H95" s="458">
        <f>表1温室气体盘查表!AF74</f>
        <v>0</v>
      </c>
      <c r="I95" s="458">
        <f>表1温室气体盘查表!AG74</f>
        <v>0</v>
      </c>
      <c r="J95" s="458">
        <f>表1温室气体盘查表!AH74</f>
        <v>0</v>
      </c>
      <c r="K95" s="458">
        <f>表1温室气体盘查表!AI74</f>
        <v>0</v>
      </c>
      <c r="L95" s="458">
        <f>表1温室气体盘查表!AJ74</f>
        <v>0</v>
      </c>
      <c r="M95" s="458">
        <f>表1温室气体盘查表!AK74</f>
        <v>0</v>
      </c>
    </row>
    <row r="96" spans="1:14" s="385" customFormat="1" ht="25.15" customHeight="1">
      <c r="A96" s="395"/>
      <c r="B96" s="479" t="s">
        <v>112</v>
      </c>
      <c r="C96" s="480" t="str">
        <f>表1温室气体盘查表!C75</f>
        <v>烟煤生产</v>
      </c>
      <c r="D96" s="481" t="str">
        <f>表1温室气体盘查表!D75</f>
        <v>高炉</v>
      </c>
      <c r="E96" s="482"/>
      <c r="F96" s="458">
        <f>表1温室气体盘查表!AL75</f>
        <v>229690.010538</v>
      </c>
      <c r="G96" s="458">
        <f>表1温室气体盘查表!AE75</f>
        <v>229690.010538</v>
      </c>
      <c r="H96" s="458">
        <f>表1温室气体盘查表!AF75</f>
        <v>0</v>
      </c>
      <c r="I96" s="458">
        <f>表1温室气体盘查表!AG75</f>
        <v>0</v>
      </c>
      <c r="J96" s="458">
        <f>表1温室气体盘查表!AH75</f>
        <v>0</v>
      </c>
      <c r="K96" s="458">
        <f>表1温室气体盘查表!AI75</f>
        <v>0</v>
      </c>
      <c r="L96" s="458">
        <f>表1温室气体盘查表!AJ75</f>
        <v>0</v>
      </c>
      <c r="M96" s="458">
        <f>表1温室气体盘查表!AK75</f>
        <v>0</v>
      </c>
    </row>
    <row r="97" spans="1:13" s="385" customFormat="1" ht="25.15" customHeight="1">
      <c r="A97" s="395"/>
      <c r="B97" s="479" t="s">
        <v>113</v>
      </c>
      <c r="C97" s="480" t="str">
        <f>表1温室气体盘查表!C76</f>
        <v>无烟煤生产</v>
      </c>
      <c r="D97" s="481" t="str">
        <f>表1温室气体盘查表!D76</f>
        <v>烧结、高炉</v>
      </c>
      <c r="E97" s="482"/>
      <c r="F97" s="458">
        <f>表1温室气体盘查表!AL76</f>
        <v>149948.23718699999</v>
      </c>
      <c r="G97" s="458">
        <f>表1温室气体盘查表!AE76</f>
        <v>149948.23718699999</v>
      </c>
      <c r="H97" s="458">
        <f>表1温室气体盘查表!AF76</f>
        <v>0</v>
      </c>
      <c r="I97" s="458">
        <f>表1温室气体盘查表!AG76</f>
        <v>0</v>
      </c>
      <c r="J97" s="458">
        <f>表1温室气体盘查表!AH76</f>
        <v>0</v>
      </c>
      <c r="K97" s="458">
        <f>表1温室气体盘查表!AI76</f>
        <v>0</v>
      </c>
      <c r="L97" s="458">
        <f>表1温室气体盘查表!AJ76</f>
        <v>0</v>
      </c>
      <c r="M97" s="458">
        <f>表1温室气体盘查表!AK76</f>
        <v>0</v>
      </c>
    </row>
    <row r="98" spans="1:13" s="385" customFormat="1" ht="25.15" customHeight="1">
      <c r="A98" s="395"/>
      <c r="B98" s="479" t="s">
        <v>114</v>
      </c>
      <c r="C98" s="480" t="str">
        <f>表1温室气体盘查表!C77</f>
        <v>天然气生产</v>
      </c>
      <c r="D98" s="481" t="str">
        <f>表1温室气体盘查表!D77</f>
        <v>转炉、电炉、锻造、热处理</v>
      </c>
      <c r="E98" s="482"/>
      <c r="F98" s="458">
        <f>表1温室气体盘查表!AL77</f>
        <v>11120.2731</v>
      </c>
      <c r="G98" s="458">
        <f>表1温室气体盘查表!AE77</f>
        <v>11120.2731</v>
      </c>
      <c r="H98" s="458">
        <f>表1温室气体盘查表!AF77</f>
        <v>0</v>
      </c>
      <c r="I98" s="458">
        <f>表1温室气体盘查表!AG77</f>
        <v>0</v>
      </c>
      <c r="J98" s="458">
        <f>表1温室气体盘查表!AH77</f>
        <v>0</v>
      </c>
      <c r="K98" s="458">
        <f>表1温室气体盘查表!AI77</f>
        <v>0</v>
      </c>
      <c r="L98" s="458">
        <f>表1温室气体盘查表!AJ77</f>
        <v>0</v>
      </c>
      <c r="M98" s="458">
        <f>表1温室气体盘查表!AK77</f>
        <v>0</v>
      </c>
    </row>
    <row r="99" spans="1:13" s="385" customFormat="1" ht="25.15" customHeight="1">
      <c r="A99" s="395"/>
      <c r="B99" s="479" t="s">
        <v>115</v>
      </c>
      <c r="C99" s="480" t="str">
        <f>表1温室气体盘查表!C78</f>
        <v>外购电力上游排放</v>
      </c>
      <c r="D99" s="481" t="str">
        <f>表1温室气体盘查表!D78</f>
        <v>各工序</v>
      </c>
      <c r="E99" s="482"/>
      <c r="F99" s="458">
        <f>表1温室气体盘查表!AL78</f>
        <v>167202.52880299999</v>
      </c>
      <c r="G99" s="458">
        <f>表1温室气体盘查表!AE78</f>
        <v>167202.52880299999</v>
      </c>
      <c r="H99" s="458">
        <f>表1温室气体盘查表!AF78</f>
        <v>0</v>
      </c>
      <c r="I99" s="458">
        <f>表1温室气体盘查表!AG78</f>
        <v>0</v>
      </c>
      <c r="J99" s="458">
        <f>表1温室气体盘查表!AH78</f>
        <v>0</v>
      </c>
      <c r="K99" s="458">
        <f>表1温室气体盘查表!AI78</f>
        <v>0</v>
      </c>
      <c r="L99" s="458">
        <f>表1温室气体盘查表!AJ78</f>
        <v>0</v>
      </c>
      <c r="M99" s="458">
        <f>表1温室气体盘查表!AK78</f>
        <v>0</v>
      </c>
    </row>
    <row r="100" spans="1:13" s="385" customFormat="1" ht="25.15" customHeight="1">
      <c r="A100" s="395"/>
      <c r="B100" s="487"/>
      <c r="C100" s="488"/>
      <c r="D100" s="488"/>
      <c r="E100" s="388"/>
      <c r="F100" s="388"/>
      <c r="G100" s="489"/>
      <c r="H100" s="489"/>
      <c r="I100" s="489"/>
      <c r="J100" s="489"/>
      <c r="K100" s="489"/>
      <c r="L100" s="489"/>
      <c r="M100" s="489"/>
    </row>
    <row r="101" spans="1:13" s="385" customFormat="1" ht="25.15" customHeight="1">
      <c r="A101" s="395"/>
      <c r="B101" s="490" t="s">
        <v>116</v>
      </c>
      <c r="C101" s="491" t="str">
        <f>表1温室气体盘查表!B79</f>
        <v>上游运输配送产生的排放</v>
      </c>
      <c r="D101" s="492"/>
      <c r="E101" s="493"/>
      <c r="F101" s="494">
        <f>SUM(G101:M101)</f>
        <v>362284.25267030101</v>
      </c>
      <c r="G101" s="494">
        <f>SUM(G102:G104)</f>
        <v>362284.25267030101</v>
      </c>
      <c r="H101" s="494">
        <f t="shared" ref="H101:M101" si="9">SUM(H102:H104)</f>
        <v>0</v>
      </c>
      <c r="I101" s="494">
        <f t="shared" si="9"/>
        <v>0</v>
      </c>
      <c r="J101" s="494">
        <f t="shared" si="9"/>
        <v>0</v>
      </c>
      <c r="K101" s="494">
        <f t="shared" si="9"/>
        <v>0</v>
      </c>
      <c r="L101" s="494">
        <f t="shared" si="9"/>
        <v>0</v>
      </c>
      <c r="M101" s="494">
        <f t="shared" si="9"/>
        <v>0</v>
      </c>
    </row>
    <row r="102" spans="1:13" s="385" customFormat="1" ht="25.15" customHeight="1">
      <c r="A102" s="395"/>
      <c r="B102" s="456" t="s">
        <v>117</v>
      </c>
      <c r="C102" s="457" t="str">
        <f>表1温室气体盘查表!C79</f>
        <v>船运</v>
      </c>
      <c r="D102" s="463" t="str">
        <f>表1温室气体盘查表!D79</f>
        <v>-</v>
      </c>
      <c r="F102" s="458">
        <f>表1温室气体盘查表!AL79</f>
        <v>256608.96908694899</v>
      </c>
      <c r="G102" s="458">
        <f>表1温室气体盘查表!AE79</f>
        <v>256608.96908694899</v>
      </c>
      <c r="H102" s="458">
        <f>表1温室气体盘查表!AF79</f>
        <v>0</v>
      </c>
      <c r="I102" s="458">
        <f>表1温室气体盘查表!AG79</f>
        <v>0</v>
      </c>
      <c r="J102" s="458">
        <f>表1温室气体盘查表!AH79</f>
        <v>0</v>
      </c>
      <c r="K102" s="458">
        <f>表1温室气体盘查表!AI79</f>
        <v>0</v>
      </c>
      <c r="L102" s="458">
        <f>表1温室气体盘查表!AJ79</f>
        <v>0</v>
      </c>
      <c r="M102" s="458">
        <f>表1温室气体盘查表!AK79</f>
        <v>0</v>
      </c>
    </row>
    <row r="103" spans="1:13" s="385" customFormat="1" ht="25.15" customHeight="1">
      <c r="A103" s="395"/>
      <c r="B103" s="456" t="s">
        <v>118</v>
      </c>
      <c r="C103" s="457" t="str">
        <f>表1温室气体盘查表!C80</f>
        <v>汽运</v>
      </c>
      <c r="D103" s="463" t="str">
        <f>表1温室气体盘查表!D80</f>
        <v>-</v>
      </c>
      <c r="F103" s="458">
        <f>表1温室气体盘查表!AL80</f>
        <v>46150.511872324103</v>
      </c>
      <c r="G103" s="458">
        <f>表1温室气体盘查表!AE80</f>
        <v>46150.511872324103</v>
      </c>
      <c r="H103" s="458">
        <f>表1温室气体盘查表!AF80</f>
        <v>0</v>
      </c>
      <c r="I103" s="458">
        <f>表1温室气体盘查表!AG80</f>
        <v>0</v>
      </c>
      <c r="J103" s="458">
        <f>表1温室气体盘查表!AH80</f>
        <v>0</v>
      </c>
      <c r="K103" s="458">
        <f>表1温室气体盘查表!AI80</f>
        <v>0</v>
      </c>
      <c r="L103" s="458">
        <f>表1温室气体盘查表!AJ80</f>
        <v>0</v>
      </c>
      <c r="M103" s="458">
        <f>表1温室气体盘查表!AK80</f>
        <v>0</v>
      </c>
    </row>
    <row r="104" spans="1:13" s="385" customFormat="1" ht="25.15" customHeight="1">
      <c r="A104" s="395"/>
      <c r="B104" s="456" t="s">
        <v>119</v>
      </c>
      <c r="C104" s="457" t="str">
        <f>表1温室气体盘查表!C81</f>
        <v>铁路运输</v>
      </c>
      <c r="D104" s="463" t="str">
        <f>表1温室气体盘查表!D81</f>
        <v>-</v>
      </c>
      <c r="F104" s="458">
        <f>表1温室气体盘查表!AL81</f>
        <v>59524.771711027199</v>
      </c>
      <c r="G104" s="458">
        <f>表1温室气体盘查表!AE81</f>
        <v>59524.771711027199</v>
      </c>
      <c r="H104" s="458">
        <f>表1温室气体盘查表!AF81</f>
        <v>0</v>
      </c>
      <c r="I104" s="458">
        <f>表1温室气体盘查表!AG81</f>
        <v>0</v>
      </c>
      <c r="J104" s="458">
        <f>表1温室气体盘查表!AH81</f>
        <v>0</v>
      </c>
      <c r="K104" s="458">
        <f>表1温室气体盘查表!AI81</f>
        <v>0</v>
      </c>
      <c r="L104" s="458">
        <f>表1温室气体盘查表!AJ81</f>
        <v>0</v>
      </c>
      <c r="M104" s="458">
        <f>表1温室气体盘查表!AK81</f>
        <v>0</v>
      </c>
    </row>
    <row r="105" spans="1:13" s="385" customFormat="1" ht="25.15" customHeight="1">
      <c r="A105" s="395"/>
      <c r="B105" s="495"/>
      <c r="C105" s="496"/>
      <c r="D105" s="496"/>
      <c r="E105" s="387"/>
      <c r="F105" s="497"/>
      <c r="G105" s="497"/>
      <c r="H105" s="497"/>
      <c r="I105" s="497"/>
      <c r="J105" s="497"/>
      <c r="K105" s="497"/>
      <c r="L105" s="497"/>
      <c r="M105" s="497"/>
    </row>
    <row r="106" spans="1:13" s="385" customFormat="1" ht="25.15" customHeight="1">
      <c r="A106" s="395"/>
      <c r="B106" s="490" t="s">
        <v>120</v>
      </c>
      <c r="C106" s="491" t="str">
        <f>表1温室气体盘查表!B82</f>
        <v>运营中产生的废物排放</v>
      </c>
      <c r="D106" s="492"/>
      <c r="E106" s="493"/>
      <c r="F106" s="465">
        <f>SUM(G106:M106)</f>
        <v>147636.03187622401</v>
      </c>
      <c r="G106" s="465">
        <f>SUM(G107:G111)</f>
        <v>147636.03187622401</v>
      </c>
      <c r="H106" s="465">
        <f t="shared" ref="H106:M106" si="10">SUM(H107)</f>
        <v>0</v>
      </c>
      <c r="I106" s="465">
        <f t="shared" si="10"/>
        <v>0</v>
      </c>
      <c r="J106" s="465">
        <f t="shared" si="10"/>
        <v>0</v>
      </c>
      <c r="K106" s="465">
        <f t="shared" si="10"/>
        <v>0</v>
      </c>
      <c r="L106" s="465">
        <f t="shared" si="10"/>
        <v>0</v>
      </c>
      <c r="M106" s="465">
        <f t="shared" si="10"/>
        <v>0</v>
      </c>
    </row>
    <row r="107" spans="1:13" s="385" customFormat="1" ht="25.15" customHeight="1">
      <c r="A107" s="395"/>
      <c r="B107" s="456" t="s">
        <v>121</v>
      </c>
      <c r="C107" s="457" t="str">
        <f>表1温室气体盘查表!C82</f>
        <v>生活垃圾和厨余垃圾</v>
      </c>
      <c r="D107" s="457" t="str">
        <f>表1温室气体盘查表!D82</f>
        <v>垃圾站</v>
      </c>
      <c r="F107" s="458">
        <f>表1温室气体盘查表!AL82</f>
        <v>969.24192968968396</v>
      </c>
      <c r="G107" s="458">
        <f>表1温室气体盘查表!AE82</f>
        <v>969.24192968968396</v>
      </c>
      <c r="H107" s="458">
        <f>表1温室气体盘查表!AF82</f>
        <v>0</v>
      </c>
      <c r="I107" s="458">
        <f>表1温室气体盘查表!AG82</f>
        <v>0</v>
      </c>
      <c r="J107" s="458">
        <f>表1温室气体盘查表!AH82</f>
        <v>0</v>
      </c>
      <c r="K107" s="458">
        <f>表1温室气体盘查表!AI82</f>
        <v>0</v>
      </c>
      <c r="L107" s="458">
        <f>表1温室气体盘查表!AJ82</f>
        <v>0</v>
      </c>
      <c r="M107" s="458">
        <f>表1温室气体盘查表!AK82</f>
        <v>0</v>
      </c>
    </row>
    <row r="108" spans="1:13" s="385" customFormat="1" ht="25.15" customHeight="1">
      <c r="A108" s="395"/>
      <c r="B108" s="456" t="s">
        <v>122</v>
      </c>
      <c r="C108" s="457" t="str">
        <f>表1温室气体盘查表!C83</f>
        <v>废油</v>
      </c>
      <c r="D108" s="457" t="str">
        <f>表1温室气体盘查表!D83</f>
        <v>-</v>
      </c>
      <c r="F108" s="458">
        <f>表1温室气体盘查表!AL83</f>
        <v>104.70284557036101</v>
      </c>
      <c r="G108" s="458">
        <f>表1温室气体盘查表!AE83</f>
        <v>104.70284557036101</v>
      </c>
      <c r="H108" s="458">
        <f>表1温室气体盘查表!AF83</f>
        <v>0</v>
      </c>
      <c r="I108" s="458">
        <f>表1温室气体盘查表!AG83</f>
        <v>0</v>
      </c>
      <c r="J108" s="458">
        <f>表1温室气体盘查表!AH83</f>
        <v>0</v>
      </c>
      <c r="K108" s="458">
        <f>表1温室气体盘查表!AI83</f>
        <v>0</v>
      </c>
      <c r="L108" s="458">
        <f>表1温室气体盘查表!AJ83</f>
        <v>0</v>
      </c>
      <c r="M108" s="458">
        <f>表1温室气体盘查表!AK83</f>
        <v>0</v>
      </c>
    </row>
    <row r="109" spans="1:13" s="385" customFormat="1" ht="25.15" customHeight="1">
      <c r="A109" s="395"/>
      <c r="B109" s="456" t="s">
        <v>123</v>
      </c>
      <c r="C109" s="457" t="str">
        <f>表1温室气体盘查表!C84</f>
        <v>废油水</v>
      </c>
      <c r="D109" s="457" t="str">
        <f>表1温室气体盘查表!D84</f>
        <v>-</v>
      </c>
      <c r="F109" s="458">
        <f>表1温室气体盘查表!AL84</f>
        <v>653.85858662306896</v>
      </c>
      <c r="G109" s="458">
        <f>表1温室气体盘查表!AE84</f>
        <v>653.85858662306896</v>
      </c>
      <c r="H109" s="458">
        <f>表1温室气体盘查表!AF84</f>
        <v>0</v>
      </c>
      <c r="I109" s="458">
        <f>表1温室气体盘查表!AG84</f>
        <v>0</v>
      </c>
      <c r="J109" s="458">
        <f>表1温室气体盘查表!AH84</f>
        <v>0</v>
      </c>
      <c r="K109" s="458">
        <f>表1温室气体盘查表!AI84</f>
        <v>0</v>
      </c>
      <c r="L109" s="458">
        <f>表1温室气体盘查表!AJ84</f>
        <v>0</v>
      </c>
      <c r="M109" s="458">
        <f>表1温室气体盘查表!AK84</f>
        <v>0</v>
      </c>
    </row>
    <row r="110" spans="1:13" s="385" customFormat="1" ht="25.15" customHeight="1">
      <c r="A110" s="395"/>
      <c r="B110" s="456" t="s">
        <v>124</v>
      </c>
      <c r="C110" s="457" t="str">
        <f>表1温室气体盘查表!C85</f>
        <v>煤焦油</v>
      </c>
      <c r="D110" s="457" t="str">
        <f>表1温室气体盘查表!D85</f>
        <v>-</v>
      </c>
      <c r="F110" s="458">
        <f>表1温室气体盘查表!AL85</f>
        <v>145058.803127058</v>
      </c>
      <c r="G110" s="458">
        <f>表1温室气体盘查表!AE85</f>
        <v>145058.803127058</v>
      </c>
      <c r="H110" s="458">
        <f>表1温室气体盘查表!AF85</f>
        <v>0</v>
      </c>
      <c r="I110" s="458">
        <f>表1温室气体盘查表!AG85</f>
        <v>0</v>
      </c>
      <c r="J110" s="458">
        <f>表1温室气体盘查表!AH85</f>
        <v>0</v>
      </c>
      <c r="K110" s="458">
        <f>表1温室气体盘查表!AI85</f>
        <v>0</v>
      </c>
      <c r="L110" s="458">
        <f>表1温室气体盘查表!AJ85</f>
        <v>0</v>
      </c>
      <c r="M110" s="458">
        <f>表1温室气体盘查表!AK85</f>
        <v>0</v>
      </c>
    </row>
    <row r="111" spans="1:13" s="385" customFormat="1" ht="25.15" customHeight="1">
      <c r="A111" s="395"/>
      <c r="B111" s="456" t="s">
        <v>125</v>
      </c>
      <c r="C111" s="457" t="str">
        <f>表1温室气体盘查表!C86</f>
        <v>废弃物运输</v>
      </c>
      <c r="D111" s="457" t="str">
        <f>表1温室气体盘查表!D86</f>
        <v>-</v>
      </c>
      <c r="F111" s="458">
        <f>表1温室气体盘查表!AL86</f>
        <v>849.425387283242</v>
      </c>
      <c r="G111" s="458">
        <f>表1温室气体盘查表!AE86</f>
        <v>849.425387283242</v>
      </c>
      <c r="H111" s="458">
        <f>表1温室气体盘查表!AF86</f>
        <v>0</v>
      </c>
      <c r="I111" s="458">
        <f>表1温室气体盘查表!AG86</f>
        <v>0</v>
      </c>
      <c r="J111" s="458">
        <f>表1温室气体盘查表!AH86</f>
        <v>0</v>
      </c>
      <c r="K111" s="458">
        <f>表1温室气体盘查表!AI86</f>
        <v>0</v>
      </c>
      <c r="L111" s="458">
        <f>表1温室气体盘查表!AJ86</f>
        <v>0</v>
      </c>
      <c r="M111" s="458">
        <f>表1温室气体盘查表!AK86</f>
        <v>0</v>
      </c>
    </row>
    <row r="112" spans="1:13" s="385" customFormat="1" ht="25.15" customHeight="1">
      <c r="A112" s="395"/>
      <c r="B112" s="495"/>
      <c r="C112" s="496"/>
      <c r="D112" s="496"/>
      <c r="E112" s="387"/>
      <c r="F112" s="497"/>
      <c r="G112" s="497"/>
      <c r="H112" s="497"/>
      <c r="I112" s="497"/>
      <c r="J112" s="497"/>
      <c r="K112" s="497"/>
      <c r="L112" s="497"/>
      <c r="M112" s="497"/>
    </row>
    <row r="113" spans="1:13" s="385" customFormat="1" ht="25.15" customHeight="1">
      <c r="A113" s="395"/>
      <c r="B113" s="490" t="s">
        <v>126</v>
      </c>
      <c r="C113" s="491" t="str">
        <f>表1温室气体盘查表!B87</f>
        <v>商务旅行产生的排放</v>
      </c>
      <c r="D113" s="492"/>
      <c r="E113" s="493"/>
      <c r="F113" s="465">
        <f>SUM(G113:M113)</f>
        <v>1670.17345373528</v>
      </c>
      <c r="G113" s="465">
        <f>SUM(G114:G116)</f>
        <v>1670.17345373528</v>
      </c>
      <c r="H113" s="465">
        <f t="shared" ref="H113:M113" si="11">SUM(H114:H115)</f>
        <v>0</v>
      </c>
      <c r="I113" s="465">
        <f t="shared" si="11"/>
        <v>0</v>
      </c>
      <c r="J113" s="465">
        <f t="shared" si="11"/>
        <v>0</v>
      </c>
      <c r="K113" s="465">
        <f t="shared" si="11"/>
        <v>0</v>
      </c>
      <c r="L113" s="465">
        <f t="shared" si="11"/>
        <v>0</v>
      </c>
      <c r="M113" s="465">
        <f t="shared" si="11"/>
        <v>0</v>
      </c>
    </row>
    <row r="114" spans="1:13" s="385" customFormat="1" ht="25.15" customHeight="1">
      <c r="A114" s="395"/>
      <c r="B114" s="479" t="s">
        <v>127</v>
      </c>
      <c r="C114" s="480" t="str">
        <f>表1温室气体盘查表!C87</f>
        <v>航运</v>
      </c>
      <c r="D114" s="498" t="str">
        <f>表1温室气体盘查表!D87</f>
        <v>-</v>
      </c>
      <c r="E114" s="388"/>
      <c r="F114" s="458">
        <f>表1温室气体盘查表!AL87</f>
        <v>327.76098852000001</v>
      </c>
      <c r="G114" s="458">
        <f>表1温室气体盘查表!AE87</f>
        <v>327.76098852000001</v>
      </c>
      <c r="H114" s="458">
        <f>表1温室气体盘查表!AF87</f>
        <v>0</v>
      </c>
      <c r="I114" s="458">
        <f>表1温室气体盘查表!AG87</f>
        <v>0</v>
      </c>
      <c r="J114" s="458">
        <f>表1温室气体盘查表!AH87</f>
        <v>0</v>
      </c>
      <c r="K114" s="458">
        <f>表1温室气体盘查表!AI87</f>
        <v>0</v>
      </c>
      <c r="L114" s="458">
        <f>表1温室气体盘查表!AJ87</f>
        <v>0</v>
      </c>
      <c r="M114" s="458">
        <f>表1温室气体盘查表!AK87</f>
        <v>0</v>
      </c>
    </row>
    <row r="115" spans="1:13" s="385" customFormat="1" ht="25.15" customHeight="1">
      <c r="A115" s="395"/>
      <c r="B115" s="479" t="s">
        <v>128</v>
      </c>
      <c r="C115" s="480" t="str">
        <f>表1温室气体盘查表!C88</f>
        <v>铁路运输</v>
      </c>
      <c r="D115" s="498" t="str">
        <f>表1温室气体盘查表!D88</f>
        <v>-</v>
      </c>
      <c r="E115" s="388"/>
      <c r="F115" s="458">
        <f>表1温室气体盘查表!AL88</f>
        <v>619.78796521528295</v>
      </c>
      <c r="G115" s="458">
        <f>表1温室气体盘查表!AE88</f>
        <v>619.78796521528295</v>
      </c>
      <c r="H115" s="458">
        <f>表1温室气体盘查表!AF88</f>
        <v>0</v>
      </c>
      <c r="I115" s="458">
        <f>表1温室气体盘查表!AG88</f>
        <v>0</v>
      </c>
      <c r="J115" s="458">
        <f>表1温室气体盘查表!AH88</f>
        <v>0</v>
      </c>
      <c r="K115" s="458">
        <f>表1温室气体盘查表!AI88</f>
        <v>0</v>
      </c>
      <c r="L115" s="458">
        <f>表1温室气体盘查表!AJ88</f>
        <v>0</v>
      </c>
      <c r="M115" s="458">
        <f>表1温室气体盘查表!AK88</f>
        <v>0</v>
      </c>
    </row>
    <row r="116" spans="1:13" s="385" customFormat="1" ht="25.15" customHeight="1">
      <c r="A116" s="395"/>
      <c r="B116" s="479" t="s">
        <v>129</v>
      </c>
      <c r="C116" s="480" t="str">
        <f>表1温室气体盘查表!C89</f>
        <v>员工差旅住宿</v>
      </c>
      <c r="D116" s="498" t="str">
        <f>表1温室气体盘查表!D89</f>
        <v>-</v>
      </c>
      <c r="E116" s="388"/>
      <c r="F116" s="458">
        <f>表1温室气体盘查表!AL89</f>
        <v>722.62450000000001</v>
      </c>
      <c r="G116" s="458">
        <f>表1温室气体盘查表!AE89</f>
        <v>722.62450000000001</v>
      </c>
      <c r="H116" s="458">
        <f>表1温室气体盘查表!AF89</f>
        <v>0</v>
      </c>
      <c r="I116" s="458">
        <f>表1温室气体盘查表!AG89</f>
        <v>0</v>
      </c>
      <c r="J116" s="458">
        <f>表1温室气体盘查表!AH89</f>
        <v>0</v>
      </c>
      <c r="K116" s="458">
        <f>表1温室气体盘查表!AI89</f>
        <v>0</v>
      </c>
      <c r="L116" s="458">
        <f>表1温室气体盘查表!AJ89</f>
        <v>0</v>
      </c>
      <c r="M116" s="458">
        <f>表1温室气体盘查表!AK89</f>
        <v>0</v>
      </c>
    </row>
    <row r="117" spans="1:13" s="385" customFormat="1" ht="25.15" customHeight="1">
      <c r="A117" s="395"/>
      <c r="B117" s="495"/>
      <c r="C117" s="496"/>
      <c r="D117" s="496"/>
      <c r="E117" s="387"/>
      <c r="F117" s="497"/>
      <c r="G117" s="497"/>
      <c r="H117" s="497"/>
      <c r="I117" s="497"/>
      <c r="J117" s="497"/>
      <c r="K117" s="497"/>
      <c r="L117" s="497"/>
      <c r="M117" s="497"/>
    </row>
    <row r="118" spans="1:13" s="385" customFormat="1" ht="25.15" customHeight="1">
      <c r="A118" s="395"/>
      <c r="B118" s="499" t="s">
        <v>130</v>
      </c>
      <c r="C118" s="500" t="str">
        <f>表1温室气体盘查表!B90</f>
        <v>员工通勤产生的排放</v>
      </c>
      <c r="D118" s="501"/>
      <c r="E118" s="493"/>
      <c r="F118" s="465">
        <f>SUM(G118:M118)</f>
        <v>13322.57648759</v>
      </c>
      <c r="G118" s="465">
        <f t="shared" ref="G118:M118" si="12">SUM(G119:G122)</f>
        <v>13322.57648759</v>
      </c>
      <c r="H118" s="465">
        <f t="shared" si="12"/>
        <v>0</v>
      </c>
      <c r="I118" s="465">
        <f t="shared" si="12"/>
        <v>0</v>
      </c>
      <c r="J118" s="465">
        <f t="shared" si="12"/>
        <v>0</v>
      </c>
      <c r="K118" s="465">
        <f t="shared" si="12"/>
        <v>0</v>
      </c>
      <c r="L118" s="465">
        <f t="shared" si="12"/>
        <v>0</v>
      </c>
      <c r="M118" s="465">
        <f t="shared" si="12"/>
        <v>0</v>
      </c>
    </row>
    <row r="119" spans="1:13" s="385" customFormat="1" ht="25.15" customHeight="1">
      <c r="A119" s="395"/>
      <c r="B119" s="498" t="s">
        <v>131</v>
      </c>
      <c r="C119" s="481" t="str">
        <f>表1温室气体盘查表!C90</f>
        <v>通勤车</v>
      </c>
      <c r="D119" s="502" t="str">
        <f>表1温室气体盘查表!D90</f>
        <v>-</v>
      </c>
      <c r="E119" s="503"/>
      <c r="F119" s="458">
        <f>表1温室气体盘查表!AL90</f>
        <v>111.2064536</v>
      </c>
      <c r="G119" s="458">
        <f>表1温室气体盘查表!AE90</f>
        <v>111.2064536</v>
      </c>
      <c r="H119" s="458">
        <f>表1温室气体盘查表!AF90</f>
        <v>0</v>
      </c>
      <c r="I119" s="458">
        <f>表1温室气体盘查表!AG90</f>
        <v>0</v>
      </c>
      <c r="J119" s="458">
        <f>表1温室气体盘查表!AH90</f>
        <v>0</v>
      </c>
      <c r="K119" s="458">
        <f>表1温室气体盘查表!AI90</f>
        <v>0</v>
      </c>
      <c r="L119" s="458">
        <f>表1温室气体盘查表!AJ90</f>
        <v>0</v>
      </c>
      <c r="M119" s="458">
        <f>表1温室气体盘查表!AK90</f>
        <v>0</v>
      </c>
    </row>
    <row r="120" spans="1:13" s="385" customFormat="1" ht="25.15" customHeight="1">
      <c r="A120" s="395"/>
      <c r="B120" s="498" t="s">
        <v>132</v>
      </c>
      <c r="C120" s="481" t="str">
        <f>表1温室气体盘查表!C91</f>
        <v>电动车</v>
      </c>
      <c r="D120" s="502" t="str">
        <f>表1温室气体盘查表!D91</f>
        <v>-</v>
      </c>
      <c r="E120" s="503"/>
      <c r="F120" s="458">
        <f>表1温室气体盘查表!AL91</f>
        <v>474.51537913020297</v>
      </c>
      <c r="G120" s="458">
        <f>表1温室气体盘查表!AE91</f>
        <v>474.51537913020297</v>
      </c>
      <c r="H120" s="458">
        <f>表1温室气体盘查表!AF91</f>
        <v>0</v>
      </c>
      <c r="I120" s="458">
        <f>表1温室气体盘查表!AG91</f>
        <v>0</v>
      </c>
      <c r="J120" s="458">
        <f>表1温室气体盘查表!AH91</f>
        <v>0</v>
      </c>
      <c r="K120" s="458">
        <f>表1温室气体盘查表!AI91</f>
        <v>0</v>
      </c>
      <c r="L120" s="458">
        <f>表1温室气体盘查表!AJ91</f>
        <v>0</v>
      </c>
      <c r="M120" s="458">
        <f>表1温室气体盘查表!AK91</f>
        <v>0</v>
      </c>
    </row>
    <row r="121" spans="1:13" s="385" customFormat="1" ht="25.15" customHeight="1">
      <c r="A121" s="395"/>
      <c r="B121" s="498" t="s">
        <v>133</v>
      </c>
      <c r="C121" s="481" t="str">
        <f>表1温室气体盘查表!C92</f>
        <v>自驾油车</v>
      </c>
      <c r="D121" s="502" t="str">
        <f>表1温室气体盘查表!D92</f>
        <v>-</v>
      </c>
      <c r="E121" s="504"/>
      <c r="F121" s="458">
        <f>表1温室气体盘查表!AL92</f>
        <v>11664.728842161199</v>
      </c>
      <c r="G121" s="458">
        <f>表1温室气体盘查表!AE92</f>
        <v>11664.728842161199</v>
      </c>
      <c r="H121" s="458">
        <f>表1温室气体盘查表!AF92</f>
        <v>0</v>
      </c>
      <c r="I121" s="458">
        <f>表1温室气体盘查表!AG92</f>
        <v>0</v>
      </c>
      <c r="J121" s="458">
        <f>表1温室气体盘查表!AH92</f>
        <v>0</v>
      </c>
      <c r="K121" s="458">
        <f>表1温室气体盘查表!AI92</f>
        <v>0</v>
      </c>
      <c r="L121" s="458">
        <f>表1温室气体盘查表!AJ92</f>
        <v>0</v>
      </c>
      <c r="M121" s="458">
        <f>表1温室气体盘查表!AK92</f>
        <v>0</v>
      </c>
    </row>
    <row r="122" spans="1:13" s="385" customFormat="1" ht="25.15" customHeight="1">
      <c r="A122" s="395"/>
      <c r="B122" s="498" t="s">
        <v>134</v>
      </c>
      <c r="C122" s="481" t="str">
        <f>表1温室气体盘查表!C93</f>
        <v>自驾电车</v>
      </c>
      <c r="D122" s="502" t="str">
        <f>表1温室气体盘查表!D93</f>
        <v>-</v>
      </c>
      <c r="E122" s="505"/>
      <c r="F122" s="458">
        <f>表1温室气体盘查表!AL93</f>
        <v>1072.1258126986399</v>
      </c>
      <c r="G122" s="458">
        <f>表1温室气体盘查表!AE93</f>
        <v>1072.1258126986399</v>
      </c>
      <c r="H122" s="458">
        <f>表1温室气体盘查表!AF93</f>
        <v>0</v>
      </c>
      <c r="I122" s="458">
        <f>表1温室气体盘查表!AG93</f>
        <v>0</v>
      </c>
      <c r="J122" s="458">
        <f>表1温室气体盘查表!AH93</f>
        <v>0</v>
      </c>
      <c r="K122" s="458">
        <f>表1温室气体盘查表!AI93</f>
        <v>0</v>
      </c>
      <c r="L122" s="458">
        <f>表1温室气体盘查表!AJ93</f>
        <v>0</v>
      </c>
      <c r="M122" s="458">
        <f>表1温室气体盘查表!AK93</f>
        <v>0</v>
      </c>
    </row>
    <row r="123" spans="1:13" s="385" customFormat="1" ht="25.15" customHeight="1">
      <c r="A123" s="395"/>
      <c r="B123" s="506"/>
      <c r="C123" s="507"/>
      <c r="D123" s="507"/>
      <c r="E123" s="508"/>
      <c r="F123" s="509"/>
      <c r="G123" s="509"/>
      <c r="H123" s="509"/>
      <c r="I123" s="509"/>
      <c r="J123" s="509"/>
      <c r="K123" s="509"/>
      <c r="L123" s="509"/>
      <c r="M123" s="509"/>
    </row>
    <row r="124" spans="1:13" s="385" customFormat="1" ht="25.15" customHeight="1">
      <c r="A124" s="395"/>
      <c r="B124" s="499" t="s">
        <v>135</v>
      </c>
      <c r="C124" s="500" t="str">
        <f>表1温室气体盘查表!B94</f>
        <v>下游运输配送产生的排放</v>
      </c>
      <c r="D124" s="501"/>
      <c r="E124" s="493"/>
      <c r="F124" s="465">
        <f>SUM(G124:M124)</f>
        <v>274585.60716191097</v>
      </c>
      <c r="G124" s="465">
        <f>SUM(G125:G128)</f>
        <v>274585.60716191097</v>
      </c>
      <c r="H124" s="465">
        <f t="shared" ref="H124:M124" si="13">SUM(H125:H127)</f>
        <v>0</v>
      </c>
      <c r="I124" s="465">
        <f t="shared" si="13"/>
        <v>0</v>
      </c>
      <c r="J124" s="465">
        <f t="shared" si="13"/>
        <v>0</v>
      </c>
      <c r="K124" s="465">
        <f t="shared" si="13"/>
        <v>0</v>
      </c>
      <c r="L124" s="465">
        <f t="shared" si="13"/>
        <v>0</v>
      </c>
      <c r="M124" s="465">
        <f t="shared" si="13"/>
        <v>0</v>
      </c>
    </row>
    <row r="125" spans="1:13" s="385" customFormat="1" ht="25.15" customHeight="1">
      <c r="A125" s="395"/>
      <c r="B125" s="498" t="s">
        <v>136</v>
      </c>
      <c r="C125" s="481" t="str">
        <f>表1温室气体盘查表!C94</f>
        <v>船运</v>
      </c>
      <c r="D125" s="502" t="str">
        <f>表1温室气体盘查表!D94</f>
        <v>-</v>
      </c>
      <c r="E125" s="503"/>
      <c r="F125" s="458">
        <f>表1温室气体盘查表!AL94</f>
        <v>53478.1555212475</v>
      </c>
      <c r="G125" s="458">
        <f>表1温室气体盘查表!AE94</f>
        <v>53478.1555212475</v>
      </c>
      <c r="H125" s="458">
        <f>表1温室气体盘查表!AF94</f>
        <v>0</v>
      </c>
      <c r="I125" s="458">
        <f>表1温室气体盘查表!AG94</f>
        <v>0</v>
      </c>
      <c r="J125" s="458">
        <f>表1温室气体盘查表!AH94</f>
        <v>0</v>
      </c>
      <c r="K125" s="458">
        <f>表1温室气体盘查表!AI94</f>
        <v>0</v>
      </c>
      <c r="L125" s="458">
        <f>表1温室气体盘查表!AJ94</f>
        <v>0</v>
      </c>
      <c r="M125" s="458">
        <f>表1温室气体盘查表!AK94</f>
        <v>0</v>
      </c>
    </row>
    <row r="126" spans="1:13" s="385" customFormat="1" ht="25.15" customHeight="1">
      <c r="A126" s="395"/>
      <c r="B126" s="498" t="s">
        <v>137</v>
      </c>
      <c r="C126" s="481" t="str">
        <f>表1温室气体盘查表!C95</f>
        <v>汽运</v>
      </c>
      <c r="D126" s="502" t="str">
        <f>表1温室气体盘查表!D95</f>
        <v>-</v>
      </c>
      <c r="E126" s="503"/>
      <c r="F126" s="458">
        <f>表1温室气体盘查表!AL95</f>
        <v>208049.48583902899</v>
      </c>
      <c r="G126" s="458">
        <f>表1温室气体盘查表!AE95</f>
        <v>208049.48583902899</v>
      </c>
      <c r="H126" s="458">
        <f>表1温室气体盘查表!AF95</f>
        <v>0</v>
      </c>
      <c r="I126" s="458">
        <f>表1温室气体盘查表!AG95</f>
        <v>0</v>
      </c>
      <c r="J126" s="458">
        <f>表1温室气体盘查表!AH95</f>
        <v>0</v>
      </c>
      <c r="K126" s="458">
        <f>表1温室气体盘查表!AI95</f>
        <v>0</v>
      </c>
      <c r="L126" s="458">
        <f>表1温室气体盘查表!AJ95</f>
        <v>0</v>
      </c>
      <c r="M126" s="458">
        <f>表1温室气体盘查表!AK95</f>
        <v>0</v>
      </c>
    </row>
    <row r="127" spans="1:13" s="385" customFormat="1" ht="25.15" customHeight="1">
      <c r="A127" s="395"/>
      <c r="B127" s="498" t="s">
        <v>138</v>
      </c>
      <c r="C127" s="481" t="str">
        <f>表1温室气体盘查表!C96</f>
        <v>铁路运输</v>
      </c>
      <c r="D127" s="502" t="str">
        <f>表1温室气体盘查表!D96</f>
        <v>-</v>
      </c>
      <c r="E127" s="504"/>
      <c r="F127" s="458">
        <f>表1温室气体盘查表!AL96</f>
        <v>11086.4717529011</v>
      </c>
      <c r="G127" s="458">
        <f>表1温室气体盘查表!AE96</f>
        <v>11086.4717529011</v>
      </c>
      <c r="H127" s="458">
        <f>表1温室气体盘查表!AF96</f>
        <v>0</v>
      </c>
      <c r="I127" s="458">
        <f>表1温室气体盘查表!AG96</f>
        <v>0</v>
      </c>
      <c r="J127" s="458">
        <f>表1温室气体盘查表!AH96</f>
        <v>0</v>
      </c>
      <c r="K127" s="458">
        <f>表1温室气体盘查表!AI96</f>
        <v>0</v>
      </c>
      <c r="L127" s="458">
        <f>表1温室气体盘查表!AJ96</f>
        <v>0</v>
      </c>
      <c r="M127" s="458">
        <f>表1温室气体盘查表!AK96</f>
        <v>0</v>
      </c>
    </row>
    <row r="128" spans="1:13" s="385" customFormat="1" ht="25.15" customHeight="1">
      <c r="A128" s="395"/>
      <c r="B128" s="498" t="s">
        <v>139</v>
      </c>
      <c r="C128" s="481" t="str">
        <f>表1温室气体盘查表!C97</f>
        <v>汽运-副产品</v>
      </c>
      <c r="D128" s="502" t="str">
        <f>表1温室气体盘查表!D97</f>
        <v>-</v>
      </c>
      <c r="E128" s="504"/>
      <c r="F128" s="458">
        <f>表1温室气体盘查表!AL97</f>
        <v>1971.49404873413</v>
      </c>
      <c r="G128" s="458">
        <f>表1温室气体盘查表!AE97</f>
        <v>1971.49404873413</v>
      </c>
      <c r="H128" s="458">
        <f>表1温室气体盘查表!AF97</f>
        <v>0</v>
      </c>
      <c r="I128" s="458">
        <f>表1温室气体盘查表!AG97</f>
        <v>0</v>
      </c>
      <c r="J128" s="458">
        <f>表1温室气体盘查表!AH97</f>
        <v>0</v>
      </c>
      <c r="K128" s="458">
        <f>表1温室气体盘查表!AI97</f>
        <v>0</v>
      </c>
      <c r="L128" s="458">
        <f>表1温室气体盘查表!AJ97</f>
        <v>0</v>
      </c>
      <c r="M128" s="458">
        <f>表1温室气体盘查表!AK97</f>
        <v>0</v>
      </c>
    </row>
    <row r="129" spans="1:13" s="385" customFormat="1" ht="25.15" customHeight="1">
      <c r="A129" s="395"/>
      <c r="B129" s="506"/>
      <c r="C129" s="507"/>
      <c r="D129" s="507"/>
      <c r="E129" s="508"/>
      <c r="F129" s="509"/>
      <c r="G129" s="509"/>
      <c r="H129" s="509"/>
      <c r="I129" s="509"/>
      <c r="J129" s="509"/>
      <c r="K129" s="509"/>
      <c r="L129" s="509"/>
      <c r="M129" s="509"/>
    </row>
    <row r="130" spans="1:13" s="385" customFormat="1" ht="26.25" customHeight="1">
      <c r="A130" s="395"/>
      <c r="B130" s="499" t="s">
        <v>140</v>
      </c>
      <c r="C130" s="500" t="str">
        <f>表1温室气体盘查表!B98</f>
        <v>外销产品加工产生的排放</v>
      </c>
      <c r="D130" s="501"/>
      <c r="E130" s="493"/>
      <c r="F130" s="465">
        <f>SUM(G130:M130)</f>
        <v>1746619.9596895301</v>
      </c>
      <c r="G130" s="465">
        <f>SUM(G131:G134)</f>
        <v>1746619.9596895301</v>
      </c>
      <c r="H130" s="465">
        <f>SUM(H131:H132)</f>
        <v>0</v>
      </c>
      <c r="I130" s="465">
        <f>SUM(I131:I132)</f>
        <v>0</v>
      </c>
      <c r="J130" s="465">
        <f>SUM(J131:J132)</f>
        <v>0</v>
      </c>
      <c r="K130" s="465">
        <f>SUM(K131:K132)</f>
        <v>0</v>
      </c>
      <c r="L130" s="465">
        <f>SUM(L131:L132)</f>
        <v>0</v>
      </c>
      <c r="M130" s="465">
        <f>SUM(M131:M133)</f>
        <v>0</v>
      </c>
    </row>
    <row r="131" spans="1:13" s="385" customFormat="1" ht="26.25" customHeight="1">
      <c r="A131" s="395"/>
      <c r="B131" s="498" t="s">
        <v>141</v>
      </c>
      <c r="C131" s="481" t="str">
        <f>表1温室气体盘查表!C98</f>
        <v>锻材加工</v>
      </c>
      <c r="D131" s="481" t="str">
        <f>表1温室气体盘查表!D98</f>
        <v>下游钢铁厂</v>
      </c>
      <c r="E131" s="503"/>
      <c r="F131" s="458">
        <f>表1温室气体盘查表!AL98</f>
        <v>113275.661420512</v>
      </c>
      <c r="G131" s="458">
        <f>表1温室气体盘查表!AE98</f>
        <v>113275.661420512</v>
      </c>
      <c r="H131" s="458">
        <f>表1温室气体盘查表!AF98</f>
        <v>0</v>
      </c>
      <c r="I131" s="458">
        <f>表1温室气体盘查表!AG98</f>
        <v>0</v>
      </c>
      <c r="J131" s="458">
        <f>表1温室气体盘查表!AH98</f>
        <v>0</v>
      </c>
      <c r="K131" s="458">
        <f>表1温室气体盘查表!AI98</f>
        <v>0</v>
      </c>
      <c r="L131" s="458">
        <f>表1温室气体盘查表!AJ98</f>
        <v>0</v>
      </c>
      <c r="M131" s="458">
        <f>表1温室气体盘查表!AK98</f>
        <v>0</v>
      </c>
    </row>
    <row r="132" spans="1:13" s="385" customFormat="1" ht="26.25" customHeight="1">
      <c r="A132" s="395"/>
      <c r="B132" s="498" t="s">
        <v>142</v>
      </c>
      <c r="C132" s="481" t="str">
        <f>表1温室气体盘查表!C99</f>
        <v>棒材加工</v>
      </c>
      <c r="D132" s="481" t="str">
        <f>表1温室气体盘查表!D99</f>
        <v>下游钢铁厂</v>
      </c>
      <c r="E132" s="504"/>
      <c r="F132" s="458">
        <f>表1温室气体盘查表!AL99</f>
        <v>1357195.22298588</v>
      </c>
      <c r="G132" s="458">
        <f>表1温室气体盘查表!AE99</f>
        <v>1357195.22298588</v>
      </c>
      <c r="H132" s="458">
        <f>表1温室气体盘查表!AF99</f>
        <v>0</v>
      </c>
      <c r="I132" s="458">
        <f>表1温室气体盘查表!AG99</f>
        <v>0</v>
      </c>
      <c r="J132" s="458">
        <f>表1温室气体盘查表!AH99</f>
        <v>0</v>
      </c>
      <c r="K132" s="458">
        <f>表1温室气体盘查表!AI99</f>
        <v>0</v>
      </c>
      <c r="L132" s="458">
        <f>表1温室气体盘查表!AJ99</f>
        <v>0</v>
      </c>
      <c r="M132" s="458">
        <f>表1温室气体盘查表!AK99</f>
        <v>0</v>
      </c>
    </row>
    <row r="133" spans="1:13" s="385" customFormat="1" ht="26.25" customHeight="1">
      <c r="A133" s="395"/>
      <c r="B133" s="498" t="s">
        <v>143</v>
      </c>
      <c r="C133" s="481" t="str">
        <f>表1温室气体盘查表!C100</f>
        <v>钢管加工</v>
      </c>
      <c r="D133" s="481" t="str">
        <f>表1温室气体盘查表!D100</f>
        <v>下游钢铁厂</v>
      </c>
      <c r="E133" s="510"/>
      <c r="F133" s="458">
        <f>表1温室气体盘查表!AL100</f>
        <v>72250.340647773904</v>
      </c>
      <c r="G133" s="458">
        <f>表1温室气体盘查表!AE100</f>
        <v>72250.340647773904</v>
      </c>
      <c r="H133" s="458">
        <f>表1温室气体盘查表!AF100</f>
        <v>0</v>
      </c>
      <c r="I133" s="458">
        <f>表1温室气体盘查表!AG100</f>
        <v>0</v>
      </c>
      <c r="J133" s="458">
        <f>表1温室气体盘查表!AH100</f>
        <v>0</v>
      </c>
      <c r="K133" s="458">
        <f>表1温室气体盘查表!AI100</f>
        <v>0</v>
      </c>
      <c r="L133" s="458">
        <f>表1温室气体盘查表!AJ100</f>
        <v>0</v>
      </c>
      <c r="M133" s="458">
        <f>表1温室气体盘查表!AK100</f>
        <v>0</v>
      </c>
    </row>
    <row r="134" spans="1:13" s="385" customFormat="1" ht="26.25" customHeight="1">
      <c r="A134" s="395"/>
      <c r="B134" s="498" t="s">
        <v>144</v>
      </c>
      <c r="C134" s="481" t="str">
        <f>表1温室气体盘查表!C101</f>
        <v>钢坯加工</v>
      </c>
      <c r="D134" s="481" t="str">
        <f>表1温室气体盘查表!D101</f>
        <v>下游钢铁厂</v>
      </c>
      <c r="E134" s="510"/>
      <c r="F134" s="458">
        <f>表1温室气体盘查表!AL101</f>
        <v>203898.734635364</v>
      </c>
      <c r="G134" s="458">
        <f>表1温室气体盘查表!AE101</f>
        <v>203898.734635364</v>
      </c>
      <c r="H134" s="458">
        <f>表1温室气体盘查表!AF101</f>
        <v>0</v>
      </c>
      <c r="I134" s="458">
        <f>表1温室气体盘查表!AG101</f>
        <v>0</v>
      </c>
      <c r="J134" s="458">
        <f>表1温室气体盘查表!AH101</f>
        <v>0</v>
      </c>
      <c r="K134" s="458">
        <f>表1温室气体盘查表!AI101</f>
        <v>0</v>
      </c>
      <c r="L134" s="458">
        <f>表1温室气体盘查表!AJ101</f>
        <v>0</v>
      </c>
      <c r="M134" s="458">
        <f>表1温室气体盘查表!AK101</f>
        <v>0</v>
      </c>
    </row>
    <row r="135" spans="1:13" s="385" customFormat="1" ht="26.25" customHeight="1">
      <c r="A135" s="395"/>
      <c r="D135" s="436"/>
    </row>
    <row r="136" spans="1:13" s="385" customFormat="1" ht="26.25" customHeight="1">
      <c r="A136" s="395"/>
      <c r="B136" s="499" t="s">
        <v>145</v>
      </c>
      <c r="C136" s="500" t="str">
        <f>表1温室气体盘查表!B103</f>
        <v>外售产品报废产生的排放</v>
      </c>
      <c r="D136" s="501"/>
      <c r="E136" s="493"/>
      <c r="F136" s="465">
        <f>SUM(G136:M136)</f>
        <v>3747.3469595889401</v>
      </c>
      <c r="G136" s="465">
        <f>SUM(G137)</f>
        <v>3747.3469595889401</v>
      </c>
      <c r="H136" s="465">
        <f t="shared" ref="H136:M136" si="14">SUM(H137:H138)</f>
        <v>0</v>
      </c>
      <c r="I136" s="465">
        <f t="shared" si="14"/>
        <v>0</v>
      </c>
      <c r="J136" s="465">
        <f t="shared" si="14"/>
        <v>0</v>
      </c>
      <c r="K136" s="465">
        <f t="shared" si="14"/>
        <v>0</v>
      </c>
      <c r="L136" s="465">
        <f t="shared" si="14"/>
        <v>0</v>
      </c>
      <c r="M136" s="465">
        <f t="shared" si="14"/>
        <v>0</v>
      </c>
    </row>
    <row r="137" spans="1:13" s="385" customFormat="1" ht="26.25" customHeight="1">
      <c r="A137" s="395"/>
      <c r="B137" s="498" t="s">
        <v>146</v>
      </c>
      <c r="C137" s="481" t="str">
        <f>表1温室气体盘查表!C103</f>
        <v>产品报废</v>
      </c>
      <c r="D137" s="481" t="str">
        <f>表1温室气体盘查表!D103</f>
        <v>下游钢铁厂</v>
      </c>
      <c r="E137" s="503"/>
      <c r="F137" s="458">
        <f>表1温室气体盘查表!AL103</f>
        <v>3747.3469595889401</v>
      </c>
      <c r="G137" s="458">
        <f>表1温室气体盘查表!AE103</f>
        <v>3747.3469595889401</v>
      </c>
      <c r="H137" s="458">
        <f>表1温室气体盘查表!AF103</f>
        <v>0</v>
      </c>
      <c r="I137" s="458">
        <f>表1温室气体盘查表!AG103</f>
        <v>0</v>
      </c>
      <c r="J137" s="458">
        <f>表1温室气体盘查表!AH103</f>
        <v>0</v>
      </c>
      <c r="K137" s="458">
        <f>表1温室气体盘查表!AI103</f>
        <v>0</v>
      </c>
      <c r="L137" s="458">
        <f>表1温室气体盘查表!AJ103</f>
        <v>0</v>
      </c>
      <c r="M137" s="458">
        <f>表1温室气体盘查表!AK103</f>
        <v>0</v>
      </c>
    </row>
    <row r="138" spans="1:13" ht="26.25" customHeight="1"/>
    <row r="139" spans="1:13" s="389" customFormat="1">
      <c r="A139" s="513"/>
      <c r="B139" s="514"/>
      <c r="C139" s="514"/>
      <c r="D139" s="515"/>
      <c r="E139" s="514"/>
      <c r="F139" s="516"/>
      <c r="G139" s="516"/>
      <c r="H139" s="516"/>
      <c r="I139" s="516"/>
      <c r="J139" s="516"/>
      <c r="K139" s="516"/>
      <c r="L139" s="516"/>
      <c r="M139" s="516"/>
    </row>
    <row r="140" spans="1:13" s="390" customFormat="1">
      <c r="B140" s="517"/>
      <c r="C140" s="517"/>
      <c r="D140" s="518"/>
      <c r="E140" s="517"/>
      <c r="F140" s="519"/>
      <c r="G140" s="519"/>
      <c r="H140" s="519"/>
      <c r="I140" s="519"/>
      <c r="J140" s="519"/>
      <c r="K140" s="519"/>
      <c r="L140" s="519"/>
      <c r="M140" s="519"/>
    </row>
    <row r="147" spans="8:8">
      <c r="H147" s="392"/>
    </row>
  </sheetData>
  <mergeCells count="13">
    <mergeCell ref="L1:M1"/>
    <mergeCell ref="L2:M2"/>
    <mergeCell ref="L3:M3"/>
    <mergeCell ref="F7:G7"/>
    <mergeCell ref="L7:M7"/>
    <mergeCell ref="B1:K3"/>
    <mergeCell ref="G13:M13"/>
    <mergeCell ref="B46:D46"/>
    <mergeCell ref="B12:B13"/>
    <mergeCell ref="C12:C13"/>
    <mergeCell ref="D12:D13"/>
    <mergeCell ref="E12:E13"/>
    <mergeCell ref="F12:F13"/>
  </mergeCells>
  <phoneticPr fontId="87" type="noConversion"/>
  <printOptions horizontalCentered="1"/>
  <pageMargins left="0.59055118110236204" right="0.59055118110236204" top="0.70866141732283505" bottom="0.59055118110236204" header="0.31496062992126" footer="0.31496062992126"/>
  <pageSetup paperSize="9" fitToHeight="0" orientation="landscape" horizontalDpi="300" verticalDpi="300"/>
  <headerFooter>
    <oddHeader>&amp;L&amp;"-,常规"&amp;10南侨版本/修改号NC Edition/Rev.Code：A/0
吉好版本/修改号YY Edition/Rev.Code：A/0
&amp;R&amp;"-,常规"&amp;10记录标识/Identification Code:7.2 GYGZ/GHG.R015.02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tabSelected="1" topLeftCell="A7" zoomScale="85" zoomScaleNormal="85" workbookViewId="0">
      <selection activeCell="B21" sqref="B21:B22"/>
    </sheetView>
  </sheetViews>
  <sheetFormatPr defaultColWidth="9" defaultRowHeight="15"/>
  <cols>
    <col min="1" max="1" width="9" style="520"/>
    <col min="2" max="2" width="36.625" style="520" customWidth="1"/>
    <col min="3" max="3" width="86.125" style="520" customWidth="1"/>
    <col min="6" max="16384" width="9" style="520"/>
  </cols>
  <sheetData>
    <row r="1" spans="1:3">
      <c r="A1" s="520" t="s">
        <v>147</v>
      </c>
      <c r="B1" s="520" t="s">
        <v>147</v>
      </c>
      <c r="C1" s="520" t="s">
        <v>148</v>
      </c>
    </row>
    <row r="2" spans="1:3">
      <c r="A2" s="520" t="s">
        <v>149</v>
      </c>
      <c r="B2" s="520" t="s">
        <v>150</v>
      </c>
      <c r="C2" s="520" t="s">
        <v>151</v>
      </c>
    </row>
    <row r="3" spans="1:3">
      <c r="A3" s="520" t="s">
        <v>152</v>
      </c>
      <c r="B3" s="520" t="s">
        <v>153</v>
      </c>
      <c r="C3" s="520" t="s">
        <v>154</v>
      </c>
    </row>
    <row r="4" spans="1:3">
      <c r="A4" s="520" t="s">
        <v>155</v>
      </c>
      <c r="B4" s="520" t="s">
        <v>156</v>
      </c>
      <c r="C4" s="520" t="s">
        <v>157</v>
      </c>
    </row>
    <row r="5" spans="1:3">
      <c r="A5" s="521" t="s">
        <v>158</v>
      </c>
      <c r="B5" s="520" t="s">
        <v>159</v>
      </c>
      <c r="C5" s="521">
        <v>45841</v>
      </c>
    </row>
    <row r="6" spans="1:3">
      <c r="A6" s="520" t="s">
        <v>160</v>
      </c>
      <c r="B6" s="520" t="s">
        <v>161</v>
      </c>
      <c r="C6" s="520" t="s">
        <v>162</v>
      </c>
    </row>
    <row r="7" spans="1:3">
      <c r="A7" s="520" t="s">
        <v>163</v>
      </c>
      <c r="B7" s="520" t="s">
        <v>164</v>
      </c>
      <c r="C7" s="520" t="s">
        <v>165</v>
      </c>
    </row>
    <row r="8" spans="1:3">
      <c r="A8" s="520" t="s">
        <v>166</v>
      </c>
      <c r="B8" s="520" t="s">
        <v>167</v>
      </c>
      <c r="C8" s="520" t="s">
        <v>168</v>
      </c>
    </row>
    <row r="9" spans="1:3">
      <c r="A9" s="521" t="s">
        <v>169</v>
      </c>
      <c r="B9" s="520" t="s">
        <v>170</v>
      </c>
      <c r="C9" s="521">
        <v>39150</v>
      </c>
    </row>
    <row r="10" spans="1:3">
      <c r="A10" s="520" t="s">
        <v>171</v>
      </c>
      <c r="B10" s="520" t="s">
        <v>172</v>
      </c>
      <c r="C10" s="520" t="s">
        <v>173</v>
      </c>
    </row>
    <row r="11" spans="1:3">
      <c r="A11" s="520" t="s">
        <v>174</v>
      </c>
      <c r="B11" s="520" t="s">
        <v>175</v>
      </c>
      <c r="C11" s="520" t="s">
        <v>173</v>
      </c>
    </row>
    <row r="12" spans="1:3" ht="94.5">
      <c r="A12" s="522" t="s">
        <v>176</v>
      </c>
      <c r="B12" s="520" t="s">
        <v>177</v>
      </c>
      <c r="C12" s="522" t="s">
        <v>178</v>
      </c>
    </row>
    <row r="13" spans="1:3" ht="270">
      <c r="A13" s="522" t="s">
        <v>179</v>
      </c>
      <c r="B13" s="520" t="s">
        <v>180</v>
      </c>
      <c r="C13" s="522" t="s">
        <v>181</v>
      </c>
    </row>
    <row r="14" spans="1:3">
      <c r="A14" s="520" t="s">
        <v>182</v>
      </c>
      <c r="B14" s="520" t="s">
        <v>183</v>
      </c>
      <c r="C14" s="520" t="s">
        <v>184</v>
      </c>
    </row>
    <row r="15" spans="1:3">
      <c r="A15" s="520" t="s">
        <v>185</v>
      </c>
      <c r="B15" s="520" t="s">
        <v>186</v>
      </c>
      <c r="C15" s="520" t="s">
        <v>187</v>
      </c>
    </row>
    <row r="16" spans="1:3">
      <c r="A16" s="520" t="s">
        <v>188</v>
      </c>
      <c r="B16" s="520" t="s">
        <v>862</v>
      </c>
      <c r="C16" s="520" t="s">
        <v>189</v>
      </c>
    </row>
    <row r="17" spans="1:3">
      <c r="B17" s="520" t="s">
        <v>190</v>
      </c>
      <c r="C17" s="520" t="s">
        <v>191</v>
      </c>
    </row>
    <row r="18" spans="1:3">
      <c r="A18" s="520" t="s">
        <v>1021</v>
      </c>
      <c r="B18" s="520" t="s">
        <v>1024</v>
      </c>
      <c r="C18" s="520" t="s">
        <v>1026</v>
      </c>
    </row>
    <row r="19" spans="1:3">
      <c r="A19" s="520" t="s">
        <v>1020</v>
      </c>
      <c r="B19" s="520" t="s">
        <v>1023</v>
      </c>
    </row>
    <row r="20" spans="1:3">
      <c r="A20" s="520" t="s">
        <v>1022</v>
      </c>
      <c r="B20" s="520" t="s">
        <v>1025</v>
      </c>
    </row>
    <row r="21" spans="1:3">
      <c r="A21" s="520" t="s">
        <v>1187</v>
      </c>
      <c r="B21" s="520" t="s">
        <v>1188</v>
      </c>
      <c r="C21" s="520">
        <v>2024</v>
      </c>
    </row>
    <row r="22" spans="1:3">
      <c r="A22" s="520" t="s">
        <v>1189</v>
      </c>
      <c r="B22" s="520" t="s">
        <v>1190</v>
      </c>
      <c r="C22" s="520">
        <v>2025</v>
      </c>
    </row>
  </sheetData>
  <phoneticPr fontId="8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9DFEE-479B-469C-BE7A-12C5D5EA59AB}">
  <dimension ref="A1:N98"/>
  <sheetViews>
    <sheetView topLeftCell="A22" zoomScale="85" zoomScaleNormal="85" workbookViewId="0">
      <selection activeCell="A45" sqref="A45:G49"/>
    </sheetView>
  </sheetViews>
  <sheetFormatPr defaultRowHeight="15"/>
  <cols>
    <col min="1" max="1" width="32.125" customWidth="1"/>
    <col min="2" max="2" width="9.25" bestFit="1" customWidth="1"/>
    <col min="3" max="3" width="8.375" bestFit="1" customWidth="1"/>
    <col min="4" max="4" width="8.875" bestFit="1" customWidth="1"/>
    <col min="5" max="5" width="34.25" bestFit="1" customWidth="1"/>
    <col min="6" max="6" width="38" bestFit="1" customWidth="1"/>
    <col min="7" max="7" width="41.5" bestFit="1" customWidth="1"/>
    <col min="8" max="8" width="41.375" bestFit="1" customWidth="1"/>
    <col min="9" max="9" width="41.5" bestFit="1" customWidth="1"/>
    <col min="10" max="11" width="42.5" bestFit="1" customWidth="1"/>
    <col min="12" max="13" width="41.25" bestFit="1" customWidth="1"/>
    <col min="14" max="14" width="56.5" bestFit="1" customWidth="1"/>
  </cols>
  <sheetData>
    <row r="1" spans="1:14" ht="15.75" thickBot="1">
      <c r="A1" s="523" t="s">
        <v>876</v>
      </c>
      <c r="B1" s="524"/>
      <c r="C1" s="525"/>
      <c r="D1" s="526"/>
      <c r="E1" s="527"/>
      <c r="F1" s="528"/>
      <c r="G1" s="529"/>
      <c r="H1" s="529"/>
      <c r="I1" s="529"/>
      <c r="J1" s="529"/>
      <c r="K1" s="529"/>
      <c r="L1" s="529"/>
      <c r="M1" s="529"/>
      <c r="N1" s="529"/>
    </row>
    <row r="2" spans="1:14" ht="51.75" thickBot="1">
      <c r="A2" s="523" t="s">
        <v>863</v>
      </c>
      <c r="B2" s="530" t="s">
        <v>877</v>
      </c>
      <c r="C2" s="525" t="s">
        <v>878</v>
      </c>
      <c r="D2" s="531" t="s">
        <v>879</v>
      </c>
      <c r="E2" s="532" t="s">
        <v>873</v>
      </c>
      <c r="F2" s="533" t="s">
        <v>874</v>
      </c>
      <c r="G2" s="534" t="s">
        <v>866</v>
      </c>
      <c r="H2" s="534" t="s">
        <v>867</v>
      </c>
      <c r="I2" s="534" t="s">
        <v>868</v>
      </c>
      <c r="J2" s="534" t="s">
        <v>869</v>
      </c>
      <c r="K2" s="534" t="s">
        <v>870</v>
      </c>
      <c r="L2" s="534" t="s">
        <v>872</v>
      </c>
      <c r="M2" s="534" t="s">
        <v>871</v>
      </c>
      <c r="N2" s="534" t="s">
        <v>865</v>
      </c>
    </row>
    <row r="3" spans="1:14" ht="15.75" thickBot="1">
      <c r="A3" s="523" t="s">
        <v>864</v>
      </c>
      <c r="B3" s="524"/>
      <c r="C3" s="525"/>
      <c r="D3" s="526"/>
      <c r="E3" s="527"/>
      <c r="F3" s="528"/>
      <c r="G3" s="529"/>
      <c r="H3" s="529"/>
      <c r="I3" s="529"/>
      <c r="J3" s="529"/>
      <c r="K3" s="529"/>
      <c r="L3" s="529"/>
      <c r="M3" s="529"/>
      <c r="N3" s="529"/>
    </row>
    <row r="4" spans="1:14" ht="15.75" thickBot="1">
      <c r="A4" s="535"/>
      <c r="B4" s="535"/>
      <c r="C4" s="535"/>
      <c r="D4" s="536"/>
      <c r="E4" s="535"/>
      <c r="F4" s="535"/>
      <c r="G4" s="537" t="s">
        <v>875</v>
      </c>
      <c r="H4" s="537" t="s">
        <v>880</v>
      </c>
      <c r="I4" s="537" t="s">
        <v>881</v>
      </c>
      <c r="J4" s="537" t="s">
        <v>882</v>
      </c>
      <c r="K4" s="537" t="s">
        <v>883</v>
      </c>
      <c r="L4" s="537" t="s">
        <v>884</v>
      </c>
      <c r="M4" s="537" t="s">
        <v>885</v>
      </c>
      <c r="N4" s="538" t="s">
        <v>886</v>
      </c>
    </row>
    <row r="7" spans="1:14" ht="15.75" thickBot="1">
      <c r="A7" s="523" t="s">
        <v>887</v>
      </c>
      <c r="B7" s="524"/>
      <c r="C7" s="525"/>
      <c r="D7" s="526"/>
      <c r="E7" s="527"/>
      <c r="F7" s="528"/>
      <c r="G7" s="529"/>
      <c r="H7" s="529"/>
      <c r="I7" s="529"/>
      <c r="J7" s="529"/>
      <c r="K7" s="529"/>
      <c r="L7" s="529"/>
      <c r="M7" s="529"/>
      <c r="N7" s="529"/>
    </row>
    <row r="8" spans="1:14" ht="51.75" thickBot="1">
      <c r="A8" s="523" t="s">
        <v>863</v>
      </c>
      <c r="B8" s="530" t="s">
        <v>888</v>
      </c>
      <c r="C8" s="525" t="s">
        <v>889</v>
      </c>
      <c r="D8" s="531" t="s">
        <v>890</v>
      </c>
      <c r="E8" s="532" t="s">
        <v>891</v>
      </c>
      <c r="F8" s="533" t="s">
        <v>892</v>
      </c>
      <c r="G8" s="534" t="s">
        <v>866</v>
      </c>
      <c r="H8" s="534" t="s">
        <v>867</v>
      </c>
      <c r="I8" s="534" t="s">
        <v>868</v>
      </c>
      <c r="J8" s="534" t="s">
        <v>869</v>
      </c>
      <c r="K8" s="534" t="s">
        <v>870</v>
      </c>
      <c r="L8" s="534" t="s">
        <v>872</v>
      </c>
      <c r="M8" s="534" t="s">
        <v>871</v>
      </c>
      <c r="N8" s="534" t="s">
        <v>865</v>
      </c>
    </row>
    <row r="9" spans="1:14" ht="15.75" thickBot="1">
      <c r="A9" s="523" t="s">
        <v>864</v>
      </c>
      <c r="B9" s="524"/>
      <c r="C9" s="525"/>
      <c r="D9" s="526"/>
      <c r="E9" s="527"/>
      <c r="F9" s="528"/>
      <c r="G9" s="529"/>
      <c r="H9" s="529"/>
      <c r="I9" s="529"/>
      <c r="J9" s="529"/>
      <c r="K9" s="529"/>
      <c r="L9" s="529"/>
      <c r="M9" s="529"/>
      <c r="N9" s="529"/>
    </row>
    <row r="10" spans="1:14" ht="15.75" thickBot="1">
      <c r="A10" s="535"/>
      <c r="B10" s="535"/>
      <c r="C10" s="535"/>
      <c r="D10" s="536"/>
      <c r="E10" s="535"/>
      <c r="F10" s="535"/>
      <c r="G10" s="537" t="s">
        <v>893</v>
      </c>
      <c r="H10" s="537" t="s">
        <v>894</v>
      </c>
      <c r="I10" s="537" t="s">
        <v>895</v>
      </c>
      <c r="J10" s="537" t="s">
        <v>896</v>
      </c>
      <c r="K10" s="537" t="s">
        <v>897</v>
      </c>
      <c r="L10" s="537" t="s">
        <v>898</v>
      </c>
      <c r="M10" s="537" t="s">
        <v>899</v>
      </c>
      <c r="N10" s="538" t="s">
        <v>900</v>
      </c>
    </row>
    <row r="14" spans="1:14">
      <c r="A14" s="612" t="s">
        <v>421</v>
      </c>
      <c r="B14" s="612" t="s">
        <v>550</v>
      </c>
      <c r="C14" s="612" t="s">
        <v>422</v>
      </c>
      <c r="D14" s="612" t="s">
        <v>423</v>
      </c>
      <c r="E14" s="613" t="s">
        <v>551</v>
      </c>
      <c r="F14" s="612" t="s">
        <v>552</v>
      </c>
      <c r="G14" s="613" t="s">
        <v>553</v>
      </c>
      <c r="H14" s="613" t="s">
        <v>554</v>
      </c>
      <c r="I14" s="613"/>
      <c r="J14" s="613"/>
      <c r="K14" s="613" t="s">
        <v>555</v>
      </c>
      <c r="L14" s="613"/>
      <c r="M14" s="613"/>
    </row>
    <row r="15" spans="1:14">
      <c r="A15" s="612"/>
      <c r="B15" s="612"/>
      <c r="C15" s="612"/>
      <c r="D15" s="612"/>
      <c r="E15" s="613"/>
      <c r="F15" s="612"/>
      <c r="G15" s="613"/>
      <c r="H15" s="613" t="s">
        <v>556</v>
      </c>
      <c r="I15" s="613"/>
      <c r="J15" s="613"/>
      <c r="K15" s="614" t="s">
        <v>557</v>
      </c>
      <c r="L15" s="614"/>
      <c r="M15" s="614"/>
    </row>
    <row r="16" spans="1:14" ht="15.75">
      <c r="A16" s="612"/>
      <c r="B16" s="612"/>
      <c r="C16" s="612"/>
      <c r="D16" s="612"/>
      <c r="E16" s="64" t="s">
        <v>558</v>
      </c>
      <c r="F16" s="612"/>
      <c r="G16" s="64" t="s">
        <v>558</v>
      </c>
      <c r="H16" s="64" t="s">
        <v>202</v>
      </c>
      <c r="I16" s="64" t="s">
        <v>203</v>
      </c>
      <c r="J16" s="64" t="s">
        <v>204</v>
      </c>
      <c r="K16" s="64" t="s">
        <v>202</v>
      </c>
      <c r="L16" s="64" t="s">
        <v>203</v>
      </c>
      <c r="M16" s="64" t="s">
        <v>204</v>
      </c>
    </row>
    <row r="17" spans="1:13">
      <c r="A17" s="66" t="s">
        <v>918</v>
      </c>
      <c r="B17" s="67"/>
      <c r="C17" s="68"/>
      <c r="D17" s="68"/>
      <c r="E17" s="66"/>
      <c r="F17" s="69"/>
      <c r="G17" s="540"/>
      <c r="H17" s="66"/>
      <c r="I17" s="66"/>
      <c r="J17" s="539"/>
      <c r="K17" s="66"/>
      <c r="L17" s="72"/>
      <c r="M17" s="66"/>
    </row>
    <row r="18" spans="1:13" ht="38.25">
      <c r="A18" s="66" t="s">
        <v>863</v>
      </c>
      <c r="B18" s="67" t="s">
        <v>901</v>
      </c>
      <c r="C18" s="67" t="s">
        <v>902</v>
      </c>
      <c r="D18" s="67" t="s">
        <v>903</v>
      </c>
      <c r="E18" s="75" t="s">
        <v>904</v>
      </c>
      <c r="F18" s="69" t="s">
        <v>905</v>
      </c>
      <c r="G18" s="540" t="s">
        <v>906</v>
      </c>
      <c r="H18" s="66" t="s">
        <v>910</v>
      </c>
      <c r="I18" s="66" t="s">
        <v>911</v>
      </c>
      <c r="J18" s="539" t="s">
        <v>912</v>
      </c>
      <c r="K18" s="66" t="s">
        <v>907</v>
      </c>
      <c r="L18" s="66" t="s">
        <v>908</v>
      </c>
      <c r="M18" s="539" t="s">
        <v>909</v>
      </c>
    </row>
    <row r="19" spans="1:13">
      <c r="A19" s="66" t="s">
        <v>864</v>
      </c>
      <c r="B19" s="67"/>
      <c r="C19" s="68"/>
      <c r="D19" s="68"/>
      <c r="E19" s="66"/>
      <c r="F19" s="69"/>
      <c r="G19" s="540"/>
      <c r="H19" s="66"/>
      <c r="I19" s="66"/>
      <c r="J19" s="539"/>
      <c r="K19" s="66"/>
      <c r="L19" s="72"/>
      <c r="M19" s="66"/>
    </row>
    <row r="22" spans="1:13">
      <c r="A22" s="612" t="s">
        <v>421</v>
      </c>
      <c r="B22" s="612" t="s">
        <v>550</v>
      </c>
      <c r="C22" s="612" t="s">
        <v>422</v>
      </c>
      <c r="D22" s="612" t="s">
        <v>423</v>
      </c>
      <c r="E22" s="65" t="s">
        <v>570</v>
      </c>
      <c r="F22" s="612" t="s">
        <v>552</v>
      </c>
    </row>
    <row r="23" spans="1:13" ht="15.75">
      <c r="A23" s="612"/>
      <c r="B23" s="612"/>
      <c r="C23" s="612"/>
      <c r="D23" s="612"/>
      <c r="E23" s="64" t="s">
        <v>558</v>
      </c>
      <c r="F23" s="612"/>
    </row>
    <row r="24" spans="1:13">
      <c r="A24" s="66" t="s">
        <v>917</v>
      </c>
      <c r="B24" s="76"/>
      <c r="C24" s="76"/>
      <c r="D24" s="76"/>
      <c r="E24" s="87"/>
      <c r="F24" s="88"/>
    </row>
    <row r="25" spans="1:13" ht="38.25">
      <c r="A25" s="66" t="s">
        <v>863</v>
      </c>
      <c r="B25" s="67" t="s">
        <v>901</v>
      </c>
      <c r="C25" s="67" t="s">
        <v>902</v>
      </c>
      <c r="D25" s="67" t="s">
        <v>903</v>
      </c>
      <c r="E25" s="90" t="s">
        <v>907</v>
      </c>
      <c r="F25" s="91" t="s">
        <v>905</v>
      </c>
    </row>
    <row r="26" spans="1:13">
      <c r="A26" s="66" t="s">
        <v>864</v>
      </c>
      <c r="B26" s="92"/>
      <c r="C26" s="93"/>
      <c r="D26" s="94"/>
      <c r="E26" s="95"/>
      <c r="F26" s="96"/>
    </row>
    <row r="28" spans="1:13" ht="15.75">
      <c r="A28" s="612" t="s">
        <v>421</v>
      </c>
      <c r="B28" s="612" t="s">
        <v>550</v>
      </c>
      <c r="C28" s="612" t="s">
        <v>422</v>
      </c>
      <c r="D28" s="612" t="s">
        <v>423</v>
      </c>
      <c r="E28" s="64" t="s">
        <v>582</v>
      </c>
      <c r="F28" s="106"/>
      <c r="G28" s="622" t="s">
        <v>583</v>
      </c>
      <c r="H28" s="624" t="s">
        <v>584</v>
      </c>
      <c r="I28" s="613" t="s">
        <v>585</v>
      </c>
      <c r="J28" s="612" t="s">
        <v>552</v>
      </c>
      <c r="K28" s="612" t="s">
        <v>586</v>
      </c>
    </row>
    <row r="29" spans="1:13" ht="15.75">
      <c r="A29" s="612"/>
      <c r="B29" s="612"/>
      <c r="C29" s="612"/>
      <c r="D29" s="612"/>
      <c r="E29" s="64" t="s">
        <v>587</v>
      </c>
      <c r="F29" s="64" t="s">
        <v>552</v>
      </c>
      <c r="G29" s="623"/>
      <c r="H29" s="625"/>
      <c r="I29" s="612"/>
      <c r="J29" s="612"/>
      <c r="K29" s="612"/>
    </row>
    <row r="30" spans="1:13">
      <c r="A30" s="66" t="s">
        <v>919</v>
      </c>
      <c r="B30" s="107"/>
      <c r="C30" s="94"/>
      <c r="D30" s="108"/>
      <c r="E30" s="109"/>
      <c r="F30" s="110"/>
      <c r="G30" s="66"/>
      <c r="H30" s="66"/>
      <c r="I30" s="66"/>
      <c r="J30" s="66"/>
      <c r="K30" s="66"/>
    </row>
    <row r="31" spans="1:13" ht="38.25">
      <c r="A31" s="66" t="s">
        <v>863</v>
      </c>
      <c r="B31" s="67" t="s">
        <v>901</v>
      </c>
      <c r="C31" s="67" t="s">
        <v>902</v>
      </c>
      <c r="D31" s="67" t="s">
        <v>903</v>
      </c>
      <c r="E31" s="114" t="s">
        <v>913</v>
      </c>
      <c r="F31" s="91" t="s">
        <v>905</v>
      </c>
      <c r="G31" s="66" t="s">
        <v>914</v>
      </c>
      <c r="H31" s="66" t="s">
        <v>915</v>
      </c>
      <c r="I31" s="66" t="s">
        <v>916</v>
      </c>
      <c r="J31" s="91" t="s">
        <v>905</v>
      </c>
      <c r="K31" s="66" t="s">
        <v>902</v>
      </c>
    </row>
    <row r="32" spans="1:13">
      <c r="A32" s="66" t="s">
        <v>864</v>
      </c>
      <c r="B32" s="107"/>
      <c r="C32" s="93"/>
      <c r="D32" s="118"/>
      <c r="E32" s="114"/>
      <c r="F32" s="115"/>
      <c r="G32" s="66"/>
      <c r="H32" s="66"/>
      <c r="I32" s="66"/>
      <c r="J32" s="66"/>
      <c r="K32" s="66"/>
    </row>
    <row r="34" spans="1:8" ht="30">
      <c r="A34" s="64" t="s">
        <v>421</v>
      </c>
      <c r="B34" s="126" t="s">
        <v>550</v>
      </c>
      <c r="C34" s="127" t="s">
        <v>422</v>
      </c>
      <c r="D34" s="127" t="s">
        <v>423</v>
      </c>
      <c r="E34" s="126" t="s">
        <v>210</v>
      </c>
      <c r="F34" s="127" t="s">
        <v>552</v>
      </c>
      <c r="G34" s="127" t="s">
        <v>586</v>
      </c>
    </row>
    <row r="35" spans="1:8">
      <c r="A35" s="541" t="s">
        <v>926</v>
      </c>
      <c r="B35" s="542"/>
      <c r="C35" s="543"/>
      <c r="D35" s="544"/>
      <c r="E35" s="545"/>
      <c r="F35" s="546"/>
      <c r="G35" s="547"/>
    </row>
    <row r="36" spans="1:8" ht="51">
      <c r="A36" s="541" t="s">
        <v>863</v>
      </c>
      <c r="B36" s="548" t="s">
        <v>923</v>
      </c>
      <c r="C36" s="548" t="s">
        <v>924</v>
      </c>
      <c r="D36" s="548" t="s">
        <v>925</v>
      </c>
      <c r="E36" s="545" t="s">
        <v>920</v>
      </c>
      <c r="F36" s="546" t="s">
        <v>921</v>
      </c>
      <c r="G36" s="549" t="s">
        <v>922</v>
      </c>
    </row>
    <row r="37" spans="1:8">
      <c r="A37" s="541" t="s">
        <v>864</v>
      </c>
      <c r="B37" s="550"/>
      <c r="C37" s="550"/>
      <c r="D37" s="550"/>
      <c r="E37" s="550"/>
      <c r="F37" s="550"/>
      <c r="G37" s="550"/>
    </row>
    <row r="39" spans="1:8" ht="15.75">
      <c r="A39" s="621" t="s">
        <v>421</v>
      </c>
      <c r="B39" s="621" t="s">
        <v>550</v>
      </c>
      <c r="C39" s="621" t="s">
        <v>422</v>
      </c>
      <c r="D39" s="617" t="s">
        <v>608</v>
      </c>
      <c r="E39" s="617" t="s">
        <v>609</v>
      </c>
      <c r="F39" s="619" t="s">
        <v>202</v>
      </c>
      <c r="G39" s="620"/>
      <c r="H39" s="138" t="s">
        <v>610</v>
      </c>
    </row>
    <row r="40" spans="1:8" ht="15.75">
      <c r="A40" s="610"/>
      <c r="B40" s="610"/>
      <c r="C40" s="610"/>
      <c r="D40" s="610"/>
      <c r="E40" s="610"/>
      <c r="F40" s="140" t="s">
        <v>585</v>
      </c>
      <c r="G40" s="141" t="s">
        <v>552</v>
      </c>
      <c r="H40" s="141" t="s">
        <v>611</v>
      </c>
    </row>
    <row r="41" spans="1:8">
      <c r="A41" s="541" t="s">
        <v>927</v>
      </c>
      <c r="B41" s="142"/>
      <c r="C41" s="73"/>
      <c r="D41" s="142"/>
      <c r="E41" s="548"/>
      <c r="F41" s="548"/>
      <c r="G41" s="548"/>
      <c r="H41" s="548"/>
    </row>
    <row r="42" spans="1:8" ht="51">
      <c r="A42" s="541" t="s">
        <v>863</v>
      </c>
      <c r="B42" s="548" t="s">
        <v>928</v>
      </c>
      <c r="C42" s="548" t="s">
        <v>929</v>
      </c>
      <c r="D42" s="548" t="s">
        <v>930</v>
      </c>
      <c r="E42" s="551" t="s">
        <v>931</v>
      </c>
      <c r="F42" s="545" t="s">
        <v>932</v>
      </c>
      <c r="G42" s="546" t="s">
        <v>933</v>
      </c>
      <c r="H42" s="551" t="s">
        <v>934</v>
      </c>
    </row>
    <row r="43" spans="1:8">
      <c r="A43" s="541" t="s">
        <v>864</v>
      </c>
      <c r="B43" s="142"/>
      <c r="C43" s="73"/>
      <c r="D43" s="142"/>
      <c r="E43" s="142"/>
      <c r="F43" s="143"/>
      <c r="G43" s="144"/>
      <c r="H43" s="95"/>
    </row>
    <row r="45" spans="1:8" ht="15.75">
      <c r="A45" s="621" t="s">
        <v>421</v>
      </c>
      <c r="B45" s="621" t="s">
        <v>550</v>
      </c>
      <c r="C45" s="621" t="s">
        <v>422</v>
      </c>
      <c r="D45" s="617" t="s">
        <v>608</v>
      </c>
      <c r="E45" s="619" t="s">
        <v>202</v>
      </c>
      <c r="F45" s="620"/>
      <c r="G45" s="138" t="s">
        <v>610</v>
      </c>
    </row>
    <row r="46" spans="1:8" ht="15.75">
      <c r="A46" s="610"/>
      <c r="B46" s="610"/>
      <c r="C46" s="610"/>
      <c r="D46" s="610"/>
      <c r="E46" s="140" t="s">
        <v>585</v>
      </c>
      <c r="F46" s="141" t="s">
        <v>552</v>
      </c>
      <c r="G46" s="141" t="s">
        <v>611</v>
      </c>
    </row>
    <row r="47" spans="1:8">
      <c r="A47" s="541" t="s">
        <v>935</v>
      </c>
      <c r="B47" s="142"/>
      <c r="C47" s="73"/>
      <c r="D47" s="142"/>
      <c r="E47" s="143"/>
      <c r="F47" s="144"/>
      <c r="G47" s="95"/>
    </row>
    <row r="48" spans="1:8" ht="51">
      <c r="A48" s="541" t="s">
        <v>863</v>
      </c>
      <c r="B48" s="548" t="s">
        <v>936</v>
      </c>
      <c r="C48" s="548" t="s">
        <v>937</v>
      </c>
      <c r="D48" s="548" t="s">
        <v>938</v>
      </c>
      <c r="E48" s="545" t="s">
        <v>939</v>
      </c>
      <c r="F48" s="546" t="s">
        <v>940</v>
      </c>
      <c r="G48" s="551" t="s">
        <v>941</v>
      </c>
    </row>
    <row r="49" spans="1:8">
      <c r="A49" s="541" t="s">
        <v>864</v>
      </c>
      <c r="B49" s="142"/>
      <c r="C49" s="73"/>
      <c r="D49" s="142"/>
      <c r="E49" s="143"/>
      <c r="F49" s="144"/>
      <c r="G49" s="95"/>
    </row>
    <row r="51" spans="1:8" ht="15.75">
      <c r="A51" s="621" t="s">
        <v>421</v>
      </c>
      <c r="B51" s="621" t="s">
        <v>550</v>
      </c>
      <c r="C51" s="621" t="s">
        <v>422</v>
      </c>
      <c r="D51" s="621" t="s">
        <v>608</v>
      </c>
      <c r="E51" s="617" t="s">
        <v>609</v>
      </c>
      <c r="F51" s="619" t="s">
        <v>202</v>
      </c>
      <c r="G51" s="620"/>
      <c r="H51" s="141" t="s">
        <v>610</v>
      </c>
    </row>
    <row r="52" spans="1:8" ht="15.75">
      <c r="A52" s="610"/>
      <c r="B52" s="610"/>
      <c r="C52" s="610"/>
      <c r="D52" s="610"/>
      <c r="E52" s="610"/>
      <c r="F52" s="140" t="s">
        <v>585</v>
      </c>
      <c r="G52" s="141" t="s">
        <v>552</v>
      </c>
      <c r="H52" s="141" t="s">
        <v>611</v>
      </c>
    </row>
    <row r="53" spans="1:8">
      <c r="A53" s="541" t="s">
        <v>950</v>
      </c>
      <c r="B53" s="142"/>
      <c r="C53" s="73"/>
      <c r="D53" s="142"/>
      <c r="E53" s="548"/>
      <c r="F53" s="548"/>
      <c r="G53" s="548"/>
      <c r="H53" s="548"/>
    </row>
    <row r="54" spans="1:8" ht="51">
      <c r="A54" s="541" t="s">
        <v>863</v>
      </c>
      <c r="B54" s="548" t="s">
        <v>951</v>
      </c>
      <c r="C54" s="548" t="s">
        <v>952</v>
      </c>
      <c r="D54" s="548" t="s">
        <v>953</v>
      </c>
      <c r="E54" s="551" t="s">
        <v>954</v>
      </c>
      <c r="F54" s="545" t="s">
        <v>955</v>
      </c>
      <c r="G54" s="546" t="s">
        <v>956</v>
      </c>
      <c r="H54" s="551" t="s">
        <v>957</v>
      </c>
    </row>
    <row r="55" spans="1:8">
      <c r="A55" s="541" t="s">
        <v>864</v>
      </c>
      <c r="B55" s="142"/>
      <c r="C55" s="73"/>
      <c r="D55" s="142"/>
      <c r="E55" s="142"/>
      <c r="F55" s="143"/>
      <c r="G55" s="144"/>
      <c r="H55" s="95"/>
    </row>
    <row r="57" spans="1:8" ht="15.75">
      <c r="A57" s="621" t="s">
        <v>421</v>
      </c>
      <c r="B57" s="621" t="s">
        <v>550</v>
      </c>
      <c r="C57" s="621" t="s">
        <v>422</v>
      </c>
      <c r="D57" s="621" t="s">
        <v>608</v>
      </c>
      <c r="E57" s="617" t="s">
        <v>609</v>
      </c>
      <c r="F57" s="619" t="s">
        <v>202</v>
      </c>
      <c r="G57" s="620"/>
      <c r="H57" s="141" t="s">
        <v>610</v>
      </c>
    </row>
    <row r="58" spans="1:8" ht="15.75">
      <c r="A58" s="610"/>
      <c r="B58" s="610"/>
      <c r="C58" s="610"/>
      <c r="D58" s="610"/>
      <c r="E58" s="610"/>
      <c r="F58" s="140" t="s">
        <v>585</v>
      </c>
      <c r="G58" s="141" t="s">
        <v>552</v>
      </c>
      <c r="H58" s="141" t="s">
        <v>611</v>
      </c>
    </row>
    <row r="59" spans="1:8">
      <c r="A59" s="541" t="s">
        <v>942</v>
      </c>
      <c r="B59" s="142"/>
      <c r="C59" s="73"/>
      <c r="D59" s="142"/>
      <c r="E59" s="548"/>
      <c r="F59" s="548"/>
      <c r="G59" s="548"/>
      <c r="H59" s="548"/>
    </row>
    <row r="60" spans="1:8" ht="51">
      <c r="A60" s="541" t="s">
        <v>863</v>
      </c>
      <c r="B60" s="548" t="s">
        <v>943</v>
      </c>
      <c r="C60" s="548" t="s">
        <v>944</v>
      </c>
      <c r="D60" s="548" t="s">
        <v>945</v>
      </c>
      <c r="E60" s="551" t="s">
        <v>946</v>
      </c>
      <c r="F60" s="545" t="s">
        <v>947</v>
      </c>
      <c r="G60" s="546" t="s">
        <v>948</v>
      </c>
      <c r="H60" s="551" t="s">
        <v>949</v>
      </c>
    </row>
    <row r="61" spans="1:8">
      <c r="A61" s="541" t="s">
        <v>864</v>
      </c>
      <c r="B61" s="142"/>
      <c r="C61" s="73"/>
      <c r="D61" s="142"/>
      <c r="E61" s="142"/>
      <c r="F61" s="143"/>
      <c r="G61" s="144"/>
      <c r="H61" s="95"/>
    </row>
    <row r="63" spans="1:8" ht="15.75">
      <c r="A63" s="621" t="s">
        <v>421</v>
      </c>
      <c r="B63" s="621" t="s">
        <v>550</v>
      </c>
      <c r="C63" s="621" t="s">
        <v>422</v>
      </c>
      <c r="D63" s="621" t="s">
        <v>608</v>
      </c>
      <c r="E63" s="617" t="s">
        <v>609</v>
      </c>
      <c r="F63" s="619" t="s">
        <v>202</v>
      </c>
      <c r="G63" s="620"/>
      <c r="H63" s="138" t="s">
        <v>610</v>
      </c>
    </row>
    <row r="64" spans="1:8" ht="15.75">
      <c r="A64" s="610"/>
      <c r="B64" s="610"/>
      <c r="C64" s="610"/>
      <c r="D64" s="610"/>
      <c r="E64" s="610"/>
      <c r="F64" s="140" t="s">
        <v>585</v>
      </c>
      <c r="G64" s="141" t="s">
        <v>552</v>
      </c>
      <c r="H64" s="141" t="s">
        <v>611</v>
      </c>
    </row>
    <row r="65" spans="1:8">
      <c r="A65" s="541" t="s">
        <v>958</v>
      </c>
      <c r="B65" s="142"/>
      <c r="C65" s="73"/>
      <c r="D65" s="142"/>
      <c r="E65" s="548"/>
      <c r="F65" s="548"/>
      <c r="G65" s="548"/>
      <c r="H65" s="548"/>
    </row>
    <row r="66" spans="1:8" ht="51">
      <c r="A66" s="541" t="s">
        <v>863</v>
      </c>
      <c r="B66" s="548" t="s">
        <v>959</v>
      </c>
      <c r="C66" s="548" t="s">
        <v>960</v>
      </c>
      <c r="D66" s="548" t="s">
        <v>961</v>
      </c>
      <c r="E66" s="551" t="s">
        <v>962</v>
      </c>
      <c r="F66" s="545" t="s">
        <v>963</v>
      </c>
      <c r="G66" s="546" t="s">
        <v>964</v>
      </c>
      <c r="H66" s="551" t="s">
        <v>965</v>
      </c>
    </row>
    <row r="67" spans="1:8">
      <c r="A67" s="541" t="s">
        <v>864</v>
      </c>
      <c r="B67" s="142"/>
      <c r="C67" s="73"/>
      <c r="D67" s="142"/>
      <c r="E67" s="142"/>
      <c r="F67" s="143"/>
      <c r="G67" s="144"/>
      <c r="H67" s="95"/>
    </row>
    <row r="69" spans="1:8" ht="15.75">
      <c r="A69" s="621" t="s">
        <v>421</v>
      </c>
      <c r="B69" s="621" t="s">
        <v>550</v>
      </c>
      <c r="C69" s="621" t="s">
        <v>422</v>
      </c>
      <c r="D69" s="621" t="s">
        <v>608</v>
      </c>
      <c r="E69" s="617" t="s">
        <v>609</v>
      </c>
      <c r="F69" s="619" t="s">
        <v>202</v>
      </c>
      <c r="G69" s="620"/>
      <c r="H69" s="138" t="s">
        <v>610</v>
      </c>
    </row>
    <row r="70" spans="1:8" ht="15.75">
      <c r="A70" s="610"/>
      <c r="B70" s="610"/>
      <c r="C70" s="610"/>
      <c r="D70" s="610"/>
      <c r="E70" s="610"/>
      <c r="F70" s="140" t="s">
        <v>585</v>
      </c>
      <c r="G70" s="141" t="s">
        <v>552</v>
      </c>
      <c r="H70" s="141" t="s">
        <v>611</v>
      </c>
    </row>
    <row r="71" spans="1:8">
      <c r="A71" s="541" t="s">
        <v>966</v>
      </c>
      <c r="B71" s="142"/>
      <c r="C71" s="73"/>
      <c r="D71" s="142"/>
      <c r="E71" s="548"/>
      <c r="F71" s="548"/>
      <c r="G71" s="548"/>
      <c r="H71" s="548"/>
    </row>
    <row r="72" spans="1:8" ht="51">
      <c r="A72" s="541" t="s">
        <v>863</v>
      </c>
      <c r="B72" s="548" t="s">
        <v>967</v>
      </c>
      <c r="C72" s="548" t="s">
        <v>968</v>
      </c>
      <c r="D72" s="548" t="s">
        <v>969</v>
      </c>
      <c r="E72" s="551" t="s">
        <v>970</v>
      </c>
      <c r="F72" s="545" t="s">
        <v>971</v>
      </c>
      <c r="G72" s="546" t="s">
        <v>972</v>
      </c>
      <c r="H72" s="551" t="s">
        <v>973</v>
      </c>
    </row>
    <row r="73" spans="1:8">
      <c r="A73" s="541" t="s">
        <v>864</v>
      </c>
      <c r="B73" s="142"/>
      <c r="C73" s="73"/>
      <c r="D73" s="142"/>
      <c r="E73" s="142"/>
      <c r="F73" s="143"/>
      <c r="G73" s="144"/>
      <c r="H73" s="95"/>
    </row>
    <row r="75" spans="1:8" ht="15.75">
      <c r="A75" s="621" t="s">
        <v>421</v>
      </c>
      <c r="B75" s="621" t="s">
        <v>550</v>
      </c>
      <c r="C75" s="621" t="s">
        <v>422</v>
      </c>
      <c r="D75" s="621" t="s">
        <v>608</v>
      </c>
      <c r="E75" s="617" t="s">
        <v>609</v>
      </c>
      <c r="F75" s="619" t="s">
        <v>202</v>
      </c>
      <c r="G75" s="620"/>
      <c r="H75" s="138" t="s">
        <v>610</v>
      </c>
    </row>
    <row r="76" spans="1:8" ht="15.75">
      <c r="A76" s="610"/>
      <c r="B76" s="610"/>
      <c r="C76" s="610"/>
      <c r="D76" s="610"/>
      <c r="E76" s="610"/>
      <c r="F76" s="140" t="s">
        <v>585</v>
      </c>
      <c r="G76" s="141" t="s">
        <v>552</v>
      </c>
      <c r="H76" s="141" t="s">
        <v>611</v>
      </c>
    </row>
    <row r="77" spans="1:8">
      <c r="A77" s="541" t="s">
        <v>974</v>
      </c>
      <c r="B77" s="142"/>
      <c r="C77" s="73"/>
      <c r="D77" s="142"/>
      <c r="E77" s="548"/>
      <c r="F77" s="548"/>
      <c r="G77" s="548"/>
      <c r="H77" s="548"/>
    </row>
    <row r="78" spans="1:8" ht="51">
      <c r="A78" s="541" t="s">
        <v>863</v>
      </c>
      <c r="B78" s="548" t="s">
        <v>975</v>
      </c>
      <c r="C78" s="548" t="s">
        <v>976</v>
      </c>
      <c r="D78" s="548" t="s">
        <v>977</v>
      </c>
      <c r="E78" s="551" t="s">
        <v>978</v>
      </c>
      <c r="F78" s="545" t="s">
        <v>979</v>
      </c>
      <c r="G78" s="546" t="s">
        <v>980</v>
      </c>
      <c r="H78" s="551" t="s">
        <v>981</v>
      </c>
    </row>
    <row r="79" spans="1:8">
      <c r="A79" s="541" t="s">
        <v>864</v>
      </c>
      <c r="B79" s="142"/>
      <c r="C79" s="73"/>
      <c r="D79" s="142"/>
      <c r="E79" s="142"/>
      <c r="F79" s="143"/>
      <c r="G79" s="144"/>
      <c r="H79" s="95"/>
    </row>
    <row r="81" spans="1:13" ht="15.75">
      <c r="A81" s="616" t="s">
        <v>421</v>
      </c>
      <c r="B81" s="616" t="s">
        <v>550</v>
      </c>
      <c r="C81" s="616" t="s">
        <v>422</v>
      </c>
      <c r="D81" s="621" t="s">
        <v>608</v>
      </c>
      <c r="E81" s="619" t="s">
        <v>202</v>
      </c>
      <c r="F81" s="620"/>
      <c r="G81" s="617" t="s">
        <v>682</v>
      </c>
      <c r="H81" s="615" t="s">
        <v>24</v>
      </c>
    </row>
    <row r="82" spans="1:13" ht="15.75">
      <c r="A82" s="616"/>
      <c r="B82" s="616"/>
      <c r="C82" s="616"/>
      <c r="D82" s="610"/>
      <c r="E82" s="140" t="s">
        <v>585</v>
      </c>
      <c r="F82" s="141" t="s">
        <v>552</v>
      </c>
      <c r="G82" s="618"/>
      <c r="H82" s="616"/>
    </row>
    <row r="83" spans="1:13">
      <c r="A83" s="551" t="s">
        <v>982</v>
      </c>
      <c r="B83" s="551"/>
      <c r="C83" s="551"/>
      <c r="D83" s="551"/>
      <c r="E83" s="551"/>
      <c r="F83" s="551"/>
      <c r="G83" s="551"/>
      <c r="H83" s="551"/>
    </row>
    <row r="84" spans="1:13" ht="51">
      <c r="A84" s="551" t="s">
        <v>863</v>
      </c>
      <c r="B84" s="551" t="s">
        <v>984</v>
      </c>
      <c r="C84" s="551" t="s">
        <v>985</v>
      </c>
      <c r="D84" s="551" t="s">
        <v>986</v>
      </c>
      <c r="E84" s="551" t="s">
        <v>987</v>
      </c>
      <c r="F84" s="551" t="s">
        <v>988</v>
      </c>
      <c r="G84" s="551" t="s">
        <v>989</v>
      </c>
      <c r="H84" s="551" t="s">
        <v>983</v>
      </c>
    </row>
    <row r="85" spans="1:13">
      <c r="A85" s="551" t="s">
        <v>864</v>
      </c>
      <c r="B85" s="551"/>
      <c r="C85" s="551"/>
      <c r="D85" s="551"/>
      <c r="E85" s="551"/>
      <c r="F85" s="551"/>
      <c r="G85" s="551"/>
      <c r="H85" s="551"/>
    </row>
    <row r="87" spans="1:13">
      <c r="A87" s="612" t="s">
        <v>421</v>
      </c>
      <c r="B87" s="612" t="s">
        <v>550</v>
      </c>
      <c r="C87" s="612" t="s">
        <v>422</v>
      </c>
      <c r="D87" s="612" t="s">
        <v>423</v>
      </c>
      <c r="E87" s="613" t="s">
        <v>551</v>
      </c>
      <c r="F87" s="612" t="s">
        <v>552</v>
      </c>
      <c r="G87" s="613" t="s">
        <v>553</v>
      </c>
      <c r="H87" s="613" t="s">
        <v>554</v>
      </c>
      <c r="I87" s="613"/>
      <c r="J87" s="613"/>
      <c r="K87" s="613" t="s">
        <v>555</v>
      </c>
      <c r="L87" s="613"/>
      <c r="M87" s="613"/>
    </row>
    <row r="88" spans="1:13">
      <c r="A88" s="612"/>
      <c r="B88" s="612"/>
      <c r="C88" s="612"/>
      <c r="D88" s="612"/>
      <c r="E88" s="613"/>
      <c r="F88" s="612"/>
      <c r="G88" s="613"/>
      <c r="H88" s="613" t="s">
        <v>556</v>
      </c>
      <c r="I88" s="613"/>
      <c r="J88" s="613"/>
      <c r="K88" s="614" t="s">
        <v>557</v>
      </c>
      <c r="L88" s="614"/>
      <c r="M88" s="614"/>
    </row>
    <row r="89" spans="1:13" ht="15.75">
      <c r="A89" s="612"/>
      <c r="B89" s="612"/>
      <c r="C89" s="612"/>
      <c r="D89" s="612"/>
      <c r="E89" s="64" t="s">
        <v>558</v>
      </c>
      <c r="F89" s="612"/>
      <c r="G89" s="64" t="s">
        <v>558</v>
      </c>
      <c r="H89" s="64" t="s">
        <v>202</v>
      </c>
      <c r="I89" s="64" t="s">
        <v>203</v>
      </c>
      <c r="J89" s="64" t="s">
        <v>204</v>
      </c>
      <c r="K89" s="64" t="s">
        <v>202</v>
      </c>
      <c r="L89" s="64" t="s">
        <v>203</v>
      </c>
      <c r="M89" s="64" t="s">
        <v>204</v>
      </c>
    </row>
    <row r="90" spans="1:13">
      <c r="A90" s="551" t="s">
        <v>990</v>
      </c>
      <c r="B90" s="67"/>
      <c r="C90" s="68"/>
      <c r="D90" s="68"/>
      <c r="E90" s="66"/>
      <c r="F90" s="69"/>
      <c r="G90" s="540"/>
      <c r="H90" s="66"/>
      <c r="I90" s="66"/>
      <c r="J90" s="539"/>
      <c r="K90" s="66"/>
      <c r="L90" s="72"/>
      <c r="M90" s="66"/>
    </row>
    <row r="91" spans="1:13" ht="51">
      <c r="A91" s="66" t="s">
        <v>863</v>
      </c>
      <c r="B91" s="551" t="s">
        <v>993</v>
      </c>
      <c r="C91" s="551" t="s">
        <v>994</v>
      </c>
      <c r="D91" s="551" t="s">
        <v>995</v>
      </c>
      <c r="E91" s="552" t="s">
        <v>991</v>
      </c>
      <c r="F91" s="553" t="s">
        <v>996</v>
      </c>
      <c r="G91" s="540" t="s">
        <v>992</v>
      </c>
      <c r="H91" s="66" t="s">
        <v>910</v>
      </c>
      <c r="I91" s="66" t="s">
        <v>911</v>
      </c>
      <c r="J91" s="539" t="s">
        <v>912</v>
      </c>
      <c r="K91" s="66" t="s">
        <v>907</v>
      </c>
      <c r="L91" s="66" t="s">
        <v>908</v>
      </c>
      <c r="M91" s="539" t="s">
        <v>909</v>
      </c>
    </row>
    <row r="92" spans="1:13">
      <c r="A92" s="66" t="s">
        <v>864</v>
      </c>
      <c r="B92" s="67"/>
      <c r="C92" s="68"/>
      <c r="D92" s="68"/>
      <c r="E92" s="66"/>
      <c r="F92" s="69"/>
      <c r="G92" s="540"/>
      <c r="H92" s="66"/>
      <c r="I92" s="66"/>
      <c r="J92" s="539"/>
      <c r="K92" s="66"/>
      <c r="L92" s="72"/>
      <c r="M92" s="66"/>
    </row>
    <row r="94" spans="1:13" ht="15.75">
      <c r="A94" s="609" t="s">
        <v>421</v>
      </c>
      <c r="B94" s="609" t="s">
        <v>550</v>
      </c>
      <c r="C94" s="609" t="s">
        <v>422</v>
      </c>
      <c r="D94" s="609" t="s">
        <v>608</v>
      </c>
      <c r="E94" s="611" t="s">
        <v>609</v>
      </c>
      <c r="F94" s="607" t="s">
        <v>202</v>
      </c>
      <c r="G94" s="608"/>
      <c r="H94" s="173" t="s">
        <v>610</v>
      </c>
    </row>
    <row r="95" spans="1:13" ht="15.75">
      <c r="A95" s="610"/>
      <c r="B95" s="610"/>
      <c r="C95" s="610"/>
      <c r="D95" s="610"/>
      <c r="E95" s="610"/>
      <c r="F95" s="140" t="s">
        <v>585</v>
      </c>
      <c r="G95" s="141" t="s">
        <v>552</v>
      </c>
      <c r="H95" s="141" t="s">
        <v>611</v>
      </c>
    </row>
    <row r="96" spans="1:13">
      <c r="A96" s="541" t="s">
        <v>997</v>
      </c>
      <c r="B96" s="142"/>
      <c r="C96" s="73"/>
      <c r="D96" s="142"/>
      <c r="E96" s="548"/>
      <c r="F96" s="548"/>
      <c r="G96" s="548"/>
      <c r="H96" s="548"/>
    </row>
    <row r="97" spans="1:8" ht="51">
      <c r="A97" s="541" t="s">
        <v>863</v>
      </c>
      <c r="B97" s="548" t="s">
        <v>998</v>
      </c>
      <c r="C97" s="548" t="s">
        <v>999</v>
      </c>
      <c r="D97" s="548" t="s">
        <v>1000</v>
      </c>
      <c r="E97" s="551" t="s">
        <v>1001</v>
      </c>
      <c r="F97" s="545" t="s">
        <v>1002</v>
      </c>
      <c r="G97" s="546" t="s">
        <v>1003</v>
      </c>
      <c r="H97" s="551" t="s">
        <v>1004</v>
      </c>
    </row>
    <row r="98" spans="1:8">
      <c r="A98" s="541" t="s">
        <v>864</v>
      </c>
      <c r="B98" s="142"/>
      <c r="C98" s="73"/>
      <c r="D98" s="142"/>
      <c r="E98" s="142"/>
      <c r="F98" s="143"/>
      <c r="G98" s="144"/>
      <c r="H98" s="95"/>
    </row>
  </sheetData>
  <mergeCells count="90">
    <mergeCell ref="F63:G63"/>
    <mergeCell ref="A69:A70"/>
    <mergeCell ref="B69:B70"/>
    <mergeCell ref="C69:C70"/>
    <mergeCell ref="D69:D70"/>
    <mergeCell ref="E69:E70"/>
    <mergeCell ref="F69:G69"/>
    <mergeCell ref="A63:A64"/>
    <mergeCell ref="B63:B64"/>
    <mergeCell ref="C63:C64"/>
    <mergeCell ref="D63:D64"/>
    <mergeCell ref="E63:E64"/>
    <mergeCell ref="F51:G51"/>
    <mergeCell ref="A57:A58"/>
    <mergeCell ref="B57:B58"/>
    <mergeCell ref="C57:C58"/>
    <mergeCell ref="D57:D58"/>
    <mergeCell ref="E57:E58"/>
    <mergeCell ref="F57:G57"/>
    <mergeCell ref="A51:A52"/>
    <mergeCell ref="B51:B52"/>
    <mergeCell ref="C51:C52"/>
    <mergeCell ref="D51:D52"/>
    <mergeCell ref="E51:E52"/>
    <mergeCell ref="A45:A46"/>
    <mergeCell ref="B45:B46"/>
    <mergeCell ref="C45:C46"/>
    <mergeCell ref="D45:D46"/>
    <mergeCell ref="E45:F45"/>
    <mergeCell ref="F14:F16"/>
    <mergeCell ref="I28:I29"/>
    <mergeCell ref="J28:J29"/>
    <mergeCell ref="K28:K29"/>
    <mergeCell ref="A28:A29"/>
    <mergeCell ref="B28:B29"/>
    <mergeCell ref="C28:C29"/>
    <mergeCell ref="D28:D29"/>
    <mergeCell ref="G28:G29"/>
    <mergeCell ref="H28:H29"/>
    <mergeCell ref="G14:G15"/>
    <mergeCell ref="H14:J14"/>
    <mergeCell ref="K14:M14"/>
    <mergeCell ref="H15:J15"/>
    <mergeCell ref="K15:M15"/>
    <mergeCell ref="F39:G39"/>
    <mergeCell ref="A14:A16"/>
    <mergeCell ref="B14:B16"/>
    <mergeCell ref="C14:C16"/>
    <mergeCell ref="D14:D16"/>
    <mergeCell ref="E14:E15"/>
    <mergeCell ref="A22:A23"/>
    <mergeCell ref="B22:B23"/>
    <mergeCell ref="C22:C23"/>
    <mergeCell ref="D22:D23"/>
    <mergeCell ref="A39:A40"/>
    <mergeCell ref="B39:B40"/>
    <mergeCell ref="C39:C40"/>
    <mergeCell ref="D39:D40"/>
    <mergeCell ref="E39:E40"/>
    <mergeCell ref="F22:F23"/>
    <mergeCell ref="H81:H82"/>
    <mergeCell ref="G81:G82"/>
    <mergeCell ref="F75:G75"/>
    <mergeCell ref="A81:A82"/>
    <mergeCell ref="B81:B82"/>
    <mergeCell ref="C81:C82"/>
    <mergeCell ref="D81:D82"/>
    <mergeCell ref="E81:F81"/>
    <mergeCell ref="A75:A76"/>
    <mergeCell ref="B75:B76"/>
    <mergeCell ref="C75:C76"/>
    <mergeCell ref="D75:D76"/>
    <mergeCell ref="E75:E76"/>
    <mergeCell ref="A87:A89"/>
    <mergeCell ref="B87:B89"/>
    <mergeCell ref="C87:C89"/>
    <mergeCell ref="D87:D89"/>
    <mergeCell ref="E87:E88"/>
    <mergeCell ref="F87:F89"/>
    <mergeCell ref="G87:G88"/>
    <mergeCell ref="H87:J87"/>
    <mergeCell ref="K87:M87"/>
    <mergeCell ref="H88:J88"/>
    <mergeCell ref="K88:M88"/>
    <mergeCell ref="F94:G94"/>
    <mergeCell ref="A94:A95"/>
    <mergeCell ref="B94:B95"/>
    <mergeCell ref="C94:C95"/>
    <mergeCell ref="D94:D95"/>
    <mergeCell ref="E94:E95"/>
  </mergeCells>
  <phoneticPr fontId="87" type="noConversion"/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0"/>
  <sheetViews>
    <sheetView topLeftCell="A38" zoomScalePageLayoutView="130" workbookViewId="0">
      <selection activeCell="F55" sqref="F55"/>
    </sheetView>
  </sheetViews>
  <sheetFormatPr defaultColWidth="11" defaultRowHeight="12.75"/>
  <cols>
    <col min="1" max="1" width="3.375" style="391" customWidth="1"/>
    <col min="2" max="2" width="9.875" style="392" customWidth="1"/>
    <col min="3" max="3" width="22.625" style="392" customWidth="1"/>
    <col min="4" max="4" width="9.875" style="393" customWidth="1"/>
    <col min="5" max="5" width="31.5" style="392" customWidth="1"/>
    <col min="6" max="6" width="14.5" style="394" customWidth="1"/>
    <col min="7" max="7" width="10.25" style="394" customWidth="1"/>
    <col min="8" max="8" width="6.875" style="394" customWidth="1"/>
    <col min="9" max="9" width="8.625" style="394" customWidth="1"/>
    <col min="10" max="12" width="6.875" style="394" customWidth="1"/>
    <col min="13" max="13" width="7.5" style="394" customWidth="1"/>
    <col min="14" max="16384" width="11" style="392"/>
  </cols>
  <sheetData>
    <row r="1" spans="1:14" ht="15" customHeight="1">
      <c r="B1" s="598" t="s">
        <v>0</v>
      </c>
      <c r="C1" s="599"/>
      <c r="D1" s="599"/>
      <c r="E1" s="599"/>
      <c r="F1" s="599"/>
      <c r="G1" s="599"/>
      <c r="H1" s="599"/>
      <c r="I1" s="599"/>
      <c r="J1" s="599"/>
      <c r="K1" s="600"/>
      <c r="L1" s="591" t="s">
        <v>1</v>
      </c>
      <c r="M1" s="592"/>
    </row>
    <row r="2" spans="1:14" ht="15" customHeight="1">
      <c r="B2" s="601"/>
      <c r="C2" s="602"/>
      <c r="D2" s="602"/>
      <c r="E2" s="602"/>
      <c r="F2" s="602"/>
      <c r="G2" s="602"/>
      <c r="H2" s="602"/>
      <c r="I2" s="602"/>
      <c r="J2" s="602"/>
      <c r="K2" s="603"/>
      <c r="L2" s="593" t="s">
        <v>2</v>
      </c>
      <c r="M2" s="592"/>
    </row>
    <row r="3" spans="1:14" ht="15" customHeight="1">
      <c r="B3" s="604"/>
      <c r="C3" s="605"/>
      <c r="D3" s="605"/>
      <c r="E3" s="605"/>
      <c r="F3" s="605"/>
      <c r="G3" s="605"/>
      <c r="H3" s="605"/>
      <c r="I3" s="605"/>
      <c r="J3" s="605"/>
      <c r="K3" s="606"/>
      <c r="L3" s="594" t="s">
        <v>3</v>
      </c>
      <c r="M3" s="595"/>
    </row>
    <row r="4" spans="1:14" s="385" customFormat="1" ht="25.15" customHeight="1">
      <c r="A4" s="395"/>
      <c r="B4" s="396" t="s">
        <v>4</v>
      </c>
      <c r="C4" s="397" t="s">
        <v>5</v>
      </c>
      <c r="D4" s="398"/>
      <c r="E4" s="399"/>
      <c r="F4" s="400"/>
      <c r="G4" s="400"/>
      <c r="H4" s="400"/>
      <c r="I4" s="400"/>
      <c r="J4" s="400"/>
      <c r="K4" s="400"/>
      <c r="L4" s="400"/>
      <c r="M4" s="400"/>
    </row>
    <row r="5" spans="1:14" s="385" customFormat="1" ht="25.15" customHeight="1">
      <c r="A5" s="395"/>
      <c r="B5" s="401" t="s">
        <v>6</v>
      </c>
      <c r="C5" s="402" t="s">
        <v>7</v>
      </c>
      <c r="D5" s="403"/>
      <c r="E5" s="404"/>
      <c r="F5" s="405"/>
      <c r="G5" s="406"/>
      <c r="H5" s="406"/>
      <c r="I5" s="406"/>
      <c r="J5" s="406"/>
      <c r="K5" s="406"/>
      <c r="L5" s="406"/>
    </row>
    <row r="6" spans="1:14" s="385" customFormat="1" ht="25.15" customHeight="1">
      <c r="A6" s="395"/>
      <c r="B6" s="401" t="s">
        <v>8</v>
      </c>
      <c r="C6" s="407" t="s">
        <v>9</v>
      </c>
      <c r="D6" s="403"/>
      <c r="E6" s="406"/>
      <c r="F6" s="406"/>
      <c r="G6" s="406"/>
      <c r="H6" s="406"/>
      <c r="I6" s="406"/>
      <c r="J6" s="406"/>
      <c r="K6" s="406"/>
      <c r="L6" s="406"/>
    </row>
    <row r="7" spans="1:14" s="386" customFormat="1" ht="25.15" customHeight="1">
      <c r="A7" s="408"/>
      <c r="B7" s="409" t="s">
        <v>10</v>
      </c>
      <c r="C7" s="410"/>
      <c r="D7" s="411"/>
      <c r="E7" s="412" t="s">
        <v>11</v>
      </c>
      <c r="F7" s="596"/>
      <c r="G7" s="597"/>
      <c r="H7" s="413"/>
      <c r="I7" s="414"/>
      <c r="J7" s="415"/>
      <c r="K7" s="416" t="s">
        <v>12</v>
      </c>
      <c r="L7" s="596"/>
      <c r="M7" s="597"/>
    </row>
    <row r="8" spans="1:14" s="386" customFormat="1" ht="25.15" customHeight="1">
      <c r="A8" s="417"/>
      <c r="B8" s="418" t="s">
        <v>13</v>
      </c>
      <c r="C8" s="418" t="s">
        <v>14</v>
      </c>
      <c r="D8" s="419"/>
      <c r="E8" s="420" t="s">
        <v>15</v>
      </c>
      <c r="F8" s="421">
        <f>F14</f>
        <v>7122248.8339860998</v>
      </c>
      <c r="G8" s="421"/>
      <c r="H8" s="422"/>
      <c r="I8" s="422"/>
      <c r="J8" s="423"/>
      <c r="K8" s="422" t="s">
        <v>16</v>
      </c>
      <c r="L8" s="422"/>
      <c r="M8" s="422"/>
      <c r="N8" s="424"/>
    </row>
    <row r="9" spans="1:14" s="386" customFormat="1" ht="25.15" customHeight="1">
      <c r="A9" s="408"/>
      <c r="B9" s="425"/>
      <c r="C9" s="426"/>
      <c r="D9" s="427"/>
      <c r="E9" s="420" t="s">
        <v>17</v>
      </c>
      <c r="F9" s="428">
        <f>F47</f>
        <v>1069378.747982</v>
      </c>
      <c r="G9" s="429"/>
      <c r="H9" s="430"/>
      <c r="I9" s="431"/>
      <c r="J9" s="432"/>
      <c r="K9" s="433"/>
      <c r="L9" s="434"/>
      <c r="M9" s="435"/>
    </row>
    <row r="10" spans="1:14" s="385" customFormat="1" ht="25.15" customHeight="1">
      <c r="A10" s="395"/>
      <c r="D10" s="436"/>
      <c r="E10" s="420" t="s">
        <v>18</v>
      </c>
      <c r="F10" s="428">
        <f>F48</f>
        <v>1161900.3323520001</v>
      </c>
      <c r="G10" s="437"/>
      <c r="H10" s="395"/>
      <c r="I10" s="395"/>
      <c r="J10" s="395"/>
      <c r="K10" s="395"/>
      <c r="L10" s="395"/>
      <c r="M10" s="395"/>
    </row>
    <row r="11" spans="1:14" s="385" customFormat="1" ht="25.15" customHeight="1">
      <c r="A11" s="395"/>
      <c r="B11" s="438" t="s">
        <v>19</v>
      </c>
      <c r="C11" s="439"/>
      <c r="D11" s="440"/>
      <c r="E11" s="420" t="s">
        <v>20</v>
      </c>
      <c r="F11" s="428">
        <f>SUM(F50,F76,F89,F101,F106,F113,F118,F124,F130,F139,F136)</f>
        <v>7332407.7454385096</v>
      </c>
      <c r="G11" s="441"/>
      <c r="H11" s="431"/>
      <c r="I11" s="431"/>
      <c r="J11" s="431"/>
      <c r="K11" s="431"/>
      <c r="L11" s="431"/>
      <c r="M11" s="431"/>
    </row>
    <row r="12" spans="1:14" s="385" customFormat="1" ht="25.15" customHeight="1">
      <c r="A12" s="442"/>
      <c r="B12" s="587" t="s">
        <v>21</v>
      </c>
      <c r="C12" s="588" t="s">
        <v>22</v>
      </c>
      <c r="D12" s="589" t="s">
        <v>23</v>
      </c>
      <c r="E12" s="587" t="s">
        <v>24</v>
      </c>
      <c r="F12" s="590" t="s">
        <v>25</v>
      </c>
      <c r="G12" s="443" t="s">
        <v>26</v>
      </c>
      <c r="H12" s="444" t="s">
        <v>27</v>
      </c>
      <c r="I12" s="444" t="s">
        <v>28</v>
      </c>
      <c r="J12" s="444" t="s">
        <v>29</v>
      </c>
      <c r="K12" s="444" t="s">
        <v>30</v>
      </c>
      <c r="L12" s="444" t="s">
        <v>31</v>
      </c>
      <c r="M12" s="444" t="s">
        <v>32</v>
      </c>
      <c r="N12" s="445"/>
    </row>
    <row r="13" spans="1:14" s="385" customFormat="1" ht="25.15" customHeight="1">
      <c r="A13" s="442"/>
      <c r="B13" s="587"/>
      <c r="C13" s="588"/>
      <c r="D13" s="589"/>
      <c r="E13" s="587"/>
      <c r="F13" s="590"/>
      <c r="G13" s="583" t="s">
        <v>33</v>
      </c>
      <c r="H13" s="583"/>
      <c r="I13" s="583"/>
      <c r="J13" s="583"/>
      <c r="K13" s="583"/>
      <c r="L13" s="583"/>
      <c r="M13" s="583"/>
      <c r="N13" s="445"/>
    </row>
    <row r="14" spans="1:14" s="386" customFormat="1" ht="25.15" customHeight="1">
      <c r="A14" s="408"/>
      <c r="B14" s="446" t="s">
        <v>34</v>
      </c>
      <c r="C14" s="447"/>
      <c r="D14" s="448"/>
      <c r="E14" s="447"/>
      <c r="F14" s="449">
        <f t="shared" ref="F14:M14" si="0">F15+F24+F27+F33</f>
        <v>7122248.8339860998</v>
      </c>
      <c r="G14" s="449">
        <f t="shared" si="0"/>
        <v>7086080.3451288501</v>
      </c>
      <c r="H14" s="449">
        <f t="shared" si="0"/>
        <v>2569.6835348589698</v>
      </c>
      <c r="I14" s="449">
        <f t="shared" si="0"/>
        <v>30422.615322386999</v>
      </c>
      <c r="J14" s="449">
        <f t="shared" si="0"/>
        <v>717.03</v>
      </c>
      <c r="K14" s="449">
        <f t="shared" si="0"/>
        <v>0</v>
      </c>
      <c r="L14" s="449">
        <f t="shared" si="0"/>
        <v>2459.16</v>
      </c>
      <c r="M14" s="449">
        <f t="shared" si="0"/>
        <v>0</v>
      </c>
    </row>
    <row r="15" spans="1:14" s="385" customFormat="1" ht="25.15" customHeight="1">
      <c r="A15" s="395"/>
      <c r="B15" s="450">
        <v>1.1000000000000001</v>
      </c>
      <c r="C15" s="451" t="s">
        <v>35</v>
      </c>
      <c r="D15" s="452"/>
      <c r="E15" s="453"/>
      <c r="F15" s="454">
        <f>SUM(G15:M15)</f>
        <v>7227644.2377900602</v>
      </c>
      <c r="G15" s="455">
        <f>SUM(G16:G23)</f>
        <v>7195204.6403310904</v>
      </c>
      <c r="H15" s="455">
        <f t="shared" ref="H15:M15" si="1">SUM(H16:H23)</f>
        <v>2083.9815849094002</v>
      </c>
      <c r="I15" s="455">
        <f t="shared" si="1"/>
        <v>30355.615874062602</v>
      </c>
      <c r="J15" s="455">
        <f t="shared" si="1"/>
        <v>0</v>
      </c>
      <c r="K15" s="455">
        <f t="shared" si="1"/>
        <v>0</v>
      </c>
      <c r="L15" s="455">
        <f t="shared" si="1"/>
        <v>0</v>
      </c>
      <c r="M15" s="455">
        <f t="shared" si="1"/>
        <v>0</v>
      </c>
    </row>
    <row r="16" spans="1:14" s="385" customFormat="1" ht="25.15" customHeight="1">
      <c r="A16" s="395"/>
      <c r="B16" s="456" t="s">
        <v>36</v>
      </c>
      <c r="C16" s="457" t="str">
        <f>表1温室气体盘查表!C5</f>
        <v>天然气燃烧</v>
      </c>
      <c r="D16" s="457" t="str">
        <f>表1温室气体盘查表!D5</f>
        <v>热处理炉（加热炉）</v>
      </c>
      <c r="F16" s="458">
        <f>SUM(G16:M16)</f>
        <v>38881.726082692898</v>
      </c>
      <c r="G16" s="458">
        <f>表1温室气体盘查表!AE5</f>
        <v>38843.505734804101</v>
      </c>
      <c r="H16" s="458">
        <f>表1温室气体盘查表!AF5</f>
        <v>19.317893226399899</v>
      </c>
      <c r="I16" s="458">
        <f>表1温室气体盘查表!AG5</f>
        <v>18.9024546623913</v>
      </c>
      <c r="J16" s="458">
        <f>表1温室气体盘查表!AH5</f>
        <v>0</v>
      </c>
      <c r="K16" s="458">
        <f>表1温室气体盘查表!AI5</f>
        <v>0</v>
      </c>
      <c r="L16" s="458">
        <f>表1温室气体盘查表!AJ5</f>
        <v>0</v>
      </c>
      <c r="M16" s="458">
        <f>表1温室气体盘查表!AK5</f>
        <v>0</v>
      </c>
    </row>
    <row r="17" spans="1:13" s="385" customFormat="1" ht="25.15" customHeight="1">
      <c r="A17" s="395"/>
      <c r="B17" s="456" t="s">
        <v>37</v>
      </c>
      <c r="C17" s="457" t="str">
        <f>表1温室气体盘查表!C6</f>
        <v>液化石油气燃烧</v>
      </c>
      <c r="D17" s="457" t="str">
        <f>表1温室气体盘查表!D6</f>
        <v>冶钢宾馆</v>
      </c>
      <c r="F17" s="458">
        <f t="shared" ref="F17:F27" si="2">SUM(G17:M17)</f>
        <v>29.162367925877799</v>
      </c>
      <c r="G17" s="458">
        <f>表1温室气体盘查表!AE6</f>
        <v>29.13687892878</v>
      </c>
      <c r="H17" s="458">
        <f>表1温室气体盘查表!AF6</f>
        <v>1.2883025707019999E-2</v>
      </c>
      <c r="I17" s="458">
        <f>表1温室气体盘查表!AG6</f>
        <v>1.260597139074E-2</v>
      </c>
      <c r="J17" s="458">
        <f>表1温室气体盘查表!AH6</f>
        <v>0</v>
      </c>
      <c r="K17" s="458">
        <f>表1温室气体盘查表!AI6</f>
        <v>0</v>
      </c>
      <c r="L17" s="458">
        <f>表1温室气体盘查表!AJ6</f>
        <v>0</v>
      </c>
      <c r="M17" s="458">
        <f>表1温室气体盘查表!AK6</f>
        <v>0</v>
      </c>
    </row>
    <row r="18" spans="1:13" s="385" customFormat="1" ht="25.15" customHeight="1">
      <c r="A18" s="395"/>
      <c r="B18" s="456" t="s">
        <v>38</v>
      </c>
      <c r="C18" s="457" t="str">
        <f>表1温室气体盘查表!C7</f>
        <v>烟煤燃烧</v>
      </c>
      <c r="D18" s="457" t="str">
        <f>表1温室气体盘查表!D7</f>
        <v>高炉</v>
      </c>
      <c r="F18" s="458">
        <f t="shared" si="2"/>
        <v>925941.31884315598</v>
      </c>
      <c r="G18" s="458">
        <f>表1温室气体盘查表!AE7</f>
        <v>921839.46146325802</v>
      </c>
      <c r="H18" s="458">
        <f>表1温室气体盘查表!AF7</f>
        <v>261.641108594353</v>
      </c>
      <c r="I18" s="458">
        <f>表1温室气体盘查表!AG7</f>
        <v>3840.2162713042098</v>
      </c>
      <c r="J18" s="458">
        <f>表1温室气体盘查表!AH7</f>
        <v>0</v>
      </c>
      <c r="K18" s="458">
        <f>表1温室气体盘查表!AI7</f>
        <v>0</v>
      </c>
      <c r="L18" s="458">
        <f>表1温室气体盘查表!AJ7</f>
        <v>0</v>
      </c>
      <c r="M18" s="458">
        <f>表1温室气体盘查表!AK7</f>
        <v>0</v>
      </c>
    </row>
    <row r="19" spans="1:13" s="385" customFormat="1" ht="25.15" customHeight="1">
      <c r="A19" s="395"/>
      <c r="B19" s="456" t="s">
        <v>39</v>
      </c>
      <c r="C19" s="457" t="str">
        <f>表1温室气体盘查表!C8</f>
        <v>无烟煤燃烧</v>
      </c>
      <c r="D19" s="457" t="str">
        <f>表1温室气体盘查表!D8</f>
        <v>高炉、烧结</v>
      </c>
      <c r="F19" s="458">
        <f t="shared" si="2"/>
        <v>637282.392059932</v>
      </c>
      <c r="G19" s="458">
        <f>表1温室气体盘查表!AE8</f>
        <v>634459.27419084695</v>
      </c>
      <c r="H19" s="458">
        <f>表1温室气体盘查表!AF8</f>
        <v>180.07541963300699</v>
      </c>
      <c r="I19" s="458">
        <f>表1温室气体盘查表!AG8</f>
        <v>2643.0424494521999</v>
      </c>
      <c r="J19" s="458">
        <f>表1温室气体盘查表!AH8</f>
        <v>0</v>
      </c>
      <c r="K19" s="458">
        <f>表1温室气体盘查表!AI8</f>
        <v>0</v>
      </c>
      <c r="L19" s="458">
        <f>表1温室气体盘查表!AJ8</f>
        <v>0</v>
      </c>
      <c r="M19" s="458">
        <f>表1温室气体盘查表!AK8</f>
        <v>0</v>
      </c>
    </row>
    <row r="20" spans="1:13" s="385" customFormat="1" ht="25.15" customHeight="1">
      <c r="A20" s="395"/>
      <c r="B20" s="456" t="s">
        <v>40</v>
      </c>
      <c r="C20" s="457" t="str">
        <f>表1温室气体盘查表!C9</f>
        <v>洗精煤燃烧</v>
      </c>
      <c r="D20" s="457" t="str">
        <f>表1温室气体盘查表!D9</f>
        <v>焦炉</v>
      </c>
      <c r="F20" s="458">
        <f t="shared" si="2"/>
        <v>4824841.57343012</v>
      </c>
      <c r="G20" s="458">
        <f>表1温室气体盘查表!AE9</f>
        <v>4802635.7291601999</v>
      </c>
      <c r="H20" s="458">
        <f>表1温室气体盘查表!AF9</f>
        <v>1416.4221653654299</v>
      </c>
      <c r="I20" s="458">
        <f>表1温室气体盘查表!AG9</f>
        <v>20789.422104557099</v>
      </c>
      <c r="J20" s="458">
        <f>表1温室气体盘查表!AH9</f>
        <v>0</v>
      </c>
      <c r="K20" s="458">
        <f>表1温室气体盘查表!AI9</f>
        <v>0</v>
      </c>
      <c r="L20" s="458">
        <f>表1温室气体盘查表!AJ9</f>
        <v>0</v>
      </c>
      <c r="M20" s="458">
        <f>表1温室气体盘查表!AK9</f>
        <v>0</v>
      </c>
    </row>
    <row r="21" spans="1:13" s="385" customFormat="1" ht="25.15" customHeight="1">
      <c r="A21" s="395"/>
      <c r="B21" s="456" t="s">
        <v>41</v>
      </c>
      <c r="C21" s="457" t="str">
        <f>表1温室气体盘查表!C10</f>
        <v>焦炭燃烧</v>
      </c>
      <c r="D21" s="457" t="str">
        <f>表1温室气体盘查表!D10</f>
        <v>高炉</v>
      </c>
      <c r="F21" s="458">
        <f t="shared" si="2"/>
        <v>439843.84434853197</v>
      </c>
      <c r="G21" s="458">
        <f>表1温室气体盘查表!AE10</f>
        <v>438053.14858040999</v>
      </c>
      <c r="H21" s="458">
        <f>表1温室气体盘查表!AF10</f>
        <v>114.221335003677</v>
      </c>
      <c r="I21" s="458">
        <f>表1温室气体盘查表!AG10</f>
        <v>1676.47443311848</v>
      </c>
      <c r="J21" s="458">
        <f>表1温室气体盘查表!AH10</f>
        <v>0</v>
      </c>
      <c r="K21" s="458">
        <f>表1温室气体盘查表!AI10</f>
        <v>0</v>
      </c>
      <c r="L21" s="458">
        <f>表1温室气体盘查表!AJ10</f>
        <v>0</v>
      </c>
      <c r="M21" s="458">
        <f>表1温室气体盘查表!AK10</f>
        <v>0</v>
      </c>
    </row>
    <row r="22" spans="1:13" s="385" customFormat="1" ht="25.15" customHeight="1">
      <c r="A22" s="395"/>
      <c r="B22" s="456" t="s">
        <v>42</v>
      </c>
      <c r="C22" s="457" t="str">
        <f>表1温室气体盘查表!C11</f>
        <v>焦屑燃烧</v>
      </c>
      <c r="D22" s="457" t="str">
        <f>表1温室气体盘查表!D11</f>
        <v>烧结、高炉</v>
      </c>
      <c r="F22" s="458">
        <f t="shared" si="2"/>
        <v>364657.35614077898</v>
      </c>
      <c r="G22" s="458">
        <f>表1温室气体盘查表!AE11</f>
        <v>363172.76020327501</v>
      </c>
      <c r="H22" s="458">
        <f>表1温室气体盘查表!AF11</f>
        <v>94.696448688517506</v>
      </c>
      <c r="I22" s="458">
        <f>表1温室气体盘查表!AG11</f>
        <v>1389.89948881534</v>
      </c>
      <c r="J22" s="458">
        <f>表1温室气体盘查表!AH11</f>
        <v>0</v>
      </c>
      <c r="K22" s="458">
        <f>表1温室气体盘查表!AI11</f>
        <v>0</v>
      </c>
      <c r="L22" s="458">
        <f>表1温室气体盘查表!AJ11</f>
        <v>0</v>
      </c>
      <c r="M22" s="458">
        <f>表1温室气体盘查表!AK11</f>
        <v>0</v>
      </c>
    </row>
    <row r="23" spans="1:13" s="385" customFormat="1" ht="25.15" customHeight="1">
      <c r="A23" s="395"/>
      <c r="B23" s="456" t="s">
        <v>43</v>
      </c>
      <c r="C23" s="457" t="str">
        <f>表1温室气体盘查表!C12</f>
        <v>焦炉煤气燃烧</v>
      </c>
      <c r="D23" s="457" t="str">
        <f>表1温室气体盘查表!D12</f>
        <v>外售</v>
      </c>
      <c r="F23" s="458">
        <f t="shared" si="2"/>
        <v>-3833.1354830774699</v>
      </c>
      <c r="G23" s="458">
        <f>表1温室气体盘查表!AE12</f>
        <v>-3828.3758806312799</v>
      </c>
      <c r="H23" s="458">
        <f>表1温室气体盘查表!AF12</f>
        <v>-2.4056686276939798</v>
      </c>
      <c r="I23" s="458">
        <f>表1温室气体盘查表!AG12</f>
        <v>-2.3539338184962602</v>
      </c>
      <c r="J23" s="458">
        <f>表1温室气体盘查表!AH12</f>
        <v>0</v>
      </c>
      <c r="K23" s="458">
        <f>表1温室气体盘查表!AI12</f>
        <v>0</v>
      </c>
      <c r="L23" s="458">
        <f>表1温室气体盘查表!AJ12</f>
        <v>0</v>
      </c>
      <c r="M23" s="458">
        <f>表1温室气体盘查表!AK12</f>
        <v>0</v>
      </c>
    </row>
    <row r="24" spans="1:13" s="385" customFormat="1" ht="25.15" customHeight="1">
      <c r="A24" s="395"/>
      <c r="B24" s="459">
        <v>1.2</v>
      </c>
      <c r="C24" s="460" t="s">
        <v>44</v>
      </c>
      <c r="D24" s="461"/>
      <c r="E24" s="462"/>
      <c r="F24" s="454">
        <f t="shared" si="2"/>
        <v>4566.5427224150299</v>
      </c>
      <c r="G24" s="455">
        <f>SUM(G25:G26)</f>
        <v>4491.7139191411197</v>
      </c>
      <c r="H24" s="455">
        <f t="shared" ref="H24:M24" si="3">SUM(H25:H26)</f>
        <v>7.8293549495715098</v>
      </c>
      <c r="I24" s="455">
        <f t="shared" si="3"/>
        <v>66.999448324339397</v>
      </c>
      <c r="J24" s="455">
        <f t="shared" si="3"/>
        <v>0</v>
      </c>
      <c r="K24" s="455">
        <f t="shared" si="3"/>
        <v>0</v>
      </c>
      <c r="L24" s="455">
        <f t="shared" si="3"/>
        <v>0</v>
      </c>
      <c r="M24" s="455">
        <f t="shared" si="3"/>
        <v>0</v>
      </c>
    </row>
    <row r="25" spans="1:13" s="385" customFormat="1" ht="25.15" customHeight="1">
      <c r="A25" s="395"/>
      <c r="B25" s="456" t="s">
        <v>45</v>
      </c>
      <c r="C25" s="463" t="str">
        <f>表1温室气体盘查表!C13</f>
        <v>0#柴油燃烧</v>
      </c>
      <c r="D25" s="457" t="str">
        <f>表1温室气体盘查表!D13</f>
        <v>场内运输</v>
      </c>
      <c r="F25" s="458">
        <f t="shared" si="2"/>
        <v>4417.0725986272801</v>
      </c>
      <c r="G25" s="458">
        <f>表1温室气体盘查表!AE13</f>
        <v>4348.2106727623204</v>
      </c>
      <c r="H25" s="458">
        <f>表1温室气体盘查表!AF13</f>
        <v>6.38500409316151</v>
      </c>
      <c r="I25" s="458">
        <f>表1温室气体盘查表!AG13</f>
        <v>62.476921771795404</v>
      </c>
      <c r="J25" s="458">
        <f>表1温室气体盘查表!AH13</f>
        <v>0</v>
      </c>
      <c r="K25" s="458">
        <f>表1温室气体盘查表!AI13</f>
        <v>0</v>
      </c>
      <c r="L25" s="458">
        <f>表1温室气体盘查表!AJ13</f>
        <v>0</v>
      </c>
      <c r="M25" s="458">
        <f>表1温室气体盘查表!AK13</f>
        <v>0</v>
      </c>
    </row>
    <row r="26" spans="1:13" s="385" customFormat="1" ht="25.15" customHeight="1">
      <c r="A26" s="395"/>
      <c r="B26" s="456" t="s">
        <v>46</v>
      </c>
      <c r="C26" s="463" t="str">
        <f>表1温室气体盘查表!C14</f>
        <v>92#汽油燃烧</v>
      </c>
      <c r="D26" s="457" t="str">
        <f>表1温室气体盘查表!D14</f>
        <v>公务车</v>
      </c>
      <c r="F26" s="458">
        <f t="shared" si="2"/>
        <v>149.47012378775401</v>
      </c>
      <c r="G26" s="458">
        <f>表1温室气体盘查表!AE14</f>
        <v>143.50324637879999</v>
      </c>
      <c r="H26" s="458">
        <f>表1温室气体盘查表!AF14</f>
        <v>1.4443508564100001</v>
      </c>
      <c r="I26" s="458">
        <f>表1温室气体盘查表!AG14</f>
        <v>4.5225265525439999</v>
      </c>
      <c r="J26" s="458">
        <f>表1温室气体盘查表!AH14</f>
        <v>0</v>
      </c>
      <c r="K26" s="458">
        <f>表1温室气体盘查表!AI14</f>
        <v>0</v>
      </c>
      <c r="L26" s="458">
        <f>表1温室气体盘查表!AJ14</f>
        <v>0</v>
      </c>
      <c r="M26" s="458">
        <f>表1温室气体盘查表!AK14</f>
        <v>0</v>
      </c>
    </row>
    <row r="27" spans="1:13" s="385" customFormat="1" ht="25.15" customHeight="1">
      <c r="A27" s="395"/>
      <c r="B27" s="459">
        <v>1.3</v>
      </c>
      <c r="C27" s="460" t="s">
        <v>47</v>
      </c>
      <c r="D27" s="461"/>
      <c r="E27" s="462"/>
      <c r="F27" s="454">
        <f t="shared" si="2"/>
        <v>3654.7225950000002</v>
      </c>
      <c r="G27" s="454">
        <f t="shared" ref="G27:M27" si="4">SUM(G28:G32)</f>
        <v>0.66</v>
      </c>
      <c r="H27" s="454">
        <f t="shared" si="4"/>
        <v>477.87259499999999</v>
      </c>
      <c r="I27" s="454">
        <f t="shared" si="4"/>
        <v>0</v>
      </c>
      <c r="J27" s="454">
        <f t="shared" si="4"/>
        <v>717.03</v>
      </c>
      <c r="K27" s="454">
        <f t="shared" si="4"/>
        <v>0</v>
      </c>
      <c r="L27" s="454">
        <f t="shared" si="4"/>
        <v>2459.16</v>
      </c>
      <c r="M27" s="454">
        <f t="shared" si="4"/>
        <v>0</v>
      </c>
    </row>
    <row r="28" spans="1:13" s="385" customFormat="1" ht="25.15" customHeight="1">
      <c r="A28" s="395"/>
      <c r="B28" s="456" t="s">
        <v>48</v>
      </c>
      <c r="C28" s="457" t="str">
        <f>表1温室气体盘查表!C15</f>
        <v>制冷剂逸散（R32）</v>
      </c>
      <c r="D28" s="457" t="str">
        <f>表1温室气体盘查表!D15</f>
        <v>分体式空调</v>
      </c>
      <c r="F28" s="458">
        <f t="shared" ref="F28:F34" si="5">SUM(G28:M28)</f>
        <v>717.03</v>
      </c>
      <c r="G28" s="458">
        <f>表1温室气体盘查表!AE15</f>
        <v>0</v>
      </c>
      <c r="H28" s="458">
        <f>表1温室气体盘查表!AF15</f>
        <v>0</v>
      </c>
      <c r="I28" s="458">
        <f>表1温室气体盘查表!AG15</f>
        <v>0</v>
      </c>
      <c r="J28" s="458">
        <f>表1温室气体盘查表!AH15</f>
        <v>717.03</v>
      </c>
      <c r="K28" s="458">
        <f>表1温室气体盘查表!AI15</f>
        <v>0</v>
      </c>
      <c r="L28" s="458">
        <f>表1温室气体盘查表!AJ15</f>
        <v>0</v>
      </c>
      <c r="M28" s="458">
        <f>表1温室气体盘查表!AK15</f>
        <v>0</v>
      </c>
    </row>
    <row r="29" spans="1:13" s="385" customFormat="1" ht="25.15" customHeight="1">
      <c r="A29" s="395"/>
      <c r="B29" s="456" t="s">
        <v>49</v>
      </c>
      <c r="C29" s="457" t="str">
        <f>表1温室气体盘查表!C16</f>
        <v>CO2逸散</v>
      </c>
      <c r="D29" s="457" t="str">
        <f>表1温室气体盘查表!D16</f>
        <v>二氧化碳灭火器</v>
      </c>
      <c r="F29" s="458">
        <f t="shared" si="5"/>
        <v>0.66</v>
      </c>
      <c r="G29" s="458">
        <f>表1温室气体盘查表!AE16</f>
        <v>0.66</v>
      </c>
      <c r="H29" s="458">
        <f>表1温室气体盘查表!AF16</f>
        <v>0</v>
      </c>
      <c r="I29" s="458">
        <f>表1温室气体盘查表!AG16</f>
        <v>0</v>
      </c>
      <c r="J29" s="458">
        <f>表1温室气体盘查表!AH16</f>
        <v>0</v>
      </c>
      <c r="K29" s="458">
        <f>表1温室气体盘查表!AI16</f>
        <v>0</v>
      </c>
      <c r="L29" s="458">
        <f>表1温室气体盘查表!AJ16</f>
        <v>0</v>
      </c>
      <c r="M29" s="458">
        <f>表1温室气体盘查表!AK16</f>
        <v>0</v>
      </c>
    </row>
    <row r="30" spans="1:13" s="385" customFormat="1" ht="25.15" customHeight="1">
      <c r="A30" s="395"/>
      <c r="B30" s="456" t="s">
        <v>50</v>
      </c>
      <c r="C30" s="457" t="str">
        <f>表1温室气体盘查表!C17</f>
        <v>CH4逸散</v>
      </c>
      <c r="D30" s="457" t="str">
        <f>表1温室气体盘查表!D17</f>
        <v>化粪池</v>
      </c>
      <c r="F30" s="458">
        <f t="shared" si="5"/>
        <v>112.29192</v>
      </c>
      <c r="G30" s="458">
        <f>表1温室气体盘查表!AE17</f>
        <v>0</v>
      </c>
      <c r="H30" s="458">
        <f>表1温室气体盘查表!AF17</f>
        <v>112.29192</v>
      </c>
      <c r="I30" s="458">
        <f>表1温室气体盘查表!AG17</f>
        <v>0</v>
      </c>
      <c r="J30" s="458">
        <f>表1温室气体盘查表!AH17</f>
        <v>0</v>
      </c>
      <c r="K30" s="458">
        <f>表1温室气体盘查表!AI17</f>
        <v>0</v>
      </c>
      <c r="L30" s="458">
        <f>表1温室气体盘查表!AJ17</f>
        <v>0</v>
      </c>
      <c r="M30" s="458">
        <f>表1温室气体盘查表!AK17</f>
        <v>0</v>
      </c>
    </row>
    <row r="31" spans="1:13" s="385" customFormat="1" ht="25.15" customHeight="1">
      <c r="A31" s="395"/>
      <c r="B31" s="456" t="s">
        <v>51</v>
      </c>
      <c r="C31" s="457" t="str">
        <f>表1温室气体盘查表!C18</f>
        <v>CH4逸散</v>
      </c>
      <c r="D31" s="457" t="str">
        <f>表1温室气体盘查表!D18</f>
        <v>耗氧池</v>
      </c>
      <c r="F31" s="458">
        <f t="shared" si="5"/>
        <v>365.58067499999999</v>
      </c>
      <c r="G31" s="458">
        <f>表1温室气体盘查表!AE18</f>
        <v>0</v>
      </c>
      <c r="H31" s="458">
        <f>表1温室气体盘查表!AF18</f>
        <v>365.58067499999999</v>
      </c>
      <c r="I31" s="458">
        <f>表1温室气体盘查表!AG18</f>
        <v>0</v>
      </c>
      <c r="J31" s="458">
        <f>表1温室气体盘查表!AH18</f>
        <v>0</v>
      </c>
      <c r="K31" s="458">
        <f>表1温室气体盘查表!AI18</f>
        <v>0</v>
      </c>
      <c r="L31" s="458">
        <f>表1温室气体盘查表!AJ18</f>
        <v>0</v>
      </c>
      <c r="M31" s="458">
        <f>表1温室气体盘查表!AK18</f>
        <v>0</v>
      </c>
    </row>
    <row r="32" spans="1:13" s="385" customFormat="1" ht="25.15" customHeight="1">
      <c r="A32" s="395"/>
      <c r="B32" s="456" t="s">
        <v>52</v>
      </c>
      <c r="C32" s="457" t="str">
        <f>表1温室气体盘查表!C19</f>
        <v>SF6逸散</v>
      </c>
      <c r="D32" s="457" t="str">
        <f>表1温室气体盘查表!D19</f>
        <v>高压开关</v>
      </c>
      <c r="F32" s="458">
        <f t="shared" si="5"/>
        <v>2459.16</v>
      </c>
      <c r="G32" s="458">
        <f>表1温室气体盘查表!AE19</f>
        <v>0</v>
      </c>
      <c r="H32" s="458">
        <f>表1温室气体盘查表!AF19</f>
        <v>0</v>
      </c>
      <c r="I32" s="458">
        <f>表1温室气体盘查表!AG19</f>
        <v>0</v>
      </c>
      <c r="J32" s="458">
        <f>表1温室气体盘查表!AH19</f>
        <v>0</v>
      </c>
      <c r="K32" s="458">
        <f>表1温室气体盘查表!AI19</f>
        <v>0</v>
      </c>
      <c r="L32" s="458">
        <f>表1温室气体盘查表!AJ19</f>
        <v>2459.16</v>
      </c>
      <c r="M32" s="458">
        <f>表1温室气体盘查表!AK19</f>
        <v>0</v>
      </c>
    </row>
    <row r="33" spans="1:14" s="385" customFormat="1" ht="25.15" customHeight="1">
      <c r="A33" s="395"/>
      <c r="B33" s="459">
        <v>1.4</v>
      </c>
      <c r="C33" s="460" t="s">
        <v>53</v>
      </c>
      <c r="D33" s="461"/>
      <c r="E33" s="462"/>
      <c r="F33" s="454">
        <f t="shared" si="5"/>
        <v>-113616.669121381</v>
      </c>
      <c r="G33" s="454">
        <f t="shared" ref="G33:M33" si="6">SUM(G34:G45)</f>
        <v>-113616.669121381</v>
      </c>
      <c r="H33" s="454">
        <f t="shared" si="6"/>
        <v>0</v>
      </c>
      <c r="I33" s="454">
        <f t="shared" si="6"/>
        <v>0</v>
      </c>
      <c r="J33" s="454">
        <f t="shared" si="6"/>
        <v>0</v>
      </c>
      <c r="K33" s="454">
        <f t="shared" si="6"/>
        <v>0</v>
      </c>
      <c r="L33" s="454">
        <f t="shared" si="6"/>
        <v>0</v>
      </c>
      <c r="M33" s="454">
        <f t="shared" si="6"/>
        <v>0</v>
      </c>
    </row>
    <row r="34" spans="1:14" s="385" customFormat="1" ht="25.15" customHeight="1">
      <c r="A34" s="395"/>
      <c r="B34" s="456" t="s">
        <v>54</v>
      </c>
      <c r="C34" s="457" t="str">
        <f>表1温室气体盘查表!C20</f>
        <v>石灰石</v>
      </c>
      <c r="D34" s="457" t="str">
        <f>表1温室气体盘查表!D20</f>
        <v>石灰窑</v>
      </c>
      <c r="F34" s="458">
        <f t="shared" si="5"/>
        <v>8520.9387999999999</v>
      </c>
      <c r="G34" s="458">
        <f>表1温室气体盘查表!AE20</f>
        <v>8520.9387999999999</v>
      </c>
      <c r="H34" s="458">
        <f>表1温室气体盘查表!AF20</f>
        <v>0</v>
      </c>
      <c r="I34" s="458">
        <f>表1温室气体盘查表!AG20</f>
        <v>0</v>
      </c>
      <c r="J34" s="458">
        <f>表1温室气体盘查表!AH20</f>
        <v>0</v>
      </c>
      <c r="K34" s="458">
        <f>表1温室气体盘查表!AI20</f>
        <v>0</v>
      </c>
      <c r="L34" s="458">
        <f>表1温室气体盘查表!AJ20</f>
        <v>0</v>
      </c>
      <c r="M34" s="458">
        <f>表1温室气体盘查表!AK20</f>
        <v>0</v>
      </c>
    </row>
    <row r="35" spans="1:14" s="385" customFormat="1" ht="25.15" customHeight="1">
      <c r="A35" s="395"/>
      <c r="B35" s="456" t="s">
        <v>55</v>
      </c>
      <c r="C35" s="457" t="str">
        <f>表1温室气体盘查表!C21</f>
        <v>白云石</v>
      </c>
      <c r="D35" s="457" t="str">
        <f>表1温室气体盘查表!D21</f>
        <v>高炉</v>
      </c>
      <c r="F35" s="458">
        <f t="shared" ref="F35:F45" si="7">SUM(G35:M35)</f>
        <v>169593.74963999999</v>
      </c>
      <c r="G35" s="458">
        <f>表1温室气体盘查表!AE21</f>
        <v>169593.74963999999</v>
      </c>
      <c r="H35" s="458">
        <f>表1温室气体盘查表!AF21</f>
        <v>0</v>
      </c>
      <c r="I35" s="458">
        <f>表1温室气体盘查表!AG21</f>
        <v>0</v>
      </c>
      <c r="J35" s="458">
        <f>表1温室气体盘查表!AH21</f>
        <v>0</v>
      </c>
      <c r="K35" s="458">
        <f>表1温室气体盘查表!AI21</f>
        <v>0</v>
      </c>
      <c r="L35" s="458">
        <f>表1温室气体盘查表!AJ21</f>
        <v>0</v>
      </c>
      <c r="M35" s="458">
        <f>表1温室气体盘查表!AK21</f>
        <v>0</v>
      </c>
    </row>
    <row r="36" spans="1:14" s="385" customFormat="1" ht="25.15" customHeight="1">
      <c r="A36" s="395"/>
      <c r="B36" s="456" t="s">
        <v>56</v>
      </c>
      <c r="C36" s="457" t="str">
        <f>表1温室气体盘查表!C22</f>
        <v>电极</v>
      </c>
      <c r="D36" s="457" t="str">
        <f>表1温室气体盘查表!D22</f>
        <v>炼钢</v>
      </c>
      <c r="F36" s="458">
        <f t="shared" si="7"/>
        <v>17447.125410000001</v>
      </c>
      <c r="G36" s="458">
        <f>表1温室气体盘查表!AE22</f>
        <v>17447.125410000001</v>
      </c>
      <c r="H36" s="458">
        <f>表1温室气体盘查表!AF22</f>
        <v>0</v>
      </c>
      <c r="I36" s="458">
        <f>表1温室气体盘查表!AG22</f>
        <v>0</v>
      </c>
      <c r="J36" s="458">
        <f>表1温室气体盘查表!AH22</f>
        <v>0</v>
      </c>
      <c r="K36" s="458">
        <f>表1温室气体盘查表!AI22</f>
        <v>0</v>
      </c>
      <c r="L36" s="458">
        <f>表1温室气体盘查表!AJ22</f>
        <v>0</v>
      </c>
      <c r="M36" s="458">
        <f>表1温室气体盘查表!AK22</f>
        <v>0</v>
      </c>
    </row>
    <row r="37" spans="1:14" s="385" customFormat="1" ht="25.15" customHeight="1">
      <c r="A37" s="395"/>
      <c r="B37" s="456" t="s">
        <v>57</v>
      </c>
      <c r="C37" s="457" t="str">
        <f>表1温室气体盘查表!C23</f>
        <v>废钢</v>
      </c>
      <c r="D37" s="457" t="str">
        <f>表1温室气体盘查表!D23</f>
        <v>炼钢</v>
      </c>
      <c r="F37" s="458">
        <f t="shared" si="7"/>
        <v>39875.737794618602</v>
      </c>
      <c r="G37" s="458">
        <f>表1温室气体盘查表!AE23</f>
        <v>39875.737794618602</v>
      </c>
      <c r="H37" s="458">
        <f>表1温室气体盘查表!AF23</f>
        <v>0</v>
      </c>
      <c r="I37" s="458">
        <f>表1温室气体盘查表!AG23</f>
        <v>0</v>
      </c>
      <c r="J37" s="458">
        <f>表1温室气体盘查表!AH23</f>
        <v>0</v>
      </c>
      <c r="K37" s="458">
        <f>表1温室气体盘查表!AI23</f>
        <v>0</v>
      </c>
      <c r="L37" s="458">
        <f>表1温室气体盘查表!AJ23</f>
        <v>0</v>
      </c>
      <c r="M37" s="458">
        <f>表1温室气体盘查表!AK23</f>
        <v>0</v>
      </c>
    </row>
    <row r="38" spans="1:14" s="385" customFormat="1" ht="25.15" customHeight="1">
      <c r="A38" s="395"/>
      <c r="B38" s="456" t="s">
        <v>58</v>
      </c>
      <c r="C38" s="457" t="str">
        <f>表1温室气体盘查表!C24</f>
        <v>锰铁</v>
      </c>
      <c r="D38" s="457" t="str">
        <f>表1温室气体盘查表!D24</f>
        <v>炼钢</v>
      </c>
      <c r="F38" s="458">
        <f t="shared" si="7"/>
        <v>13114.101000000001</v>
      </c>
      <c r="G38" s="458">
        <f>表1温室气体盘查表!AE24</f>
        <v>13114.101000000001</v>
      </c>
      <c r="H38" s="458">
        <f>表1温室气体盘查表!AF24</f>
        <v>0</v>
      </c>
      <c r="I38" s="458">
        <f>表1温室气体盘查表!AG24</f>
        <v>0</v>
      </c>
      <c r="J38" s="458">
        <f>表1温室气体盘查表!AH24</f>
        <v>0</v>
      </c>
      <c r="K38" s="458">
        <f>表1温室气体盘查表!AI24</f>
        <v>0</v>
      </c>
      <c r="L38" s="458">
        <f>表1温室气体盘查表!AJ24</f>
        <v>0</v>
      </c>
      <c r="M38" s="458">
        <f>表1温室气体盘查表!AK24</f>
        <v>0</v>
      </c>
    </row>
    <row r="39" spans="1:14" s="385" customFormat="1" ht="25.15" customHeight="1">
      <c r="A39" s="395"/>
      <c r="B39" s="456" t="s">
        <v>59</v>
      </c>
      <c r="C39" s="457" t="str">
        <f>表1温室气体盘查表!C25</f>
        <v>镍铁</v>
      </c>
      <c r="D39" s="457" t="str">
        <f>表1温室气体盘查表!D25</f>
        <v>炼钢</v>
      </c>
      <c r="F39" s="458">
        <f t="shared" si="7"/>
        <v>349.46906999999999</v>
      </c>
      <c r="G39" s="458">
        <f>表1温室气体盘查表!AE25</f>
        <v>349.46906999999999</v>
      </c>
      <c r="H39" s="458">
        <f>表1温室气体盘查表!AF25</f>
        <v>0</v>
      </c>
      <c r="I39" s="458">
        <f>表1温室气体盘查表!AG25</f>
        <v>0</v>
      </c>
      <c r="J39" s="458">
        <f>表1温室气体盘查表!AH25</f>
        <v>0</v>
      </c>
      <c r="K39" s="458">
        <f>表1温室气体盘查表!AI25</f>
        <v>0</v>
      </c>
      <c r="L39" s="458">
        <f>表1温室气体盘查表!AJ25</f>
        <v>0</v>
      </c>
      <c r="M39" s="458">
        <f>表1温室气体盘查表!AK25</f>
        <v>0</v>
      </c>
    </row>
    <row r="40" spans="1:14" s="385" customFormat="1" ht="25.15" customHeight="1">
      <c r="A40" s="395"/>
      <c r="B40" s="456" t="s">
        <v>60</v>
      </c>
      <c r="C40" s="457" t="str">
        <f>表1温室气体盘查表!C26</f>
        <v>铬铁</v>
      </c>
      <c r="D40" s="457" t="str">
        <f>表1温室气体盘查表!D26</f>
        <v>炼钢</v>
      </c>
      <c r="F40" s="458">
        <f t="shared" si="7"/>
        <v>22918.907292</v>
      </c>
      <c r="G40" s="458">
        <f>表1温室气体盘查表!AE26</f>
        <v>22918.907292</v>
      </c>
      <c r="H40" s="458">
        <f>表1温室气体盘查表!AF26</f>
        <v>0</v>
      </c>
      <c r="I40" s="458">
        <f>表1温室气体盘查表!AG26</f>
        <v>0</v>
      </c>
      <c r="J40" s="458">
        <f>表1温室气体盘查表!AH26</f>
        <v>0</v>
      </c>
      <c r="K40" s="458">
        <f>表1温室气体盘查表!AI26</f>
        <v>0</v>
      </c>
      <c r="L40" s="458">
        <f>表1温室气体盘查表!AJ26</f>
        <v>0</v>
      </c>
      <c r="M40" s="458">
        <f>表1温室气体盘查表!AK26</f>
        <v>0</v>
      </c>
    </row>
    <row r="41" spans="1:14" s="385" customFormat="1" ht="25.15" customHeight="1">
      <c r="A41" s="395"/>
      <c r="B41" s="456" t="s">
        <v>61</v>
      </c>
      <c r="C41" s="457" t="str">
        <f>表1温室气体盘查表!C27</f>
        <v>硅铁</v>
      </c>
      <c r="D41" s="457" t="str">
        <f>表1温室气体盘查表!D27</f>
        <v>炼钢</v>
      </c>
      <c r="F41" s="458">
        <f t="shared" si="7"/>
        <v>74.707359999999994</v>
      </c>
      <c r="G41" s="458">
        <f>表1温室气体盘查表!AE27</f>
        <v>74.707359999999994</v>
      </c>
      <c r="H41" s="458">
        <f>表1温室气体盘查表!AF27</f>
        <v>0</v>
      </c>
      <c r="I41" s="458">
        <f>表1温室气体盘查表!AG27</f>
        <v>0</v>
      </c>
      <c r="J41" s="458">
        <f>表1温室气体盘查表!AH27</f>
        <v>0</v>
      </c>
      <c r="K41" s="458">
        <f>表1温室气体盘查表!AI27</f>
        <v>0</v>
      </c>
      <c r="L41" s="458">
        <f>表1温室气体盘查表!AJ27</f>
        <v>0</v>
      </c>
      <c r="M41" s="458">
        <f>表1温室气体盘查表!AK27</f>
        <v>0</v>
      </c>
    </row>
    <row r="42" spans="1:14" s="385" customFormat="1" ht="25.15" customHeight="1">
      <c r="A42" s="395"/>
      <c r="B42" s="456" t="s">
        <v>62</v>
      </c>
      <c r="C42" s="457" t="str">
        <f>表1温室气体盘查表!C28</f>
        <v>钼铁</v>
      </c>
      <c r="D42" s="457" t="str">
        <f>表1温室气体盘查表!D28</f>
        <v>炼钢</v>
      </c>
      <c r="F42" s="458">
        <f t="shared" si="7"/>
        <v>143.01295200000001</v>
      </c>
      <c r="G42" s="458">
        <f>表1温室气体盘查表!AE28</f>
        <v>143.01295200000001</v>
      </c>
      <c r="H42" s="458">
        <f>表1温室气体盘查表!AF28</f>
        <v>0</v>
      </c>
      <c r="I42" s="458">
        <f>表1温室气体盘查表!AG28</f>
        <v>0</v>
      </c>
      <c r="J42" s="458">
        <f>表1温室气体盘查表!AH28</f>
        <v>0</v>
      </c>
      <c r="K42" s="458">
        <f>表1温室气体盘查表!AI28</f>
        <v>0</v>
      </c>
      <c r="L42" s="458">
        <f>表1温室气体盘查表!AJ28</f>
        <v>0</v>
      </c>
      <c r="M42" s="458">
        <f>表1温室气体盘查表!AK28</f>
        <v>0</v>
      </c>
    </row>
    <row r="43" spans="1:14" s="385" customFormat="1" ht="25.15" customHeight="1">
      <c r="A43" s="395"/>
      <c r="B43" s="456" t="s">
        <v>63</v>
      </c>
      <c r="C43" s="457" t="str">
        <f>表1温室气体盘查表!C29</f>
        <v>钢坯</v>
      </c>
      <c r="D43" s="457" t="str">
        <f>表1温室气体盘查表!D29</f>
        <v>固碳产品</v>
      </c>
      <c r="F43" s="458">
        <f t="shared" si="7"/>
        <v>-160314.41177999999</v>
      </c>
      <c r="G43" s="458">
        <f>表1温室气体盘查表!AE29</f>
        <v>-160314.41177999999</v>
      </c>
      <c r="H43" s="458">
        <f>表1温室气体盘查表!AF29</f>
        <v>0</v>
      </c>
      <c r="I43" s="458">
        <f>表1温室气体盘查表!AG29</f>
        <v>0</v>
      </c>
      <c r="J43" s="458">
        <f>表1温室气体盘查表!AH29</f>
        <v>0</v>
      </c>
      <c r="K43" s="458">
        <f>表1温室气体盘查表!AI29</f>
        <v>0</v>
      </c>
      <c r="L43" s="458">
        <f>表1温室气体盘查表!AJ29</f>
        <v>0</v>
      </c>
      <c r="M43" s="458">
        <f>表1温室气体盘查表!AK29</f>
        <v>0</v>
      </c>
    </row>
    <row r="44" spans="1:14" s="385" customFormat="1" ht="25.15" customHeight="1">
      <c r="A44" s="395"/>
      <c r="B44" s="456" t="s">
        <v>64</v>
      </c>
      <c r="C44" s="457" t="str">
        <f>表1温室气体盘查表!C30</f>
        <v>粗苯</v>
      </c>
      <c r="D44" s="457" t="str">
        <f>表1温室气体盘查表!D30</f>
        <v>外售</v>
      </c>
      <c r="F44" s="458">
        <f t="shared" si="7"/>
        <v>-65952.990760000001</v>
      </c>
      <c r="G44" s="458">
        <f>表1温室气体盘查表!AE30</f>
        <v>-65952.990760000001</v>
      </c>
      <c r="H44" s="458">
        <f>表1温室气体盘查表!AF30</f>
        <v>0</v>
      </c>
      <c r="I44" s="458">
        <f>表1温室气体盘查表!AG30</f>
        <v>0</v>
      </c>
      <c r="J44" s="458">
        <f>表1温室气体盘查表!AH30</f>
        <v>0</v>
      </c>
      <c r="K44" s="458">
        <f>表1温室气体盘查表!AI30</f>
        <v>0</v>
      </c>
      <c r="L44" s="458">
        <f>表1温室气体盘查表!AJ30</f>
        <v>0</v>
      </c>
      <c r="M44" s="458">
        <f>表1温室气体盘查表!AK30</f>
        <v>0</v>
      </c>
    </row>
    <row r="45" spans="1:14" s="385" customFormat="1" ht="25.15" customHeight="1">
      <c r="A45" s="395"/>
      <c r="B45" s="456" t="s">
        <v>65</v>
      </c>
      <c r="C45" s="457" t="str">
        <f>表1温室气体盘查表!C31</f>
        <v>煤焦油</v>
      </c>
      <c r="D45" s="457" t="str">
        <f>表1温室气体盘查表!D31</f>
        <v>危废处置</v>
      </c>
      <c r="F45" s="458">
        <f t="shared" si="7"/>
        <v>-159387.0159</v>
      </c>
      <c r="G45" s="458">
        <f>表1温室气体盘查表!AE31</f>
        <v>-159387.0159</v>
      </c>
      <c r="H45" s="458">
        <f>表1温室气体盘查表!AF31</f>
        <v>0</v>
      </c>
      <c r="I45" s="458">
        <f>表1温室气体盘查表!AG31</f>
        <v>0</v>
      </c>
      <c r="J45" s="458">
        <f>表1温室气体盘查表!AH31</f>
        <v>0</v>
      </c>
      <c r="K45" s="458">
        <f>表1温室气体盘查表!AI31</f>
        <v>0</v>
      </c>
      <c r="L45" s="458">
        <f>表1温室气体盘查表!AJ31</f>
        <v>0</v>
      </c>
      <c r="M45" s="458">
        <f>表1温室气体盘查表!AK31</f>
        <v>0</v>
      </c>
    </row>
    <row r="46" spans="1:14" s="385" customFormat="1" ht="25.15" customHeight="1">
      <c r="A46" s="395"/>
      <c r="B46" s="584" t="s">
        <v>66</v>
      </c>
      <c r="C46" s="585"/>
      <c r="D46" s="586"/>
      <c r="E46" s="464"/>
      <c r="F46" s="465"/>
      <c r="G46" s="465"/>
      <c r="H46" s="465"/>
      <c r="I46" s="465"/>
      <c r="J46" s="465"/>
      <c r="K46" s="465"/>
      <c r="L46" s="465"/>
      <c r="M46" s="465"/>
    </row>
    <row r="47" spans="1:14" s="385" customFormat="1" ht="25.15" customHeight="1">
      <c r="A47" s="395"/>
      <c r="B47" s="466">
        <v>2.1</v>
      </c>
      <c r="C47" s="457" t="str">
        <f>表1温室气体盘查表!C32</f>
        <v>外购电力（基于位置）</v>
      </c>
      <c r="D47" s="457" t="str">
        <f>表1温室气体盘查表!D32</f>
        <v>用电设备</v>
      </c>
      <c r="E47" s="467"/>
      <c r="F47" s="458">
        <f>SUM(G47:M47)</f>
        <v>1069378.747982</v>
      </c>
      <c r="G47" s="468">
        <f>表1温室气体盘查表!AE32</f>
        <v>1069378.747982</v>
      </c>
      <c r="H47" s="468">
        <f>表1温室气体盘查表!AF32</f>
        <v>0</v>
      </c>
      <c r="I47" s="468">
        <f>表1温室气体盘查表!AG32</f>
        <v>0</v>
      </c>
      <c r="J47" s="468">
        <f>表1温室气体盘查表!AH32</f>
        <v>0</v>
      </c>
      <c r="K47" s="468">
        <f>表1温室气体盘查表!AI32</f>
        <v>0</v>
      </c>
      <c r="L47" s="468">
        <f>表1温室气体盘查表!AJ32</f>
        <v>0</v>
      </c>
      <c r="M47" s="468">
        <f>表1温室气体盘查表!AK32</f>
        <v>0</v>
      </c>
    </row>
    <row r="48" spans="1:14" s="385" customFormat="1" ht="25.15" customHeight="1">
      <c r="A48" s="442"/>
      <c r="B48" s="466">
        <v>2.2000000000000002</v>
      </c>
      <c r="C48" s="457" t="str">
        <f>表1温室气体盘查表!C33</f>
        <v>外购电力（基于市场）</v>
      </c>
      <c r="D48" s="457" t="str">
        <f>表1温室气体盘查表!D33</f>
        <v>用电设备</v>
      </c>
      <c r="E48" s="469"/>
      <c r="F48" s="458">
        <f>SUM(G48:M48)</f>
        <v>1161900.3323520001</v>
      </c>
      <c r="G48" s="468">
        <f>表1温室气体盘查表!AE33</f>
        <v>1161900.3323520001</v>
      </c>
      <c r="H48" s="468">
        <f>表1温室气体盘查表!AF33</f>
        <v>0</v>
      </c>
      <c r="I48" s="468">
        <f>表1温室气体盘查表!AG33</f>
        <v>0</v>
      </c>
      <c r="J48" s="468">
        <f>表1温室气体盘查表!AH33</f>
        <v>0</v>
      </c>
      <c r="K48" s="468">
        <f>表1温室气体盘查表!AI33</f>
        <v>0</v>
      </c>
      <c r="L48" s="468">
        <f>表1温室气体盘查表!AJ33</f>
        <v>0</v>
      </c>
      <c r="M48" s="468">
        <f>表1温室气体盘查表!AK33</f>
        <v>0</v>
      </c>
      <c r="N48" s="445"/>
    </row>
    <row r="49" spans="1:14" s="385" customFormat="1" ht="25.15" customHeight="1">
      <c r="A49" s="442"/>
      <c r="B49" s="470"/>
      <c r="C49" s="471"/>
      <c r="D49" s="471"/>
      <c r="E49" s="469"/>
      <c r="F49" s="472"/>
      <c r="G49" s="473"/>
      <c r="H49" s="473"/>
      <c r="I49" s="473"/>
      <c r="J49" s="473"/>
      <c r="K49" s="473"/>
      <c r="L49" s="473"/>
      <c r="M49" s="473"/>
      <c r="N49" s="445"/>
    </row>
    <row r="50" spans="1:14" s="385" customFormat="1" ht="25.15" customHeight="1">
      <c r="A50" s="442"/>
      <c r="B50" s="474" t="s">
        <v>67</v>
      </c>
      <c r="C50" s="475" t="s">
        <v>68</v>
      </c>
      <c r="D50" s="476"/>
      <c r="E50" s="477"/>
      <c r="F50" s="478">
        <f>SUM(G50:M50)</f>
        <v>2710165.6193504599</v>
      </c>
      <c r="G50" s="478">
        <f>SUM(G51:G74)</f>
        <v>2710165.6193504599</v>
      </c>
      <c r="H50" s="478">
        <f t="shared" ref="H50:M50" si="8">SUM(H51:H69)</f>
        <v>0</v>
      </c>
      <c r="I50" s="478">
        <f t="shared" si="8"/>
        <v>0</v>
      </c>
      <c r="J50" s="478">
        <f t="shared" si="8"/>
        <v>0</v>
      </c>
      <c r="K50" s="478">
        <f t="shared" si="8"/>
        <v>0</v>
      </c>
      <c r="L50" s="478">
        <f t="shared" si="8"/>
        <v>0</v>
      </c>
      <c r="M50" s="478">
        <f t="shared" si="8"/>
        <v>0</v>
      </c>
      <c r="N50" s="445"/>
    </row>
    <row r="51" spans="1:14" s="387" customFormat="1" ht="25.15" customHeight="1">
      <c r="A51" s="388"/>
      <c r="B51" s="479" t="s">
        <v>69</v>
      </c>
      <c r="C51" s="480" t="str">
        <f>表1温室气体盘查表!C34</f>
        <v>铁矿石生产</v>
      </c>
      <c r="D51" s="481" t="str">
        <f>表1温室气体盘查表!D34</f>
        <v>烧结</v>
      </c>
      <c r="E51" s="482"/>
      <c r="F51" s="458">
        <f>表1温室气体盘查表!AL34</f>
        <v>448588.57632498001</v>
      </c>
      <c r="G51" s="468">
        <f>表1温室气体盘查表!AE34</f>
        <v>448588.57632498001</v>
      </c>
      <c r="H51" s="468">
        <f>表1温室气体盘查表!AF34</f>
        <v>0</v>
      </c>
      <c r="I51" s="468">
        <f>表1温室气体盘查表!AG34</f>
        <v>0</v>
      </c>
      <c r="J51" s="468">
        <f>表1温室气体盘查表!AH34</f>
        <v>0</v>
      </c>
      <c r="K51" s="468">
        <f>表1温室气体盘查表!AI34</f>
        <v>0</v>
      </c>
      <c r="L51" s="468">
        <f>表1温室气体盘查表!AJ34</f>
        <v>0</v>
      </c>
      <c r="M51" s="468">
        <f>表1温室气体盘查表!AK34</f>
        <v>0</v>
      </c>
      <c r="N51" s="388"/>
    </row>
    <row r="52" spans="1:14" s="387" customFormat="1" ht="25.15" customHeight="1">
      <c r="A52" s="388"/>
      <c r="B52" s="479" t="s">
        <v>70</v>
      </c>
      <c r="C52" s="480" t="str">
        <f>表1温室气体盘查表!C35</f>
        <v>生石灰生产</v>
      </c>
      <c r="D52" s="481" t="str">
        <f>表1温室气体盘查表!D35</f>
        <v>烧结、转炉、电炉</v>
      </c>
      <c r="E52" s="388"/>
      <c r="F52" s="458">
        <f>表1温室气体盘查表!AL35</f>
        <v>727500.38047630398</v>
      </c>
      <c r="G52" s="468">
        <f>表1温室气体盘查表!AE35</f>
        <v>727500.38047630398</v>
      </c>
      <c r="H52" s="468">
        <f>表1温室气体盘查表!AF35</f>
        <v>0</v>
      </c>
      <c r="I52" s="468">
        <f>表1温室气体盘查表!AG35</f>
        <v>0</v>
      </c>
      <c r="J52" s="468">
        <f>表1温室气体盘查表!AH35</f>
        <v>0</v>
      </c>
      <c r="K52" s="468">
        <f>表1温室气体盘查表!AI35</f>
        <v>0</v>
      </c>
      <c r="L52" s="468">
        <f>表1温室气体盘查表!AJ35</f>
        <v>0</v>
      </c>
      <c r="M52" s="468">
        <f>表1温室气体盘查表!AK35</f>
        <v>0</v>
      </c>
      <c r="N52" s="388"/>
    </row>
    <row r="53" spans="1:14" s="387" customFormat="1" ht="25.15" customHeight="1">
      <c r="A53" s="388"/>
      <c r="B53" s="479" t="s">
        <v>71</v>
      </c>
      <c r="C53" s="480" t="str">
        <f>表1温室气体盘查表!C36</f>
        <v>石灰石生产</v>
      </c>
      <c r="D53" s="481" t="str">
        <f>表1温室气体盘查表!D36</f>
        <v>转炉</v>
      </c>
      <c r="E53" s="388"/>
      <c r="F53" s="458">
        <f>表1温室气体盘查表!AL36</f>
        <v>58.676346522999999</v>
      </c>
      <c r="G53" s="468">
        <f>表1温室气体盘查表!AE36</f>
        <v>58.676346522999999</v>
      </c>
      <c r="H53" s="468">
        <f>表1温室气体盘查表!AF36</f>
        <v>0</v>
      </c>
      <c r="I53" s="468">
        <f>表1温室气体盘查表!AG36</f>
        <v>0</v>
      </c>
      <c r="J53" s="468">
        <f>表1温室气体盘查表!AH36</f>
        <v>0</v>
      </c>
      <c r="K53" s="468">
        <f>表1温室气体盘查表!AI36</f>
        <v>0</v>
      </c>
      <c r="L53" s="468">
        <f>表1温室气体盘查表!AJ36</f>
        <v>0</v>
      </c>
      <c r="M53" s="468">
        <f>表1温室气体盘查表!AK36</f>
        <v>0</v>
      </c>
      <c r="N53" s="388"/>
    </row>
    <row r="54" spans="1:14" s="387" customFormat="1" ht="25.15" customHeight="1">
      <c r="A54" s="388"/>
      <c r="B54" s="479" t="s">
        <v>72</v>
      </c>
      <c r="C54" s="480" t="str">
        <f>表1温室气体盘查表!C37</f>
        <v>白云石生产</v>
      </c>
      <c r="D54" s="481" t="str">
        <f>表1温室气体盘查表!D37</f>
        <v>烧结、转炉、电炉</v>
      </c>
      <c r="E54" s="388"/>
      <c r="F54" s="458">
        <f>表1温室气体盘查表!AL37</f>
        <v>46435.196198700003</v>
      </c>
      <c r="G54" s="468">
        <f>表1温室气体盘查表!AE37</f>
        <v>46435.196198700003</v>
      </c>
      <c r="H54" s="468">
        <f>表1温室气体盘查表!AF37</f>
        <v>0</v>
      </c>
      <c r="I54" s="468">
        <f>表1温室气体盘查表!AG37</f>
        <v>0</v>
      </c>
      <c r="J54" s="468">
        <f>表1温室气体盘查表!AH37</f>
        <v>0</v>
      </c>
      <c r="K54" s="468">
        <f>表1温室气体盘查表!AI37</f>
        <v>0</v>
      </c>
      <c r="L54" s="468">
        <f>表1温室气体盘查表!AJ37</f>
        <v>0</v>
      </c>
      <c r="M54" s="468">
        <f>表1温室气体盘查表!AK37</f>
        <v>0</v>
      </c>
      <c r="N54" s="388"/>
    </row>
    <row r="55" spans="1:14" s="387" customFormat="1" ht="25.15" customHeight="1">
      <c r="A55" s="388"/>
      <c r="B55" s="479" t="s">
        <v>73</v>
      </c>
      <c r="C55" s="480" t="str">
        <f>表1温室气体盘查表!C38</f>
        <v>轻烧白云石生产</v>
      </c>
      <c r="D55" s="481" t="str">
        <f>表1温室气体盘查表!D39</f>
        <v>高炉、转炉</v>
      </c>
      <c r="E55" s="482"/>
      <c r="F55" s="458">
        <f>表1温室气体盘查表!AL38</f>
        <v>363.20885720000001</v>
      </c>
      <c r="G55" s="468">
        <f>表1温室气体盘查表!AE38</f>
        <v>363.20885720000001</v>
      </c>
      <c r="H55" s="468">
        <f>表1温室气体盘查表!AF38</f>
        <v>0</v>
      </c>
      <c r="I55" s="468">
        <f>表1温室气体盘查表!AG38</f>
        <v>0</v>
      </c>
      <c r="J55" s="468">
        <f>表1温室气体盘查表!AH38</f>
        <v>0</v>
      </c>
      <c r="K55" s="468">
        <f>表1温室气体盘查表!AI38</f>
        <v>0</v>
      </c>
      <c r="L55" s="468">
        <f>表1温室气体盘查表!AJ38</f>
        <v>0</v>
      </c>
      <c r="M55" s="468">
        <f>表1温室气体盘查表!AK38</f>
        <v>0</v>
      </c>
      <c r="N55" s="388"/>
    </row>
    <row r="56" spans="1:14" s="387" customFormat="1" ht="25.15" customHeight="1">
      <c r="A56" s="388"/>
      <c r="B56" s="479" t="s">
        <v>74</v>
      </c>
      <c r="C56" s="480" t="str">
        <f>表1温室气体盘查表!C39</f>
        <v>球团生产</v>
      </c>
      <c r="D56" s="481" t="str">
        <f>表1温室气体盘查表!D40</f>
        <v>转炉、电炉</v>
      </c>
      <c r="E56" s="482"/>
      <c r="F56" s="458">
        <f>表1温室气体盘查表!AL39</f>
        <v>71601.050909400001</v>
      </c>
      <c r="G56" s="468">
        <f>表1温室气体盘查表!AE39</f>
        <v>71601.050909400001</v>
      </c>
      <c r="H56" s="468">
        <f>表1温室气体盘查表!AF39</f>
        <v>0</v>
      </c>
      <c r="I56" s="468">
        <f>表1温室气体盘查表!AG39</f>
        <v>0</v>
      </c>
      <c r="J56" s="468">
        <f>表1温室气体盘查表!AH39</f>
        <v>0</v>
      </c>
      <c r="K56" s="468">
        <f>表1温室气体盘查表!AI39</f>
        <v>0</v>
      </c>
      <c r="L56" s="468">
        <f>表1温室气体盘查表!AJ39</f>
        <v>0</v>
      </c>
      <c r="M56" s="468">
        <f>表1温室气体盘查表!AK39</f>
        <v>0</v>
      </c>
      <c r="N56" s="388"/>
    </row>
    <row r="57" spans="1:14" s="387" customFormat="1" ht="25.15" customHeight="1">
      <c r="A57" s="388"/>
      <c r="B57" s="479" t="s">
        <v>75</v>
      </c>
      <c r="C57" s="480" t="str">
        <f>表1温室气体盘查表!C40</f>
        <v>废钢生产</v>
      </c>
      <c r="D57" s="481" t="str">
        <f>表1温室气体盘查表!D41</f>
        <v>转炉、电炉</v>
      </c>
      <c r="E57" s="482"/>
      <c r="F57" s="458">
        <f>表1温室气体盘查表!AL40</f>
        <v>79944.387942351706</v>
      </c>
      <c r="G57" s="468">
        <f>表1温室气体盘查表!AE40</f>
        <v>79944.387942351706</v>
      </c>
      <c r="H57" s="468">
        <f>表1温室气体盘查表!AF40</f>
        <v>0</v>
      </c>
      <c r="I57" s="468">
        <f>表1温室气体盘查表!AG40</f>
        <v>0</v>
      </c>
      <c r="J57" s="468">
        <f>表1温室气体盘查表!AH40</f>
        <v>0</v>
      </c>
      <c r="K57" s="468">
        <f>表1温室气体盘查表!AI40</f>
        <v>0</v>
      </c>
      <c r="L57" s="468">
        <f>表1温室气体盘查表!AJ40</f>
        <v>0</v>
      </c>
      <c r="M57" s="468">
        <f>表1温室气体盘查表!AK40</f>
        <v>0</v>
      </c>
      <c r="N57" s="388"/>
    </row>
    <row r="58" spans="1:14" s="387" customFormat="1" ht="25.15" customHeight="1">
      <c r="A58" s="388"/>
      <c r="B58" s="479" t="s">
        <v>76</v>
      </c>
      <c r="C58" s="480" t="str">
        <f>表1温室气体盘查表!C41</f>
        <v>电极生产</v>
      </c>
      <c r="D58" s="481" t="str">
        <f>表1温室气体盘查表!D42</f>
        <v>转炉、电炉</v>
      </c>
      <c r="E58" s="482"/>
      <c r="F58" s="458">
        <f>表1温室气体盘查表!AL41</f>
        <v>37742.8121526018</v>
      </c>
      <c r="G58" s="468">
        <f>表1温室气体盘查表!AE41</f>
        <v>37742.8121526018</v>
      </c>
      <c r="H58" s="468">
        <f>表1温室气体盘查表!AF41</f>
        <v>0</v>
      </c>
      <c r="I58" s="468">
        <f>表1温室气体盘查表!AG41</f>
        <v>0</v>
      </c>
      <c r="J58" s="468">
        <f>表1温室气体盘查表!AH41</f>
        <v>0</v>
      </c>
      <c r="K58" s="468">
        <f>表1温室气体盘查表!AI41</f>
        <v>0</v>
      </c>
      <c r="L58" s="468">
        <f>表1温室气体盘查表!AJ41</f>
        <v>0</v>
      </c>
      <c r="M58" s="468">
        <f>表1温室气体盘查表!AK41</f>
        <v>0</v>
      </c>
      <c r="N58" s="388"/>
    </row>
    <row r="59" spans="1:14" s="387" customFormat="1" ht="25.15" customHeight="1">
      <c r="A59" s="388"/>
      <c r="B59" s="479" t="s">
        <v>77</v>
      </c>
      <c r="C59" s="480" t="str">
        <f>表1温室气体盘查表!C42</f>
        <v>锰铁生产</v>
      </c>
      <c r="D59" s="481" t="str">
        <f>表1温室气体盘查表!D43</f>
        <v>转炉、电炉</v>
      </c>
      <c r="E59" s="482"/>
      <c r="F59" s="458">
        <f>表1温室气体盘查表!AL42</f>
        <v>141868.58169600001</v>
      </c>
      <c r="G59" s="468">
        <f>表1温室气体盘查表!AE42</f>
        <v>141868.58169600001</v>
      </c>
      <c r="H59" s="468">
        <f>表1温室气体盘查表!AF42</f>
        <v>0</v>
      </c>
      <c r="I59" s="468">
        <f>表1温室气体盘查表!AG42</f>
        <v>0</v>
      </c>
      <c r="J59" s="468">
        <f>表1温室气体盘查表!AH42</f>
        <v>0</v>
      </c>
      <c r="K59" s="468">
        <f>表1温室气体盘查表!AI42</f>
        <v>0</v>
      </c>
      <c r="L59" s="468">
        <f>表1温室气体盘查表!AJ42</f>
        <v>0</v>
      </c>
      <c r="M59" s="468">
        <f>表1温室气体盘查表!AK42</f>
        <v>0</v>
      </c>
      <c r="N59" s="388"/>
    </row>
    <row r="60" spans="1:14" s="387" customFormat="1" ht="25.15" customHeight="1">
      <c r="A60" s="388"/>
      <c r="B60" s="479" t="s">
        <v>78</v>
      </c>
      <c r="C60" s="480" t="str">
        <f>表1温室气体盘查表!C43</f>
        <v>镍铁生产</v>
      </c>
      <c r="D60" s="481" t="str">
        <f>表1温室气体盘查表!D44</f>
        <v>转炉、电炉</v>
      </c>
      <c r="E60" s="482"/>
      <c r="F60" s="458">
        <f>表1温室气体盘查表!AL43</f>
        <v>84819.123026999994</v>
      </c>
      <c r="G60" s="468">
        <f>表1温室气体盘查表!AE43</f>
        <v>84819.123026999994</v>
      </c>
      <c r="H60" s="468">
        <f>表1温室气体盘查表!AF43</f>
        <v>0</v>
      </c>
      <c r="I60" s="468">
        <f>表1温室气体盘查表!AG43</f>
        <v>0</v>
      </c>
      <c r="J60" s="468">
        <f>表1温室气体盘查表!AH43</f>
        <v>0</v>
      </c>
      <c r="K60" s="468">
        <f>表1温室气体盘查表!AI43</f>
        <v>0</v>
      </c>
      <c r="L60" s="468">
        <f>表1温室气体盘查表!AJ43</f>
        <v>0</v>
      </c>
      <c r="M60" s="468">
        <f>表1温室气体盘查表!AK43</f>
        <v>0</v>
      </c>
      <c r="N60" s="388"/>
    </row>
    <row r="61" spans="1:14" s="387" customFormat="1" ht="25.15" customHeight="1">
      <c r="A61" s="388"/>
      <c r="B61" s="479" t="s">
        <v>79</v>
      </c>
      <c r="C61" s="480" t="str">
        <f>表1温室气体盘查表!C44</f>
        <v>铬铁生产</v>
      </c>
      <c r="D61" s="481" t="str">
        <f>表1温室气体盘查表!D45</f>
        <v>转炉、电炉</v>
      </c>
      <c r="E61" s="482"/>
      <c r="F61" s="458">
        <f>表1温室气体盘查表!AL44</f>
        <v>345101.44475299999</v>
      </c>
      <c r="G61" s="468">
        <f>表1温室气体盘查表!AE44</f>
        <v>345101.44475299999</v>
      </c>
      <c r="H61" s="468">
        <f>表1温室气体盘查表!AF44</f>
        <v>0</v>
      </c>
      <c r="I61" s="468">
        <f>表1温室气体盘查表!AG44</f>
        <v>0</v>
      </c>
      <c r="J61" s="468">
        <f>表1温室气体盘查表!AH44</f>
        <v>0</v>
      </c>
      <c r="K61" s="468">
        <f>表1温室气体盘查表!AI44</f>
        <v>0</v>
      </c>
      <c r="L61" s="468">
        <f>表1温室气体盘查表!AJ44</f>
        <v>0</v>
      </c>
      <c r="M61" s="468">
        <f>表1温室气体盘查表!AK44</f>
        <v>0</v>
      </c>
      <c r="N61" s="388"/>
    </row>
    <row r="62" spans="1:14" s="387" customFormat="1" ht="25.15" customHeight="1">
      <c r="A62" s="388"/>
      <c r="B62" s="479" t="s">
        <v>80</v>
      </c>
      <c r="C62" s="480" t="str">
        <f>表1温室气体盘查表!C45</f>
        <v>萤石生产</v>
      </c>
      <c r="D62" s="481" t="str">
        <f>表1温室气体盘查表!D46</f>
        <v>转炉、电炉</v>
      </c>
      <c r="E62" s="482"/>
      <c r="F62" s="458">
        <f>表1温室气体盘查表!AL45</f>
        <v>685.06218720000004</v>
      </c>
      <c r="G62" s="468">
        <f>表1温室气体盘查表!AE45</f>
        <v>685.06218720000004</v>
      </c>
      <c r="H62" s="468">
        <f>表1温室气体盘查表!AF45</f>
        <v>0</v>
      </c>
      <c r="I62" s="468">
        <f>表1温室气体盘查表!AG45</f>
        <v>0</v>
      </c>
      <c r="J62" s="468">
        <f>表1温室气体盘查表!AH45</f>
        <v>0</v>
      </c>
      <c r="K62" s="468">
        <f>表1温室气体盘查表!AI45</f>
        <v>0</v>
      </c>
      <c r="L62" s="468">
        <f>表1温室气体盘查表!AJ45</f>
        <v>0</v>
      </c>
      <c r="M62" s="468">
        <f>表1温室气体盘查表!AK45</f>
        <v>0</v>
      </c>
      <c r="N62" s="388"/>
    </row>
    <row r="63" spans="1:14" s="387" customFormat="1" ht="25.15" customHeight="1">
      <c r="A63" s="388"/>
      <c r="B63" s="479" t="s">
        <v>81</v>
      </c>
      <c r="C63" s="480" t="str">
        <f>表1温室气体盘查表!C46</f>
        <v>硅铁生产</v>
      </c>
      <c r="D63" s="481" t="str">
        <f>表1温室气体盘查表!D47</f>
        <v>转炉、电炉</v>
      </c>
      <c r="E63" s="482"/>
      <c r="F63" s="458">
        <f>表1温室气体盘查表!AL46</f>
        <v>103575.7833</v>
      </c>
      <c r="G63" s="468">
        <f>表1温室气体盘查表!AE46</f>
        <v>103575.7833</v>
      </c>
      <c r="H63" s="468">
        <f>表1温室气体盘查表!AF46</f>
        <v>0</v>
      </c>
      <c r="I63" s="468">
        <f>表1温室气体盘查表!AG46</f>
        <v>0</v>
      </c>
      <c r="J63" s="468">
        <f>表1温室气体盘查表!AH46</f>
        <v>0</v>
      </c>
      <c r="K63" s="468">
        <f>表1温室气体盘查表!AI46</f>
        <v>0</v>
      </c>
      <c r="L63" s="468">
        <f>表1温室气体盘查表!AJ46</f>
        <v>0</v>
      </c>
      <c r="M63" s="468">
        <f>表1温室气体盘查表!AK46</f>
        <v>0</v>
      </c>
      <c r="N63" s="388"/>
    </row>
    <row r="64" spans="1:14" s="387" customFormat="1" ht="25.15" customHeight="1">
      <c r="A64" s="388"/>
      <c r="B64" s="479" t="s">
        <v>82</v>
      </c>
      <c r="C64" s="480" t="str">
        <f>表1温室气体盘查表!C47</f>
        <v>钼铁生产</v>
      </c>
      <c r="D64" s="481" t="str">
        <f>表1温室气体盘查表!D48</f>
        <v>转炉、电炉</v>
      </c>
      <c r="E64" s="482"/>
      <c r="F64" s="458">
        <f>表1温室气体盘查表!AL47</f>
        <v>66065.399999999994</v>
      </c>
      <c r="G64" s="468">
        <f>表1温室气体盘查表!AE47</f>
        <v>66065.399999999994</v>
      </c>
      <c r="H64" s="468">
        <f>表1温室气体盘查表!AF47</f>
        <v>0</v>
      </c>
      <c r="I64" s="468">
        <f>表1温室气体盘查表!AG47</f>
        <v>0</v>
      </c>
      <c r="J64" s="468">
        <f>表1温室气体盘查表!AH47</f>
        <v>0</v>
      </c>
      <c r="K64" s="468">
        <f>表1温室气体盘查表!AI47</f>
        <v>0</v>
      </c>
      <c r="L64" s="468">
        <f>表1温室气体盘查表!AJ47</f>
        <v>0</v>
      </c>
      <c r="M64" s="468">
        <f>表1温室气体盘查表!AK47</f>
        <v>0</v>
      </c>
      <c r="N64" s="388"/>
    </row>
    <row r="65" spans="1:14" s="387" customFormat="1" ht="25.15" customHeight="1">
      <c r="A65" s="388"/>
      <c r="B65" s="479" t="s">
        <v>83</v>
      </c>
      <c r="C65" s="480" t="str">
        <f>表1温室气体盘查表!C48</f>
        <v>铝铁生产</v>
      </c>
      <c r="D65" s="481" t="str">
        <f>表1温室气体盘查表!D49</f>
        <v>转炉、电炉</v>
      </c>
      <c r="E65" s="482"/>
      <c r="F65" s="458">
        <f>表1温室气体盘查表!AL48</f>
        <v>63158.190107505099</v>
      </c>
      <c r="G65" s="468">
        <f>表1温室气体盘查表!AE48</f>
        <v>63158.190107505099</v>
      </c>
      <c r="H65" s="468">
        <f>表1温室气体盘查表!AF48</f>
        <v>0</v>
      </c>
      <c r="I65" s="468">
        <f>表1温室气体盘查表!AG48</f>
        <v>0</v>
      </c>
      <c r="J65" s="468">
        <f>表1温室气体盘查表!AH48</f>
        <v>0</v>
      </c>
      <c r="K65" s="468">
        <f>表1温室气体盘查表!AI48</f>
        <v>0</v>
      </c>
      <c r="L65" s="468">
        <f>表1温室气体盘查表!AJ48</f>
        <v>0</v>
      </c>
      <c r="M65" s="468">
        <f>表1温室气体盘查表!AK48</f>
        <v>0</v>
      </c>
      <c r="N65" s="388"/>
    </row>
    <row r="66" spans="1:14" s="387" customFormat="1" ht="25.15" customHeight="1">
      <c r="A66" s="388"/>
      <c r="B66" s="479" t="s">
        <v>84</v>
      </c>
      <c r="C66" s="480" t="str">
        <f>表1温室气体盘查表!C49</f>
        <v>铝生产</v>
      </c>
      <c r="D66" s="481" t="str">
        <f>表1温室气体盘查表!D50</f>
        <v>转炉、电炉</v>
      </c>
      <c r="E66" s="482"/>
      <c r="F66" s="458">
        <f>表1温室气体盘查表!AL49</f>
        <v>63342.195032190299</v>
      </c>
      <c r="G66" s="468">
        <f>表1温室气体盘查表!AE49</f>
        <v>63342.195032190299</v>
      </c>
      <c r="H66" s="468">
        <f>表1温室气体盘查表!AF49</f>
        <v>0</v>
      </c>
      <c r="I66" s="468">
        <f>表1温室气体盘查表!AG49</f>
        <v>0</v>
      </c>
      <c r="J66" s="468">
        <f>表1温室气体盘查表!AH49</f>
        <v>0</v>
      </c>
      <c r="K66" s="468">
        <f>表1温室气体盘查表!AI49</f>
        <v>0</v>
      </c>
      <c r="L66" s="468">
        <f>表1温室气体盘查表!AJ49</f>
        <v>0</v>
      </c>
      <c r="M66" s="468">
        <f>表1温室气体盘查表!AK49</f>
        <v>0</v>
      </c>
      <c r="N66" s="388"/>
    </row>
    <row r="67" spans="1:14" s="387" customFormat="1" ht="25.15" customHeight="1">
      <c r="A67" s="388"/>
      <c r="B67" s="479" t="s">
        <v>85</v>
      </c>
      <c r="C67" s="480" t="str">
        <f>表1温室气体盘查表!C50</f>
        <v>增碳剂生产</v>
      </c>
      <c r="D67" s="481" t="str">
        <f>表1温室气体盘查表!D50</f>
        <v>转炉、电炉</v>
      </c>
      <c r="E67" s="482"/>
      <c r="F67" s="458">
        <f>表1温室气体盘查表!AL50</f>
        <v>17778.323207115402</v>
      </c>
      <c r="G67" s="468">
        <f>表1温室气体盘查表!AE50</f>
        <v>17778.323207115402</v>
      </c>
      <c r="H67" s="468">
        <f>表1温室气体盘查表!AF50</f>
        <v>0</v>
      </c>
      <c r="I67" s="468">
        <f>表1温室气体盘查表!AG50</f>
        <v>0</v>
      </c>
      <c r="J67" s="468">
        <f>表1温室气体盘查表!AH50</f>
        <v>0</v>
      </c>
      <c r="K67" s="468">
        <f>表1温室气体盘查表!AI50</f>
        <v>0</v>
      </c>
      <c r="L67" s="468">
        <f>表1温室气体盘查表!AJ50</f>
        <v>0</v>
      </c>
      <c r="M67" s="468">
        <f>表1温室气体盘查表!AK50</f>
        <v>0</v>
      </c>
      <c r="N67" s="388"/>
    </row>
    <row r="68" spans="1:14" s="387" customFormat="1" ht="25.15" customHeight="1">
      <c r="A68" s="388"/>
      <c r="B68" s="479" t="s">
        <v>86</v>
      </c>
      <c r="C68" s="480" t="str">
        <f>表1温室气体盘查表!C51</f>
        <v>铁鳞生产</v>
      </c>
      <c r="D68" s="481" t="str">
        <f>表1温室气体盘查表!D51</f>
        <v>炼钢</v>
      </c>
      <c r="E68" s="482"/>
      <c r="F68" s="458">
        <f>表1温室气体盘查表!AL51</f>
        <v>608.38394217142104</v>
      </c>
      <c r="G68" s="468">
        <f>表1温室气体盘查表!AE51</f>
        <v>608.38394217142104</v>
      </c>
      <c r="H68" s="468">
        <f>表1温室气体盘查表!AF51</f>
        <v>0</v>
      </c>
      <c r="I68" s="468">
        <f>表1温室气体盘查表!AG51</f>
        <v>0</v>
      </c>
      <c r="J68" s="468">
        <f>表1温室气体盘查表!AH51</f>
        <v>0</v>
      </c>
      <c r="K68" s="468">
        <f>表1温室气体盘查表!AI51</f>
        <v>0</v>
      </c>
      <c r="L68" s="468">
        <f>表1温室气体盘查表!AJ51</f>
        <v>0</v>
      </c>
      <c r="M68" s="468">
        <f>表1温室气体盘查表!AK51</f>
        <v>0</v>
      </c>
      <c r="N68" s="388"/>
    </row>
    <row r="69" spans="1:14" s="387" customFormat="1" ht="25.15" customHeight="1">
      <c r="A69" s="388"/>
      <c r="B69" s="479" t="s">
        <v>87</v>
      </c>
      <c r="C69" s="480" t="str">
        <f>表1温室气体盘查表!C52</f>
        <v>氨水生产</v>
      </c>
      <c r="D69" s="481" t="str">
        <f>表1温室气体盘查表!D52</f>
        <v>烧结</v>
      </c>
      <c r="E69" s="482"/>
      <c r="F69" s="458">
        <f>表1温室气体盘查表!AL52</f>
        <v>24444.815275563698</v>
      </c>
      <c r="G69" s="468">
        <f>表1温室气体盘查表!AE52</f>
        <v>24444.815275563698</v>
      </c>
      <c r="H69" s="468">
        <f>表1温室气体盘查表!AF52</f>
        <v>0</v>
      </c>
      <c r="I69" s="468">
        <f>表1温室气体盘查表!AG52</f>
        <v>0</v>
      </c>
      <c r="J69" s="468">
        <f>表1温室气体盘查表!AH52</f>
        <v>0</v>
      </c>
      <c r="K69" s="468">
        <f>表1温室气体盘查表!AI52</f>
        <v>0</v>
      </c>
      <c r="L69" s="468">
        <f>表1温室气体盘查表!AJ52</f>
        <v>0</v>
      </c>
      <c r="M69" s="468">
        <f>表1温室气体盘查表!AK52</f>
        <v>0</v>
      </c>
      <c r="N69" s="388"/>
    </row>
    <row r="70" spans="1:14" s="387" customFormat="1" ht="25.15" customHeight="1">
      <c r="A70" s="388"/>
      <c r="B70" s="479" t="s">
        <v>88</v>
      </c>
      <c r="C70" s="480" t="str">
        <f>表1温室气体盘查表!C53</f>
        <v>碳化硅生产</v>
      </c>
      <c r="D70" s="481" t="str">
        <f>表1温室气体盘查表!D53</f>
        <v>-</v>
      </c>
      <c r="E70" s="482"/>
      <c r="F70" s="458">
        <f>表1温室气体盘查表!AL53</f>
        <v>48149.585124286299</v>
      </c>
      <c r="G70" s="468">
        <f>表1温室气体盘查表!AE53</f>
        <v>48149.585124286299</v>
      </c>
      <c r="H70" s="468">
        <f>表1温室气体盘查表!AF53</f>
        <v>0</v>
      </c>
      <c r="I70" s="468">
        <f>表1温室气体盘查表!AG53</f>
        <v>0</v>
      </c>
      <c r="J70" s="468">
        <f>表1温室气体盘查表!AH53</f>
        <v>0</v>
      </c>
      <c r="K70" s="468">
        <f>表1温室气体盘查表!AI53</f>
        <v>0</v>
      </c>
      <c r="L70" s="468">
        <f>表1温室气体盘查表!AJ53</f>
        <v>0</v>
      </c>
      <c r="M70" s="468">
        <f>表1温室气体盘查表!AK53</f>
        <v>0</v>
      </c>
      <c r="N70" s="388"/>
    </row>
    <row r="71" spans="1:14" s="387" customFormat="1" ht="25.15" customHeight="1">
      <c r="A71" s="388"/>
      <c r="B71" s="479" t="s">
        <v>89</v>
      </c>
      <c r="C71" s="480" t="str">
        <f>表1温室气体盘查表!C54</f>
        <v>镁生产</v>
      </c>
      <c r="D71" s="481" t="str">
        <f>表1温室气体盘查表!D54</f>
        <v>-</v>
      </c>
      <c r="E71" s="482"/>
      <c r="F71" s="458">
        <f>表1温室气体盘查表!AL54</f>
        <v>308520.83395425999</v>
      </c>
      <c r="G71" s="468">
        <f>表1温室气体盘查表!AE54</f>
        <v>308520.83395425999</v>
      </c>
      <c r="H71" s="468">
        <f>表1温室气体盘查表!AF54</f>
        <v>0</v>
      </c>
      <c r="I71" s="468">
        <f>表1温室气体盘查表!AG54</f>
        <v>0</v>
      </c>
      <c r="J71" s="468">
        <f>表1温室气体盘查表!AH54</f>
        <v>0</v>
      </c>
      <c r="K71" s="468">
        <f>表1温室气体盘查表!AI54</f>
        <v>0</v>
      </c>
      <c r="L71" s="468">
        <f>表1温室气体盘查表!AJ54</f>
        <v>0</v>
      </c>
      <c r="M71" s="468">
        <f>表1温室气体盘查表!AK54</f>
        <v>0</v>
      </c>
      <c r="N71" s="388"/>
    </row>
    <row r="72" spans="1:14" s="387" customFormat="1" ht="25.15" customHeight="1">
      <c r="A72" s="388"/>
      <c r="B72" s="479" t="s">
        <v>90</v>
      </c>
      <c r="C72" s="480" t="str">
        <f>表1温室气体盘查表!C55</f>
        <v>所有其他纸制品加工制造</v>
      </c>
      <c r="D72" s="481" t="str">
        <f>表1温室气体盘查表!D55</f>
        <v>办公室</v>
      </c>
      <c r="E72" s="482"/>
      <c r="F72" s="458">
        <f>表1温室气体盘查表!AL55</f>
        <v>5.5436243100000002</v>
      </c>
      <c r="G72" s="468">
        <f>表1温室气体盘查表!AE55</f>
        <v>5.5436243100000002</v>
      </c>
      <c r="H72" s="468">
        <f>表1温室气体盘查表!AF55</f>
        <v>0</v>
      </c>
      <c r="I72" s="468">
        <f>表1温室气体盘查表!AG55</f>
        <v>0</v>
      </c>
      <c r="J72" s="468">
        <f>表1温室气体盘查表!AH55</f>
        <v>0</v>
      </c>
      <c r="K72" s="468">
        <f>表1温室气体盘查表!AI55</f>
        <v>0</v>
      </c>
      <c r="L72" s="468">
        <f>表1温室气体盘查表!AJ55</f>
        <v>0</v>
      </c>
      <c r="M72" s="468">
        <f>表1温室气体盘查表!AK55</f>
        <v>0</v>
      </c>
      <c r="N72" s="388"/>
    </row>
    <row r="73" spans="1:14" s="387" customFormat="1" ht="25.15" customHeight="1">
      <c r="A73" s="388"/>
      <c r="B73" s="479" t="s">
        <v>91</v>
      </c>
      <c r="C73" s="480" t="str">
        <f>表1温室气体盘查表!C56</f>
        <v>办公用品(纸张除外)制造</v>
      </c>
      <c r="D73" s="481" t="str">
        <f>表1温室气体盘查表!D56</f>
        <v>办公室</v>
      </c>
      <c r="E73" s="482"/>
      <c r="F73" s="458">
        <f>表1温室气体盘查表!AL56</f>
        <v>47.034256399999997</v>
      </c>
      <c r="G73" s="468">
        <f>表1温室气体盘查表!AE56</f>
        <v>47.034256399999997</v>
      </c>
      <c r="H73" s="468">
        <f>表1温室气体盘查表!AF56</f>
        <v>0</v>
      </c>
      <c r="I73" s="468">
        <f>表1温室气体盘查表!AG56</f>
        <v>0</v>
      </c>
      <c r="J73" s="468">
        <f>表1温室气体盘查表!AH56</f>
        <v>0</v>
      </c>
      <c r="K73" s="468">
        <f>表1温室气体盘查表!AI56</f>
        <v>0</v>
      </c>
      <c r="L73" s="468">
        <f>表1温室气体盘查表!AJ56</f>
        <v>0</v>
      </c>
      <c r="M73" s="468">
        <f>表1温室气体盘查表!AK56</f>
        <v>0</v>
      </c>
      <c r="N73" s="388"/>
    </row>
    <row r="74" spans="1:14" s="387" customFormat="1" ht="25.15" customHeight="1">
      <c r="A74" s="388"/>
      <c r="B74" s="479" t="s">
        <v>92</v>
      </c>
      <c r="C74" s="480" t="str">
        <f>表1温室气体盘查表!C57</f>
        <v>源水</v>
      </c>
      <c r="D74" s="481" t="str">
        <f>表1温室气体盘查表!D57</f>
        <v>水处理工序</v>
      </c>
      <c r="E74" s="482"/>
      <c r="F74" s="458">
        <f>表1温室气体盘查表!AL57</f>
        <v>29761.0306554007</v>
      </c>
      <c r="G74" s="468">
        <f>表1温室气体盘查表!AE57</f>
        <v>29761.0306554007</v>
      </c>
      <c r="H74" s="468">
        <f>表1温室气体盘查表!AF57</f>
        <v>0</v>
      </c>
      <c r="I74" s="468">
        <f>表1温室气体盘查表!AG57</f>
        <v>0</v>
      </c>
      <c r="J74" s="468">
        <f>表1温室气体盘查表!AH57</f>
        <v>0</v>
      </c>
      <c r="K74" s="468">
        <f>表1温室气体盘查表!AI57</f>
        <v>0</v>
      </c>
      <c r="L74" s="468">
        <f>表1温室气体盘查表!AJ57</f>
        <v>0</v>
      </c>
      <c r="M74" s="468">
        <f>表1温室气体盘查表!AK57</f>
        <v>0</v>
      </c>
      <c r="N74" s="388"/>
    </row>
    <row r="75" spans="1:14" s="388" customFormat="1" ht="25.15" customHeight="1">
      <c r="B75" s="483"/>
      <c r="C75" s="482"/>
      <c r="D75" s="484"/>
      <c r="E75" s="482"/>
      <c r="F75" s="472"/>
      <c r="G75" s="473"/>
      <c r="H75" s="473"/>
      <c r="I75" s="473"/>
      <c r="J75" s="473"/>
      <c r="K75" s="473"/>
      <c r="L75" s="473"/>
      <c r="M75" s="473"/>
    </row>
    <row r="76" spans="1:14" s="387" customFormat="1" ht="25.15" customHeight="1">
      <c r="A76" s="388"/>
      <c r="B76" s="474" t="s">
        <v>93</v>
      </c>
      <c r="C76" s="475" t="str">
        <f>表1温室气体盘查表!B58</f>
        <v>资本货物</v>
      </c>
      <c r="D76" s="476"/>
      <c r="E76" s="477"/>
      <c r="F76" s="465">
        <f>SUM(G76:M76)</f>
        <v>51806.970343360001</v>
      </c>
      <c r="G76" s="465">
        <f>SUM(G77:G87)</f>
        <v>51806.970343360001</v>
      </c>
      <c r="H76" s="465">
        <f t="shared" ref="H76:M76" si="9">SUM(H77:H87)</f>
        <v>0</v>
      </c>
      <c r="I76" s="465">
        <f t="shared" si="9"/>
        <v>0</v>
      </c>
      <c r="J76" s="465">
        <f t="shared" si="9"/>
        <v>0</v>
      </c>
      <c r="K76" s="465">
        <f t="shared" si="9"/>
        <v>0</v>
      </c>
      <c r="L76" s="465">
        <f t="shared" si="9"/>
        <v>0</v>
      </c>
      <c r="M76" s="465">
        <f t="shared" si="9"/>
        <v>0</v>
      </c>
      <c r="N76" s="388"/>
    </row>
    <row r="77" spans="1:14" s="387" customFormat="1" ht="32.1" customHeight="1">
      <c r="A77" s="388"/>
      <c r="B77" s="479" t="s">
        <v>94</v>
      </c>
      <c r="C77" s="481" t="str">
        <f>表1温室气体盘查表!C58</f>
        <v>采购产品空调和暖空气加热设备和商业和工业制冷设备制造</v>
      </c>
      <c r="D77" s="481" t="str">
        <f>表1温室气体盘查表!D58</f>
        <v>办公室、各工序</v>
      </c>
      <c r="E77" s="482"/>
      <c r="F77" s="458">
        <f>表1温室气体盘查表!AL58</f>
        <v>14.8324392</v>
      </c>
      <c r="G77" s="458">
        <f>表1温室气体盘查表!AE58</f>
        <v>14.8324392</v>
      </c>
      <c r="H77" s="458">
        <f>表1温室气体盘查表!AF58</f>
        <v>0</v>
      </c>
      <c r="I77" s="458">
        <f>表1温室气体盘查表!AG58</f>
        <v>0</v>
      </c>
      <c r="J77" s="458">
        <f>表1温室气体盘查表!AH58</f>
        <v>0</v>
      </c>
      <c r="K77" s="458">
        <f>表1温室气体盘查表!AI58</f>
        <v>0</v>
      </c>
      <c r="L77" s="458">
        <f>表1温室气体盘查表!AJ58</f>
        <v>0</v>
      </c>
      <c r="M77" s="458">
        <f>表1温室气体盘查表!AK58</f>
        <v>0</v>
      </c>
      <c r="N77" s="388"/>
    </row>
    <row r="78" spans="1:14" s="387" customFormat="1" ht="25.15" customHeight="1">
      <c r="A78" s="388"/>
      <c r="B78" s="479" t="s">
        <v>95</v>
      </c>
      <c r="C78" s="481" t="str">
        <f>表1温室气体盘查表!C59</f>
        <v>电子计算机制造</v>
      </c>
      <c r="D78" s="481" t="str">
        <f>表1温室气体盘查表!D59</f>
        <v>办公室、各工序</v>
      </c>
      <c r="E78" s="482"/>
      <c r="F78" s="458">
        <f>表1温室气体盘查表!AL59</f>
        <v>3.7880397399999999</v>
      </c>
      <c r="G78" s="458">
        <f>表1温室气体盘查表!AE59</f>
        <v>3.7880397399999999</v>
      </c>
      <c r="H78" s="458">
        <f>表1温室气体盘查表!AF59</f>
        <v>0</v>
      </c>
      <c r="I78" s="458">
        <f>表1温室气体盘查表!AG59</f>
        <v>0</v>
      </c>
      <c r="J78" s="458">
        <f>表1温室气体盘查表!AH59</f>
        <v>0</v>
      </c>
      <c r="K78" s="458">
        <f>表1温室气体盘查表!AI59</f>
        <v>0</v>
      </c>
      <c r="L78" s="458">
        <f>表1温室气体盘查表!AJ59</f>
        <v>0</v>
      </c>
      <c r="M78" s="458">
        <f>表1温室气体盘查表!AK59</f>
        <v>0</v>
      </c>
      <c r="N78" s="388"/>
    </row>
    <row r="79" spans="1:14" s="387" customFormat="1" ht="25.15" customHeight="1">
      <c r="A79" s="388"/>
      <c r="B79" s="479" t="s">
        <v>96</v>
      </c>
      <c r="C79" s="481" t="str">
        <f>表1温室气体盘查表!C60</f>
        <v>焊接及焊接设备制造</v>
      </c>
      <c r="D79" s="481" t="str">
        <f>表1温室气体盘查表!D60</f>
        <v>各工序</v>
      </c>
      <c r="E79" s="482"/>
      <c r="F79" s="458">
        <f>表1温室气体盘查表!AL60</f>
        <v>216.41132820000001</v>
      </c>
      <c r="G79" s="458">
        <f>表1温室气体盘查表!AE60</f>
        <v>216.41132820000001</v>
      </c>
      <c r="H79" s="458">
        <f>表1温室气体盘查表!AF60</f>
        <v>0</v>
      </c>
      <c r="I79" s="458">
        <f>表1温室气体盘查表!AG60</f>
        <v>0</v>
      </c>
      <c r="J79" s="458">
        <f>表1温室气体盘查表!AH60</f>
        <v>0</v>
      </c>
      <c r="K79" s="458">
        <f>表1温室气体盘查表!AI60</f>
        <v>0</v>
      </c>
      <c r="L79" s="458">
        <f>表1温室气体盘查表!AJ60</f>
        <v>0</v>
      </c>
      <c r="M79" s="458">
        <f>表1温室气体盘查表!AK60</f>
        <v>0</v>
      </c>
      <c r="N79" s="388"/>
    </row>
    <row r="80" spans="1:14" s="387" customFormat="1" ht="25.15" customHeight="1">
      <c r="A80" s="388"/>
      <c r="B80" s="479" t="s">
        <v>97</v>
      </c>
      <c r="C80" s="481" t="str">
        <f>表1温室气体盘查表!C61</f>
        <v>其他工业设备制造</v>
      </c>
      <c r="D80" s="481" t="str">
        <f>表1温室气体盘查表!D61</f>
        <v>各工序</v>
      </c>
      <c r="E80" s="482"/>
      <c r="F80" s="458">
        <f>表1温室气体盘查表!AL61</f>
        <v>1153.4663845499999</v>
      </c>
      <c r="G80" s="458">
        <f>表1温室气体盘查表!AE61</f>
        <v>1153.4663845499999</v>
      </c>
      <c r="H80" s="458">
        <f>表1温室气体盘查表!AF61</f>
        <v>0</v>
      </c>
      <c r="I80" s="458">
        <f>表1温室气体盘查表!AG61</f>
        <v>0</v>
      </c>
      <c r="J80" s="458">
        <f>表1温室气体盘查表!AH61</f>
        <v>0</v>
      </c>
      <c r="K80" s="458">
        <f>表1温室气体盘查表!AI61</f>
        <v>0</v>
      </c>
      <c r="L80" s="458">
        <f>表1温室气体盘查表!AJ61</f>
        <v>0</v>
      </c>
      <c r="M80" s="458">
        <f>表1温室气体盘查表!AK61</f>
        <v>0</v>
      </c>
      <c r="N80" s="388"/>
    </row>
    <row r="81" spans="1:14" s="387" customFormat="1" ht="25.15" customHeight="1">
      <c r="A81" s="388"/>
      <c r="B81" s="479" t="s">
        <v>98</v>
      </c>
      <c r="C81" s="481" t="str">
        <f>表1温室气体盘查表!C62</f>
        <v>测量和测试电力和电气信号的仪器制造</v>
      </c>
      <c r="D81" s="481" t="str">
        <f>表1温室气体盘查表!D62</f>
        <v>各工序</v>
      </c>
      <c r="E81" s="482"/>
      <c r="F81" s="458">
        <f>表1温室气体盘查表!AL62</f>
        <v>44.316302149999999</v>
      </c>
      <c r="G81" s="458">
        <f>表1温室气体盘查表!AE62</f>
        <v>44.316302149999999</v>
      </c>
      <c r="H81" s="458">
        <f>表1温室气体盘查表!AF62</f>
        <v>0</v>
      </c>
      <c r="I81" s="458">
        <f>表1温室气体盘查表!AG62</f>
        <v>0</v>
      </c>
      <c r="J81" s="458">
        <f>表1温室气体盘查表!AH62</f>
        <v>0</v>
      </c>
      <c r="K81" s="458">
        <f>表1温室气体盘查表!AI62</f>
        <v>0</v>
      </c>
      <c r="L81" s="458">
        <f>表1温室气体盘查表!AJ62</f>
        <v>0</v>
      </c>
      <c r="M81" s="458">
        <f>表1温室气体盘查表!AK62</f>
        <v>0</v>
      </c>
      <c r="N81" s="388"/>
    </row>
    <row r="82" spans="1:14" s="387" customFormat="1" ht="25.15" customHeight="1">
      <c r="A82" s="388"/>
      <c r="B82" s="479" t="s">
        <v>99</v>
      </c>
      <c r="C82" s="481" t="str">
        <f>表1温室气体盘查表!C63</f>
        <v>计算机系统设计服务</v>
      </c>
      <c r="D82" s="481" t="str">
        <f>表1温室气体盘查表!D63</f>
        <v>各工序</v>
      </c>
      <c r="E82" s="482"/>
      <c r="F82" s="458">
        <f>表1温室气体盘查表!AL63</f>
        <v>56.221168280000001</v>
      </c>
      <c r="G82" s="458">
        <f>表1温室气体盘查表!AE63</f>
        <v>56.221168280000001</v>
      </c>
      <c r="H82" s="458">
        <f>表1温室气体盘查表!AF63</f>
        <v>0</v>
      </c>
      <c r="I82" s="458">
        <f>表1温室气体盘查表!AG63</f>
        <v>0</v>
      </c>
      <c r="J82" s="458">
        <f>表1温室气体盘查表!AH63</f>
        <v>0</v>
      </c>
      <c r="K82" s="458">
        <f>表1温室气体盘查表!AI63</f>
        <v>0</v>
      </c>
      <c r="L82" s="458">
        <f>表1温室气体盘查表!AJ63</f>
        <v>0</v>
      </c>
      <c r="M82" s="458">
        <f>表1温室气体盘查表!AK63</f>
        <v>0</v>
      </c>
      <c r="N82" s="388"/>
    </row>
    <row r="83" spans="1:14" s="387" customFormat="1" ht="25.15" customHeight="1">
      <c r="A83" s="388"/>
      <c r="B83" s="479" t="s">
        <v>100</v>
      </c>
      <c r="C83" s="481" t="str">
        <f>表1温室气体盘查表!C64</f>
        <v>机械动力传动设备制造</v>
      </c>
      <c r="D83" s="481" t="str">
        <f>表1温室气体盘查表!D64</f>
        <v>各工序</v>
      </c>
      <c r="E83" s="482"/>
      <c r="F83" s="458">
        <f>表1温室气体盘查表!AL64</f>
        <v>35.30405219</v>
      </c>
      <c r="G83" s="458">
        <f>表1温室气体盘查表!AE64</f>
        <v>35.30405219</v>
      </c>
      <c r="H83" s="458">
        <f>表1温室气体盘查表!AF64</f>
        <v>0</v>
      </c>
      <c r="I83" s="458">
        <f>表1温室气体盘查表!AG64</f>
        <v>0</v>
      </c>
      <c r="J83" s="458">
        <f>表1温室气体盘查表!AH64</f>
        <v>0</v>
      </c>
      <c r="K83" s="458">
        <f>表1温室气体盘查表!AI64</f>
        <v>0</v>
      </c>
      <c r="L83" s="458">
        <f>表1温室气体盘查表!AJ64</f>
        <v>0</v>
      </c>
      <c r="M83" s="458">
        <f>表1温室气体盘查表!AK64</f>
        <v>0</v>
      </c>
      <c r="N83" s="388"/>
    </row>
    <row r="84" spans="1:14" s="387" customFormat="1" ht="25.15" customHeight="1">
      <c r="A84" s="388"/>
      <c r="B84" s="479" t="s">
        <v>101</v>
      </c>
      <c r="C84" s="481" t="str">
        <f>表1温室气体盘查表!C65</f>
        <v>测量、分配及其他泵类设备制造</v>
      </c>
      <c r="D84" s="481" t="str">
        <f>表1温室气体盘查表!D65</f>
        <v>各工序</v>
      </c>
      <c r="E84" s="482"/>
      <c r="F84" s="458">
        <f>表1温室气体盘查表!AL65</f>
        <v>432.06181985000001</v>
      </c>
      <c r="G84" s="458">
        <f>表1温室气体盘查表!AE65</f>
        <v>432.06181985000001</v>
      </c>
      <c r="H84" s="458">
        <f>表1温室气体盘查表!AF65</f>
        <v>0</v>
      </c>
      <c r="I84" s="458">
        <f>表1温室气体盘查表!AG65</f>
        <v>0</v>
      </c>
      <c r="J84" s="458">
        <f>表1温室气体盘查表!AH65</f>
        <v>0</v>
      </c>
      <c r="K84" s="458">
        <f>表1温室气体盘查表!AI65</f>
        <v>0</v>
      </c>
      <c r="L84" s="458">
        <f>表1温室气体盘查表!AJ65</f>
        <v>0</v>
      </c>
      <c r="M84" s="458">
        <f>表1温室气体盘查表!AK65</f>
        <v>0</v>
      </c>
      <c r="N84" s="388"/>
    </row>
    <row r="85" spans="1:14" s="387" customFormat="1" ht="25.15" customHeight="1">
      <c r="A85" s="388"/>
      <c r="B85" s="479" t="s">
        <v>102</v>
      </c>
      <c r="C85" s="481" t="str">
        <f>表1温室气体盘查表!C66</f>
        <v>用于测量、显示和控制工业过程变量的仪器及相关产品制造</v>
      </c>
      <c r="D85" s="481" t="str">
        <f>表1温室气体盘查表!D66</f>
        <v>各工序</v>
      </c>
      <c r="E85" s="482"/>
      <c r="F85" s="458">
        <f>表1温室气体盘查表!AL66</f>
        <v>11.18455254</v>
      </c>
      <c r="G85" s="458">
        <f>表1温室气体盘查表!AE66</f>
        <v>11.18455254</v>
      </c>
      <c r="H85" s="458">
        <f>表1温室气体盘查表!AF66</f>
        <v>0</v>
      </c>
      <c r="I85" s="458">
        <f>表1温室气体盘查表!AG66</f>
        <v>0</v>
      </c>
      <c r="J85" s="458">
        <f>表1温室气体盘查表!AH66</f>
        <v>0</v>
      </c>
      <c r="K85" s="458">
        <f>表1温室气体盘查表!AI66</f>
        <v>0</v>
      </c>
      <c r="L85" s="458">
        <f>表1温室气体盘查表!AJ66</f>
        <v>0</v>
      </c>
      <c r="M85" s="458">
        <f>表1温室气体盘查表!AK66</f>
        <v>0</v>
      </c>
      <c r="N85" s="388"/>
    </row>
    <row r="86" spans="1:14" s="387" customFormat="1" ht="25.15" customHeight="1">
      <c r="A86" s="388"/>
      <c r="B86" s="479" t="s">
        <v>103</v>
      </c>
      <c r="C86" s="481" t="str">
        <f>表1温室气体盘查表!C67</f>
        <v>所有其他杂项电气设备及元件制造</v>
      </c>
      <c r="D86" s="481" t="str">
        <f>表1温室气体盘查表!D67</f>
        <v>各工序</v>
      </c>
      <c r="E86" s="482"/>
      <c r="F86" s="458">
        <f>表1温室气体盘查表!AL67</f>
        <v>555.07219968000004</v>
      </c>
      <c r="G86" s="458">
        <f>表1温室气体盘查表!AE67</f>
        <v>555.07219968000004</v>
      </c>
      <c r="H86" s="458">
        <f>表1温室气体盘查表!AF67</f>
        <v>0</v>
      </c>
      <c r="I86" s="458">
        <f>表1温室气体盘查表!AG67</f>
        <v>0</v>
      </c>
      <c r="J86" s="458">
        <f>表1温室气体盘查表!AH67</f>
        <v>0</v>
      </c>
      <c r="K86" s="458">
        <f>表1温室气体盘查表!AI67</f>
        <v>0</v>
      </c>
      <c r="L86" s="458">
        <f>表1温室气体盘查表!AJ67</f>
        <v>0</v>
      </c>
      <c r="M86" s="458">
        <f>表1温室气体盘查表!AK67</f>
        <v>0</v>
      </c>
      <c r="N86" s="388"/>
    </row>
    <row r="87" spans="1:14" s="387" customFormat="1" ht="25.15" customHeight="1">
      <c r="A87" s="388"/>
      <c r="B87" s="479" t="s">
        <v>104</v>
      </c>
      <c r="C87" s="481" t="str">
        <f>表1温室气体盘查表!C68</f>
        <v>所有其他杂项制造</v>
      </c>
      <c r="D87" s="481" t="str">
        <f>表1温室气体盘查表!D68</f>
        <v>各工序</v>
      </c>
      <c r="E87" s="482"/>
      <c r="F87" s="458">
        <f>表1温室气体盘查表!AL68</f>
        <v>49284.312056980001</v>
      </c>
      <c r="G87" s="458">
        <f>表1温室气体盘查表!AE68</f>
        <v>49284.312056980001</v>
      </c>
      <c r="H87" s="458">
        <f>表1温室气体盘查表!AF68</f>
        <v>0</v>
      </c>
      <c r="I87" s="458">
        <f>表1温室气体盘查表!AG68</f>
        <v>0</v>
      </c>
      <c r="J87" s="458">
        <f>表1温室气体盘查表!AH68</f>
        <v>0</v>
      </c>
      <c r="K87" s="458">
        <f>表1温室气体盘查表!AI68</f>
        <v>0</v>
      </c>
      <c r="L87" s="458">
        <f>表1温室气体盘查表!AJ68</f>
        <v>0</v>
      </c>
      <c r="M87" s="458">
        <f>表1温室气体盘查表!AK68</f>
        <v>0</v>
      </c>
      <c r="N87" s="388"/>
    </row>
    <row r="88" spans="1:14" s="387" customFormat="1" ht="25.15" customHeight="1">
      <c r="A88" s="388"/>
      <c r="B88" s="483"/>
      <c r="C88" s="482"/>
      <c r="D88" s="484"/>
      <c r="E88" s="482"/>
      <c r="F88" s="485"/>
      <c r="G88" s="485"/>
      <c r="H88" s="485"/>
      <c r="I88" s="485"/>
      <c r="J88" s="485"/>
      <c r="K88" s="485"/>
      <c r="L88" s="485"/>
      <c r="M88" s="485"/>
      <c r="N88" s="388"/>
    </row>
    <row r="89" spans="1:14" s="385" customFormat="1" ht="25.15" customHeight="1">
      <c r="A89" s="395"/>
      <c r="B89" s="474" t="s">
        <v>105</v>
      </c>
      <c r="C89" s="486" t="str">
        <f>表1温室气体盘查表!B70</f>
        <v>范围一、二相关燃料和能源相关的活动产生的排放</v>
      </c>
      <c r="D89" s="476"/>
      <c r="E89" s="477"/>
      <c r="F89" s="465">
        <f>SUM(G89:M89)</f>
        <v>2016736.07196272</v>
      </c>
      <c r="G89" s="465">
        <f>SUM(G90:G99)</f>
        <v>2016736.07196272</v>
      </c>
      <c r="H89" s="465">
        <f t="shared" ref="H89:M89" si="10">SUM(H91:H98)</f>
        <v>0</v>
      </c>
      <c r="I89" s="465">
        <f t="shared" si="10"/>
        <v>0</v>
      </c>
      <c r="J89" s="465">
        <f t="shared" si="10"/>
        <v>0</v>
      </c>
      <c r="K89" s="465">
        <f t="shared" si="10"/>
        <v>0</v>
      </c>
      <c r="L89" s="465">
        <f t="shared" si="10"/>
        <v>0</v>
      </c>
      <c r="M89" s="465">
        <f t="shared" si="10"/>
        <v>0</v>
      </c>
    </row>
    <row r="90" spans="1:14" s="385" customFormat="1" ht="25.15" customHeight="1">
      <c r="A90" s="395"/>
      <c r="B90" s="479" t="s">
        <v>106</v>
      </c>
      <c r="C90" s="480" t="str">
        <f>表1温室气体盘查表!C69</f>
        <v>液化石油气生产</v>
      </c>
      <c r="D90" s="481" t="str">
        <f>表1温室气体盘查表!D69</f>
        <v>冶钢宾馆</v>
      </c>
      <c r="E90" s="469"/>
      <c r="F90" s="458">
        <f>表1温室气体盘查表!AL69</f>
        <v>9.4484580462838608</v>
      </c>
      <c r="G90" s="458">
        <f>表1温室气体盘查表!AE69</f>
        <v>9.4484580462838608</v>
      </c>
      <c r="H90" s="458">
        <f>表1温室气体盘查表!AF69</f>
        <v>0</v>
      </c>
      <c r="I90" s="458">
        <f>表1温室气体盘查表!AG69</f>
        <v>0</v>
      </c>
      <c r="J90" s="458">
        <f>表1温室气体盘查表!AH69</f>
        <v>0</v>
      </c>
      <c r="K90" s="458">
        <f>表1温室气体盘查表!AI69</f>
        <v>0</v>
      </c>
      <c r="L90" s="458">
        <f>表1温室气体盘查表!AJ69</f>
        <v>0</v>
      </c>
      <c r="M90" s="458">
        <f>表1温室气体盘查表!AK69</f>
        <v>0</v>
      </c>
    </row>
    <row r="91" spans="1:14" s="385" customFormat="1" ht="25.15" customHeight="1">
      <c r="A91" s="395"/>
      <c r="B91" s="479" t="s">
        <v>107</v>
      </c>
      <c r="C91" s="480" t="str">
        <f>表1温室气体盘查表!C70</f>
        <v>洗精煤生产</v>
      </c>
      <c r="D91" s="481" t="str">
        <f>表1温室气体盘查表!D70</f>
        <v>焦化</v>
      </c>
      <c r="E91" s="482"/>
      <c r="F91" s="458">
        <f>表1温室气体盘查表!AL70</f>
        <v>1120352.4211275</v>
      </c>
      <c r="G91" s="458">
        <f>表1温室气体盘查表!AE70</f>
        <v>1120352.4211275</v>
      </c>
      <c r="H91" s="458">
        <f>表1温室气体盘查表!AF70</f>
        <v>0</v>
      </c>
      <c r="I91" s="458">
        <f>表1温室气体盘查表!AG70</f>
        <v>0</v>
      </c>
      <c r="J91" s="458">
        <f>表1温室气体盘查表!AH70</f>
        <v>0</v>
      </c>
      <c r="K91" s="458">
        <f>表1温室气体盘查表!AI70</f>
        <v>0</v>
      </c>
      <c r="L91" s="458">
        <f>表1温室气体盘查表!AJ70</f>
        <v>0</v>
      </c>
      <c r="M91" s="458">
        <f>表1温室气体盘查表!AK70</f>
        <v>0</v>
      </c>
    </row>
    <row r="92" spans="1:14" s="385" customFormat="1" ht="25.15" customHeight="1">
      <c r="A92" s="395"/>
      <c r="B92" s="479" t="s">
        <v>108</v>
      </c>
      <c r="C92" s="480" t="str">
        <f>表1温室气体盘查表!C71</f>
        <v>柴油生产</v>
      </c>
      <c r="D92" s="481" t="str">
        <f>表1温室气体盘查表!D71</f>
        <v>各工序</v>
      </c>
      <c r="E92" s="388"/>
      <c r="F92" s="458">
        <f>表1温室气体盘查表!AL71</f>
        <v>1182.2270043999999</v>
      </c>
      <c r="G92" s="458">
        <f>表1温室气体盘查表!AE71</f>
        <v>1182.2270043999999</v>
      </c>
      <c r="H92" s="458">
        <f>表1温室气体盘查表!AF71</f>
        <v>0</v>
      </c>
      <c r="I92" s="458">
        <f>表1温室气体盘查表!AG71</f>
        <v>0</v>
      </c>
      <c r="J92" s="458">
        <f>表1温室气体盘查表!AH71</f>
        <v>0</v>
      </c>
      <c r="K92" s="458">
        <f>表1温室气体盘查表!AI71</f>
        <v>0</v>
      </c>
      <c r="L92" s="458">
        <f>表1温室气体盘查表!AJ71</f>
        <v>0</v>
      </c>
      <c r="M92" s="458">
        <f>表1温室气体盘查表!AK71</f>
        <v>0</v>
      </c>
    </row>
    <row r="93" spans="1:14" s="385" customFormat="1" ht="25.15" customHeight="1">
      <c r="A93" s="395"/>
      <c r="B93" s="479" t="s">
        <v>109</v>
      </c>
      <c r="C93" s="480" t="str">
        <f>表1温室气体盘查表!C72</f>
        <v>汽油生产</v>
      </c>
      <c r="D93" s="481" t="str">
        <f>表1温室气体盘查表!D72</f>
        <v>车队</v>
      </c>
      <c r="E93" s="388"/>
      <c r="F93" s="458">
        <f>表1温室气体盘查表!AL72</f>
        <v>48.438424774309503</v>
      </c>
      <c r="G93" s="458">
        <f>表1温室气体盘查表!AE72</f>
        <v>48.438424774309503</v>
      </c>
      <c r="H93" s="458">
        <f>表1温室气体盘查表!AF72</f>
        <v>0</v>
      </c>
      <c r="I93" s="458">
        <f>表1温室气体盘查表!AG72</f>
        <v>0</v>
      </c>
      <c r="J93" s="458">
        <f>表1温室气体盘查表!AH72</f>
        <v>0</v>
      </c>
      <c r="K93" s="458">
        <f>表1温室气体盘查表!AI72</f>
        <v>0</v>
      </c>
      <c r="L93" s="458">
        <f>表1温室气体盘查表!AJ72</f>
        <v>0</v>
      </c>
      <c r="M93" s="458">
        <f>表1温室气体盘查表!AK72</f>
        <v>0</v>
      </c>
    </row>
    <row r="94" spans="1:14" s="385" customFormat="1" ht="25.15" customHeight="1">
      <c r="A94" s="395"/>
      <c r="B94" s="479" t="s">
        <v>110</v>
      </c>
      <c r="C94" s="480" t="str">
        <f>表1温室气体盘查表!C73</f>
        <v>焦炭生产</v>
      </c>
      <c r="D94" s="481" t="str">
        <f>表1温室气体盘查表!D73</f>
        <v>烧结、高炉</v>
      </c>
      <c r="E94" s="388"/>
      <c r="F94" s="458">
        <f>表1温室气体盘查表!AL73</f>
        <v>184347.32152</v>
      </c>
      <c r="G94" s="458">
        <f>表1温室气体盘查表!AE73</f>
        <v>184347.32152</v>
      </c>
      <c r="H94" s="458">
        <f>表1温室气体盘查表!AF73</f>
        <v>0</v>
      </c>
      <c r="I94" s="458">
        <f>表1温室气体盘查表!AG73</f>
        <v>0</v>
      </c>
      <c r="J94" s="458">
        <f>表1温室气体盘查表!AH73</f>
        <v>0</v>
      </c>
      <c r="K94" s="458">
        <f>表1温室气体盘查表!AI73</f>
        <v>0</v>
      </c>
      <c r="L94" s="458">
        <f>表1温室气体盘查表!AJ73</f>
        <v>0</v>
      </c>
      <c r="M94" s="458">
        <f>表1温室气体盘查表!AK73</f>
        <v>0</v>
      </c>
    </row>
    <row r="95" spans="1:14" s="385" customFormat="1" ht="25.15" customHeight="1">
      <c r="A95" s="395"/>
      <c r="B95" s="479" t="s">
        <v>111</v>
      </c>
      <c r="C95" s="480" t="str">
        <f>表1温室气体盘查表!C74</f>
        <v>焦屑生产</v>
      </c>
      <c r="D95" s="481" t="str">
        <f>表1温室气体盘查表!D74</f>
        <v>烧结、高炉</v>
      </c>
      <c r="E95" s="388"/>
      <c r="F95" s="458">
        <f>表1温室气体盘查表!AL74</f>
        <v>152835.16579999999</v>
      </c>
      <c r="G95" s="458">
        <f>表1温室气体盘查表!AE74</f>
        <v>152835.16579999999</v>
      </c>
      <c r="H95" s="458">
        <f>表1温室气体盘查表!AF74</f>
        <v>0</v>
      </c>
      <c r="I95" s="458">
        <f>表1温室气体盘查表!AG74</f>
        <v>0</v>
      </c>
      <c r="J95" s="458">
        <f>表1温室气体盘查表!AH74</f>
        <v>0</v>
      </c>
      <c r="K95" s="458">
        <f>表1温室气体盘查表!AI74</f>
        <v>0</v>
      </c>
      <c r="L95" s="458">
        <f>表1温室气体盘查表!AJ74</f>
        <v>0</v>
      </c>
      <c r="M95" s="458">
        <f>表1温室气体盘查表!AK74</f>
        <v>0</v>
      </c>
    </row>
    <row r="96" spans="1:14" s="385" customFormat="1" ht="25.15" customHeight="1">
      <c r="A96" s="395"/>
      <c r="B96" s="479" t="s">
        <v>112</v>
      </c>
      <c r="C96" s="480" t="str">
        <f>表1温室气体盘查表!C75</f>
        <v>烟煤生产</v>
      </c>
      <c r="D96" s="481" t="str">
        <f>表1温室气体盘查表!D75</f>
        <v>高炉</v>
      </c>
      <c r="E96" s="482"/>
      <c r="F96" s="458">
        <f>表1温室气体盘查表!AL75</f>
        <v>229690.010538</v>
      </c>
      <c r="G96" s="458">
        <f>表1温室气体盘查表!AE75</f>
        <v>229690.010538</v>
      </c>
      <c r="H96" s="458">
        <f>表1温室气体盘查表!AF75</f>
        <v>0</v>
      </c>
      <c r="I96" s="458">
        <f>表1温室气体盘查表!AG75</f>
        <v>0</v>
      </c>
      <c r="J96" s="458">
        <f>表1温室气体盘查表!AH75</f>
        <v>0</v>
      </c>
      <c r="K96" s="458">
        <f>表1温室气体盘查表!AI75</f>
        <v>0</v>
      </c>
      <c r="L96" s="458">
        <f>表1温室气体盘查表!AJ75</f>
        <v>0</v>
      </c>
      <c r="M96" s="458">
        <f>表1温室气体盘查表!AK75</f>
        <v>0</v>
      </c>
    </row>
    <row r="97" spans="1:13" s="385" customFormat="1" ht="25.15" customHeight="1">
      <c r="A97" s="395"/>
      <c r="B97" s="479" t="s">
        <v>113</v>
      </c>
      <c r="C97" s="480" t="str">
        <f>表1温室气体盘查表!C76</f>
        <v>无烟煤生产</v>
      </c>
      <c r="D97" s="481" t="str">
        <f>表1温室气体盘查表!D76</f>
        <v>烧结、高炉</v>
      </c>
      <c r="E97" s="482"/>
      <c r="F97" s="458">
        <f>表1温室气体盘查表!AL76</f>
        <v>149948.23718699999</v>
      </c>
      <c r="G97" s="458">
        <f>表1温室气体盘查表!AE76</f>
        <v>149948.23718699999</v>
      </c>
      <c r="H97" s="458">
        <f>表1温室气体盘查表!AF76</f>
        <v>0</v>
      </c>
      <c r="I97" s="458">
        <f>表1温室气体盘查表!AG76</f>
        <v>0</v>
      </c>
      <c r="J97" s="458">
        <f>表1温室气体盘查表!AH76</f>
        <v>0</v>
      </c>
      <c r="K97" s="458">
        <f>表1温室气体盘查表!AI76</f>
        <v>0</v>
      </c>
      <c r="L97" s="458">
        <f>表1温室气体盘查表!AJ76</f>
        <v>0</v>
      </c>
      <c r="M97" s="458">
        <f>表1温室气体盘查表!AK76</f>
        <v>0</v>
      </c>
    </row>
    <row r="98" spans="1:13" s="385" customFormat="1" ht="25.15" customHeight="1">
      <c r="A98" s="395"/>
      <c r="B98" s="479" t="s">
        <v>114</v>
      </c>
      <c r="C98" s="480" t="str">
        <f>表1温室气体盘查表!C77</f>
        <v>天然气生产</v>
      </c>
      <c r="D98" s="481" t="str">
        <f>表1温室气体盘查表!D77</f>
        <v>转炉、电炉、锻造、热处理</v>
      </c>
      <c r="E98" s="482"/>
      <c r="F98" s="458">
        <f>表1温室气体盘查表!AL77</f>
        <v>11120.2731</v>
      </c>
      <c r="G98" s="458">
        <f>表1温室气体盘查表!AE77</f>
        <v>11120.2731</v>
      </c>
      <c r="H98" s="458">
        <f>表1温室气体盘查表!AF77</f>
        <v>0</v>
      </c>
      <c r="I98" s="458">
        <f>表1温室气体盘查表!AG77</f>
        <v>0</v>
      </c>
      <c r="J98" s="458">
        <f>表1温室气体盘查表!AH77</f>
        <v>0</v>
      </c>
      <c r="K98" s="458">
        <f>表1温室气体盘查表!AI77</f>
        <v>0</v>
      </c>
      <c r="L98" s="458">
        <f>表1温室气体盘查表!AJ77</f>
        <v>0</v>
      </c>
      <c r="M98" s="458">
        <f>表1温室气体盘查表!AK77</f>
        <v>0</v>
      </c>
    </row>
    <row r="99" spans="1:13" s="385" customFormat="1" ht="25.15" customHeight="1">
      <c r="A99" s="395"/>
      <c r="B99" s="479" t="s">
        <v>115</v>
      </c>
      <c r="C99" s="480" t="str">
        <f>表1温室气体盘查表!C78</f>
        <v>外购电力上游排放</v>
      </c>
      <c r="D99" s="481" t="str">
        <f>表1温室气体盘查表!D78</f>
        <v>各工序</v>
      </c>
      <c r="E99" s="482"/>
      <c r="F99" s="458">
        <f>表1温室气体盘查表!AL78</f>
        <v>167202.52880299999</v>
      </c>
      <c r="G99" s="458">
        <f>表1温室气体盘查表!AE78</f>
        <v>167202.52880299999</v>
      </c>
      <c r="H99" s="458">
        <f>表1温室气体盘查表!AF78</f>
        <v>0</v>
      </c>
      <c r="I99" s="458">
        <f>表1温室气体盘查表!AG78</f>
        <v>0</v>
      </c>
      <c r="J99" s="458">
        <f>表1温室气体盘查表!AH78</f>
        <v>0</v>
      </c>
      <c r="K99" s="458">
        <f>表1温室气体盘查表!AI78</f>
        <v>0</v>
      </c>
      <c r="L99" s="458">
        <f>表1温室气体盘查表!AJ78</f>
        <v>0</v>
      </c>
      <c r="M99" s="458">
        <f>表1温室气体盘查表!AK78</f>
        <v>0</v>
      </c>
    </row>
    <row r="100" spans="1:13" s="385" customFormat="1" ht="25.15" customHeight="1">
      <c r="A100" s="395"/>
      <c r="B100" s="487"/>
      <c r="C100" s="488"/>
      <c r="D100" s="488"/>
      <c r="E100" s="388"/>
      <c r="F100" s="388"/>
      <c r="G100" s="489"/>
      <c r="H100" s="489"/>
      <c r="I100" s="489"/>
      <c r="J100" s="489"/>
      <c r="K100" s="489"/>
      <c r="L100" s="489"/>
      <c r="M100" s="489"/>
    </row>
    <row r="101" spans="1:13" s="385" customFormat="1" ht="25.15" customHeight="1">
      <c r="A101" s="395"/>
      <c r="B101" s="490" t="s">
        <v>116</v>
      </c>
      <c r="C101" s="491" t="str">
        <f>表1温室气体盘查表!B79</f>
        <v>上游运输配送产生的排放</v>
      </c>
      <c r="D101" s="492"/>
      <c r="E101" s="493"/>
      <c r="F101" s="494">
        <f>SUM(G101:M101)</f>
        <v>362284.25267030101</v>
      </c>
      <c r="G101" s="494">
        <f>SUM(G102:G104)</f>
        <v>362284.25267030101</v>
      </c>
      <c r="H101" s="494">
        <f t="shared" ref="H101:M101" si="11">SUM(H102:H104)</f>
        <v>0</v>
      </c>
      <c r="I101" s="494">
        <f t="shared" si="11"/>
        <v>0</v>
      </c>
      <c r="J101" s="494">
        <f t="shared" si="11"/>
        <v>0</v>
      </c>
      <c r="K101" s="494">
        <f t="shared" si="11"/>
        <v>0</v>
      </c>
      <c r="L101" s="494">
        <f t="shared" si="11"/>
        <v>0</v>
      </c>
      <c r="M101" s="494">
        <f t="shared" si="11"/>
        <v>0</v>
      </c>
    </row>
    <row r="102" spans="1:13" s="385" customFormat="1" ht="25.15" customHeight="1">
      <c r="A102" s="395"/>
      <c r="B102" s="456" t="s">
        <v>117</v>
      </c>
      <c r="C102" s="457" t="str">
        <f>表1温室气体盘查表!C79</f>
        <v>船运</v>
      </c>
      <c r="D102" s="463" t="str">
        <f>表1温室气体盘查表!D79</f>
        <v>-</v>
      </c>
      <c r="F102" s="458">
        <f>表1温室气体盘查表!AL79</f>
        <v>256608.96908694899</v>
      </c>
      <c r="G102" s="458">
        <f>表1温室气体盘查表!AE79</f>
        <v>256608.96908694899</v>
      </c>
      <c r="H102" s="458">
        <f>表1温室气体盘查表!AF79</f>
        <v>0</v>
      </c>
      <c r="I102" s="458">
        <f>表1温室气体盘查表!AG79</f>
        <v>0</v>
      </c>
      <c r="J102" s="458">
        <f>表1温室气体盘查表!AH79</f>
        <v>0</v>
      </c>
      <c r="K102" s="458">
        <f>表1温室气体盘查表!AI79</f>
        <v>0</v>
      </c>
      <c r="L102" s="458">
        <f>表1温室气体盘查表!AJ79</f>
        <v>0</v>
      </c>
      <c r="M102" s="458">
        <f>表1温室气体盘查表!AK79</f>
        <v>0</v>
      </c>
    </row>
    <row r="103" spans="1:13" s="385" customFormat="1" ht="25.15" customHeight="1">
      <c r="A103" s="395"/>
      <c r="B103" s="456" t="s">
        <v>118</v>
      </c>
      <c r="C103" s="457" t="str">
        <f>表1温室气体盘查表!C80</f>
        <v>汽运</v>
      </c>
      <c r="D103" s="463" t="str">
        <f>表1温室气体盘查表!D80</f>
        <v>-</v>
      </c>
      <c r="F103" s="458">
        <f>表1温室气体盘查表!AL80</f>
        <v>46150.511872324103</v>
      </c>
      <c r="G103" s="458">
        <f>表1温室气体盘查表!AE80</f>
        <v>46150.511872324103</v>
      </c>
      <c r="H103" s="458">
        <f>表1温室气体盘查表!AF80</f>
        <v>0</v>
      </c>
      <c r="I103" s="458">
        <f>表1温室气体盘查表!AG80</f>
        <v>0</v>
      </c>
      <c r="J103" s="458">
        <f>表1温室气体盘查表!AH80</f>
        <v>0</v>
      </c>
      <c r="K103" s="458">
        <f>表1温室气体盘查表!AI80</f>
        <v>0</v>
      </c>
      <c r="L103" s="458">
        <f>表1温室气体盘查表!AJ80</f>
        <v>0</v>
      </c>
      <c r="M103" s="458">
        <f>表1温室气体盘查表!AK80</f>
        <v>0</v>
      </c>
    </row>
    <row r="104" spans="1:13" s="385" customFormat="1" ht="25.15" customHeight="1">
      <c r="A104" s="395"/>
      <c r="B104" s="456" t="s">
        <v>119</v>
      </c>
      <c r="C104" s="457" t="str">
        <f>表1温室气体盘查表!C81</f>
        <v>铁路运输</v>
      </c>
      <c r="D104" s="463" t="str">
        <f>表1温室气体盘查表!D81</f>
        <v>-</v>
      </c>
      <c r="F104" s="458">
        <f>表1温室气体盘查表!AL81</f>
        <v>59524.771711027199</v>
      </c>
      <c r="G104" s="458">
        <f>表1温室气体盘查表!AE81</f>
        <v>59524.771711027199</v>
      </c>
      <c r="H104" s="458">
        <f>表1温室气体盘查表!AF81</f>
        <v>0</v>
      </c>
      <c r="I104" s="458">
        <f>表1温室气体盘查表!AG81</f>
        <v>0</v>
      </c>
      <c r="J104" s="458">
        <f>表1温室气体盘查表!AH81</f>
        <v>0</v>
      </c>
      <c r="K104" s="458">
        <f>表1温室气体盘查表!AI81</f>
        <v>0</v>
      </c>
      <c r="L104" s="458">
        <f>表1温室气体盘查表!AJ81</f>
        <v>0</v>
      </c>
      <c r="M104" s="458">
        <f>表1温室气体盘查表!AK81</f>
        <v>0</v>
      </c>
    </row>
    <row r="105" spans="1:13" s="385" customFormat="1" ht="25.15" customHeight="1">
      <c r="A105" s="395"/>
      <c r="B105" s="495"/>
      <c r="C105" s="496"/>
      <c r="D105" s="496"/>
      <c r="E105" s="387"/>
      <c r="F105" s="497"/>
      <c r="G105" s="497"/>
      <c r="H105" s="497"/>
      <c r="I105" s="497"/>
      <c r="J105" s="497"/>
      <c r="K105" s="497"/>
      <c r="L105" s="497"/>
      <c r="M105" s="497"/>
    </row>
    <row r="106" spans="1:13" s="385" customFormat="1" ht="25.15" customHeight="1">
      <c r="A106" s="395"/>
      <c r="B106" s="490" t="s">
        <v>120</v>
      </c>
      <c r="C106" s="491" t="str">
        <f>表1温室气体盘查表!B82</f>
        <v>运营中产生的废物排放</v>
      </c>
      <c r="D106" s="492"/>
      <c r="E106" s="493"/>
      <c r="F106" s="465">
        <f>SUM(G106:M106)</f>
        <v>147636.03187622401</v>
      </c>
      <c r="G106" s="465">
        <f>SUM(G107:G111)</f>
        <v>147636.03187622401</v>
      </c>
      <c r="H106" s="465">
        <f t="shared" ref="H106:M106" si="12">SUM(H107)</f>
        <v>0</v>
      </c>
      <c r="I106" s="465">
        <f t="shared" si="12"/>
        <v>0</v>
      </c>
      <c r="J106" s="465">
        <f t="shared" si="12"/>
        <v>0</v>
      </c>
      <c r="K106" s="465">
        <f t="shared" si="12"/>
        <v>0</v>
      </c>
      <c r="L106" s="465">
        <f t="shared" si="12"/>
        <v>0</v>
      </c>
      <c r="M106" s="465">
        <f t="shared" si="12"/>
        <v>0</v>
      </c>
    </row>
    <row r="107" spans="1:13" s="385" customFormat="1" ht="25.15" customHeight="1">
      <c r="A107" s="395"/>
      <c r="B107" s="456" t="s">
        <v>121</v>
      </c>
      <c r="C107" s="457" t="str">
        <f>表1温室气体盘查表!C82</f>
        <v>生活垃圾和厨余垃圾</v>
      </c>
      <c r="D107" s="457" t="str">
        <f>表1温室气体盘查表!D82</f>
        <v>垃圾站</v>
      </c>
      <c r="F107" s="458">
        <f>表1温室气体盘查表!AL82</f>
        <v>969.24192968968396</v>
      </c>
      <c r="G107" s="458">
        <f>表1温室气体盘查表!AE82</f>
        <v>969.24192968968396</v>
      </c>
      <c r="H107" s="458">
        <f>表1温室气体盘查表!AF82</f>
        <v>0</v>
      </c>
      <c r="I107" s="458">
        <f>表1温室气体盘查表!AG82</f>
        <v>0</v>
      </c>
      <c r="J107" s="458">
        <f>表1温室气体盘查表!AH82</f>
        <v>0</v>
      </c>
      <c r="K107" s="458">
        <f>表1温室气体盘查表!AI82</f>
        <v>0</v>
      </c>
      <c r="L107" s="458">
        <f>表1温室气体盘查表!AJ82</f>
        <v>0</v>
      </c>
      <c r="M107" s="458">
        <f>表1温室气体盘查表!AK82</f>
        <v>0</v>
      </c>
    </row>
    <row r="108" spans="1:13" s="385" customFormat="1" ht="25.15" customHeight="1">
      <c r="A108" s="395"/>
      <c r="B108" s="456" t="s">
        <v>122</v>
      </c>
      <c r="C108" s="457" t="str">
        <f>表1温室气体盘查表!C83</f>
        <v>废油</v>
      </c>
      <c r="D108" s="457" t="str">
        <f>表1温室气体盘查表!D83</f>
        <v>-</v>
      </c>
      <c r="F108" s="458">
        <f>表1温室气体盘查表!AL83</f>
        <v>104.70284557036101</v>
      </c>
      <c r="G108" s="458">
        <f>表1温室气体盘查表!AE83</f>
        <v>104.70284557036101</v>
      </c>
      <c r="H108" s="458">
        <f>表1温室气体盘查表!AF83</f>
        <v>0</v>
      </c>
      <c r="I108" s="458">
        <f>表1温室气体盘查表!AG83</f>
        <v>0</v>
      </c>
      <c r="J108" s="458">
        <f>表1温室气体盘查表!AH83</f>
        <v>0</v>
      </c>
      <c r="K108" s="458">
        <f>表1温室气体盘查表!AI83</f>
        <v>0</v>
      </c>
      <c r="L108" s="458">
        <f>表1温室气体盘查表!AJ83</f>
        <v>0</v>
      </c>
      <c r="M108" s="458">
        <f>表1温室气体盘查表!AK83</f>
        <v>0</v>
      </c>
    </row>
    <row r="109" spans="1:13" s="385" customFormat="1" ht="25.15" customHeight="1">
      <c r="A109" s="395"/>
      <c r="B109" s="456" t="s">
        <v>123</v>
      </c>
      <c r="C109" s="457" t="str">
        <f>表1温室气体盘查表!C84</f>
        <v>废油水</v>
      </c>
      <c r="D109" s="457" t="str">
        <f>表1温室气体盘查表!D84</f>
        <v>-</v>
      </c>
      <c r="F109" s="458">
        <f>表1温室气体盘查表!AL84</f>
        <v>653.85858662306896</v>
      </c>
      <c r="G109" s="458">
        <f>表1温室气体盘查表!AE84</f>
        <v>653.85858662306896</v>
      </c>
      <c r="H109" s="458">
        <f>表1温室气体盘查表!AF84</f>
        <v>0</v>
      </c>
      <c r="I109" s="458">
        <f>表1温室气体盘查表!AG84</f>
        <v>0</v>
      </c>
      <c r="J109" s="458">
        <f>表1温室气体盘查表!AH84</f>
        <v>0</v>
      </c>
      <c r="K109" s="458">
        <f>表1温室气体盘查表!AI84</f>
        <v>0</v>
      </c>
      <c r="L109" s="458">
        <f>表1温室气体盘查表!AJ84</f>
        <v>0</v>
      </c>
      <c r="M109" s="458">
        <f>表1温室气体盘查表!AK84</f>
        <v>0</v>
      </c>
    </row>
    <row r="110" spans="1:13" s="385" customFormat="1" ht="25.15" customHeight="1">
      <c r="A110" s="395"/>
      <c r="B110" s="456" t="s">
        <v>124</v>
      </c>
      <c r="C110" s="457" t="str">
        <f>表1温室气体盘查表!C85</f>
        <v>煤焦油</v>
      </c>
      <c r="D110" s="457" t="str">
        <f>表1温室气体盘查表!D85</f>
        <v>-</v>
      </c>
      <c r="F110" s="458">
        <f>表1温室气体盘查表!AL85</f>
        <v>145058.803127058</v>
      </c>
      <c r="G110" s="458">
        <f>表1温室气体盘查表!AE85</f>
        <v>145058.803127058</v>
      </c>
      <c r="H110" s="458">
        <f>表1温室气体盘查表!AF85</f>
        <v>0</v>
      </c>
      <c r="I110" s="458">
        <f>表1温室气体盘查表!AG85</f>
        <v>0</v>
      </c>
      <c r="J110" s="458">
        <f>表1温室气体盘查表!AH85</f>
        <v>0</v>
      </c>
      <c r="K110" s="458">
        <f>表1温室气体盘查表!AI85</f>
        <v>0</v>
      </c>
      <c r="L110" s="458">
        <f>表1温室气体盘查表!AJ85</f>
        <v>0</v>
      </c>
      <c r="M110" s="458">
        <f>表1温室气体盘查表!AK85</f>
        <v>0</v>
      </c>
    </row>
    <row r="111" spans="1:13" s="385" customFormat="1" ht="25.15" customHeight="1">
      <c r="A111" s="395"/>
      <c r="B111" s="456" t="s">
        <v>125</v>
      </c>
      <c r="C111" s="457" t="str">
        <f>表1温室气体盘查表!C86</f>
        <v>废弃物运输</v>
      </c>
      <c r="D111" s="457" t="str">
        <f>表1温室气体盘查表!D86</f>
        <v>-</v>
      </c>
      <c r="F111" s="458">
        <f>表1温室气体盘查表!AL86</f>
        <v>849.425387283242</v>
      </c>
      <c r="G111" s="458">
        <f>表1温室气体盘查表!AE86</f>
        <v>849.425387283242</v>
      </c>
      <c r="H111" s="458">
        <f>表1温室气体盘查表!AF86</f>
        <v>0</v>
      </c>
      <c r="I111" s="458">
        <f>表1温室气体盘查表!AG86</f>
        <v>0</v>
      </c>
      <c r="J111" s="458">
        <f>表1温室气体盘查表!AH86</f>
        <v>0</v>
      </c>
      <c r="K111" s="458">
        <f>表1温室气体盘查表!AI86</f>
        <v>0</v>
      </c>
      <c r="L111" s="458">
        <f>表1温室气体盘查表!AJ86</f>
        <v>0</v>
      </c>
      <c r="M111" s="458">
        <f>表1温室气体盘查表!AK86</f>
        <v>0</v>
      </c>
    </row>
    <row r="112" spans="1:13" s="385" customFormat="1" ht="25.15" customHeight="1">
      <c r="A112" s="395"/>
      <c r="B112" s="495"/>
      <c r="C112" s="496"/>
      <c r="D112" s="496"/>
      <c r="E112" s="387"/>
      <c r="F112" s="497"/>
      <c r="G112" s="497"/>
      <c r="H112" s="497"/>
      <c r="I112" s="497"/>
      <c r="J112" s="497"/>
      <c r="K112" s="497"/>
      <c r="L112" s="497"/>
      <c r="M112" s="497"/>
    </row>
    <row r="113" spans="1:13" s="385" customFormat="1" ht="25.15" customHeight="1">
      <c r="A113" s="395"/>
      <c r="B113" s="490" t="s">
        <v>126</v>
      </c>
      <c r="C113" s="491" t="str">
        <f>表1温室气体盘查表!B87</f>
        <v>商务旅行产生的排放</v>
      </c>
      <c r="D113" s="492"/>
      <c r="E113" s="493"/>
      <c r="F113" s="465">
        <f>SUM(G113:M113)</f>
        <v>1670.17345373528</v>
      </c>
      <c r="G113" s="465">
        <f>SUM(G114:G116)</f>
        <v>1670.17345373528</v>
      </c>
      <c r="H113" s="465">
        <f t="shared" ref="H113:M113" si="13">SUM(H114:H115)</f>
        <v>0</v>
      </c>
      <c r="I113" s="465">
        <f t="shared" si="13"/>
        <v>0</v>
      </c>
      <c r="J113" s="465">
        <f t="shared" si="13"/>
        <v>0</v>
      </c>
      <c r="K113" s="465">
        <f t="shared" si="13"/>
        <v>0</v>
      </c>
      <c r="L113" s="465">
        <f t="shared" si="13"/>
        <v>0</v>
      </c>
      <c r="M113" s="465">
        <f t="shared" si="13"/>
        <v>0</v>
      </c>
    </row>
    <row r="114" spans="1:13" s="385" customFormat="1" ht="25.15" customHeight="1">
      <c r="A114" s="395"/>
      <c r="B114" s="479" t="s">
        <v>127</v>
      </c>
      <c r="C114" s="480" t="str">
        <f>表1温室气体盘查表!C87</f>
        <v>航运</v>
      </c>
      <c r="D114" s="498" t="str">
        <f>表1温室气体盘查表!D87</f>
        <v>-</v>
      </c>
      <c r="E114" s="388"/>
      <c r="F114" s="458">
        <f>表1温室气体盘查表!AL87</f>
        <v>327.76098852000001</v>
      </c>
      <c r="G114" s="458">
        <f>表1温室气体盘查表!AE87</f>
        <v>327.76098852000001</v>
      </c>
      <c r="H114" s="458">
        <f>表1温室气体盘查表!AF87</f>
        <v>0</v>
      </c>
      <c r="I114" s="458">
        <f>表1温室气体盘查表!AG87</f>
        <v>0</v>
      </c>
      <c r="J114" s="458">
        <f>表1温室气体盘查表!AH87</f>
        <v>0</v>
      </c>
      <c r="K114" s="458">
        <f>表1温室气体盘查表!AI87</f>
        <v>0</v>
      </c>
      <c r="L114" s="458">
        <f>表1温室气体盘查表!AJ87</f>
        <v>0</v>
      </c>
      <c r="M114" s="458">
        <f>表1温室气体盘查表!AK87</f>
        <v>0</v>
      </c>
    </row>
    <row r="115" spans="1:13" s="385" customFormat="1" ht="25.15" customHeight="1">
      <c r="A115" s="395"/>
      <c r="B115" s="479" t="s">
        <v>128</v>
      </c>
      <c r="C115" s="480" t="str">
        <f>表1温室气体盘查表!C88</f>
        <v>铁路运输</v>
      </c>
      <c r="D115" s="498" t="str">
        <f>表1温室气体盘查表!D88</f>
        <v>-</v>
      </c>
      <c r="E115" s="388"/>
      <c r="F115" s="458">
        <f>表1温室气体盘查表!AL88</f>
        <v>619.78796521528295</v>
      </c>
      <c r="G115" s="458">
        <f>表1温室气体盘查表!AE88</f>
        <v>619.78796521528295</v>
      </c>
      <c r="H115" s="458">
        <f>表1温室气体盘查表!AF88</f>
        <v>0</v>
      </c>
      <c r="I115" s="458">
        <f>表1温室气体盘查表!AG88</f>
        <v>0</v>
      </c>
      <c r="J115" s="458">
        <f>表1温室气体盘查表!AH88</f>
        <v>0</v>
      </c>
      <c r="K115" s="458">
        <f>表1温室气体盘查表!AI88</f>
        <v>0</v>
      </c>
      <c r="L115" s="458">
        <f>表1温室气体盘查表!AJ88</f>
        <v>0</v>
      </c>
      <c r="M115" s="458">
        <f>表1温室气体盘查表!AK88</f>
        <v>0</v>
      </c>
    </row>
    <row r="116" spans="1:13" s="385" customFormat="1" ht="25.15" customHeight="1">
      <c r="A116" s="395"/>
      <c r="B116" s="479" t="s">
        <v>129</v>
      </c>
      <c r="C116" s="480" t="str">
        <f>表1温室气体盘查表!C89</f>
        <v>员工差旅住宿</v>
      </c>
      <c r="D116" s="498" t="str">
        <f>表1温室气体盘查表!D89</f>
        <v>-</v>
      </c>
      <c r="E116" s="388"/>
      <c r="F116" s="458">
        <f>表1温室气体盘查表!AL89</f>
        <v>722.62450000000001</v>
      </c>
      <c r="G116" s="458">
        <f>表1温室气体盘查表!AE89</f>
        <v>722.62450000000001</v>
      </c>
      <c r="H116" s="458">
        <f>表1温室气体盘查表!AF89</f>
        <v>0</v>
      </c>
      <c r="I116" s="458">
        <f>表1温室气体盘查表!AG89</f>
        <v>0</v>
      </c>
      <c r="J116" s="458">
        <f>表1温室气体盘查表!AH89</f>
        <v>0</v>
      </c>
      <c r="K116" s="458">
        <f>表1温室气体盘查表!AI89</f>
        <v>0</v>
      </c>
      <c r="L116" s="458">
        <f>表1温室气体盘查表!AJ89</f>
        <v>0</v>
      </c>
      <c r="M116" s="458">
        <f>表1温室气体盘查表!AK89</f>
        <v>0</v>
      </c>
    </row>
    <row r="117" spans="1:13" s="385" customFormat="1" ht="25.15" customHeight="1">
      <c r="A117" s="395"/>
      <c r="B117" s="495"/>
      <c r="C117" s="496"/>
      <c r="D117" s="496"/>
      <c r="E117" s="387"/>
      <c r="F117" s="497"/>
      <c r="G117" s="497"/>
      <c r="H117" s="497"/>
      <c r="I117" s="497"/>
      <c r="J117" s="497"/>
      <c r="K117" s="497"/>
      <c r="L117" s="497"/>
      <c r="M117" s="497"/>
    </row>
    <row r="118" spans="1:13" s="385" customFormat="1" ht="25.15" customHeight="1">
      <c r="A118" s="395"/>
      <c r="B118" s="499" t="s">
        <v>130</v>
      </c>
      <c r="C118" s="500" t="str">
        <f>表1温室气体盘查表!B90</f>
        <v>员工通勤产生的排放</v>
      </c>
      <c r="D118" s="501"/>
      <c r="E118" s="493"/>
      <c r="F118" s="465">
        <f>SUM(G118:M118)</f>
        <v>13322.57648759</v>
      </c>
      <c r="G118" s="465">
        <f t="shared" ref="G118:M118" si="14">SUM(G119:G122)</f>
        <v>13322.57648759</v>
      </c>
      <c r="H118" s="465">
        <f t="shared" si="14"/>
        <v>0</v>
      </c>
      <c r="I118" s="465">
        <f t="shared" si="14"/>
        <v>0</v>
      </c>
      <c r="J118" s="465">
        <f t="shared" si="14"/>
        <v>0</v>
      </c>
      <c r="K118" s="465">
        <f t="shared" si="14"/>
        <v>0</v>
      </c>
      <c r="L118" s="465">
        <f t="shared" si="14"/>
        <v>0</v>
      </c>
      <c r="M118" s="465">
        <f t="shared" si="14"/>
        <v>0</v>
      </c>
    </row>
    <row r="119" spans="1:13" s="385" customFormat="1" ht="25.15" customHeight="1">
      <c r="A119" s="395"/>
      <c r="B119" s="498" t="s">
        <v>131</v>
      </c>
      <c r="C119" s="481" t="str">
        <f>表1温室气体盘查表!C90</f>
        <v>通勤车</v>
      </c>
      <c r="D119" s="502" t="str">
        <f>表1温室气体盘查表!D90</f>
        <v>-</v>
      </c>
      <c r="E119" s="503"/>
      <c r="F119" s="458">
        <f>表1温室气体盘查表!AL90</f>
        <v>111.2064536</v>
      </c>
      <c r="G119" s="458">
        <f>表1温室气体盘查表!AE90</f>
        <v>111.2064536</v>
      </c>
      <c r="H119" s="458">
        <f>表1温室气体盘查表!AF90</f>
        <v>0</v>
      </c>
      <c r="I119" s="458">
        <f>表1温室气体盘查表!AG90</f>
        <v>0</v>
      </c>
      <c r="J119" s="458">
        <f>表1温室气体盘查表!AH90</f>
        <v>0</v>
      </c>
      <c r="K119" s="458">
        <f>表1温室气体盘查表!AI90</f>
        <v>0</v>
      </c>
      <c r="L119" s="458">
        <f>表1温室气体盘查表!AJ90</f>
        <v>0</v>
      </c>
      <c r="M119" s="458">
        <f>表1温室气体盘查表!AK90</f>
        <v>0</v>
      </c>
    </row>
    <row r="120" spans="1:13" s="385" customFormat="1" ht="25.15" customHeight="1">
      <c r="A120" s="395"/>
      <c r="B120" s="498" t="s">
        <v>132</v>
      </c>
      <c r="C120" s="481" t="str">
        <f>表1温室气体盘查表!C91</f>
        <v>电动车</v>
      </c>
      <c r="D120" s="502" t="str">
        <f>表1温室气体盘查表!D91</f>
        <v>-</v>
      </c>
      <c r="E120" s="503"/>
      <c r="F120" s="458">
        <f>表1温室气体盘查表!AL91</f>
        <v>474.51537913020297</v>
      </c>
      <c r="G120" s="458">
        <f>表1温室气体盘查表!AE91</f>
        <v>474.51537913020297</v>
      </c>
      <c r="H120" s="458">
        <f>表1温室气体盘查表!AF91</f>
        <v>0</v>
      </c>
      <c r="I120" s="458">
        <f>表1温室气体盘查表!AG91</f>
        <v>0</v>
      </c>
      <c r="J120" s="458">
        <f>表1温室气体盘查表!AH91</f>
        <v>0</v>
      </c>
      <c r="K120" s="458">
        <f>表1温室气体盘查表!AI91</f>
        <v>0</v>
      </c>
      <c r="L120" s="458">
        <f>表1温室气体盘查表!AJ91</f>
        <v>0</v>
      </c>
      <c r="M120" s="458">
        <f>表1温室气体盘查表!AK91</f>
        <v>0</v>
      </c>
    </row>
    <row r="121" spans="1:13" s="385" customFormat="1" ht="25.15" customHeight="1">
      <c r="A121" s="395"/>
      <c r="B121" s="498" t="s">
        <v>133</v>
      </c>
      <c r="C121" s="481" t="str">
        <f>表1温室气体盘查表!C92</f>
        <v>自驾油车</v>
      </c>
      <c r="D121" s="502" t="str">
        <f>表1温室气体盘查表!D92</f>
        <v>-</v>
      </c>
      <c r="E121" s="504"/>
      <c r="F121" s="458">
        <f>表1温室气体盘查表!AL92</f>
        <v>11664.728842161199</v>
      </c>
      <c r="G121" s="458">
        <f>表1温室气体盘查表!AE92</f>
        <v>11664.728842161199</v>
      </c>
      <c r="H121" s="458">
        <f>表1温室气体盘查表!AF92</f>
        <v>0</v>
      </c>
      <c r="I121" s="458">
        <f>表1温室气体盘查表!AG92</f>
        <v>0</v>
      </c>
      <c r="J121" s="458">
        <f>表1温室气体盘查表!AH92</f>
        <v>0</v>
      </c>
      <c r="K121" s="458">
        <f>表1温室气体盘查表!AI92</f>
        <v>0</v>
      </c>
      <c r="L121" s="458">
        <f>表1温室气体盘查表!AJ92</f>
        <v>0</v>
      </c>
      <c r="M121" s="458">
        <f>表1温室气体盘查表!AK92</f>
        <v>0</v>
      </c>
    </row>
    <row r="122" spans="1:13" s="385" customFormat="1" ht="25.15" customHeight="1">
      <c r="A122" s="395"/>
      <c r="B122" s="498" t="s">
        <v>134</v>
      </c>
      <c r="C122" s="481" t="str">
        <f>表1温室气体盘查表!C93</f>
        <v>自驾电车</v>
      </c>
      <c r="D122" s="502" t="str">
        <f>表1温室气体盘查表!D93</f>
        <v>-</v>
      </c>
      <c r="E122" s="505"/>
      <c r="F122" s="458">
        <f>表1温室气体盘查表!AL93</f>
        <v>1072.1258126986399</v>
      </c>
      <c r="G122" s="458">
        <f>表1温室气体盘查表!AE93</f>
        <v>1072.1258126986399</v>
      </c>
      <c r="H122" s="458">
        <f>表1温室气体盘查表!AF93</f>
        <v>0</v>
      </c>
      <c r="I122" s="458">
        <f>表1温室气体盘查表!AG93</f>
        <v>0</v>
      </c>
      <c r="J122" s="458">
        <f>表1温室气体盘查表!AH93</f>
        <v>0</v>
      </c>
      <c r="K122" s="458">
        <f>表1温室气体盘查表!AI93</f>
        <v>0</v>
      </c>
      <c r="L122" s="458">
        <f>表1温室气体盘查表!AJ93</f>
        <v>0</v>
      </c>
      <c r="M122" s="458">
        <f>表1温室气体盘查表!AK93</f>
        <v>0</v>
      </c>
    </row>
    <row r="123" spans="1:13" s="385" customFormat="1" ht="25.15" customHeight="1">
      <c r="A123" s="395"/>
      <c r="B123" s="506"/>
      <c r="C123" s="507"/>
      <c r="D123" s="507"/>
      <c r="E123" s="508"/>
      <c r="F123" s="509"/>
      <c r="G123" s="509"/>
      <c r="H123" s="509"/>
      <c r="I123" s="509"/>
      <c r="J123" s="509"/>
      <c r="K123" s="509"/>
      <c r="L123" s="509"/>
      <c r="M123" s="509"/>
    </row>
    <row r="124" spans="1:13" s="385" customFormat="1" ht="25.15" customHeight="1">
      <c r="A124" s="395"/>
      <c r="B124" s="499" t="s">
        <v>135</v>
      </c>
      <c r="C124" s="500" t="str">
        <f>表1温室气体盘查表!B94</f>
        <v>下游运输配送产生的排放</v>
      </c>
      <c r="D124" s="501"/>
      <c r="E124" s="493"/>
      <c r="F124" s="465">
        <f>SUM(G124:M124)</f>
        <v>274585.60716191097</v>
      </c>
      <c r="G124" s="465">
        <f>SUM(G125:G128)</f>
        <v>274585.60716191097</v>
      </c>
      <c r="H124" s="465">
        <f t="shared" ref="H124:M124" si="15">SUM(H125:H127)</f>
        <v>0</v>
      </c>
      <c r="I124" s="465">
        <f t="shared" si="15"/>
        <v>0</v>
      </c>
      <c r="J124" s="465">
        <f t="shared" si="15"/>
        <v>0</v>
      </c>
      <c r="K124" s="465">
        <f t="shared" si="15"/>
        <v>0</v>
      </c>
      <c r="L124" s="465">
        <f t="shared" si="15"/>
        <v>0</v>
      </c>
      <c r="M124" s="465">
        <f t="shared" si="15"/>
        <v>0</v>
      </c>
    </row>
    <row r="125" spans="1:13" s="385" customFormat="1" ht="25.15" customHeight="1">
      <c r="A125" s="395"/>
      <c r="B125" s="498" t="s">
        <v>136</v>
      </c>
      <c r="C125" s="481" t="str">
        <f>表1温室气体盘查表!C94</f>
        <v>船运</v>
      </c>
      <c r="D125" s="502" t="str">
        <f>表1温室气体盘查表!D94</f>
        <v>-</v>
      </c>
      <c r="E125" s="503"/>
      <c r="F125" s="458">
        <f>表1温室气体盘查表!AL94</f>
        <v>53478.1555212475</v>
      </c>
      <c r="G125" s="458">
        <f>表1温室气体盘查表!AE94</f>
        <v>53478.1555212475</v>
      </c>
      <c r="H125" s="458">
        <f>表1温室气体盘查表!AF94</f>
        <v>0</v>
      </c>
      <c r="I125" s="458">
        <f>表1温室气体盘查表!AG94</f>
        <v>0</v>
      </c>
      <c r="J125" s="458">
        <f>表1温室气体盘查表!AH94</f>
        <v>0</v>
      </c>
      <c r="K125" s="458">
        <f>表1温室气体盘查表!AI94</f>
        <v>0</v>
      </c>
      <c r="L125" s="458">
        <f>表1温室气体盘查表!AJ94</f>
        <v>0</v>
      </c>
      <c r="M125" s="458">
        <f>表1温室气体盘查表!AK94</f>
        <v>0</v>
      </c>
    </row>
    <row r="126" spans="1:13" s="385" customFormat="1" ht="25.15" customHeight="1">
      <c r="A126" s="395"/>
      <c r="B126" s="498" t="s">
        <v>137</v>
      </c>
      <c r="C126" s="481" t="str">
        <f>表1温室气体盘查表!C95</f>
        <v>汽运</v>
      </c>
      <c r="D126" s="502" t="str">
        <f>表1温室气体盘查表!D95</f>
        <v>-</v>
      </c>
      <c r="E126" s="503"/>
      <c r="F126" s="458">
        <f>表1温室气体盘查表!AL95</f>
        <v>208049.48583902899</v>
      </c>
      <c r="G126" s="458">
        <f>表1温室气体盘查表!AE95</f>
        <v>208049.48583902899</v>
      </c>
      <c r="H126" s="458">
        <f>表1温室气体盘查表!AF95</f>
        <v>0</v>
      </c>
      <c r="I126" s="458">
        <f>表1温室气体盘查表!AG95</f>
        <v>0</v>
      </c>
      <c r="J126" s="458">
        <f>表1温室气体盘查表!AH95</f>
        <v>0</v>
      </c>
      <c r="K126" s="458">
        <f>表1温室气体盘查表!AI95</f>
        <v>0</v>
      </c>
      <c r="L126" s="458">
        <f>表1温室气体盘查表!AJ95</f>
        <v>0</v>
      </c>
      <c r="M126" s="458">
        <f>表1温室气体盘查表!AK95</f>
        <v>0</v>
      </c>
    </row>
    <row r="127" spans="1:13" s="385" customFormat="1" ht="25.15" customHeight="1">
      <c r="A127" s="395"/>
      <c r="B127" s="498" t="s">
        <v>138</v>
      </c>
      <c r="C127" s="481" t="str">
        <f>表1温室气体盘查表!C96</f>
        <v>铁路运输</v>
      </c>
      <c r="D127" s="502" t="str">
        <f>表1温室气体盘查表!D96</f>
        <v>-</v>
      </c>
      <c r="E127" s="504"/>
      <c r="F127" s="458">
        <f>表1温室气体盘查表!AL96</f>
        <v>11086.4717529011</v>
      </c>
      <c r="G127" s="458">
        <f>表1温室气体盘查表!AE96</f>
        <v>11086.4717529011</v>
      </c>
      <c r="H127" s="458">
        <f>表1温室气体盘查表!AF96</f>
        <v>0</v>
      </c>
      <c r="I127" s="458">
        <f>表1温室气体盘查表!AG96</f>
        <v>0</v>
      </c>
      <c r="J127" s="458">
        <f>表1温室气体盘查表!AH96</f>
        <v>0</v>
      </c>
      <c r="K127" s="458">
        <f>表1温室气体盘查表!AI96</f>
        <v>0</v>
      </c>
      <c r="L127" s="458">
        <f>表1温室气体盘查表!AJ96</f>
        <v>0</v>
      </c>
      <c r="M127" s="458">
        <f>表1温室气体盘查表!AK96</f>
        <v>0</v>
      </c>
    </row>
    <row r="128" spans="1:13" s="385" customFormat="1" ht="25.15" customHeight="1">
      <c r="A128" s="395"/>
      <c r="B128" s="498" t="s">
        <v>139</v>
      </c>
      <c r="C128" s="481" t="str">
        <f>表1温室气体盘查表!C97</f>
        <v>汽运-副产品</v>
      </c>
      <c r="D128" s="502" t="str">
        <f>表1温室气体盘查表!D97</f>
        <v>-</v>
      </c>
      <c r="E128" s="504"/>
      <c r="F128" s="458">
        <f>表1温室气体盘查表!AL97</f>
        <v>1971.49404873413</v>
      </c>
      <c r="G128" s="458">
        <f>表1温室气体盘查表!AE97</f>
        <v>1971.49404873413</v>
      </c>
      <c r="H128" s="458">
        <f>表1温室气体盘查表!AF97</f>
        <v>0</v>
      </c>
      <c r="I128" s="458">
        <f>表1温室气体盘查表!AG97</f>
        <v>0</v>
      </c>
      <c r="J128" s="458">
        <f>表1温室气体盘查表!AH97</f>
        <v>0</v>
      </c>
      <c r="K128" s="458">
        <f>表1温室气体盘查表!AI97</f>
        <v>0</v>
      </c>
      <c r="L128" s="458">
        <f>表1温室气体盘查表!AJ97</f>
        <v>0</v>
      </c>
      <c r="M128" s="458">
        <f>表1温室气体盘查表!AK97</f>
        <v>0</v>
      </c>
    </row>
    <row r="129" spans="1:13" s="385" customFormat="1" ht="25.15" customHeight="1">
      <c r="A129" s="395"/>
      <c r="B129" s="506"/>
      <c r="C129" s="507"/>
      <c r="D129" s="507"/>
      <c r="E129" s="508"/>
      <c r="F129" s="509"/>
      <c r="G129" s="509"/>
      <c r="H129" s="509"/>
      <c r="I129" s="509"/>
      <c r="J129" s="509"/>
      <c r="K129" s="509"/>
      <c r="L129" s="509"/>
      <c r="M129" s="509"/>
    </row>
    <row r="130" spans="1:13" s="385" customFormat="1" ht="26.25" customHeight="1">
      <c r="A130" s="395"/>
      <c r="B130" s="499" t="s">
        <v>140</v>
      </c>
      <c r="C130" s="500" t="str">
        <f>表1温室气体盘查表!B98</f>
        <v>外销产品加工产生的排放</v>
      </c>
      <c r="D130" s="501"/>
      <c r="E130" s="493"/>
      <c r="F130" s="465">
        <f>SUM(G130:M130)</f>
        <v>1746619.9596895301</v>
      </c>
      <c r="G130" s="465">
        <f>SUM(G131:G134)</f>
        <v>1746619.9596895301</v>
      </c>
      <c r="H130" s="465">
        <f>SUM(H131:H132)</f>
        <v>0</v>
      </c>
      <c r="I130" s="465">
        <f>SUM(I131:I132)</f>
        <v>0</v>
      </c>
      <c r="J130" s="465">
        <f>SUM(J131:J132)</f>
        <v>0</v>
      </c>
      <c r="K130" s="465">
        <f>SUM(K131:K132)</f>
        <v>0</v>
      </c>
      <c r="L130" s="465">
        <f>SUM(L131:L132)</f>
        <v>0</v>
      </c>
      <c r="M130" s="465">
        <f>SUM(M131:M133)</f>
        <v>0</v>
      </c>
    </row>
    <row r="131" spans="1:13" s="385" customFormat="1" ht="26.25" customHeight="1">
      <c r="A131" s="395"/>
      <c r="B131" s="498" t="s">
        <v>141</v>
      </c>
      <c r="C131" s="481" t="str">
        <f>表1温室气体盘查表!C98</f>
        <v>锻材加工</v>
      </c>
      <c r="D131" s="481" t="str">
        <f>表1温室气体盘查表!D98</f>
        <v>下游钢铁厂</v>
      </c>
      <c r="E131" s="503"/>
      <c r="F131" s="458">
        <f>表1温室气体盘查表!AL98</f>
        <v>113275.661420512</v>
      </c>
      <c r="G131" s="458">
        <f>表1温室气体盘查表!AE98</f>
        <v>113275.661420512</v>
      </c>
      <c r="H131" s="458">
        <f>表1温室气体盘查表!AF98</f>
        <v>0</v>
      </c>
      <c r="I131" s="458">
        <f>表1温室气体盘查表!AG98</f>
        <v>0</v>
      </c>
      <c r="J131" s="458">
        <f>表1温室气体盘查表!AH98</f>
        <v>0</v>
      </c>
      <c r="K131" s="458">
        <f>表1温室气体盘查表!AI98</f>
        <v>0</v>
      </c>
      <c r="L131" s="458">
        <f>表1温室气体盘查表!AJ98</f>
        <v>0</v>
      </c>
      <c r="M131" s="458">
        <f>表1温室气体盘查表!AK98</f>
        <v>0</v>
      </c>
    </row>
    <row r="132" spans="1:13" s="385" customFormat="1" ht="26.25" customHeight="1">
      <c r="A132" s="395"/>
      <c r="B132" s="498" t="s">
        <v>142</v>
      </c>
      <c r="C132" s="481" t="str">
        <f>表1温室气体盘查表!C99</f>
        <v>棒材加工</v>
      </c>
      <c r="D132" s="481" t="str">
        <f>表1温室气体盘查表!D99</f>
        <v>下游钢铁厂</v>
      </c>
      <c r="E132" s="504"/>
      <c r="F132" s="458">
        <f>表1温室气体盘查表!AL99</f>
        <v>1357195.22298588</v>
      </c>
      <c r="G132" s="458">
        <f>表1温室气体盘查表!AE99</f>
        <v>1357195.22298588</v>
      </c>
      <c r="H132" s="458">
        <f>表1温室气体盘查表!AF99</f>
        <v>0</v>
      </c>
      <c r="I132" s="458">
        <f>表1温室气体盘查表!AG99</f>
        <v>0</v>
      </c>
      <c r="J132" s="458">
        <f>表1温室气体盘查表!AH99</f>
        <v>0</v>
      </c>
      <c r="K132" s="458">
        <f>表1温室气体盘查表!AI99</f>
        <v>0</v>
      </c>
      <c r="L132" s="458">
        <f>表1温室气体盘查表!AJ99</f>
        <v>0</v>
      </c>
      <c r="M132" s="458">
        <f>表1温室气体盘查表!AK99</f>
        <v>0</v>
      </c>
    </row>
    <row r="133" spans="1:13" s="385" customFormat="1" ht="26.25" customHeight="1">
      <c r="A133" s="395"/>
      <c r="B133" s="498" t="s">
        <v>143</v>
      </c>
      <c r="C133" s="481" t="str">
        <f>表1温室气体盘查表!C100</f>
        <v>钢管加工</v>
      </c>
      <c r="D133" s="481" t="str">
        <f>表1温室气体盘查表!D100</f>
        <v>下游钢铁厂</v>
      </c>
      <c r="E133" s="510"/>
      <c r="F133" s="458">
        <f>表1温室气体盘查表!AL100</f>
        <v>72250.340647773904</v>
      </c>
      <c r="G133" s="458">
        <f>表1温室气体盘查表!AE100</f>
        <v>72250.340647773904</v>
      </c>
      <c r="H133" s="458">
        <f>表1温室气体盘查表!AF100</f>
        <v>0</v>
      </c>
      <c r="I133" s="458">
        <f>表1温室气体盘查表!AG100</f>
        <v>0</v>
      </c>
      <c r="J133" s="458">
        <f>表1温室气体盘查表!AH100</f>
        <v>0</v>
      </c>
      <c r="K133" s="458">
        <f>表1温室气体盘查表!AI100</f>
        <v>0</v>
      </c>
      <c r="L133" s="458">
        <f>表1温室气体盘查表!AJ100</f>
        <v>0</v>
      </c>
      <c r="M133" s="458">
        <f>表1温室气体盘查表!AK100</f>
        <v>0</v>
      </c>
    </row>
    <row r="134" spans="1:13" s="385" customFormat="1" ht="26.25" customHeight="1">
      <c r="A134" s="395"/>
      <c r="B134" s="498" t="s">
        <v>144</v>
      </c>
      <c r="C134" s="481" t="str">
        <f>表1温室气体盘查表!C101</f>
        <v>钢坯加工</v>
      </c>
      <c r="D134" s="481" t="str">
        <f>表1温室气体盘查表!D101</f>
        <v>下游钢铁厂</v>
      </c>
      <c r="E134" s="510"/>
      <c r="F134" s="458">
        <f>表1温室气体盘查表!AL101</f>
        <v>203898.734635364</v>
      </c>
      <c r="G134" s="458">
        <f>表1温室气体盘查表!AE101</f>
        <v>203898.734635364</v>
      </c>
      <c r="H134" s="458">
        <f>表1温室气体盘查表!AF101</f>
        <v>0</v>
      </c>
      <c r="I134" s="458">
        <f>表1温室气体盘查表!AG101</f>
        <v>0</v>
      </c>
      <c r="J134" s="458">
        <f>表1温室气体盘查表!AH101</f>
        <v>0</v>
      </c>
      <c r="K134" s="458">
        <f>表1温室气体盘查表!AI101</f>
        <v>0</v>
      </c>
      <c r="L134" s="458">
        <f>表1温室气体盘查表!AJ101</f>
        <v>0</v>
      </c>
      <c r="M134" s="458">
        <f>表1温室气体盘查表!AK101</f>
        <v>0</v>
      </c>
    </row>
    <row r="135" spans="1:13" s="385" customFormat="1" ht="26.25" customHeight="1">
      <c r="A135" s="395"/>
      <c r="D135" s="436"/>
    </row>
    <row r="136" spans="1:13" s="385" customFormat="1" ht="26.25" customHeight="1">
      <c r="A136" s="395"/>
      <c r="B136" s="499" t="s">
        <v>145</v>
      </c>
      <c r="C136" s="500" t="str">
        <f>表1温室气体盘查表!B102</f>
        <v>外销产品使用产生的排放</v>
      </c>
      <c r="D136" s="501"/>
      <c r="E136" s="493"/>
      <c r="F136" s="465">
        <f>SUM(G136:M136)</f>
        <v>3833.1354830774699</v>
      </c>
      <c r="G136" s="465">
        <f>SUM(G137)</f>
        <v>3828.3758806312799</v>
      </c>
      <c r="H136" s="465">
        <f t="shared" ref="H136:M136" si="16">SUM(H137:H138)</f>
        <v>2.4056686276939798</v>
      </c>
      <c r="I136" s="465">
        <f t="shared" si="16"/>
        <v>2.3539338184962602</v>
      </c>
      <c r="J136" s="465">
        <f t="shared" si="16"/>
        <v>0</v>
      </c>
      <c r="K136" s="465">
        <f t="shared" si="16"/>
        <v>0</v>
      </c>
      <c r="L136" s="465">
        <f t="shared" si="16"/>
        <v>0</v>
      </c>
      <c r="M136" s="465">
        <f t="shared" si="16"/>
        <v>0</v>
      </c>
    </row>
    <row r="137" spans="1:13" s="385" customFormat="1" ht="26.25" customHeight="1">
      <c r="A137" s="395"/>
      <c r="B137" s="498" t="s">
        <v>192</v>
      </c>
      <c r="C137" s="481" t="str">
        <f>表1温室气体盘查表!C102</f>
        <v>外售焦炉煤气燃烧</v>
      </c>
      <c r="D137" s="481" t="str">
        <f>表1温室气体盘查表!D100</f>
        <v>下游钢铁厂</v>
      </c>
      <c r="E137" s="503"/>
      <c r="F137" s="458">
        <f>表1温室气体盘查表!AL102</f>
        <v>3833.1354830774699</v>
      </c>
      <c r="G137" s="458">
        <f>表1温室气体盘查表!AE102</f>
        <v>3828.3758806312799</v>
      </c>
      <c r="H137" s="458">
        <f>表1温室气体盘查表!AF102</f>
        <v>2.4056686276939798</v>
      </c>
      <c r="I137" s="458">
        <f>表1温室气体盘查表!AG102</f>
        <v>2.3539338184962602</v>
      </c>
      <c r="J137" s="458">
        <f>表1温室气体盘查表!AH102</f>
        <v>0</v>
      </c>
      <c r="K137" s="458">
        <f>表1温室气体盘查表!AI102</f>
        <v>0</v>
      </c>
      <c r="L137" s="458">
        <f>表1温室气体盘查表!AJ102</f>
        <v>0</v>
      </c>
      <c r="M137" s="458">
        <f>表1温室气体盘查表!AK102</f>
        <v>0</v>
      </c>
    </row>
    <row r="138" spans="1:13" s="385" customFormat="1" ht="26.25" customHeight="1">
      <c r="A138" s="395"/>
      <c r="B138" s="469"/>
      <c r="C138" s="469"/>
      <c r="D138" s="511"/>
      <c r="E138" s="512"/>
      <c r="F138" s="423"/>
      <c r="G138" s="423"/>
      <c r="H138" s="423"/>
      <c r="I138" s="423"/>
      <c r="J138" s="423"/>
      <c r="K138" s="423"/>
      <c r="L138" s="423"/>
      <c r="M138" s="423"/>
    </row>
    <row r="139" spans="1:13" s="385" customFormat="1" ht="26.25" customHeight="1">
      <c r="A139" s="395"/>
      <c r="B139" s="499" t="s">
        <v>145</v>
      </c>
      <c r="C139" s="500" t="str">
        <f>表1温室气体盘查表!B103</f>
        <v>外售产品报废产生的排放</v>
      </c>
      <c r="D139" s="501"/>
      <c r="E139" s="493"/>
      <c r="F139" s="465">
        <f>SUM(G139:M139)</f>
        <v>3747.3469595889401</v>
      </c>
      <c r="G139" s="465">
        <f>SUM(G140)</f>
        <v>3747.3469595889401</v>
      </c>
      <c r="H139" s="465">
        <f t="shared" ref="H139:M139" si="17">SUM(H140:H141)</f>
        <v>0</v>
      </c>
      <c r="I139" s="465">
        <f t="shared" si="17"/>
        <v>0</v>
      </c>
      <c r="J139" s="465">
        <f t="shared" si="17"/>
        <v>0</v>
      </c>
      <c r="K139" s="465">
        <f t="shared" si="17"/>
        <v>0</v>
      </c>
      <c r="L139" s="465">
        <f t="shared" si="17"/>
        <v>0</v>
      </c>
      <c r="M139" s="465">
        <f t="shared" si="17"/>
        <v>0</v>
      </c>
    </row>
    <row r="140" spans="1:13" s="385" customFormat="1" ht="26.25" customHeight="1">
      <c r="A140" s="395"/>
      <c r="B140" s="498" t="s">
        <v>146</v>
      </c>
      <c r="C140" s="481" t="str">
        <f>表1温室气体盘查表!C103</f>
        <v>产品报废</v>
      </c>
      <c r="D140" s="481" t="str">
        <f>表1温室气体盘查表!D103</f>
        <v>下游钢铁厂</v>
      </c>
      <c r="E140" s="503"/>
      <c r="F140" s="458">
        <f>表1温室气体盘查表!AL103</f>
        <v>3747.3469595889401</v>
      </c>
      <c r="G140" s="458">
        <f>表1温室气体盘查表!AE103</f>
        <v>3747.3469595889401</v>
      </c>
      <c r="H140" s="458">
        <f>表1温室气体盘查表!AF103</f>
        <v>0</v>
      </c>
      <c r="I140" s="458">
        <f>表1温室气体盘查表!AG103</f>
        <v>0</v>
      </c>
      <c r="J140" s="458">
        <f>表1温室气体盘查表!AH103</f>
        <v>0</v>
      </c>
      <c r="K140" s="458">
        <f>表1温室气体盘查表!AI103</f>
        <v>0</v>
      </c>
      <c r="L140" s="458">
        <f>表1温室气体盘查表!AJ103</f>
        <v>0</v>
      </c>
      <c r="M140" s="458">
        <f>表1温室气体盘查表!AK103</f>
        <v>0</v>
      </c>
    </row>
    <row r="141" spans="1:13" ht="26.25" customHeight="1"/>
    <row r="142" spans="1:13" s="389" customFormat="1">
      <c r="A142" s="513"/>
      <c r="B142" s="514"/>
      <c r="C142" s="514"/>
      <c r="D142" s="515"/>
      <c r="E142" s="514"/>
      <c r="F142" s="516"/>
      <c r="G142" s="516"/>
      <c r="H142" s="516"/>
      <c r="I142" s="516"/>
      <c r="J142" s="516"/>
      <c r="K142" s="516"/>
      <c r="L142" s="516"/>
      <c r="M142" s="516"/>
    </row>
    <row r="143" spans="1:13" s="390" customFormat="1">
      <c r="B143" s="517"/>
      <c r="C143" s="517"/>
      <c r="D143" s="518"/>
      <c r="E143" s="517"/>
      <c r="F143" s="519"/>
      <c r="G143" s="519"/>
      <c r="H143" s="519"/>
      <c r="I143" s="519"/>
      <c r="J143" s="519"/>
      <c r="K143" s="519"/>
      <c r="L143" s="519"/>
      <c r="M143" s="519"/>
    </row>
    <row r="150" spans="8:8">
      <c r="H150" s="392"/>
    </row>
  </sheetData>
  <mergeCells count="13">
    <mergeCell ref="L1:M1"/>
    <mergeCell ref="L2:M2"/>
    <mergeCell ref="L3:M3"/>
    <mergeCell ref="F7:G7"/>
    <mergeCell ref="L7:M7"/>
    <mergeCell ref="B1:K3"/>
    <mergeCell ref="G13:M13"/>
    <mergeCell ref="B46:D46"/>
    <mergeCell ref="B12:B13"/>
    <mergeCell ref="C12:C13"/>
    <mergeCell ref="D12:D13"/>
    <mergeCell ref="E12:E13"/>
    <mergeCell ref="F12:F13"/>
  </mergeCells>
  <phoneticPr fontId="87" type="noConversion"/>
  <printOptions horizontalCentered="1"/>
  <pageMargins left="0.59055118110236204" right="0.59055118110236204" top="0.70866141732283505" bottom="0.59055118110236204" header="0.31496062992126" footer="0.31496062992126"/>
  <pageSetup paperSize="9" fitToHeight="0" orientation="landscape" horizontalDpi="300" verticalDpi="300"/>
  <headerFooter>
    <oddHeader>&amp;L&amp;"-,常规"&amp;10南侨版本/修改号NC Edition/Rev.Code：A/0
吉好版本/修改号YY Edition/Rev.Code：A/0
&amp;R&amp;"-,常规"&amp;10记录标识/Identification Code:7.2 GYGZ/GHG.R015.02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84"/>
  <sheetViews>
    <sheetView showGridLines="0" topLeftCell="A142" zoomScale="85" zoomScaleNormal="85" zoomScalePageLayoutView="85" workbookViewId="0">
      <selection activeCell="I153" sqref="I153"/>
    </sheetView>
  </sheetViews>
  <sheetFormatPr defaultColWidth="8.75" defaultRowHeight="15"/>
  <cols>
    <col min="1" max="1" width="12.625" style="21" customWidth="1"/>
    <col min="2" max="2" width="23.625" style="21" customWidth="1"/>
    <col min="3" max="3" width="30.375" style="21" customWidth="1"/>
    <col min="4" max="4" width="21.125" style="21" customWidth="1"/>
    <col min="5" max="5" width="14.25" style="263" bestFit="1" customWidth="1"/>
    <col min="6" max="6" width="16.625" style="21" customWidth="1"/>
    <col min="7" max="7" width="10.5" style="21" customWidth="1"/>
    <col min="8" max="8" width="12.375" style="21" customWidth="1"/>
    <col min="9" max="9" width="29.875" style="21" customWidth="1"/>
    <col min="10" max="10" width="6.625" style="21" customWidth="1"/>
    <col min="11" max="11" width="11.125" style="21" customWidth="1"/>
    <col min="12" max="12" width="13.5" style="21" customWidth="1"/>
    <col min="13" max="13" width="7.5" style="21" customWidth="1"/>
    <col min="14" max="14" width="9.75" style="21" customWidth="1"/>
    <col min="15" max="15" width="11.5" style="21" customWidth="1"/>
    <col min="16" max="16" width="8.125" style="21" customWidth="1"/>
    <col min="17" max="17" width="8.5" style="21" customWidth="1"/>
    <col min="18" max="18" width="10.375" style="21" customWidth="1"/>
    <col min="19" max="19" width="9.375" style="21" customWidth="1"/>
    <col min="20" max="20" width="10.125" style="21" customWidth="1"/>
    <col min="21" max="21" width="8.5" style="21" customWidth="1"/>
    <col min="22" max="22" width="10.375" style="21" customWidth="1"/>
    <col min="23" max="23" width="6.5" style="21" customWidth="1"/>
    <col min="24" max="24" width="14.625" style="21" customWidth="1"/>
    <col min="25" max="25" width="8.5" style="21" customWidth="1"/>
    <col min="26" max="26" width="10.375" style="21" customWidth="1"/>
    <col min="27" max="27" width="6.5" style="21" customWidth="1"/>
    <col min="28" max="28" width="8.5" style="21" customWidth="1"/>
    <col min="29" max="29" width="10.375" style="21" customWidth="1"/>
    <col min="30" max="30" width="6.5" style="21" customWidth="1"/>
    <col min="31" max="31" width="19.25" style="21" customWidth="1"/>
    <col min="32" max="37" width="13.625" style="21" customWidth="1"/>
    <col min="38" max="38" width="18.625" style="21" customWidth="1"/>
    <col min="39" max="64" width="9" style="21"/>
    <col min="65" max="16384" width="8.75" style="21"/>
  </cols>
  <sheetData>
    <row r="1" spans="1:38" ht="33.75" customHeight="1">
      <c r="A1" s="641" t="s">
        <v>193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  <c r="P1" s="641"/>
    </row>
    <row r="2" spans="1:38" s="15" customFormat="1" ht="16.5" customHeight="1">
      <c r="A2" s="628" t="s">
        <v>194</v>
      </c>
      <c r="B2" s="628" t="s">
        <v>195</v>
      </c>
      <c r="C2" s="628" t="s">
        <v>196</v>
      </c>
      <c r="D2" s="628" t="s">
        <v>197</v>
      </c>
      <c r="E2" s="628" t="s">
        <v>198</v>
      </c>
      <c r="F2" s="628" t="s">
        <v>199</v>
      </c>
      <c r="G2" s="628"/>
      <c r="H2" s="628" t="s">
        <v>200</v>
      </c>
      <c r="I2" s="628"/>
      <c r="J2" s="628"/>
      <c r="K2" s="628"/>
      <c r="L2" s="628"/>
      <c r="M2" s="628"/>
      <c r="N2" s="628"/>
      <c r="O2" s="628"/>
      <c r="P2" s="628"/>
      <c r="Q2" s="628"/>
      <c r="R2" s="628"/>
      <c r="S2" s="628"/>
      <c r="T2" s="628"/>
      <c r="U2" s="628"/>
      <c r="V2" s="628"/>
      <c r="W2" s="628"/>
      <c r="X2" s="628"/>
      <c r="Y2" s="628"/>
      <c r="Z2" s="628"/>
      <c r="AA2" s="628"/>
      <c r="AB2" s="628"/>
      <c r="AC2" s="628"/>
      <c r="AD2" s="628"/>
      <c r="AE2" s="628" t="s">
        <v>201</v>
      </c>
      <c r="AF2" s="628"/>
      <c r="AG2" s="628"/>
      <c r="AH2" s="628"/>
      <c r="AI2" s="628"/>
      <c r="AJ2" s="628"/>
      <c r="AK2" s="628"/>
      <c r="AL2" s="628"/>
    </row>
    <row r="3" spans="1:38" s="15" customFormat="1" ht="15.75">
      <c r="A3" s="628"/>
      <c r="B3" s="628"/>
      <c r="C3" s="628"/>
      <c r="D3" s="628"/>
      <c r="E3" s="628"/>
      <c r="F3" s="628"/>
      <c r="G3" s="628"/>
      <c r="H3" s="628" t="s">
        <v>202</v>
      </c>
      <c r="I3" s="628"/>
      <c r="J3" s="628"/>
      <c r="K3" s="628" t="s">
        <v>203</v>
      </c>
      <c r="L3" s="628"/>
      <c r="M3" s="628"/>
      <c r="N3" s="628" t="s">
        <v>204</v>
      </c>
      <c r="O3" s="628"/>
      <c r="P3" s="628"/>
      <c r="Q3" s="628" t="s">
        <v>29</v>
      </c>
      <c r="R3" s="628"/>
      <c r="S3" s="628"/>
      <c r="T3" s="628"/>
      <c r="U3" s="628" t="s">
        <v>30</v>
      </c>
      <c r="V3" s="628"/>
      <c r="W3" s="628"/>
      <c r="X3" s="628"/>
      <c r="Y3" s="628" t="s">
        <v>205</v>
      </c>
      <c r="Z3" s="628"/>
      <c r="AA3" s="628"/>
      <c r="AB3" s="628" t="s">
        <v>206</v>
      </c>
      <c r="AC3" s="628"/>
      <c r="AD3" s="628"/>
      <c r="AE3" s="264" t="str">
        <f>H3</f>
        <v>CO2</v>
      </c>
      <c r="AF3" s="264" t="str">
        <f>K3</f>
        <v>CH4</v>
      </c>
      <c r="AG3" s="264" t="str">
        <f>N3</f>
        <v>N2O</v>
      </c>
      <c r="AH3" s="264" t="str">
        <f>Q3</f>
        <v>HFCs</v>
      </c>
      <c r="AI3" s="264" t="str">
        <f>U3</f>
        <v>PFCs</v>
      </c>
      <c r="AJ3" s="264" t="str">
        <f>Y3</f>
        <v>SF6</v>
      </c>
      <c r="AK3" s="264" t="str">
        <f>AB3</f>
        <v>NF3</v>
      </c>
      <c r="AL3" s="264" t="s">
        <v>207</v>
      </c>
    </row>
    <row r="4" spans="1:38" s="15" customFormat="1" ht="15.75">
      <c r="A4" s="628"/>
      <c r="B4" s="628"/>
      <c r="C4" s="628"/>
      <c r="D4" s="628"/>
      <c r="E4" s="628"/>
      <c r="F4" s="264" t="s">
        <v>208</v>
      </c>
      <c r="G4" s="264" t="s">
        <v>209</v>
      </c>
      <c r="H4" s="264" t="s">
        <v>210</v>
      </c>
      <c r="I4" s="264" t="s">
        <v>209</v>
      </c>
      <c r="J4" s="264" t="s">
        <v>211</v>
      </c>
      <c r="K4" s="264" t="s">
        <v>210</v>
      </c>
      <c r="L4" s="264" t="s">
        <v>209</v>
      </c>
      <c r="M4" s="264" t="s">
        <v>211</v>
      </c>
      <c r="N4" s="264" t="s">
        <v>210</v>
      </c>
      <c r="O4" s="264" t="s">
        <v>209</v>
      </c>
      <c r="P4" s="264" t="s">
        <v>211</v>
      </c>
      <c r="Q4" s="264" t="s">
        <v>210</v>
      </c>
      <c r="R4" s="264" t="s">
        <v>209</v>
      </c>
      <c r="S4" s="264" t="s">
        <v>211</v>
      </c>
      <c r="T4" s="264" t="s">
        <v>212</v>
      </c>
      <c r="U4" s="264" t="s">
        <v>210</v>
      </c>
      <c r="V4" s="264" t="s">
        <v>209</v>
      </c>
      <c r="W4" s="264" t="s">
        <v>211</v>
      </c>
      <c r="X4" s="264" t="s">
        <v>212</v>
      </c>
      <c r="Y4" s="264" t="s">
        <v>210</v>
      </c>
      <c r="Z4" s="264" t="s">
        <v>209</v>
      </c>
      <c r="AA4" s="264" t="s">
        <v>211</v>
      </c>
      <c r="AB4" s="264" t="s">
        <v>210</v>
      </c>
      <c r="AC4" s="264" t="s">
        <v>209</v>
      </c>
      <c r="AD4" s="264" t="s">
        <v>211</v>
      </c>
      <c r="AE4" s="628" t="s">
        <v>213</v>
      </c>
      <c r="AF4" s="628"/>
      <c r="AG4" s="628"/>
      <c r="AH4" s="628"/>
      <c r="AI4" s="628"/>
      <c r="AJ4" s="628"/>
      <c r="AK4" s="628"/>
      <c r="AL4" s="628"/>
    </row>
    <row r="5" spans="1:38" s="15" customFormat="1" ht="15.75">
      <c r="A5" s="265">
        <v>1</v>
      </c>
      <c r="B5" s="266" t="s">
        <v>214</v>
      </c>
      <c r="C5" s="267" t="s">
        <v>215</v>
      </c>
      <c r="D5" s="268" t="s">
        <v>216</v>
      </c>
      <c r="E5" s="269" t="s">
        <v>217</v>
      </c>
      <c r="F5" s="270">
        <v>1796.49</v>
      </c>
      <c r="G5" s="271" t="s">
        <v>218</v>
      </c>
      <c r="H5" s="272">
        <f>'附表2-EF'!L5</f>
        <v>21.621888089999999</v>
      </c>
      <c r="I5" s="271" t="s">
        <v>219</v>
      </c>
      <c r="J5" s="273">
        <f>'附表1-GWP TABLE'!E3</f>
        <v>1</v>
      </c>
      <c r="K5" s="274">
        <f>'附表2-EF'!M5</f>
        <v>3.8541690000000001E-4</v>
      </c>
      <c r="L5" s="271"/>
      <c r="M5" s="273">
        <f>'附表1-GWP TABLE'!E4</f>
        <v>27.9</v>
      </c>
      <c r="N5" s="274">
        <f>'附表2-EF'!N5</f>
        <v>3.8541690000000003E-5</v>
      </c>
      <c r="O5" s="271"/>
      <c r="P5" s="273">
        <f>'附表1-GWP TABLE'!E5</f>
        <v>273</v>
      </c>
      <c r="Q5" s="275"/>
      <c r="R5" s="110"/>
      <c r="S5" s="276"/>
      <c r="T5" s="110"/>
      <c r="U5" s="274"/>
      <c r="V5" s="271"/>
      <c r="W5" s="277"/>
      <c r="X5" s="271"/>
      <c r="Y5" s="274"/>
      <c r="Z5" s="271"/>
      <c r="AA5" s="273"/>
      <c r="AB5" s="274"/>
      <c r="AC5" s="110"/>
      <c r="AD5" s="273"/>
      <c r="AE5" s="278">
        <f t="shared" ref="AE5:AE21" si="0">F5*H5*J5</f>
        <v>38843.505734804101</v>
      </c>
      <c r="AF5" s="278">
        <f t="shared" ref="AF5:AF21" si="1">F5*K5*M5</f>
        <v>19.317893226399899</v>
      </c>
      <c r="AG5" s="278">
        <f t="shared" ref="AG5:AG21" si="2">F5*N5*P5</f>
        <v>18.9024546623913</v>
      </c>
      <c r="AH5" s="278">
        <f t="shared" ref="AH5:AH21" si="3">F5*Q5*S5</f>
        <v>0</v>
      </c>
      <c r="AI5" s="278">
        <f t="shared" ref="AI5:AI21" si="4">F5*U5*W5</f>
        <v>0</v>
      </c>
      <c r="AJ5" s="278">
        <f t="shared" ref="AJ5:AJ21" si="5">F5*Y5*AA5</f>
        <v>0</v>
      </c>
      <c r="AK5" s="278">
        <f t="shared" ref="AK5:AK21" si="6">F5*AB5*AD5</f>
        <v>0</v>
      </c>
      <c r="AL5" s="278">
        <f t="shared" ref="AL5:AL21" si="7">SUM(AE5:AK5)</f>
        <v>38881.726082692898</v>
      </c>
    </row>
    <row r="6" spans="1:38" s="16" customFormat="1" ht="14.25">
      <c r="A6" s="265">
        <v>2</v>
      </c>
      <c r="B6" s="266" t="s">
        <v>214</v>
      </c>
      <c r="C6" s="156" t="s">
        <v>220</v>
      </c>
      <c r="D6" s="268" t="s">
        <v>221</v>
      </c>
      <c r="E6" s="269" t="s">
        <v>217</v>
      </c>
      <c r="F6" s="279">
        <f>ROUND(9.391,2)</f>
        <v>9.39</v>
      </c>
      <c r="G6" s="280" t="s">
        <v>222</v>
      </c>
      <c r="H6" s="272">
        <f>'附表2-EF'!L6</f>
        <v>3.102969002</v>
      </c>
      <c r="I6" s="271" t="s">
        <v>223</v>
      </c>
      <c r="J6" s="281">
        <v>1</v>
      </c>
      <c r="K6" s="274">
        <f>'附表2-EF'!M6</f>
        <v>4.9175419999999998E-5</v>
      </c>
      <c r="L6" s="282"/>
      <c r="M6" s="281">
        <f>'附表1-GWP TABLE'!E4</f>
        <v>27.9</v>
      </c>
      <c r="N6" s="274">
        <f>'附表2-EF'!N6</f>
        <v>4.9175419999999998E-6</v>
      </c>
      <c r="O6" s="280"/>
      <c r="P6" s="281">
        <f>'附表1-GWP TABLE'!E5</f>
        <v>273</v>
      </c>
      <c r="Q6" s="283"/>
      <c r="R6" s="284"/>
      <c r="S6" s="285"/>
      <c r="T6" s="286"/>
      <c r="U6" s="287"/>
      <c r="V6" s="280"/>
      <c r="W6" s="288"/>
      <c r="X6" s="280"/>
      <c r="Y6" s="287"/>
      <c r="Z6" s="280"/>
      <c r="AA6" s="281"/>
      <c r="AB6" s="287"/>
      <c r="AC6" s="284"/>
      <c r="AD6" s="281"/>
      <c r="AE6" s="278">
        <f t="shared" si="0"/>
        <v>29.13687892878</v>
      </c>
      <c r="AF6" s="278">
        <f t="shared" si="1"/>
        <v>1.2883025707019999E-2</v>
      </c>
      <c r="AG6" s="278">
        <f t="shared" si="2"/>
        <v>1.260597139074E-2</v>
      </c>
      <c r="AH6" s="278">
        <f t="shared" si="3"/>
        <v>0</v>
      </c>
      <c r="AI6" s="278">
        <f t="shared" si="4"/>
        <v>0</v>
      </c>
      <c r="AJ6" s="278">
        <f t="shared" si="5"/>
        <v>0</v>
      </c>
      <c r="AK6" s="278">
        <f t="shared" si="6"/>
        <v>0</v>
      </c>
      <c r="AL6" s="278">
        <f t="shared" si="7"/>
        <v>29.162367925877799</v>
      </c>
    </row>
    <row r="7" spans="1:38" s="15" customFormat="1" ht="15.75">
      <c r="A7" s="265">
        <v>3</v>
      </c>
      <c r="B7" s="266" t="s">
        <v>214</v>
      </c>
      <c r="C7" s="267" t="s">
        <v>224</v>
      </c>
      <c r="D7" s="118" t="s">
        <v>225</v>
      </c>
      <c r="E7" s="269" t="s">
        <v>217</v>
      </c>
      <c r="F7" s="289">
        <f>ROUND(333590.27/(1-0.1641),2)</f>
        <v>399079.16</v>
      </c>
      <c r="G7" s="271" t="s">
        <v>222</v>
      </c>
      <c r="H7" s="272">
        <f>'附表2-EF'!L7</f>
        <v>2.3099163119999999</v>
      </c>
      <c r="I7" s="271" t="s">
        <v>223</v>
      </c>
      <c r="J7" s="273">
        <f>'附表1-GWP TABLE'!E3</f>
        <v>1</v>
      </c>
      <c r="K7" s="274">
        <f>'附表2-EF'!M7</f>
        <v>2.3498639999999998E-5</v>
      </c>
      <c r="L7" s="271"/>
      <c r="M7" s="273">
        <f>'附表1-GWP TABLE'!E4</f>
        <v>27.9</v>
      </c>
      <c r="N7" s="274">
        <f>'附表2-EF'!N7</f>
        <v>3.5247960000000003E-5</v>
      </c>
      <c r="O7" s="271"/>
      <c r="P7" s="273">
        <f>'附表1-GWP TABLE'!E5</f>
        <v>273</v>
      </c>
      <c r="Q7" s="275"/>
      <c r="R7" s="110"/>
      <c r="S7" s="276"/>
      <c r="T7" s="110"/>
      <c r="U7" s="274"/>
      <c r="V7" s="271"/>
      <c r="W7" s="277"/>
      <c r="X7" s="271"/>
      <c r="Y7" s="274"/>
      <c r="Z7" s="271"/>
      <c r="AA7" s="273"/>
      <c r="AB7" s="274"/>
      <c r="AC7" s="110"/>
      <c r="AD7" s="273"/>
      <c r="AE7" s="278">
        <f t="shared" si="0"/>
        <v>921839.46146325802</v>
      </c>
      <c r="AF7" s="278">
        <f t="shared" si="1"/>
        <v>261.641108594353</v>
      </c>
      <c r="AG7" s="278">
        <f t="shared" si="2"/>
        <v>3840.2162713042098</v>
      </c>
      <c r="AH7" s="278">
        <f t="shared" si="3"/>
        <v>0</v>
      </c>
      <c r="AI7" s="278">
        <f t="shared" si="4"/>
        <v>0</v>
      </c>
      <c r="AJ7" s="278">
        <f t="shared" si="5"/>
        <v>0</v>
      </c>
      <c r="AK7" s="278">
        <f t="shared" si="6"/>
        <v>0</v>
      </c>
      <c r="AL7" s="278">
        <f t="shared" si="7"/>
        <v>925941.31884315598</v>
      </c>
    </row>
    <row r="8" spans="1:38" s="15" customFormat="1" ht="15.75">
      <c r="A8" s="265">
        <v>4</v>
      </c>
      <c r="B8" s="266" t="s">
        <v>214</v>
      </c>
      <c r="C8" s="267" t="s">
        <v>226</v>
      </c>
      <c r="D8" s="268" t="s">
        <v>227</v>
      </c>
      <c r="E8" s="269" t="s">
        <v>217</v>
      </c>
      <c r="F8" s="289">
        <f>ROUND(235649.69/(1-0.0955),2)</f>
        <v>260530.34</v>
      </c>
      <c r="G8" s="271" t="s">
        <v>222</v>
      </c>
      <c r="H8" s="272">
        <f>'附表2-EF'!L8</f>
        <v>2.4352606080000001</v>
      </c>
      <c r="I8" s="271" t="s">
        <v>223</v>
      </c>
      <c r="J8" s="273">
        <f>'附表1-GWP TABLE'!E3</f>
        <v>1</v>
      </c>
      <c r="K8" s="274">
        <f>'附表2-EF'!M8</f>
        <v>2.477376E-5</v>
      </c>
      <c r="L8" s="271"/>
      <c r="M8" s="273">
        <f>'附表1-GWP TABLE'!E4</f>
        <v>27.9</v>
      </c>
      <c r="N8" s="274">
        <f>'附表2-EF'!N8</f>
        <v>3.7160640000000001E-5</v>
      </c>
      <c r="O8" s="271"/>
      <c r="P8" s="273">
        <f>'附表1-GWP TABLE'!E5</f>
        <v>273</v>
      </c>
      <c r="Q8" s="275"/>
      <c r="R8" s="110"/>
      <c r="S8" s="276"/>
      <c r="T8" s="110"/>
      <c r="U8" s="274"/>
      <c r="V8" s="271"/>
      <c r="W8" s="277"/>
      <c r="X8" s="271"/>
      <c r="Y8" s="274"/>
      <c r="Z8" s="271"/>
      <c r="AA8" s="273"/>
      <c r="AB8" s="274"/>
      <c r="AC8" s="110"/>
      <c r="AD8" s="273"/>
      <c r="AE8" s="278">
        <f t="shared" si="0"/>
        <v>634459.27419084695</v>
      </c>
      <c r="AF8" s="278">
        <f t="shared" si="1"/>
        <v>180.07541963300699</v>
      </c>
      <c r="AG8" s="278">
        <f t="shared" si="2"/>
        <v>2643.0424494521999</v>
      </c>
      <c r="AH8" s="278">
        <f t="shared" si="3"/>
        <v>0</v>
      </c>
      <c r="AI8" s="278">
        <f t="shared" si="4"/>
        <v>0</v>
      </c>
      <c r="AJ8" s="278">
        <f t="shared" si="5"/>
        <v>0</v>
      </c>
      <c r="AK8" s="278">
        <f t="shared" si="6"/>
        <v>0</v>
      </c>
      <c r="AL8" s="278">
        <f t="shared" si="7"/>
        <v>637282.392059932</v>
      </c>
    </row>
    <row r="9" spans="1:38" s="17" customFormat="1" ht="14.25">
      <c r="A9" s="265">
        <v>5</v>
      </c>
      <c r="B9" s="290" t="s">
        <v>228</v>
      </c>
      <c r="C9" s="291" t="s">
        <v>229</v>
      </c>
      <c r="D9" s="292" t="s">
        <v>230</v>
      </c>
      <c r="E9" s="269" t="s">
        <v>217</v>
      </c>
      <c r="F9" s="293">
        <f>ROUND(1790850.884/(1-0.08),2)</f>
        <v>1946577.05</v>
      </c>
      <c r="G9" s="294" t="s">
        <v>222</v>
      </c>
      <c r="H9" s="272">
        <f>'附表2-EF'!L9</f>
        <v>2.4672209760000001</v>
      </c>
      <c r="I9" s="295" t="s">
        <v>223</v>
      </c>
      <c r="J9" s="273">
        <f>'附表1-GWP TABLE'!E3</f>
        <v>1</v>
      </c>
      <c r="K9" s="274">
        <f>'附表2-EF'!M9</f>
        <v>2.608056E-5</v>
      </c>
      <c r="L9" s="295"/>
      <c r="M9" s="296">
        <f>'附表1-GWP TABLE'!E4</f>
        <v>27.9</v>
      </c>
      <c r="N9" s="274">
        <f>'附表2-EF'!N9</f>
        <v>3.9120840000000003E-5</v>
      </c>
      <c r="O9" s="295"/>
      <c r="P9" s="296">
        <f>'附表1-GWP TABLE'!E5</f>
        <v>273</v>
      </c>
      <c r="Q9" s="297"/>
      <c r="R9" s="298"/>
      <c r="S9" s="299"/>
      <c r="T9" s="298"/>
      <c r="U9" s="300"/>
      <c r="V9" s="295"/>
      <c r="W9" s="301"/>
      <c r="X9" s="295"/>
      <c r="Y9" s="300"/>
      <c r="Z9" s="295"/>
      <c r="AA9" s="296"/>
      <c r="AB9" s="300"/>
      <c r="AC9" s="298"/>
      <c r="AD9" s="296"/>
      <c r="AE9" s="278">
        <f t="shared" si="0"/>
        <v>4802635.7291601999</v>
      </c>
      <c r="AF9" s="278">
        <f t="shared" si="1"/>
        <v>1416.4221653654299</v>
      </c>
      <c r="AG9" s="278">
        <f t="shared" si="2"/>
        <v>20789.422104557099</v>
      </c>
      <c r="AH9" s="278">
        <f t="shared" si="3"/>
        <v>0</v>
      </c>
      <c r="AI9" s="278">
        <f t="shared" si="4"/>
        <v>0</v>
      </c>
      <c r="AJ9" s="278">
        <f t="shared" si="5"/>
        <v>0</v>
      </c>
      <c r="AK9" s="278">
        <f t="shared" si="6"/>
        <v>0</v>
      </c>
      <c r="AL9" s="278">
        <f t="shared" si="7"/>
        <v>4824841.57343012</v>
      </c>
    </row>
    <row r="10" spans="1:38" s="15" customFormat="1" ht="15.75">
      <c r="A10" s="265">
        <v>6</v>
      </c>
      <c r="B10" s="266" t="s">
        <v>214</v>
      </c>
      <c r="C10" s="291" t="s">
        <v>231</v>
      </c>
      <c r="D10" s="292" t="s">
        <v>232</v>
      </c>
      <c r="E10" s="269" t="s">
        <v>217</v>
      </c>
      <c r="F10" s="289">
        <f>ROUND(141299.98/(1-0.0284),2)</f>
        <v>145430.20000000001</v>
      </c>
      <c r="G10" s="271" t="s">
        <v>222</v>
      </c>
      <c r="H10" s="272">
        <f>'附表2-EF'!L10</f>
        <v>3.01211955</v>
      </c>
      <c r="I10" s="271" t="s">
        <v>223</v>
      </c>
      <c r="J10" s="273">
        <f>'附表1-GWP TABLE'!E3</f>
        <v>1</v>
      </c>
      <c r="K10" s="274">
        <f>'附表2-EF'!M10</f>
        <v>2.8150650000000001E-5</v>
      </c>
      <c r="L10" s="271"/>
      <c r="M10" s="273">
        <f>'附表1-GWP TABLE'!E4</f>
        <v>27.9</v>
      </c>
      <c r="N10" s="274">
        <f>'附表2-EF'!N10</f>
        <v>4.2225974999999997E-5</v>
      </c>
      <c r="O10" s="271"/>
      <c r="P10" s="273">
        <f>'附表1-GWP TABLE'!E5</f>
        <v>273</v>
      </c>
      <c r="Q10" s="275"/>
      <c r="R10" s="110"/>
      <c r="S10" s="276"/>
      <c r="T10" s="110"/>
      <c r="U10" s="274"/>
      <c r="V10" s="271"/>
      <c r="W10" s="277"/>
      <c r="X10" s="271"/>
      <c r="Y10" s="274"/>
      <c r="Z10" s="271"/>
      <c r="AA10" s="273"/>
      <c r="AB10" s="274"/>
      <c r="AC10" s="110"/>
      <c r="AD10" s="273"/>
      <c r="AE10" s="278">
        <f t="shared" si="0"/>
        <v>438053.14858040999</v>
      </c>
      <c r="AF10" s="278">
        <f t="shared" si="1"/>
        <v>114.221335003677</v>
      </c>
      <c r="AG10" s="278">
        <f t="shared" si="2"/>
        <v>1676.47443311848</v>
      </c>
      <c r="AH10" s="278">
        <f t="shared" si="3"/>
        <v>0</v>
      </c>
      <c r="AI10" s="278">
        <f t="shared" si="4"/>
        <v>0</v>
      </c>
      <c r="AJ10" s="278">
        <f t="shared" si="5"/>
        <v>0</v>
      </c>
      <c r="AK10" s="278">
        <f t="shared" si="6"/>
        <v>0</v>
      </c>
      <c r="AL10" s="278">
        <f t="shared" si="7"/>
        <v>439843.84434853197</v>
      </c>
    </row>
    <row r="11" spans="1:38" s="15" customFormat="1" ht="15.75">
      <c r="A11" s="265">
        <v>7</v>
      </c>
      <c r="B11" s="266" t="s">
        <v>214</v>
      </c>
      <c r="C11" s="291" t="s">
        <v>233</v>
      </c>
      <c r="D11" s="292" t="s">
        <v>234</v>
      </c>
      <c r="E11" s="269" t="s">
        <v>217</v>
      </c>
      <c r="F11" s="289">
        <f>ROUND(109912.07/(1-0.0884),2)</f>
        <v>120570.5</v>
      </c>
      <c r="G11" s="271" t="s">
        <v>222</v>
      </c>
      <c r="H11" s="272">
        <f>'附表2-EF'!L10</f>
        <v>3.01211955</v>
      </c>
      <c r="I11" s="271" t="s">
        <v>223</v>
      </c>
      <c r="J11" s="273">
        <f>'附表1-GWP TABLE'!E3</f>
        <v>1</v>
      </c>
      <c r="K11" s="274">
        <f>'附表2-EF'!M10</f>
        <v>2.8150650000000001E-5</v>
      </c>
      <c r="L11" s="271"/>
      <c r="M11" s="273">
        <f>'附表1-GWP TABLE'!E4</f>
        <v>27.9</v>
      </c>
      <c r="N11" s="274">
        <f>'附表2-EF'!N10</f>
        <v>4.2225974999999997E-5</v>
      </c>
      <c r="O11" s="271"/>
      <c r="P11" s="273">
        <f>'附表1-GWP TABLE'!E5</f>
        <v>273</v>
      </c>
      <c r="Q11" s="275"/>
      <c r="R11" s="110"/>
      <c r="S11" s="276"/>
      <c r="T11" s="110"/>
      <c r="U11" s="274"/>
      <c r="V11" s="271"/>
      <c r="W11" s="277"/>
      <c r="X11" s="271"/>
      <c r="Y11" s="274"/>
      <c r="Z11" s="271"/>
      <c r="AA11" s="273"/>
      <c r="AB11" s="274"/>
      <c r="AC11" s="110"/>
      <c r="AD11" s="273"/>
      <c r="AE11" s="278">
        <f t="shared" si="0"/>
        <v>363172.76020327501</v>
      </c>
      <c r="AF11" s="278">
        <f t="shared" si="1"/>
        <v>94.696448688517506</v>
      </c>
      <c r="AG11" s="278">
        <f t="shared" si="2"/>
        <v>1389.89948881534</v>
      </c>
      <c r="AH11" s="278">
        <f t="shared" si="3"/>
        <v>0</v>
      </c>
      <c r="AI11" s="278">
        <f t="shared" si="4"/>
        <v>0</v>
      </c>
      <c r="AJ11" s="278">
        <f t="shared" si="5"/>
        <v>0</v>
      </c>
      <c r="AK11" s="278">
        <f t="shared" si="6"/>
        <v>0</v>
      </c>
      <c r="AL11" s="278">
        <f t="shared" si="7"/>
        <v>364657.35614077898</v>
      </c>
    </row>
    <row r="12" spans="1:38" s="19" customFormat="1" ht="14.25">
      <c r="A12" s="265">
        <v>8</v>
      </c>
      <c r="B12" s="302" t="s">
        <v>228</v>
      </c>
      <c r="C12" s="303" t="s">
        <v>235</v>
      </c>
      <c r="D12" s="303" t="s">
        <v>236</v>
      </c>
      <c r="E12" s="304" t="s">
        <v>217</v>
      </c>
      <c r="F12" s="305">
        <f>ROUND(-500.973085,2)</f>
        <v>-500.97</v>
      </c>
      <c r="G12" s="306" t="s">
        <v>218</v>
      </c>
      <c r="H12" s="272">
        <f>'附表2-EF'!L11</f>
        <v>7.6419264240000002</v>
      </c>
      <c r="I12" s="306" t="s">
        <v>219</v>
      </c>
      <c r="J12" s="307">
        <v>1</v>
      </c>
      <c r="K12" s="274">
        <f>'附表2-EF'!M11</f>
        <v>1.7211546000000001E-4</v>
      </c>
      <c r="L12" s="308"/>
      <c r="M12" s="307">
        <f>'附表1-GWP TABLE'!E4</f>
        <v>27.9</v>
      </c>
      <c r="N12" s="274">
        <f>'附表2-EF'!N11</f>
        <v>1.7211545999999999E-5</v>
      </c>
      <c r="O12" s="306"/>
      <c r="P12" s="307">
        <f>'附表1-GWP TABLE'!E5</f>
        <v>273</v>
      </c>
      <c r="Q12" s="309"/>
      <c r="R12" s="310"/>
      <c r="S12" s="311"/>
      <c r="T12" s="312"/>
      <c r="U12" s="313"/>
      <c r="V12" s="306"/>
      <c r="W12" s="314"/>
      <c r="X12" s="306"/>
      <c r="Y12" s="313"/>
      <c r="Z12" s="306"/>
      <c r="AA12" s="307"/>
      <c r="AB12" s="313"/>
      <c r="AC12" s="310"/>
      <c r="AD12" s="307"/>
      <c r="AE12" s="278">
        <f t="shared" si="0"/>
        <v>-3828.3758806312799</v>
      </c>
      <c r="AF12" s="278">
        <f t="shared" si="1"/>
        <v>-2.4056686276939798</v>
      </c>
      <c r="AG12" s="278">
        <f t="shared" si="2"/>
        <v>-2.3539338184962602</v>
      </c>
      <c r="AH12" s="278">
        <f t="shared" si="3"/>
        <v>0</v>
      </c>
      <c r="AI12" s="278">
        <f t="shared" si="4"/>
        <v>0</v>
      </c>
      <c r="AJ12" s="278">
        <f t="shared" si="5"/>
        <v>0</v>
      </c>
      <c r="AK12" s="278">
        <f t="shared" si="6"/>
        <v>0</v>
      </c>
      <c r="AL12" s="315">
        <f t="shared" si="7"/>
        <v>-3833.1354830774699</v>
      </c>
    </row>
    <row r="13" spans="1:38" s="18" customFormat="1" ht="15.75">
      <c r="A13" s="265">
        <v>9</v>
      </c>
      <c r="B13" s="266" t="s">
        <v>237</v>
      </c>
      <c r="C13" s="267" t="s">
        <v>238</v>
      </c>
      <c r="D13" s="268" t="s">
        <v>239</v>
      </c>
      <c r="E13" s="269" t="s">
        <v>217</v>
      </c>
      <c r="F13" s="279">
        <f>ROUND(1403.865,2)</f>
        <v>1403.87</v>
      </c>
      <c r="G13" s="271" t="s">
        <v>222</v>
      </c>
      <c r="H13" s="272">
        <f>'附表2-EF'!L12</f>
        <v>3.0973029360000002</v>
      </c>
      <c r="I13" s="271" t="s">
        <v>223</v>
      </c>
      <c r="J13" s="273">
        <v>1</v>
      </c>
      <c r="K13" s="274">
        <f>'附表2-EF'!M12</f>
        <v>1.6301594399999999E-4</v>
      </c>
      <c r="L13" s="308"/>
      <c r="M13" s="273">
        <f>'附表1-GWP TABLE'!E4</f>
        <v>27.9</v>
      </c>
      <c r="N13" s="274">
        <f>'附表2-EF'!N12</f>
        <v>1.6301594399999999E-4</v>
      </c>
      <c r="O13" s="306"/>
      <c r="P13" s="307">
        <f>'附表1-GWP TABLE'!E5</f>
        <v>273</v>
      </c>
      <c r="Q13" s="275"/>
      <c r="R13" s="110"/>
      <c r="S13" s="276"/>
      <c r="T13" s="110"/>
      <c r="U13" s="274"/>
      <c r="V13" s="271"/>
      <c r="W13" s="277"/>
      <c r="X13" s="271"/>
      <c r="Y13" s="274"/>
      <c r="Z13" s="271"/>
      <c r="AA13" s="273"/>
      <c r="AB13" s="274"/>
      <c r="AC13" s="310"/>
      <c r="AD13" s="307"/>
      <c r="AE13" s="278">
        <f t="shared" si="0"/>
        <v>4348.2106727623204</v>
      </c>
      <c r="AF13" s="278">
        <f t="shared" si="1"/>
        <v>6.38500409316151</v>
      </c>
      <c r="AG13" s="278">
        <f t="shared" si="2"/>
        <v>62.476921771795404</v>
      </c>
      <c r="AH13" s="278">
        <f t="shared" si="3"/>
        <v>0</v>
      </c>
      <c r="AI13" s="278">
        <f t="shared" si="4"/>
        <v>0</v>
      </c>
      <c r="AJ13" s="278">
        <f t="shared" si="5"/>
        <v>0</v>
      </c>
      <c r="AK13" s="278">
        <f t="shared" si="6"/>
        <v>0</v>
      </c>
      <c r="AL13" s="278">
        <f t="shared" si="7"/>
        <v>4417.0725986272801</v>
      </c>
    </row>
    <row r="14" spans="1:38" s="15" customFormat="1" ht="15.75">
      <c r="A14" s="265">
        <v>10</v>
      </c>
      <c r="B14" s="266" t="s">
        <v>237</v>
      </c>
      <c r="C14" s="267" t="s">
        <v>240</v>
      </c>
      <c r="D14" s="118" t="s">
        <v>241</v>
      </c>
      <c r="E14" s="269" t="s">
        <v>217</v>
      </c>
      <c r="F14" s="279">
        <f>ROUND(63298.77*0.775/10^3,2)</f>
        <v>49.06</v>
      </c>
      <c r="G14" s="271" t="s">
        <v>222</v>
      </c>
      <c r="H14" s="272">
        <f>'附表2-EF'!L13</f>
        <v>2.9250559799999998</v>
      </c>
      <c r="I14" s="271" t="s">
        <v>223</v>
      </c>
      <c r="J14" s="273">
        <v>1</v>
      </c>
      <c r="K14" s="274">
        <f>'附表2-EF'!M13</f>
        <v>1.055215E-3</v>
      </c>
      <c r="L14" s="308"/>
      <c r="M14" s="273">
        <f>'附表1-GWP TABLE'!E4</f>
        <v>27.9</v>
      </c>
      <c r="N14" s="274">
        <f>'附表2-EF'!N13</f>
        <v>3.3766880000000001E-4</v>
      </c>
      <c r="O14" s="306"/>
      <c r="P14" s="307">
        <f>'附表1-GWP TABLE'!E5</f>
        <v>273</v>
      </c>
      <c r="Q14" s="275"/>
      <c r="R14" s="110"/>
      <c r="S14" s="276"/>
      <c r="T14" s="110"/>
      <c r="U14" s="274"/>
      <c r="V14" s="271"/>
      <c r="W14" s="277"/>
      <c r="X14" s="271"/>
      <c r="Y14" s="274"/>
      <c r="Z14" s="271"/>
      <c r="AA14" s="273"/>
      <c r="AB14" s="274"/>
      <c r="AC14" s="110"/>
      <c r="AD14" s="273"/>
      <c r="AE14" s="278">
        <f t="shared" ref="AE14" si="8">F14*H14*J14</f>
        <v>143.50324637879999</v>
      </c>
      <c r="AF14" s="278">
        <f t="shared" ref="AF14" si="9">F14*K14*M14</f>
        <v>1.4443508564100001</v>
      </c>
      <c r="AG14" s="278">
        <f t="shared" ref="AG14" si="10">F14*N14*P14</f>
        <v>4.5225265525439999</v>
      </c>
      <c r="AH14" s="278">
        <f t="shared" ref="AH14" si="11">F14*Q14*S14</f>
        <v>0</v>
      </c>
      <c r="AI14" s="278">
        <f t="shared" ref="AI14" si="12">F14*U14*W14</f>
        <v>0</v>
      </c>
      <c r="AJ14" s="278">
        <f t="shared" ref="AJ14" si="13">F14*Y14*AA14</f>
        <v>0</v>
      </c>
      <c r="AK14" s="278">
        <f t="shared" ref="AK14" si="14">F14*AB14*AD14</f>
        <v>0</v>
      </c>
      <c r="AL14" s="278">
        <f t="shared" ref="AL14" si="15">SUM(AE14:AK14)</f>
        <v>149.47012378775401</v>
      </c>
    </row>
    <row r="15" spans="1:38" s="18" customFormat="1" ht="15.75">
      <c r="A15" s="265">
        <v>11</v>
      </c>
      <c r="B15" s="266" t="s">
        <v>242</v>
      </c>
      <c r="C15" s="267" t="s">
        <v>243</v>
      </c>
      <c r="D15" s="118" t="s">
        <v>244</v>
      </c>
      <c r="E15" s="269" t="s">
        <v>217</v>
      </c>
      <c r="F15" s="289">
        <f>ROUND(0.9274,2)</f>
        <v>0.93</v>
      </c>
      <c r="G15" s="271" t="s">
        <v>222</v>
      </c>
      <c r="H15" s="272"/>
      <c r="I15" s="271"/>
      <c r="J15" s="273"/>
      <c r="K15" s="274"/>
      <c r="L15" s="271"/>
      <c r="M15" s="273"/>
      <c r="N15" s="274"/>
      <c r="O15" s="271"/>
      <c r="P15" s="273"/>
      <c r="Q15" s="316">
        <v>1</v>
      </c>
      <c r="R15" s="110" t="s">
        <v>245</v>
      </c>
      <c r="S15" s="317">
        <f>'附表1-GWP TABLE'!F8</f>
        <v>771</v>
      </c>
      <c r="T15" s="318" t="s">
        <v>246</v>
      </c>
      <c r="U15" s="274"/>
      <c r="V15" s="271"/>
      <c r="W15" s="277"/>
      <c r="X15" s="271"/>
      <c r="Y15" s="274"/>
      <c r="Z15" s="271"/>
      <c r="AA15" s="273"/>
      <c r="AB15" s="274"/>
      <c r="AC15" s="310"/>
      <c r="AD15" s="307"/>
      <c r="AE15" s="278">
        <f t="shared" si="0"/>
        <v>0</v>
      </c>
      <c r="AF15" s="278">
        <f t="shared" si="1"/>
        <v>0</v>
      </c>
      <c r="AG15" s="278">
        <f t="shared" si="2"/>
        <v>0</v>
      </c>
      <c r="AH15" s="278">
        <f t="shared" si="3"/>
        <v>717.03</v>
      </c>
      <c r="AI15" s="278">
        <f t="shared" si="4"/>
        <v>0</v>
      </c>
      <c r="AJ15" s="278">
        <f t="shared" si="5"/>
        <v>0</v>
      </c>
      <c r="AK15" s="278">
        <f t="shared" si="6"/>
        <v>0</v>
      </c>
      <c r="AL15" s="278">
        <f t="shared" si="7"/>
        <v>717.03</v>
      </c>
    </row>
    <row r="16" spans="1:38" s="19" customFormat="1" ht="14.25">
      <c r="A16" s="265">
        <v>12</v>
      </c>
      <c r="B16" s="266" t="s">
        <v>242</v>
      </c>
      <c r="C16" s="267" t="s">
        <v>247</v>
      </c>
      <c r="D16" s="118" t="s">
        <v>248</v>
      </c>
      <c r="E16" s="269" t="s">
        <v>217</v>
      </c>
      <c r="F16" s="279">
        <f>ROUND((127*3+56*5)/1000,2)</f>
        <v>0.66</v>
      </c>
      <c r="G16" s="271" t="s">
        <v>222</v>
      </c>
      <c r="H16" s="319">
        <f>'附表2-EF'!F34</f>
        <v>1</v>
      </c>
      <c r="I16" s="271" t="s">
        <v>223</v>
      </c>
      <c r="J16" s="273">
        <v>1</v>
      </c>
      <c r="K16" s="274"/>
      <c r="L16" s="267"/>
      <c r="M16" s="273"/>
      <c r="N16" s="274"/>
      <c r="O16" s="271"/>
      <c r="P16" s="273"/>
      <c r="Q16" s="275"/>
      <c r="R16" s="110"/>
      <c r="S16" s="276"/>
      <c r="T16" s="110"/>
      <c r="U16" s="274"/>
      <c r="V16" s="271"/>
      <c r="W16" s="277"/>
      <c r="X16" s="271"/>
      <c r="Y16" s="274"/>
      <c r="Z16" s="271"/>
      <c r="AA16" s="273"/>
      <c r="AB16" s="274"/>
      <c r="AC16" s="310"/>
      <c r="AD16" s="307"/>
      <c r="AE16" s="278">
        <f t="shared" si="0"/>
        <v>0.66</v>
      </c>
      <c r="AF16" s="278">
        <f t="shared" si="1"/>
        <v>0</v>
      </c>
      <c r="AG16" s="278">
        <f t="shared" si="2"/>
        <v>0</v>
      </c>
      <c r="AH16" s="278">
        <f t="shared" si="3"/>
        <v>0</v>
      </c>
      <c r="AI16" s="278">
        <f t="shared" si="4"/>
        <v>0</v>
      </c>
      <c r="AJ16" s="278">
        <f t="shared" si="5"/>
        <v>0</v>
      </c>
      <c r="AK16" s="278">
        <f t="shared" si="6"/>
        <v>0</v>
      </c>
      <c r="AL16" s="278">
        <f t="shared" si="7"/>
        <v>0.66</v>
      </c>
    </row>
    <row r="17" spans="1:38" s="19" customFormat="1" ht="14.25">
      <c r="A17" s="265">
        <v>13</v>
      </c>
      <c r="B17" s="266" t="s">
        <v>242</v>
      </c>
      <c r="C17" s="267" t="s">
        <v>249</v>
      </c>
      <c r="D17" s="118" t="s">
        <v>250</v>
      </c>
      <c r="E17" s="269" t="s">
        <v>217</v>
      </c>
      <c r="F17" s="279">
        <f>ROUND(6680*'附表2-EF'!J38*251/10^6*8/24,2)</f>
        <v>22.36</v>
      </c>
      <c r="G17" s="271" t="s">
        <v>251</v>
      </c>
      <c r="H17" s="319"/>
      <c r="I17" s="271"/>
      <c r="J17" s="273"/>
      <c r="K17" s="320">
        <f>'附表2-EF'!J36</f>
        <v>0.18</v>
      </c>
      <c r="L17" s="267" t="s">
        <v>252</v>
      </c>
      <c r="M17" s="273">
        <f>'附表1-GWP TABLE'!E4</f>
        <v>27.9</v>
      </c>
      <c r="N17" s="274"/>
      <c r="O17" s="271"/>
      <c r="P17" s="273"/>
      <c r="Q17" s="275"/>
      <c r="R17" s="110"/>
      <c r="S17" s="276"/>
      <c r="T17" s="110"/>
      <c r="U17" s="274"/>
      <c r="V17" s="271"/>
      <c r="W17" s="277"/>
      <c r="X17" s="271"/>
      <c r="Y17" s="274"/>
      <c r="Z17" s="271"/>
      <c r="AA17" s="273"/>
      <c r="AB17" s="274"/>
      <c r="AC17" s="310"/>
      <c r="AD17" s="307"/>
      <c r="AE17" s="278">
        <f t="shared" si="0"/>
        <v>0</v>
      </c>
      <c r="AF17" s="278">
        <f t="shared" si="1"/>
        <v>112.29192</v>
      </c>
      <c r="AG17" s="278">
        <f t="shared" si="2"/>
        <v>0</v>
      </c>
      <c r="AH17" s="278">
        <f t="shared" si="3"/>
        <v>0</v>
      </c>
      <c r="AI17" s="278">
        <f t="shared" si="4"/>
        <v>0</v>
      </c>
      <c r="AJ17" s="278">
        <f t="shared" si="5"/>
        <v>0</v>
      </c>
      <c r="AK17" s="278">
        <f t="shared" si="6"/>
        <v>0</v>
      </c>
      <c r="AL17" s="278">
        <f t="shared" si="7"/>
        <v>112.29192</v>
      </c>
    </row>
    <row r="18" spans="1:38" s="19" customFormat="1" ht="14.25">
      <c r="A18" s="265">
        <v>14</v>
      </c>
      <c r="B18" s="321" t="s">
        <v>253</v>
      </c>
      <c r="C18" s="267" t="s">
        <v>249</v>
      </c>
      <c r="D18" s="268" t="s">
        <v>254</v>
      </c>
      <c r="E18" s="269" t="s">
        <v>217</v>
      </c>
      <c r="F18" s="322">
        <f>ROUND((21.7-7.3)/10^6*9700672+(27.5-8.5)/10^6*1843418,2)</f>
        <v>174.71</v>
      </c>
      <c r="G18" s="271" t="s">
        <v>255</v>
      </c>
      <c r="H18" s="323"/>
      <c r="I18" s="295"/>
      <c r="J18" s="296"/>
      <c r="K18" s="324">
        <f>'附表2-EF'!J37</f>
        <v>7.4999999999999997E-2</v>
      </c>
      <c r="L18" s="325" t="s">
        <v>256</v>
      </c>
      <c r="M18" s="296">
        <f>'附表1-GWP TABLE'!E4</f>
        <v>27.9</v>
      </c>
      <c r="N18" s="300"/>
      <c r="O18" s="295"/>
      <c r="P18" s="296"/>
      <c r="Q18" s="297"/>
      <c r="R18" s="298"/>
      <c r="S18" s="299"/>
      <c r="T18" s="298"/>
      <c r="U18" s="300"/>
      <c r="V18" s="295"/>
      <c r="W18" s="301"/>
      <c r="X18" s="295"/>
      <c r="Y18" s="300"/>
      <c r="Z18" s="295"/>
      <c r="AA18" s="296"/>
      <c r="AB18" s="300"/>
      <c r="AC18" s="326"/>
      <c r="AD18" s="327"/>
      <c r="AE18" s="278">
        <f t="shared" si="0"/>
        <v>0</v>
      </c>
      <c r="AF18" s="278">
        <f t="shared" si="1"/>
        <v>365.58067499999999</v>
      </c>
      <c r="AG18" s="278">
        <f t="shared" si="2"/>
        <v>0</v>
      </c>
      <c r="AH18" s="278">
        <f t="shared" si="3"/>
        <v>0</v>
      </c>
      <c r="AI18" s="278">
        <f t="shared" si="4"/>
        <v>0</v>
      </c>
      <c r="AJ18" s="278">
        <f t="shared" si="5"/>
        <v>0</v>
      </c>
      <c r="AK18" s="278">
        <f t="shared" si="6"/>
        <v>0</v>
      </c>
      <c r="AL18" s="278">
        <f t="shared" si="7"/>
        <v>365.58067499999999</v>
      </c>
    </row>
    <row r="19" spans="1:38" s="19" customFormat="1" ht="14.25">
      <c r="A19" s="265">
        <v>15</v>
      </c>
      <c r="B19" s="266" t="s">
        <v>242</v>
      </c>
      <c r="C19" s="267" t="s">
        <v>257</v>
      </c>
      <c r="D19" s="118" t="s">
        <v>258</v>
      </c>
      <c r="E19" s="269" t="s">
        <v>217</v>
      </c>
      <c r="F19" s="279">
        <f>ROUND((56*24+63*300)/1000,2)</f>
        <v>20.239999999999998</v>
      </c>
      <c r="G19" s="271" t="s">
        <v>222</v>
      </c>
      <c r="H19" s="319"/>
      <c r="I19" s="271"/>
      <c r="J19" s="273"/>
      <c r="K19" s="274"/>
      <c r="L19" s="267"/>
      <c r="M19" s="273"/>
      <c r="N19" s="274"/>
      <c r="O19" s="271"/>
      <c r="P19" s="273"/>
      <c r="Q19" s="275"/>
      <c r="R19" s="110"/>
      <c r="S19" s="276"/>
      <c r="T19" s="110"/>
      <c r="U19" s="274"/>
      <c r="V19" s="271"/>
      <c r="W19" s="277"/>
      <c r="X19" s="271"/>
      <c r="Y19" s="328">
        <f>'附表2-EF'!F33</f>
        <v>5.0000000000000001E-3</v>
      </c>
      <c r="Z19" s="110" t="s">
        <v>259</v>
      </c>
      <c r="AA19" s="273">
        <f>'附表1-GWP TABLE'!E48</f>
        <v>24300</v>
      </c>
      <c r="AB19" s="274"/>
      <c r="AC19" s="310"/>
      <c r="AD19" s="307"/>
      <c r="AE19" s="278">
        <f t="shared" si="0"/>
        <v>0</v>
      </c>
      <c r="AF19" s="278">
        <f t="shared" si="1"/>
        <v>0</v>
      </c>
      <c r="AG19" s="278">
        <f t="shared" si="2"/>
        <v>0</v>
      </c>
      <c r="AH19" s="278">
        <f t="shared" si="3"/>
        <v>0</v>
      </c>
      <c r="AI19" s="278">
        <f t="shared" si="4"/>
        <v>0</v>
      </c>
      <c r="AJ19" s="278">
        <f t="shared" si="5"/>
        <v>2459.16</v>
      </c>
      <c r="AK19" s="278">
        <f t="shared" si="6"/>
        <v>0</v>
      </c>
      <c r="AL19" s="278">
        <f t="shared" si="7"/>
        <v>2459.16</v>
      </c>
    </row>
    <row r="20" spans="1:38" s="19" customFormat="1" ht="14.25">
      <c r="A20" s="265">
        <v>16</v>
      </c>
      <c r="B20" s="329" t="s">
        <v>53</v>
      </c>
      <c r="C20" s="291" t="s">
        <v>260</v>
      </c>
      <c r="D20" s="268" t="s">
        <v>261</v>
      </c>
      <c r="E20" s="269" t="s">
        <v>217</v>
      </c>
      <c r="F20" s="279">
        <f>ROUND(4595.368+7694.12+7076.28,2)</f>
        <v>19365.77</v>
      </c>
      <c r="G20" s="271" t="s">
        <v>222</v>
      </c>
      <c r="H20" s="272">
        <f>'附表2-EF'!F19</f>
        <v>0.44</v>
      </c>
      <c r="I20" s="271" t="s">
        <v>223</v>
      </c>
      <c r="J20" s="273">
        <v>1</v>
      </c>
      <c r="K20" s="274"/>
      <c r="L20" s="267"/>
      <c r="M20" s="273"/>
      <c r="N20" s="274"/>
      <c r="O20" s="271"/>
      <c r="P20" s="273"/>
      <c r="Q20" s="275"/>
      <c r="R20" s="110"/>
      <c r="S20" s="317"/>
      <c r="T20" s="318"/>
      <c r="U20" s="274"/>
      <c r="V20" s="271"/>
      <c r="W20" s="277"/>
      <c r="X20" s="271"/>
      <c r="Y20" s="274"/>
      <c r="Z20" s="271"/>
      <c r="AA20" s="273"/>
      <c r="AB20" s="274"/>
      <c r="AC20" s="310"/>
      <c r="AD20" s="307"/>
      <c r="AE20" s="278">
        <f t="shared" si="0"/>
        <v>8520.9387999999999</v>
      </c>
      <c r="AF20" s="278">
        <f t="shared" si="1"/>
        <v>0</v>
      </c>
      <c r="AG20" s="278">
        <f t="shared" si="2"/>
        <v>0</v>
      </c>
      <c r="AH20" s="278">
        <f t="shared" si="3"/>
        <v>0</v>
      </c>
      <c r="AI20" s="278">
        <f t="shared" si="4"/>
        <v>0</v>
      </c>
      <c r="AJ20" s="278">
        <f t="shared" si="5"/>
        <v>0</v>
      </c>
      <c r="AK20" s="278">
        <f t="shared" si="6"/>
        <v>0</v>
      </c>
      <c r="AL20" s="278">
        <f t="shared" si="7"/>
        <v>8520.9387999999999</v>
      </c>
    </row>
    <row r="21" spans="1:38" s="19" customFormat="1" ht="14.25">
      <c r="A21" s="265">
        <v>17</v>
      </c>
      <c r="B21" s="329" t="s">
        <v>53</v>
      </c>
      <c r="C21" s="291" t="s">
        <v>262</v>
      </c>
      <c r="D21" s="118" t="s">
        <v>225</v>
      </c>
      <c r="E21" s="269" t="s">
        <v>217</v>
      </c>
      <c r="F21" s="279">
        <f>ROUND(356289.39,2)</f>
        <v>356289.39</v>
      </c>
      <c r="G21" s="271" t="s">
        <v>222</v>
      </c>
      <c r="H21" s="272">
        <f>'附表2-EF'!F20</f>
        <v>0.47599999999999998</v>
      </c>
      <c r="I21" s="271" t="s">
        <v>223</v>
      </c>
      <c r="J21" s="273">
        <v>1</v>
      </c>
      <c r="K21" s="274"/>
      <c r="L21" s="267"/>
      <c r="M21" s="273"/>
      <c r="N21" s="274"/>
      <c r="O21" s="271"/>
      <c r="P21" s="273"/>
      <c r="Q21" s="275"/>
      <c r="R21" s="110"/>
      <c r="S21" s="317"/>
      <c r="T21" s="318"/>
      <c r="U21" s="274"/>
      <c r="V21" s="271"/>
      <c r="W21" s="277"/>
      <c r="X21" s="271"/>
      <c r="Y21" s="274"/>
      <c r="Z21" s="271"/>
      <c r="AA21" s="273"/>
      <c r="AB21" s="274"/>
      <c r="AC21" s="310"/>
      <c r="AD21" s="307"/>
      <c r="AE21" s="278">
        <f t="shared" si="0"/>
        <v>169593.74963999999</v>
      </c>
      <c r="AF21" s="278">
        <f t="shared" si="1"/>
        <v>0</v>
      </c>
      <c r="AG21" s="278">
        <f t="shared" si="2"/>
        <v>0</v>
      </c>
      <c r="AH21" s="278">
        <f t="shared" si="3"/>
        <v>0</v>
      </c>
      <c r="AI21" s="278">
        <f t="shared" si="4"/>
        <v>0</v>
      </c>
      <c r="AJ21" s="278">
        <f t="shared" si="5"/>
        <v>0</v>
      </c>
      <c r="AK21" s="278">
        <f t="shared" si="6"/>
        <v>0</v>
      </c>
      <c r="AL21" s="278">
        <f t="shared" si="7"/>
        <v>169593.74963999999</v>
      </c>
    </row>
    <row r="22" spans="1:38" s="19" customFormat="1" ht="14.25">
      <c r="A22" s="265">
        <v>18</v>
      </c>
      <c r="B22" s="329" t="s">
        <v>53</v>
      </c>
      <c r="C22" s="291" t="s">
        <v>263</v>
      </c>
      <c r="D22" s="118" t="s">
        <v>264</v>
      </c>
      <c r="E22" s="269" t="s">
        <v>217</v>
      </c>
      <c r="F22" s="279">
        <f>ROUND(4763.07,2)</f>
        <v>4763.07</v>
      </c>
      <c r="G22" s="271" t="s">
        <v>222</v>
      </c>
      <c r="H22" s="330">
        <f>'附表2-EF'!F21</f>
        <v>3.6629999999999998</v>
      </c>
      <c r="I22" s="271" t="s">
        <v>223</v>
      </c>
      <c r="J22" s="273">
        <v>1</v>
      </c>
      <c r="K22" s="274"/>
      <c r="L22" s="267"/>
      <c r="M22" s="273"/>
      <c r="N22" s="274"/>
      <c r="O22" s="271"/>
      <c r="P22" s="273"/>
      <c r="Q22" s="275"/>
      <c r="R22" s="110"/>
      <c r="S22" s="317"/>
      <c r="T22" s="318"/>
      <c r="U22" s="274"/>
      <c r="V22" s="271"/>
      <c r="W22" s="277"/>
      <c r="X22" s="271"/>
      <c r="Y22" s="274"/>
      <c r="Z22" s="271"/>
      <c r="AA22" s="273"/>
      <c r="AB22" s="274"/>
      <c r="AC22" s="310"/>
      <c r="AD22" s="307"/>
      <c r="AE22" s="278">
        <f t="shared" ref="AE22:AE34" si="16">F22*H22*J22</f>
        <v>17447.125410000001</v>
      </c>
      <c r="AF22" s="278">
        <f t="shared" ref="AF22:AF34" si="17">F22*K22*M22</f>
        <v>0</v>
      </c>
      <c r="AG22" s="278">
        <f t="shared" ref="AG22:AG34" si="18">F22*N22*P22</f>
        <v>0</v>
      </c>
      <c r="AH22" s="278">
        <f t="shared" ref="AH22:AH34" si="19">F22*Q22*S22</f>
        <v>0</v>
      </c>
      <c r="AI22" s="278">
        <f t="shared" ref="AI22:AI34" si="20">F22*U22*W22</f>
        <v>0</v>
      </c>
      <c r="AJ22" s="278">
        <f t="shared" ref="AJ22:AJ34" si="21">F22*Y22*AA22</f>
        <v>0</v>
      </c>
      <c r="AK22" s="278">
        <f t="shared" ref="AK22:AK34" si="22">F22*AB22*AD22</f>
        <v>0</v>
      </c>
      <c r="AL22" s="278">
        <f t="shared" ref="AL22:AL34" si="23">SUM(AE22:AK22)</f>
        <v>17447.125410000001</v>
      </c>
    </row>
    <row r="23" spans="1:38" s="19" customFormat="1" ht="14.25">
      <c r="A23" s="265">
        <v>19</v>
      </c>
      <c r="B23" s="329" t="s">
        <v>53</v>
      </c>
      <c r="C23" s="291" t="s">
        <v>265</v>
      </c>
      <c r="D23" s="118" t="s">
        <v>264</v>
      </c>
      <c r="E23" s="269" t="s">
        <v>217</v>
      </c>
      <c r="F23" s="279">
        <v>1077722.6430978</v>
      </c>
      <c r="G23" s="271" t="s">
        <v>222</v>
      </c>
      <c r="H23" s="331">
        <f>'附表2-EF'!F27</f>
        <v>3.6999999999999998E-2</v>
      </c>
      <c r="I23" s="271" t="s">
        <v>223</v>
      </c>
      <c r="J23" s="273">
        <v>1</v>
      </c>
      <c r="K23" s="274"/>
      <c r="L23" s="267"/>
      <c r="M23" s="273"/>
      <c r="N23" s="274"/>
      <c r="O23" s="271"/>
      <c r="P23" s="273"/>
      <c r="Q23" s="275"/>
      <c r="R23" s="110"/>
      <c r="S23" s="317"/>
      <c r="T23" s="318"/>
      <c r="U23" s="274"/>
      <c r="V23" s="271"/>
      <c r="W23" s="277"/>
      <c r="X23" s="271"/>
      <c r="Y23" s="274"/>
      <c r="Z23" s="271"/>
      <c r="AA23" s="273"/>
      <c r="AB23" s="274"/>
      <c r="AC23" s="310"/>
      <c r="AD23" s="307"/>
      <c r="AE23" s="278">
        <f t="shared" si="16"/>
        <v>39875.737794618602</v>
      </c>
      <c r="AF23" s="278">
        <f t="shared" si="17"/>
        <v>0</v>
      </c>
      <c r="AG23" s="278">
        <f t="shared" si="18"/>
        <v>0</v>
      </c>
      <c r="AH23" s="278">
        <f t="shared" si="19"/>
        <v>0</v>
      </c>
      <c r="AI23" s="278">
        <f t="shared" si="20"/>
        <v>0</v>
      </c>
      <c r="AJ23" s="278">
        <f t="shared" si="21"/>
        <v>0</v>
      </c>
      <c r="AK23" s="278">
        <f t="shared" si="22"/>
        <v>0</v>
      </c>
      <c r="AL23" s="278">
        <f t="shared" si="23"/>
        <v>39875.737794618602</v>
      </c>
    </row>
    <row r="24" spans="1:38" s="19" customFormat="1" ht="14.25">
      <c r="A24" s="265">
        <v>20</v>
      </c>
      <c r="B24" s="329" t="s">
        <v>53</v>
      </c>
      <c r="C24" s="156" t="s">
        <v>266</v>
      </c>
      <c r="D24" s="118" t="s">
        <v>264</v>
      </c>
      <c r="E24" s="269" t="s">
        <v>217</v>
      </c>
      <c r="F24" s="279">
        <f>ROUND(47687.636,2)</f>
        <v>47687.64</v>
      </c>
      <c r="G24" s="271" t="s">
        <v>222</v>
      </c>
      <c r="H24" s="331">
        <f>'附表2-EF'!F26</f>
        <v>0.27500000000000002</v>
      </c>
      <c r="I24" s="271" t="s">
        <v>223</v>
      </c>
      <c r="J24" s="273">
        <v>1</v>
      </c>
      <c r="K24" s="274"/>
      <c r="L24" s="267"/>
      <c r="M24" s="273"/>
      <c r="N24" s="274"/>
      <c r="O24" s="271"/>
      <c r="P24" s="273"/>
      <c r="Q24" s="275"/>
      <c r="R24" s="110"/>
      <c r="S24" s="317"/>
      <c r="T24" s="318"/>
      <c r="U24" s="274"/>
      <c r="V24" s="271"/>
      <c r="W24" s="277"/>
      <c r="X24" s="271"/>
      <c r="Y24" s="274"/>
      <c r="Z24" s="271"/>
      <c r="AA24" s="273"/>
      <c r="AB24" s="274"/>
      <c r="AC24" s="310"/>
      <c r="AD24" s="307"/>
      <c r="AE24" s="278">
        <f t="shared" si="16"/>
        <v>13114.101000000001</v>
      </c>
      <c r="AF24" s="278">
        <f t="shared" si="17"/>
        <v>0</v>
      </c>
      <c r="AG24" s="278">
        <f t="shared" si="18"/>
        <v>0</v>
      </c>
      <c r="AH24" s="278">
        <f t="shared" si="19"/>
        <v>0</v>
      </c>
      <c r="AI24" s="278">
        <f t="shared" si="20"/>
        <v>0</v>
      </c>
      <c r="AJ24" s="278">
        <f t="shared" si="21"/>
        <v>0</v>
      </c>
      <c r="AK24" s="278">
        <f t="shared" si="22"/>
        <v>0</v>
      </c>
      <c r="AL24" s="278">
        <f t="shared" si="23"/>
        <v>13114.101000000001</v>
      </c>
    </row>
    <row r="25" spans="1:38" s="19" customFormat="1" ht="14.25">
      <c r="A25" s="265">
        <v>21</v>
      </c>
      <c r="B25" s="329" t="s">
        <v>53</v>
      </c>
      <c r="C25" s="156" t="s">
        <v>267</v>
      </c>
      <c r="D25" s="118" t="s">
        <v>264</v>
      </c>
      <c r="E25" s="269" t="s">
        <v>217</v>
      </c>
      <c r="F25" s="279">
        <f>ROUND(9445.106,2)</f>
        <v>9445.11</v>
      </c>
      <c r="G25" s="271" t="s">
        <v>222</v>
      </c>
      <c r="H25" s="331">
        <f>'附表2-EF'!F22</f>
        <v>3.6999999999999998E-2</v>
      </c>
      <c r="I25" s="271" t="s">
        <v>223</v>
      </c>
      <c r="J25" s="273">
        <v>1</v>
      </c>
      <c r="K25" s="274"/>
      <c r="L25" s="267"/>
      <c r="M25" s="273"/>
      <c r="N25" s="274"/>
      <c r="O25" s="271"/>
      <c r="P25" s="273"/>
      <c r="Q25" s="275"/>
      <c r="R25" s="110"/>
      <c r="S25" s="317"/>
      <c r="T25" s="318"/>
      <c r="U25" s="274"/>
      <c r="V25" s="271"/>
      <c r="W25" s="277"/>
      <c r="X25" s="271"/>
      <c r="Y25" s="274"/>
      <c r="Z25" s="271"/>
      <c r="AA25" s="273"/>
      <c r="AB25" s="274"/>
      <c r="AC25" s="310"/>
      <c r="AD25" s="307"/>
      <c r="AE25" s="278">
        <f t="shared" si="16"/>
        <v>349.46906999999999</v>
      </c>
      <c r="AF25" s="278">
        <f t="shared" si="17"/>
        <v>0</v>
      </c>
      <c r="AG25" s="278">
        <f t="shared" si="18"/>
        <v>0</v>
      </c>
      <c r="AH25" s="278">
        <f t="shared" si="19"/>
        <v>0</v>
      </c>
      <c r="AI25" s="278">
        <f t="shared" si="20"/>
        <v>0</v>
      </c>
      <c r="AJ25" s="278">
        <f t="shared" si="21"/>
        <v>0</v>
      </c>
      <c r="AK25" s="278">
        <f t="shared" si="22"/>
        <v>0</v>
      </c>
      <c r="AL25" s="278">
        <f t="shared" si="23"/>
        <v>349.46906999999999</v>
      </c>
    </row>
    <row r="26" spans="1:38" s="19" customFormat="1" ht="14.25">
      <c r="A26" s="265">
        <v>22</v>
      </c>
      <c r="B26" s="329" t="s">
        <v>53</v>
      </c>
      <c r="C26" s="156" t="s">
        <v>268</v>
      </c>
      <c r="D26" s="118" t="s">
        <v>264</v>
      </c>
      <c r="E26" s="269" t="s">
        <v>217</v>
      </c>
      <c r="F26" s="279">
        <v>65858.929000000004</v>
      </c>
      <c r="G26" s="271" t="s">
        <v>222</v>
      </c>
      <c r="H26" s="331">
        <f>'附表2-EF'!F23</f>
        <v>0.34799999999999998</v>
      </c>
      <c r="I26" s="271" t="s">
        <v>223</v>
      </c>
      <c r="J26" s="273">
        <v>1</v>
      </c>
      <c r="K26" s="274"/>
      <c r="L26" s="267"/>
      <c r="M26" s="273"/>
      <c r="N26" s="274"/>
      <c r="O26" s="271"/>
      <c r="P26" s="273"/>
      <c r="Q26" s="275"/>
      <c r="R26" s="110"/>
      <c r="S26" s="317"/>
      <c r="T26" s="318"/>
      <c r="U26" s="274"/>
      <c r="V26" s="271"/>
      <c r="W26" s="277"/>
      <c r="X26" s="271"/>
      <c r="Y26" s="274"/>
      <c r="Z26" s="271"/>
      <c r="AA26" s="273"/>
      <c r="AB26" s="274"/>
      <c r="AC26" s="310"/>
      <c r="AD26" s="307"/>
      <c r="AE26" s="278">
        <f t="shared" si="16"/>
        <v>22918.907292</v>
      </c>
      <c r="AF26" s="278">
        <f t="shared" si="17"/>
        <v>0</v>
      </c>
      <c r="AG26" s="278">
        <f t="shared" si="18"/>
        <v>0</v>
      </c>
      <c r="AH26" s="278">
        <f t="shared" si="19"/>
        <v>0</v>
      </c>
      <c r="AI26" s="278">
        <f t="shared" si="20"/>
        <v>0</v>
      </c>
      <c r="AJ26" s="278">
        <f t="shared" si="21"/>
        <v>0</v>
      </c>
      <c r="AK26" s="278">
        <f t="shared" si="22"/>
        <v>0</v>
      </c>
      <c r="AL26" s="278">
        <f t="shared" si="23"/>
        <v>22918.907292</v>
      </c>
    </row>
    <row r="27" spans="1:38" s="19" customFormat="1" ht="14.25">
      <c r="A27" s="265">
        <v>23</v>
      </c>
      <c r="B27" s="329" t="s">
        <v>53</v>
      </c>
      <c r="C27" s="156" t="s">
        <v>269</v>
      </c>
      <c r="D27" s="118" t="s">
        <v>264</v>
      </c>
      <c r="E27" s="269" t="s">
        <v>217</v>
      </c>
      <c r="F27" s="279">
        <f>ROUND(10672.477,2)</f>
        <v>10672.48</v>
      </c>
      <c r="G27" s="271" t="s">
        <v>222</v>
      </c>
      <c r="H27" s="331">
        <f>'附表2-EF'!F25</f>
        <v>7.0000000000000001E-3</v>
      </c>
      <c r="I27" s="271" t="s">
        <v>223</v>
      </c>
      <c r="J27" s="273">
        <v>1</v>
      </c>
      <c r="K27" s="274"/>
      <c r="L27" s="267"/>
      <c r="M27" s="273"/>
      <c r="N27" s="274"/>
      <c r="O27" s="271"/>
      <c r="P27" s="273"/>
      <c r="Q27" s="275"/>
      <c r="R27" s="110"/>
      <c r="S27" s="317"/>
      <c r="T27" s="318"/>
      <c r="U27" s="274"/>
      <c r="V27" s="271"/>
      <c r="W27" s="277"/>
      <c r="X27" s="271"/>
      <c r="Y27" s="274"/>
      <c r="Z27" s="271"/>
      <c r="AA27" s="273"/>
      <c r="AB27" s="274"/>
      <c r="AC27" s="310"/>
      <c r="AD27" s="307"/>
      <c r="AE27" s="278">
        <f t="shared" si="16"/>
        <v>74.707359999999994</v>
      </c>
      <c r="AF27" s="278">
        <f t="shared" si="17"/>
        <v>0</v>
      </c>
      <c r="AG27" s="278">
        <f t="shared" si="18"/>
        <v>0</v>
      </c>
      <c r="AH27" s="278">
        <f t="shared" si="19"/>
        <v>0</v>
      </c>
      <c r="AI27" s="278">
        <f t="shared" si="20"/>
        <v>0</v>
      </c>
      <c r="AJ27" s="278">
        <f t="shared" si="21"/>
        <v>0</v>
      </c>
      <c r="AK27" s="278">
        <f t="shared" si="22"/>
        <v>0</v>
      </c>
      <c r="AL27" s="278">
        <f t="shared" si="23"/>
        <v>74.707359999999994</v>
      </c>
    </row>
    <row r="28" spans="1:38" s="19" customFormat="1" ht="14.25">
      <c r="A28" s="265">
        <v>24</v>
      </c>
      <c r="B28" s="329" t="s">
        <v>53</v>
      </c>
      <c r="C28" s="156" t="s">
        <v>270</v>
      </c>
      <c r="D28" s="118" t="s">
        <v>264</v>
      </c>
      <c r="E28" s="269" t="s">
        <v>217</v>
      </c>
      <c r="F28" s="279">
        <v>7945.1639999999998</v>
      </c>
      <c r="G28" s="271" t="s">
        <v>222</v>
      </c>
      <c r="H28" s="331">
        <f>'附表2-EF'!F24</f>
        <v>1.7999999999999999E-2</v>
      </c>
      <c r="I28" s="271" t="s">
        <v>223</v>
      </c>
      <c r="J28" s="273">
        <v>1</v>
      </c>
      <c r="K28" s="274"/>
      <c r="L28" s="267"/>
      <c r="M28" s="273"/>
      <c r="N28" s="274"/>
      <c r="O28" s="271"/>
      <c r="P28" s="273"/>
      <c r="Q28" s="275"/>
      <c r="R28" s="110"/>
      <c r="S28" s="317"/>
      <c r="T28" s="318"/>
      <c r="U28" s="274"/>
      <c r="V28" s="271"/>
      <c r="W28" s="277"/>
      <c r="X28" s="271"/>
      <c r="Y28" s="274"/>
      <c r="Z28" s="271"/>
      <c r="AA28" s="273"/>
      <c r="AB28" s="274"/>
      <c r="AC28" s="310"/>
      <c r="AD28" s="307"/>
      <c r="AE28" s="278">
        <f t="shared" si="16"/>
        <v>143.01295200000001</v>
      </c>
      <c r="AF28" s="278">
        <f t="shared" si="17"/>
        <v>0</v>
      </c>
      <c r="AG28" s="278">
        <f t="shared" si="18"/>
        <v>0</v>
      </c>
      <c r="AH28" s="278">
        <f t="shared" si="19"/>
        <v>0</v>
      </c>
      <c r="AI28" s="278">
        <f t="shared" si="20"/>
        <v>0</v>
      </c>
      <c r="AJ28" s="278">
        <f t="shared" si="21"/>
        <v>0</v>
      </c>
      <c r="AK28" s="278">
        <f t="shared" si="22"/>
        <v>0</v>
      </c>
      <c r="AL28" s="278">
        <f t="shared" si="23"/>
        <v>143.01295200000001</v>
      </c>
    </row>
    <row r="29" spans="1:38" s="19" customFormat="1" ht="14.25">
      <c r="A29" s="265">
        <v>25</v>
      </c>
      <c r="B29" s="302" t="s">
        <v>53</v>
      </c>
      <c r="C29" s="303" t="s">
        <v>271</v>
      </c>
      <c r="D29" s="332" t="s">
        <v>272</v>
      </c>
      <c r="E29" s="304" t="s">
        <v>217</v>
      </c>
      <c r="F29" s="305">
        <v>-4332821.9400000004</v>
      </c>
      <c r="G29" s="306" t="s">
        <v>222</v>
      </c>
      <c r="H29" s="333">
        <f>'附表2-EF'!F28</f>
        <v>3.6999999999999998E-2</v>
      </c>
      <c r="I29" s="306" t="s">
        <v>223</v>
      </c>
      <c r="J29" s="307">
        <v>1</v>
      </c>
      <c r="K29" s="313"/>
      <c r="L29" s="308"/>
      <c r="M29" s="307"/>
      <c r="N29" s="313"/>
      <c r="O29" s="306"/>
      <c r="P29" s="307"/>
      <c r="Q29" s="309"/>
      <c r="R29" s="310"/>
      <c r="S29" s="311"/>
      <c r="T29" s="312"/>
      <c r="U29" s="313"/>
      <c r="V29" s="306"/>
      <c r="W29" s="314"/>
      <c r="X29" s="306"/>
      <c r="Y29" s="313"/>
      <c r="Z29" s="306"/>
      <c r="AA29" s="307"/>
      <c r="AB29" s="313"/>
      <c r="AC29" s="310"/>
      <c r="AD29" s="307"/>
      <c r="AE29" s="278">
        <f t="shared" si="16"/>
        <v>-160314.41177999999</v>
      </c>
      <c r="AF29" s="278">
        <f t="shared" si="17"/>
        <v>0</v>
      </c>
      <c r="AG29" s="278">
        <f t="shared" si="18"/>
        <v>0</v>
      </c>
      <c r="AH29" s="278">
        <f t="shared" si="19"/>
        <v>0</v>
      </c>
      <c r="AI29" s="278">
        <f t="shared" si="20"/>
        <v>0</v>
      </c>
      <c r="AJ29" s="278">
        <f t="shared" si="21"/>
        <v>0</v>
      </c>
      <c r="AK29" s="278">
        <f t="shared" si="22"/>
        <v>0</v>
      </c>
      <c r="AL29" s="315">
        <f t="shared" si="23"/>
        <v>-160314.41177999999</v>
      </c>
    </row>
    <row r="30" spans="1:38" s="19" customFormat="1" ht="14.25">
      <c r="A30" s="265">
        <v>26</v>
      </c>
      <c r="B30" s="302" t="s">
        <v>53</v>
      </c>
      <c r="C30" s="334" t="s">
        <v>273</v>
      </c>
      <c r="D30" s="303" t="s">
        <v>236</v>
      </c>
      <c r="E30" s="304" t="s">
        <v>217</v>
      </c>
      <c r="F30" s="335">
        <v>-19501.18</v>
      </c>
      <c r="G30" s="306" t="s">
        <v>222</v>
      </c>
      <c r="H30" s="336">
        <f>'附表2-EF'!F17</f>
        <v>3.3820000000000001</v>
      </c>
      <c r="I30" s="306" t="s">
        <v>223</v>
      </c>
      <c r="J30" s="307">
        <v>1</v>
      </c>
      <c r="K30" s="313"/>
      <c r="L30" s="308"/>
      <c r="M30" s="307"/>
      <c r="N30" s="313"/>
      <c r="O30" s="306"/>
      <c r="P30" s="307"/>
      <c r="Q30" s="309"/>
      <c r="R30" s="310"/>
      <c r="S30" s="311"/>
      <c r="T30" s="312"/>
      <c r="U30" s="313"/>
      <c r="V30" s="306"/>
      <c r="W30" s="314"/>
      <c r="X30" s="306"/>
      <c r="Y30" s="313"/>
      <c r="Z30" s="306"/>
      <c r="AA30" s="307"/>
      <c r="AB30" s="313"/>
      <c r="AC30" s="310"/>
      <c r="AD30" s="307"/>
      <c r="AE30" s="278">
        <f t="shared" si="16"/>
        <v>-65952.990760000001</v>
      </c>
      <c r="AF30" s="278">
        <f t="shared" si="17"/>
        <v>0</v>
      </c>
      <c r="AG30" s="278">
        <f t="shared" si="18"/>
        <v>0</v>
      </c>
      <c r="AH30" s="278">
        <f t="shared" si="19"/>
        <v>0</v>
      </c>
      <c r="AI30" s="278">
        <f t="shared" si="20"/>
        <v>0</v>
      </c>
      <c r="AJ30" s="278">
        <f t="shared" si="21"/>
        <v>0</v>
      </c>
      <c r="AK30" s="278">
        <f t="shared" si="22"/>
        <v>0</v>
      </c>
      <c r="AL30" s="315">
        <f t="shared" si="23"/>
        <v>-65952.990760000001</v>
      </c>
    </row>
    <row r="31" spans="1:38" s="19" customFormat="1" ht="14.25">
      <c r="A31" s="265">
        <v>27</v>
      </c>
      <c r="B31" s="302" t="s">
        <v>53</v>
      </c>
      <c r="C31" s="334" t="s">
        <v>274</v>
      </c>
      <c r="D31" s="303" t="s">
        <v>275</v>
      </c>
      <c r="E31" s="304" t="s">
        <v>217</v>
      </c>
      <c r="F31" s="337">
        <v>-59054.1</v>
      </c>
      <c r="G31" s="306" t="s">
        <v>222</v>
      </c>
      <c r="H31" s="336">
        <f>'附表2-EF'!F18</f>
        <v>2.6989999999999998</v>
      </c>
      <c r="I31" s="306" t="s">
        <v>223</v>
      </c>
      <c r="J31" s="307">
        <v>1</v>
      </c>
      <c r="K31" s="313"/>
      <c r="L31" s="308"/>
      <c r="M31" s="307"/>
      <c r="N31" s="313"/>
      <c r="O31" s="306"/>
      <c r="P31" s="307"/>
      <c r="Q31" s="309"/>
      <c r="R31" s="310"/>
      <c r="S31" s="311"/>
      <c r="T31" s="312"/>
      <c r="U31" s="313"/>
      <c r="V31" s="306"/>
      <c r="W31" s="314"/>
      <c r="X31" s="306"/>
      <c r="Y31" s="313"/>
      <c r="Z31" s="306"/>
      <c r="AA31" s="307"/>
      <c r="AB31" s="313"/>
      <c r="AC31" s="310"/>
      <c r="AD31" s="307"/>
      <c r="AE31" s="278">
        <f t="shared" ref="AE31" si="24">F31*H31*J31</f>
        <v>-159387.0159</v>
      </c>
      <c r="AF31" s="278">
        <f t="shared" ref="AF31" si="25">F31*K31*M31</f>
        <v>0</v>
      </c>
      <c r="AG31" s="278">
        <f t="shared" ref="AG31" si="26">F31*N31*P31</f>
        <v>0</v>
      </c>
      <c r="AH31" s="278">
        <f t="shared" ref="AH31" si="27">F31*Q31*S31</f>
        <v>0</v>
      </c>
      <c r="AI31" s="278">
        <f t="shared" ref="AI31" si="28">F31*U31*W31</f>
        <v>0</v>
      </c>
      <c r="AJ31" s="278">
        <f t="shared" ref="AJ31" si="29">F31*Y31*AA31</f>
        <v>0</v>
      </c>
      <c r="AK31" s="278">
        <f t="shared" ref="AK31" si="30">F31*AB31*AD31</f>
        <v>0</v>
      </c>
      <c r="AL31" s="315">
        <f t="shared" ref="AL31" si="31">SUM(AE31:AK31)</f>
        <v>-159387.0159</v>
      </c>
    </row>
    <row r="32" spans="1:38" s="19" customFormat="1" ht="14.25">
      <c r="A32" s="265">
        <v>28</v>
      </c>
      <c r="B32" s="338" t="s">
        <v>276</v>
      </c>
      <c r="C32" s="268" t="s">
        <v>277</v>
      </c>
      <c r="D32" s="118" t="s">
        <v>278</v>
      </c>
      <c r="E32" s="269" t="s">
        <v>279</v>
      </c>
      <c r="F32" s="339">
        <f>ROUND(1992878.77,2)</f>
        <v>1992878.77</v>
      </c>
      <c r="G32" s="271" t="s">
        <v>280</v>
      </c>
      <c r="H32" s="331">
        <f>'附表2-EF'!F41</f>
        <v>0.53659999999999997</v>
      </c>
      <c r="I32" s="271" t="s">
        <v>281</v>
      </c>
      <c r="J32" s="273">
        <v>1</v>
      </c>
      <c r="K32" s="274"/>
      <c r="L32" s="271"/>
      <c r="M32" s="273"/>
      <c r="N32" s="274"/>
      <c r="O32" s="271"/>
      <c r="P32" s="273"/>
      <c r="Q32" s="275"/>
      <c r="R32" s="110"/>
      <c r="S32" s="276"/>
      <c r="T32" s="110"/>
      <c r="U32" s="274"/>
      <c r="V32" s="271"/>
      <c r="W32" s="277"/>
      <c r="X32" s="271"/>
      <c r="Y32" s="274"/>
      <c r="Z32" s="271"/>
      <c r="AA32" s="273"/>
      <c r="AB32" s="274"/>
      <c r="AC32" s="310"/>
      <c r="AD32" s="307"/>
      <c r="AE32" s="278">
        <f t="shared" si="16"/>
        <v>1069378.747982</v>
      </c>
      <c r="AF32" s="278">
        <f t="shared" si="17"/>
        <v>0</v>
      </c>
      <c r="AG32" s="278">
        <f t="shared" si="18"/>
        <v>0</v>
      </c>
      <c r="AH32" s="278">
        <f t="shared" si="19"/>
        <v>0</v>
      </c>
      <c r="AI32" s="278">
        <f t="shared" si="20"/>
        <v>0</v>
      </c>
      <c r="AJ32" s="278">
        <f t="shared" si="21"/>
        <v>0</v>
      </c>
      <c r="AK32" s="278">
        <f t="shared" si="22"/>
        <v>0</v>
      </c>
      <c r="AL32" s="278">
        <f t="shared" si="23"/>
        <v>1069378.747982</v>
      </c>
    </row>
    <row r="33" spans="1:38" s="19" customFormat="1" ht="14.25">
      <c r="A33" s="265">
        <v>29</v>
      </c>
      <c r="B33" s="338" t="s">
        <v>276</v>
      </c>
      <c r="C33" s="268" t="s">
        <v>282</v>
      </c>
      <c r="D33" s="118" t="s">
        <v>278</v>
      </c>
      <c r="E33" s="269" t="s">
        <v>279</v>
      </c>
      <c r="F33" s="339">
        <f>ROUND(1992878.77-8759.35,2)</f>
        <v>1984119.42</v>
      </c>
      <c r="G33" s="271" t="s">
        <v>280</v>
      </c>
      <c r="H33" s="331">
        <f>'附表2-EF'!F42</f>
        <v>0.58560000000000001</v>
      </c>
      <c r="I33" s="271" t="s">
        <v>281</v>
      </c>
      <c r="J33" s="273">
        <v>1</v>
      </c>
      <c r="K33" s="274"/>
      <c r="L33" s="271"/>
      <c r="M33" s="273"/>
      <c r="N33" s="274"/>
      <c r="O33" s="271"/>
      <c r="P33" s="273"/>
      <c r="Q33" s="275"/>
      <c r="R33" s="110"/>
      <c r="S33" s="276"/>
      <c r="T33" s="110"/>
      <c r="U33" s="274"/>
      <c r="V33" s="271"/>
      <c r="W33" s="277"/>
      <c r="X33" s="271"/>
      <c r="Y33" s="274"/>
      <c r="Z33" s="271"/>
      <c r="AA33" s="273"/>
      <c r="AB33" s="274"/>
      <c r="AC33" s="310"/>
      <c r="AD33" s="307"/>
      <c r="AE33" s="278">
        <f t="shared" si="16"/>
        <v>1161900.3323520001</v>
      </c>
      <c r="AF33" s="278">
        <f t="shared" si="17"/>
        <v>0</v>
      </c>
      <c r="AG33" s="278">
        <f t="shared" si="18"/>
        <v>0</v>
      </c>
      <c r="AH33" s="278">
        <f t="shared" si="19"/>
        <v>0</v>
      </c>
      <c r="AI33" s="278">
        <f t="shared" si="20"/>
        <v>0</v>
      </c>
      <c r="AJ33" s="278">
        <f t="shared" si="21"/>
        <v>0</v>
      </c>
      <c r="AK33" s="278">
        <f t="shared" si="22"/>
        <v>0</v>
      </c>
      <c r="AL33" s="278">
        <f t="shared" si="23"/>
        <v>1161900.3323520001</v>
      </c>
    </row>
    <row r="34" spans="1:38" s="16" customFormat="1" ht="14.25">
      <c r="A34" s="265">
        <v>30</v>
      </c>
      <c r="B34" s="142" t="s">
        <v>68</v>
      </c>
      <c r="C34" s="156" t="s">
        <v>283</v>
      </c>
      <c r="D34" s="268" t="s">
        <v>284</v>
      </c>
      <c r="E34" s="269" t="s">
        <v>67</v>
      </c>
      <c r="F34" s="279">
        <f>ROUND(4538211.339,2)</f>
        <v>4538211.34</v>
      </c>
      <c r="G34" s="280" t="s">
        <v>222</v>
      </c>
      <c r="H34" s="340">
        <f>'附表2-EF'!G46</f>
        <v>9.8847000000000004E-2</v>
      </c>
      <c r="I34" s="280" t="s">
        <v>223</v>
      </c>
      <c r="J34" s="281">
        <v>1</v>
      </c>
      <c r="K34" s="287"/>
      <c r="L34" s="282"/>
      <c r="M34" s="281"/>
      <c r="N34" s="287"/>
      <c r="O34" s="280"/>
      <c r="P34" s="281"/>
      <c r="Q34" s="283"/>
      <c r="R34" s="284"/>
      <c r="S34" s="285"/>
      <c r="T34" s="286"/>
      <c r="U34" s="287"/>
      <c r="V34" s="280"/>
      <c r="W34" s="288"/>
      <c r="X34" s="280"/>
      <c r="Y34" s="287"/>
      <c r="Z34" s="280"/>
      <c r="AA34" s="281"/>
      <c r="AB34" s="287"/>
      <c r="AC34" s="284"/>
      <c r="AD34" s="281"/>
      <c r="AE34" s="278">
        <f t="shared" si="16"/>
        <v>448588.57632498001</v>
      </c>
      <c r="AF34" s="278">
        <f t="shared" si="17"/>
        <v>0</v>
      </c>
      <c r="AG34" s="278">
        <f t="shared" si="18"/>
        <v>0</v>
      </c>
      <c r="AH34" s="278">
        <f t="shared" si="19"/>
        <v>0</v>
      </c>
      <c r="AI34" s="278">
        <f t="shared" si="20"/>
        <v>0</v>
      </c>
      <c r="AJ34" s="278">
        <f t="shared" si="21"/>
        <v>0</v>
      </c>
      <c r="AK34" s="278">
        <f t="shared" si="22"/>
        <v>0</v>
      </c>
      <c r="AL34" s="278">
        <f t="shared" si="23"/>
        <v>448588.57632498001</v>
      </c>
    </row>
    <row r="35" spans="1:38" s="16" customFormat="1" ht="14.25">
      <c r="A35" s="265">
        <v>31</v>
      </c>
      <c r="B35" s="142" t="s">
        <v>68</v>
      </c>
      <c r="C35" s="156" t="s">
        <v>285</v>
      </c>
      <c r="D35" s="268" t="s">
        <v>286</v>
      </c>
      <c r="E35" s="269" t="s">
        <v>67</v>
      </c>
      <c r="F35" s="279">
        <f>ROUND(611514.48,2)</f>
        <v>611514.48</v>
      </c>
      <c r="G35" s="280" t="s">
        <v>222</v>
      </c>
      <c r="H35" s="340">
        <f>'附表2-EF'!G47</f>
        <v>1.18966991668996</v>
      </c>
      <c r="I35" s="280" t="s">
        <v>223</v>
      </c>
      <c r="J35" s="281">
        <v>1</v>
      </c>
      <c r="K35" s="287"/>
      <c r="L35" s="282"/>
      <c r="M35" s="281"/>
      <c r="N35" s="287"/>
      <c r="O35" s="280"/>
      <c r="P35" s="281"/>
      <c r="Q35" s="283"/>
      <c r="R35" s="284"/>
      <c r="S35" s="285"/>
      <c r="T35" s="286"/>
      <c r="U35" s="287"/>
      <c r="V35" s="280"/>
      <c r="W35" s="288"/>
      <c r="X35" s="280"/>
      <c r="Y35" s="287"/>
      <c r="Z35" s="280"/>
      <c r="AA35" s="281"/>
      <c r="AB35" s="287"/>
      <c r="AC35" s="284"/>
      <c r="AD35" s="281"/>
      <c r="AE35" s="278">
        <f t="shared" ref="AE35:AE59" si="32">F35*H35*J35</f>
        <v>727500.38047630398</v>
      </c>
      <c r="AF35" s="278">
        <f t="shared" ref="AF35:AF59" si="33">F35*K35*M35</f>
        <v>0</v>
      </c>
      <c r="AG35" s="278">
        <f t="shared" ref="AG35:AG59" si="34">F35*N35*P35</f>
        <v>0</v>
      </c>
      <c r="AH35" s="278">
        <f t="shared" ref="AH35:AH59" si="35">F35*Q35*S35</f>
        <v>0</v>
      </c>
      <c r="AI35" s="278">
        <f t="shared" ref="AI35:AI59" si="36">F35*U35*W35</f>
        <v>0</v>
      </c>
      <c r="AJ35" s="278">
        <f t="shared" ref="AJ35:AJ59" si="37">F35*Y35*AA35</f>
        <v>0</v>
      </c>
      <c r="AK35" s="278">
        <f t="shared" ref="AK35:AK59" si="38">F35*AB35*AD35</f>
        <v>0</v>
      </c>
      <c r="AL35" s="278">
        <f t="shared" ref="AL35:AL59" si="39">SUM(AE35:AK35)</f>
        <v>727500.38047630398</v>
      </c>
    </row>
    <row r="36" spans="1:38" s="16" customFormat="1" ht="14.25">
      <c r="A36" s="265">
        <v>32</v>
      </c>
      <c r="B36" s="142" t="s">
        <v>68</v>
      </c>
      <c r="C36" s="156" t="s">
        <v>287</v>
      </c>
      <c r="D36" s="268" t="s">
        <v>288</v>
      </c>
      <c r="E36" s="269" t="s">
        <v>67</v>
      </c>
      <c r="F36" s="279">
        <f>F20</f>
        <v>19365.77</v>
      </c>
      <c r="G36" s="280" t="s">
        <v>222</v>
      </c>
      <c r="H36" s="340">
        <f>'附表2-EF'!G48</f>
        <v>3.0298999999999999E-3</v>
      </c>
      <c r="I36" s="280" t="s">
        <v>223</v>
      </c>
      <c r="J36" s="281">
        <v>1</v>
      </c>
      <c r="K36" s="287"/>
      <c r="L36" s="282"/>
      <c r="M36" s="281"/>
      <c r="N36" s="287"/>
      <c r="O36" s="280"/>
      <c r="P36" s="281"/>
      <c r="Q36" s="283"/>
      <c r="R36" s="284"/>
      <c r="S36" s="285"/>
      <c r="T36" s="286"/>
      <c r="U36" s="287"/>
      <c r="V36" s="280"/>
      <c r="W36" s="288"/>
      <c r="X36" s="280"/>
      <c r="Y36" s="287"/>
      <c r="Z36" s="280"/>
      <c r="AA36" s="281"/>
      <c r="AB36" s="287"/>
      <c r="AC36" s="284"/>
      <c r="AD36" s="281"/>
      <c r="AE36" s="278">
        <f t="shared" si="32"/>
        <v>58.676346522999999</v>
      </c>
      <c r="AF36" s="278">
        <f t="shared" si="33"/>
        <v>0</v>
      </c>
      <c r="AG36" s="278">
        <f t="shared" si="34"/>
        <v>0</v>
      </c>
      <c r="AH36" s="278">
        <f t="shared" si="35"/>
        <v>0</v>
      </c>
      <c r="AI36" s="278">
        <f t="shared" si="36"/>
        <v>0</v>
      </c>
      <c r="AJ36" s="278">
        <f t="shared" si="37"/>
        <v>0</v>
      </c>
      <c r="AK36" s="278">
        <f t="shared" si="38"/>
        <v>0</v>
      </c>
      <c r="AL36" s="278">
        <f t="shared" si="39"/>
        <v>58.676346522999999</v>
      </c>
    </row>
    <row r="37" spans="1:38" s="16" customFormat="1" ht="14.25">
      <c r="A37" s="265">
        <v>33</v>
      </c>
      <c r="B37" s="142" t="s">
        <v>68</v>
      </c>
      <c r="C37" s="156" t="s">
        <v>289</v>
      </c>
      <c r="D37" s="268" t="s">
        <v>286</v>
      </c>
      <c r="E37" s="269" t="s">
        <v>67</v>
      </c>
      <c r="F37" s="279">
        <f>F21</f>
        <v>356289.39</v>
      </c>
      <c r="G37" s="280" t="s">
        <v>222</v>
      </c>
      <c r="H37" s="340">
        <f>'附表2-EF'!G49</f>
        <v>0.13033</v>
      </c>
      <c r="I37" s="280" t="s">
        <v>223</v>
      </c>
      <c r="J37" s="281">
        <v>1</v>
      </c>
      <c r="K37" s="287"/>
      <c r="L37" s="282"/>
      <c r="M37" s="281"/>
      <c r="N37" s="287"/>
      <c r="O37" s="280"/>
      <c r="P37" s="281"/>
      <c r="Q37" s="283"/>
      <c r="R37" s="284"/>
      <c r="S37" s="285"/>
      <c r="T37" s="286"/>
      <c r="U37" s="287"/>
      <c r="V37" s="280"/>
      <c r="W37" s="288"/>
      <c r="X37" s="280"/>
      <c r="Y37" s="287"/>
      <c r="Z37" s="280"/>
      <c r="AA37" s="281"/>
      <c r="AB37" s="287"/>
      <c r="AC37" s="284"/>
      <c r="AD37" s="281"/>
      <c r="AE37" s="278">
        <f t="shared" si="32"/>
        <v>46435.196198700003</v>
      </c>
      <c r="AF37" s="278">
        <f t="shared" si="33"/>
        <v>0</v>
      </c>
      <c r="AG37" s="278">
        <f t="shared" si="34"/>
        <v>0</v>
      </c>
      <c r="AH37" s="278">
        <f t="shared" si="35"/>
        <v>0</v>
      </c>
      <c r="AI37" s="278">
        <f t="shared" si="36"/>
        <v>0</v>
      </c>
      <c r="AJ37" s="278">
        <f t="shared" si="37"/>
        <v>0</v>
      </c>
      <c r="AK37" s="278">
        <f t="shared" si="38"/>
        <v>0</v>
      </c>
      <c r="AL37" s="278">
        <f t="shared" si="39"/>
        <v>46435.196198700003</v>
      </c>
    </row>
    <row r="38" spans="1:38" s="16" customFormat="1" ht="14.25">
      <c r="A38" s="265">
        <v>34</v>
      </c>
      <c r="B38" s="142" t="s">
        <v>68</v>
      </c>
      <c r="C38" s="156" t="s">
        <v>290</v>
      </c>
      <c r="D38" s="268" t="s">
        <v>291</v>
      </c>
      <c r="E38" s="269" t="s">
        <v>67</v>
      </c>
      <c r="F38" s="279">
        <f>ROUND(2786.84,2)</f>
        <v>2786.84</v>
      </c>
      <c r="G38" s="280" t="s">
        <v>222</v>
      </c>
      <c r="H38" s="340">
        <f>H37</f>
        <v>0.13033</v>
      </c>
      <c r="I38" s="280" t="s">
        <v>223</v>
      </c>
      <c r="J38" s="281">
        <v>1</v>
      </c>
      <c r="K38" s="287"/>
      <c r="L38" s="282"/>
      <c r="M38" s="281"/>
      <c r="N38" s="287"/>
      <c r="O38" s="280"/>
      <c r="P38" s="281"/>
      <c r="Q38" s="283"/>
      <c r="R38" s="284"/>
      <c r="S38" s="285"/>
      <c r="T38" s="286"/>
      <c r="U38" s="287"/>
      <c r="V38" s="280"/>
      <c r="W38" s="288"/>
      <c r="X38" s="280"/>
      <c r="Y38" s="287"/>
      <c r="Z38" s="280"/>
      <c r="AA38" s="281"/>
      <c r="AB38" s="287"/>
      <c r="AC38" s="284"/>
      <c r="AD38" s="281"/>
      <c r="AE38" s="278">
        <f t="shared" si="32"/>
        <v>363.20885720000001</v>
      </c>
      <c r="AF38" s="278">
        <f t="shared" si="33"/>
        <v>0</v>
      </c>
      <c r="AG38" s="278">
        <f t="shared" si="34"/>
        <v>0</v>
      </c>
      <c r="AH38" s="278">
        <f t="shared" si="35"/>
        <v>0</v>
      </c>
      <c r="AI38" s="278">
        <f t="shared" si="36"/>
        <v>0</v>
      </c>
      <c r="AJ38" s="278">
        <f t="shared" si="37"/>
        <v>0</v>
      </c>
      <c r="AK38" s="278">
        <f t="shared" si="38"/>
        <v>0</v>
      </c>
      <c r="AL38" s="278">
        <f t="shared" si="39"/>
        <v>363.20885720000001</v>
      </c>
    </row>
    <row r="39" spans="1:38" s="16" customFormat="1" ht="14.25">
      <c r="A39" s="265">
        <v>35</v>
      </c>
      <c r="B39" s="142" t="s">
        <v>68</v>
      </c>
      <c r="C39" s="156" t="s">
        <v>292</v>
      </c>
      <c r="D39" s="268" t="s">
        <v>293</v>
      </c>
      <c r="E39" s="269" t="s">
        <v>67</v>
      </c>
      <c r="F39" s="279">
        <f>ROUND(685439.89,2)</f>
        <v>685439.89</v>
      </c>
      <c r="G39" s="280" t="s">
        <v>222</v>
      </c>
      <c r="H39" s="340">
        <f>'附表2-EF'!G50</f>
        <v>0.10446</v>
      </c>
      <c r="I39" s="280" t="s">
        <v>223</v>
      </c>
      <c r="J39" s="281">
        <v>1</v>
      </c>
      <c r="K39" s="287"/>
      <c r="L39" s="282"/>
      <c r="M39" s="281"/>
      <c r="N39" s="287"/>
      <c r="O39" s="280"/>
      <c r="P39" s="281"/>
      <c r="Q39" s="283"/>
      <c r="R39" s="284"/>
      <c r="S39" s="285"/>
      <c r="T39" s="286"/>
      <c r="U39" s="287"/>
      <c r="V39" s="280"/>
      <c r="W39" s="288"/>
      <c r="X39" s="280"/>
      <c r="Y39" s="287"/>
      <c r="Z39" s="280"/>
      <c r="AA39" s="281"/>
      <c r="AB39" s="287"/>
      <c r="AC39" s="284"/>
      <c r="AD39" s="281"/>
      <c r="AE39" s="278">
        <f t="shared" si="32"/>
        <v>71601.050909400001</v>
      </c>
      <c r="AF39" s="278">
        <f t="shared" si="33"/>
        <v>0</v>
      </c>
      <c r="AG39" s="278">
        <f t="shared" si="34"/>
        <v>0</v>
      </c>
      <c r="AH39" s="278">
        <f t="shared" si="35"/>
        <v>0</v>
      </c>
      <c r="AI39" s="278">
        <f t="shared" si="36"/>
        <v>0</v>
      </c>
      <c r="AJ39" s="278">
        <f t="shared" si="37"/>
        <v>0</v>
      </c>
      <c r="AK39" s="278">
        <f t="shared" si="38"/>
        <v>0</v>
      </c>
      <c r="AL39" s="278">
        <f t="shared" si="39"/>
        <v>71601.050909400001</v>
      </c>
    </row>
    <row r="40" spans="1:38" s="16" customFormat="1" ht="14.25">
      <c r="A40" s="265">
        <v>36</v>
      </c>
      <c r="B40" s="142" t="s">
        <v>68</v>
      </c>
      <c r="C40" s="156" t="s">
        <v>294</v>
      </c>
      <c r="D40" s="268" t="s">
        <v>291</v>
      </c>
      <c r="E40" s="269" t="s">
        <v>67</v>
      </c>
      <c r="F40" s="279">
        <f>F23</f>
        <v>1077722.6430978</v>
      </c>
      <c r="G40" s="280" t="s">
        <v>222</v>
      </c>
      <c r="H40" s="340">
        <f>'附表2-EF'!G51</f>
        <v>7.4178999999999995E-2</v>
      </c>
      <c r="I40" s="280" t="s">
        <v>223</v>
      </c>
      <c r="J40" s="281">
        <v>1</v>
      </c>
      <c r="K40" s="287"/>
      <c r="L40" s="282"/>
      <c r="M40" s="281"/>
      <c r="N40" s="287"/>
      <c r="O40" s="280"/>
      <c r="P40" s="281"/>
      <c r="Q40" s="283"/>
      <c r="R40" s="284"/>
      <c r="S40" s="285"/>
      <c r="T40" s="286"/>
      <c r="U40" s="287"/>
      <c r="V40" s="280"/>
      <c r="W40" s="288"/>
      <c r="X40" s="280"/>
      <c r="Y40" s="287"/>
      <c r="Z40" s="280"/>
      <c r="AA40" s="281"/>
      <c r="AB40" s="287"/>
      <c r="AC40" s="284"/>
      <c r="AD40" s="281"/>
      <c r="AE40" s="278">
        <f t="shared" si="32"/>
        <v>79944.387942351706</v>
      </c>
      <c r="AF40" s="278">
        <f t="shared" si="33"/>
        <v>0</v>
      </c>
      <c r="AG40" s="278">
        <f t="shared" si="34"/>
        <v>0</v>
      </c>
      <c r="AH40" s="278">
        <f t="shared" si="35"/>
        <v>0</v>
      </c>
      <c r="AI40" s="278">
        <f t="shared" si="36"/>
        <v>0</v>
      </c>
      <c r="AJ40" s="278">
        <f t="shared" si="37"/>
        <v>0</v>
      </c>
      <c r="AK40" s="278">
        <f t="shared" si="38"/>
        <v>0</v>
      </c>
      <c r="AL40" s="278">
        <f t="shared" si="39"/>
        <v>79944.387942351706</v>
      </c>
    </row>
    <row r="41" spans="1:38" s="16" customFormat="1" ht="14.25">
      <c r="A41" s="265">
        <v>37</v>
      </c>
      <c r="B41" s="142" t="s">
        <v>68</v>
      </c>
      <c r="C41" s="156" t="s">
        <v>295</v>
      </c>
      <c r="D41" s="268" t="s">
        <v>291</v>
      </c>
      <c r="E41" s="269" t="s">
        <v>67</v>
      </c>
      <c r="F41" s="279">
        <f>ROUND(4473.457,2)</f>
        <v>4473.46</v>
      </c>
      <c r="G41" s="280" t="s">
        <v>222</v>
      </c>
      <c r="H41" s="340">
        <f>'附表2-EF'!G52</f>
        <v>8.4370514439833499</v>
      </c>
      <c r="I41" s="280" t="s">
        <v>223</v>
      </c>
      <c r="J41" s="281">
        <v>1</v>
      </c>
      <c r="K41" s="287"/>
      <c r="L41" s="282"/>
      <c r="M41" s="281"/>
      <c r="N41" s="287"/>
      <c r="O41" s="280"/>
      <c r="P41" s="281"/>
      <c r="Q41" s="283"/>
      <c r="R41" s="284"/>
      <c r="S41" s="285"/>
      <c r="T41" s="286"/>
      <c r="U41" s="287"/>
      <c r="V41" s="280"/>
      <c r="W41" s="288"/>
      <c r="X41" s="280"/>
      <c r="Y41" s="287"/>
      <c r="Z41" s="280"/>
      <c r="AA41" s="281"/>
      <c r="AB41" s="287"/>
      <c r="AC41" s="284"/>
      <c r="AD41" s="281"/>
      <c r="AE41" s="278">
        <f t="shared" si="32"/>
        <v>37742.8121526018</v>
      </c>
      <c r="AF41" s="278">
        <f t="shared" si="33"/>
        <v>0</v>
      </c>
      <c r="AG41" s="278">
        <f t="shared" si="34"/>
        <v>0</v>
      </c>
      <c r="AH41" s="278">
        <f t="shared" si="35"/>
        <v>0</v>
      </c>
      <c r="AI41" s="278">
        <f t="shared" si="36"/>
        <v>0</v>
      </c>
      <c r="AJ41" s="278">
        <f t="shared" si="37"/>
        <v>0</v>
      </c>
      <c r="AK41" s="278">
        <f t="shared" si="38"/>
        <v>0</v>
      </c>
      <c r="AL41" s="278">
        <f t="shared" si="39"/>
        <v>37742.8121526018</v>
      </c>
    </row>
    <row r="42" spans="1:38" s="16" customFormat="1" ht="14.25">
      <c r="A42" s="265">
        <v>38</v>
      </c>
      <c r="B42" s="142" t="s">
        <v>68</v>
      </c>
      <c r="C42" s="156" t="s">
        <v>296</v>
      </c>
      <c r="D42" s="268" t="s">
        <v>291</v>
      </c>
      <c r="E42" s="269" t="s">
        <v>67</v>
      </c>
      <c r="F42" s="279">
        <f>ROUND(47651.68,2)</f>
        <v>47651.68</v>
      </c>
      <c r="G42" s="280" t="s">
        <v>222</v>
      </c>
      <c r="H42" s="340">
        <f>'附表2-EF'!G53</f>
        <v>2.9771999999999998</v>
      </c>
      <c r="I42" s="280" t="s">
        <v>223</v>
      </c>
      <c r="J42" s="281">
        <v>1</v>
      </c>
      <c r="K42" s="287"/>
      <c r="L42" s="282"/>
      <c r="M42" s="281"/>
      <c r="N42" s="287"/>
      <c r="O42" s="280"/>
      <c r="P42" s="281"/>
      <c r="Q42" s="283"/>
      <c r="R42" s="284"/>
      <c r="S42" s="285"/>
      <c r="T42" s="286"/>
      <c r="U42" s="287"/>
      <c r="V42" s="280"/>
      <c r="W42" s="288"/>
      <c r="X42" s="280"/>
      <c r="Y42" s="287"/>
      <c r="Z42" s="280"/>
      <c r="AA42" s="281"/>
      <c r="AB42" s="287"/>
      <c r="AC42" s="284"/>
      <c r="AD42" s="281"/>
      <c r="AE42" s="278">
        <f t="shared" si="32"/>
        <v>141868.58169600001</v>
      </c>
      <c r="AF42" s="278">
        <f t="shared" si="33"/>
        <v>0</v>
      </c>
      <c r="AG42" s="278">
        <f t="shared" si="34"/>
        <v>0</v>
      </c>
      <c r="AH42" s="278">
        <f t="shared" si="35"/>
        <v>0</v>
      </c>
      <c r="AI42" s="278">
        <f t="shared" si="36"/>
        <v>0</v>
      </c>
      <c r="AJ42" s="278">
        <f t="shared" si="37"/>
        <v>0</v>
      </c>
      <c r="AK42" s="278">
        <f t="shared" si="38"/>
        <v>0</v>
      </c>
      <c r="AL42" s="278">
        <f t="shared" si="39"/>
        <v>141868.58169600001</v>
      </c>
    </row>
    <row r="43" spans="1:38" s="16" customFormat="1" ht="14.25">
      <c r="A43" s="265">
        <v>39</v>
      </c>
      <c r="B43" s="142" t="s">
        <v>68</v>
      </c>
      <c r="C43" s="156" t="s">
        <v>297</v>
      </c>
      <c r="D43" s="268" t="s">
        <v>291</v>
      </c>
      <c r="E43" s="269" t="s">
        <v>67</v>
      </c>
      <c r="F43" s="279">
        <f>ROUND(9688.407,2)</f>
        <v>9688.41</v>
      </c>
      <c r="G43" s="280" t="s">
        <v>222</v>
      </c>
      <c r="H43" s="340">
        <f>'附表2-EF'!G54</f>
        <v>8.7546999999999997</v>
      </c>
      <c r="I43" s="280" t="s">
        <v>223</v>
      </c>
      <c r="J43" s="281">
        <v>1</v>
      </c>
      <c r="K43" s="287"/>
      <c r="L43" s="282"/>
      <c r="M43" s="281"/>
      <c r="N43" s="287"/>
      <c r="O43" s="280"/>
      <c r="P43" s="281"/>
      <c r="Q43" s="283"/>
      <c r="R43" s="284"/>
      <c r="S43" s="285"/>
      <c r="T43" s="286"/>
      <c r="U43" s="287"/>
      <c r="V43" s="280"/>
      <c r="W43" s="288"/>
      <c r="X43" s="280"/>
      <c r="Y43" s="287"/>
      <c r="Z43" s="280"/>
      <c r="AA43" s="281"/>
      <c r="AB43" s="287"/>
      <c r="AC43" s="284"/>
      <c r="AD43" s="281"/>
      <c r="AE43" s="278">
        <f t="shared" si="32"/>
        <v>84819.123026999994</v>
      </c>
      <c r="AF43" s="278">
        <f t="shared" si="33"/>
        <v>0</v>
      </c>
      <c r="AG43" s="278">
        <f t="shared" si="34"/>
        <v>0</v>
      </c>
      <c r="AH43" s="278">
        <f t="shared" si="35"/>
        <v>0</v>
      </c>
      <c r="AI43" s="278">
        <f t="shared" si="36"/>
        <v>0</v>
      </c>
      <c r="AJ43" s="278">
        <f t="shared" si="37"/>
        <v>0</v>
      </c>
      <c r="AK43" s="278">
        <f t="shared" si="38"/>
        <v>0</v>
      </c>
      <c r="AL43" s="278">
        <f t="shared" si="39"/>
        <v>84819.123026999994</v>
      </c>
    </row>
    <row r="44" spans="1:38" s="16" customFormat="1" ht="14.25">
      <c r="A44" s="265">
        <v>40</v>
      </c>
      <c r="B44" s="142" t="s">
        <v>68</v>
      </c>
      <c r="C44" s="156" t="s">
        <v>298</v>
      </c>
      <c r="D44" s="268" t="s">
        <v>291</v>
      </c>
      <c r="E44" s="269" t="s">
        <v>67</v>
      </c>
      <c r="F44" s="279">
        <f>ROUND(67771.928,2)</f>
        <v>67771.929999999993</v>
      </c>
      <c r="G44" s="280" t="s">
        <v>222</v>
      </c>
      <c r="H44" s="340">
        <f>'附表2-EF'!G55</f>
        <v>5.0921000000000003</v>
      </c>
      <c r="I44" s="280" t="s">
        <v>223</v>
      </c>
      <c r="J44" s="281">
        <v>1</v>
      </c>
      <c r="K44" s="287"/>
      <c r="L44" s="282"/>
      <c r="M44" s="281"/>
      <c r="N44" s="287"/>
      <c r="O44" s="280"/>
      <c r="P44" s="281"/>
      <c r="Q44" s="283"/>
      <c r="R44" s="284"/>
      <c r="S44" s="285"/>
      <c r="T44" s="286"/>
      <c r="U44" s="287"/>
      <c r="V44" s="280"/>
      <c r="W44" s="288"/>
      <c r="X44" s="280"/>
      <c r="Y44" s="287"/>
      <c r="Z44" s="280"/>
      <c r="AA44" s="281"/>
      <c r="AB44" s="287"/>
      <c r="AC44" s="284"/>
      <c r="AD44" s="281"/>
      <c r="AE44" s="278">
        <f t="shared" si="32"/>
        <v>345101.44475299999</v>
      </c>
      <c r="AF44" s="278">
        <f t="shared" si="33"/>
        <v>0</v>
      </c>
      <c r="AG44" s="278">
        <f t="shared" si="34"/>
        <v>0</v>
      </c>
      <c r="AH44" s="278">
        <f t="shared" si="35"/>
        <v>0</v>
      </c>
      <c r="AI44" s="278">
        <f t="shared" si="36"/>
        <v>0</v>
      </c>
      <c r="AJ44" s="278">
        <f t="shared" si="37"/>
        <v>0</v>
      </c>
      <c r="AK44" s="278">
        <f t="shared" si="38"/>
        <v>0</v>
      </c>
      <c r="AL44" s="278">
        <f t="shared" si="39"/>
        <v>345101.44475299999</v>
      </c>
    </row>
    <row r="45" spans="1:38" s="16" customFormat="1" ht="14.25">
      <c r="A45" s="265">
        <v>41</v>
      </c>
      <c r="B45" s="142" t="s">
        <v>68</v>
      </c>
      <c r="C45" s="156" t="s">
        <v>299</v>
      </c>
      <c r="D45" s="268" t="s">
        <v>291</v>
      </c>
      <c r="E45" s="269" t="s">
        <v>67</v>
      </c>
      <c r="F45" s="279">
        <f>ROUND(3237.84,2)</f>
        <v>3237.84</v>
      </c>
      <c r="G45" s="280" t="s">
        <v>222</v>
      </c>
      <c r="H45" s="340">
        <f>'附表2-EF'!G56</f>
        <v>0.21157999999999999</v>
      </c>
      <c r="I45" s="280" t="s">
        <v>223</v>
      </c>
      <c r="J45" s="281">
        <v>1</v>
      </c>
      <c r="K45" s="287"/>
      <c r="L45" s="282"/>
      <c r="M45" s="281"/>
      <c r="N45" s="287"/>
      <c r="O45" s="280"/>
      <c r="P45" s="281"/>
      <c r="Q45" s="283"/>
      <c r="R45" s="284"/>
      <c r="S45" s="285"/>
      <c r="T45" s="286"/>
      <c r="U45" s="287"/>
      <c r="V45" s="280"/>
      <c r="W45" s="288"/>
      <c r="X45" s="280"/>
      <c r="Y45" s="287"/>
      <c r="Z45" s="280"/>
      <c r="AA45" s="281"/>
      <c r="AB45" s="287"/>
      <c r="AC45" s="284"/>
      <c r="AD45" s="281"/>
      <c r="AE45" s="278">
        <f t="shared" si="32"/>
        <v>685.06218720000004</v>
      </c>
      <c r="AF45" s="278">
        <f t="shared" si="33"/>
        <v>0</v>
      </c>
      <c r="AG45" s="278">
        <f t="shared" si="34"/>
        <v>0</v>
      </c>
      <c r="AH45" s="278">
        <f t="shared" si="35"/>
        <v>0</v>
      </c>
      <c r="AI45" s="278">
        <f t="shared" si="36"/>
        <v>0</v>
      </c>
      <c r="AJ45" s="278">
        <f t="shared" si="37"/>
        <v>0</v>
      </c>
      <c r="AK45" s="278">
        <f t="shared" si="38"/>
        <v>0</v>
      </c>
      <c r="AL45" s="278">
        <f t="shared" si="39"/>
        <v>685.06218720000004</v>
      </c>
    </row>
    <row r="46" spans="1:38" s="16" customFormat="1" ht="14.25">
      <c r="A46" s="265">
        <v>42</v>
      </c>
      <c r="B46" s="142" t="s">
        <v>68</v>
      </c>
      <c r="C46" s="156" t="s">
        <v>300</v>
      </c>
      <c r="D46" s="268" t="s">
        <v>291</v>
      </c>
      <c r="E46" s="269" t="s">
        <v>67</v>
      </c>
      <c r="F46" s="279">
        <f>ROUND(10209.54,2)</f>
        <v>10209.540000000001</v>
      </c>
      <c r="G46" s="280" t="s">
        <v>222</v>
      </c>
      <c r="H46" s="340">
        <f>'附表2-EF'!G57</f>
        <v>10.145</v>
      </c>
      <c r="I46" s="280" t="s">
        <v>223</v>
      </c>
      <c r="J46" s="281">
        <v>1</v>
      </c>
      <c r="K46" s="287"/>
      <c r="L46" s="282"/>
      <c r="M46" s="281"/>
      <c r="N46" s="287"/>
      <c r="O46" s="280"/>
      <c r="P46" s="281"/>
      <c r="Q46" s="283"/>
      <c r="R46" s="284"/>
      <c r="S46" s="285"/>
      <c r="T46" s="286"/>
      <c r="U46" s="287"/>
      <c r="V46" s="280"/>
      <c r="W46" s="288"/>
      <c r="X46" s="280"/>
      <c r="Y46" s="287"/>
      <c r="Z46" s="280"/>
      <c r="AA46" s="281"/>
      <c r="AB46" s="287"/>
      <c r="AC46" s="284"/>
      <c r="AD46" s="281"/>
      <c r="AE46" s="278">
        <f t="shared" si="32"/>
        <v>103575.7833</v>
      </c>
      <c r="AF46" s="278">
        <f t="shared" si="33"/>
        <v>0</v>
      </c>
      <c r="AG46" s="278">
        <f t="shared" si="34"/>
        <v>0</v>
      </c>
      <c r="AH46" s="278">
        <f t="shared" si="35"/>
        <v>0</v>
      </c>
      <c r="AI46" s="278">
        <f t="shared" si="36"/>
        <v>0</v>
      </c>
      <c r="AJ46" s="278">
        <f t="shared" si="37"/>
        <v>0</v>
      </c>
      <c r="AK46" s="278">
        <f t="shared" si="38"/>
        <v>0</v>
      </c>
      <c r="AL46" s="278">
        <f t="shared" si="39"/>
        <v>103575.7833</v>
      </c>
    </row>
    <row r="47" spans="1:38" s="16" customFormat="1" ht="14.25">
      <c r="A47" s="265">
        <v>43</v>
      </c>
      <c r="B47" s="142" t="s">
        <v>68</v>
      </c>
      <c r="C47" s="156" t="s">
        <v>301</v>
      </c>
      <c r="D47" s="268" t="s">
        <v>291</v>
      </c>
      <c r="E47" s="269" t="s">
        <v>67</v>
      </c>
      <c r="F47" s="279">
        <f>ROUND(7772.398,2)</f>
        <v>7772.4</v>
      </c>
      <c r="G47" s="280" t="s">
        <v>222</v>
      </c>
      <c r="H47" s="340">
        <f>'附表2-EF'!G58</f>
        <v>8.5</v>
      </c>
      <c r="I47" s="280" t="s">
        <v>223</v>
      </c>
      <c r="J47" s="281">
        <v>1</v>
      </c>
      <c r="K47" s="287"/>
      <c r="L47" s="282"/>
      <c r="M47" s="281"/>
      <c r="N47" s="287"/>
      <c r="O47" s="280"/>
      <c r="P47" s="281"/>
      <c r="Q47" s="283"/>
      <c r="R47" s="284"/>
      <c r="S47" s="285"/>
      <c r="T47" s="286"/>
      <c r="U47" s="287"/>
      <c r="V47" s="280"/>
      <c r="W47" s="288"/>
      <c r="X47" s="280"/>
      <c r="Y47" s="287"/>
      <c r="Z47" s="280"/>
      <c r="AA47" s="281"/>
      <c r="AB47" s="287"/>
      <c r="AC47" s="284"/>
      <c r="AD47" s="281"/>
      <c r="AE47" s="278">
        <f t="shared" si="32"/>
        <v>66065.399999999994</v>
      </c>
      <c r="AF47" s="278">
        <f t="shared" si="33"/>
        <v>0</v>
      </c>
      <c r="AG47" s="278">
        <f t="shared" si="34"/>
        <v>0</v>
      </c>
      <c r="AH47" s="278">
        <f t="shared" si="35"/>
        <v>0</v>
      </c>
      <c r="AI47" s="278">
        <f t="shared" si="36"/>
        <v>0</v>
      </c>
      <c r="AJ47" s="278">
        <f t="shared" si="37"/>
        <v>0</v>
      </c>
      <c r="AK47" s="278">
        <f t="shared" si="38"/>
        <v>0</v>
      </c>
      <c r="AL47" s="278">
        <f t="shared" si="39"/>
        <v>66065.399999999994</v>
      </c>
    </row>
    <row r="48" spans="1:38" s="16" customFormat="1" ht="14.25">
      <c r="A48" s="265">
        <v>44</v>
      </c>
      <c r="B48" s="142" t="s">
        <v>68</v>
      </c>
      <c r="C48" s="156" t="s">
        <v>302</v>
      </c>
      <c r="D48" s="268" t="s">
        <v>291</v>
      </c>
      <c r="E48" s="269" t="s">
        <v>67</v>
      </c>
      <c r="F48" s="279">
        <f>ROUND(11018.506,2)</f>
        <v>11018.51</v>
      </c>
      <c r="G48" s="280" t="s">
        <v>222</v>
      </c>
      <c r="H48" s="340">
        <f>'附表2-EF'!G59</f>
        <v>5.7320082395446503</v>
      </c>
      <c r="I48" s="280" t="s">
        <v>223</v>
      </c>
      <c r="J48" s="281">
        <v>1</v>
      </c>
      <c r="K48" s="287"/>
      <c r="L48" s="282"/>
      <c r="M48" s="281"/>
      <c r="N48" s="287"/>
      <c r="O48" s="280"/>
      <c r="P48" s="281"/>
      <c r="Q48" s="283"/>
      <c r="R48" s="284"/>
      <c r="S48" s="285"/>
      <c r="T48" s="286"/>
      <c r="U48" s="287"/>
      <c r="V48" s="280"/>
      <c r="W48" s="288"/>
      <c r="X48" s="280"/>
      <c r="Y48" s="287"/>
      <c r="Z48" s="280"/>
      <c r="AA48" s="281"/>
      <c r="AB48" s="287"/>
      <c r="AC48" s="284"/>
      <c r="AD48" s="281"/>
      <c r="AE48" s="278">
        <f t="shared" si="32"/>
        <v>63158.190107505099</v>
      </c>
      <c r="AF48" s="278">
        <f t="shared" si="33"/>
        <v>0</v>
      </c>
      <c r="AG48" s="278">
        <f t="shared" si="34"/>
        <v>0</v>
      </c>
      <c r="AH48" s="278">
        <f t="shared" si="35"/>
        <v>0</v>
      </c>
      <c r="AI48" s="278">
        <f t="shared" si="36"/>
        <v>0</v>
      </c>
      <c r="AJ48" s="278">
        <f t="shared" si="37"/>
        <v>0</v>
      </c>
      <c r="AK48" s="278">
        <f t="shared" si="38"/>
        <v>0</v>
      </c>
      <c r="AL48" s="278">
        <f t="shared" si="39"/>
        <v>63158.190107505099</v>
      </c>
    </row>
    <row r="49" spans="1:38" s="16" customFormat="1" ht="14.25">
      <c r="A49" s="265">
        <v>45</v>
      </c>
      <c r="B49" s="142" t="s">
        <v>68</v>
      </c>
      <c r="C49" s="156" t="s">
        <v>303</v>
      </c>
      <c r="D49" s="268" t="s">
        <v>291</v>
      </c>
      <c r="E49" s="269" t="s">
        <v>67</v>
      </c>
      <c r="F49" s="279">
        <f>ROUND(2841.662,2)</f>
        <v>2841.66</v>
      </c>
      <c r="G49" s="280" t="s">
        <v>222</v>
      </c>
      <c r="H49" s="340">
        <f>'附表2-EF'!G60</f>
        <v>22.290560810297599</v>
      </c>
      <c r="I49" s="280" t="s">
        <v>223</v>
      </c>
      <c r="J49" s="281">
        <v>1</v>
      </c>
      <c r="K49" s="287"/>
      <c r="L49" s="282"/>
      <c r="M49" s="281"/>
      <c r="N49" s="287"/>
      <c r="O49" s="280"/>
      <c r="P49" s="281"/>
      <c r="Q49" s="283"/>
      <c r="R49" s="284"/>
      <c r="S49" s="285"/>
      <c r="T49" s="286"/>
      <c r="U49" s="287"/>
      <c r="V49" s="280"/>
      <c r="W49" s="288"/>
      <c r="X49" s="280"/>
      <c r="Y49" s="287"/>
      <c r="Z49" s="280"/>
      <c r="AA49" s="281"/>
      <c r="AB49" s="287"/>
      <c r="AC49" s="284"/>
      <c r="AD49" s="281"/>
      <c r="AE49" s="278">
        <f t="shared" si="32"/>
        <v>63342.195032190299</v>
      </c>
      <c r="AF49" s="278">
        <f t="shared" si="33"/>
        <v>0</v>
      </c>
      <c r="AG49" s="278">
        <f t="shared" si="34"/>
        <v>0</v>
      </c>
      <c r="AH49" s="278">
        <f t="shared" si="35"/>
        <v>0</v>
      </c>
      <c r="AI49" s="278">
        <f t="shared" si="36"/>
        <v>0</v>
      </c>
      <c r="AJ49" s="278">
        <f t="shared" si="37"/>
        <v>0</v>
      </c>
      <c r="AK49" s="278">
        <f t="shared" si="38"/>
        <v>0</v>
      </c>
      <c r="AL49" s="278">
        <f t="shared" si="39"/>
        <v>63342.195032190299</v>
      </c>
    </row>
    <row r="50" spans="1:38" s="16" customFormat="1" ht="14.25">
      <c r="A50" s="265">
        <v>46</v>
      </c>
      <c r="B50" s="142" t="s">
        <v>68</v>
      </c>
      <c r="C50" s="156" t="s">
        <v>304</v>
      </c>
      <c r="D50" s="268" t="s">
        <v>291</v>
      </c>
      <c r="E50" s="269" t="s">
        <v>67</v>
      </c>
      <c r="F50" s="279">
        <v>10680.664000000001</v>
      </c>
      <c r="G50" s="280" t="s">
        <v>222</v>
      </c>
      <c r="H50" s="340">
        <f>'附表2-EF'!G61</f>
        <v>1.66453351655996</v>
      </c>
      <c r="I50" s="280" t="s">
        <v>223</v>
      </c>
      <c r="J50" s="281">
        <v>1</v>
      </c>
      <c r="K50" s="287"/>
      <c r="L50" s="282"/>
      <c r="M50" s="281"/>
      <c r="N50" s="287"/>
      <c r="O50" s="280"/>
      <c r="P50" s="281"/>
      <c r="Q50" s="283"/>
      <c r="R50" s="284"/>
      <c r="S50" s="285"/>
      <c r="T50" s="286"/>
      <c r="U50" s="287"/>
      <c r="V50" s="280"/>
      <c r="W50" s="288"/>
      <c r="X50" s="280"/>
      <c r="Y50" s="287"/>
      <c r="Z50" s="280"/>
      <c r="AA50" s="281"/>
      <c r="AB50" s="287"/>
      <c r="AC50" s="284"/>
      <c r="AD50" s="281"/>
      <c r="AE50" s="278">
        <f t="shared" si="32"/>
        <v>17778.323207115402</v>
      </c>
      <c r="AF50" s="278">
        <f t="shared" si="33"/>
        <v>0</v>
      </c>
      <c r="AG50" s="278">
        <f t="shared" si="34"/>
        <v>0</v>
      </c>
      <c r="AH50" s="278">
        <f t="shared" si="35"/>
        <v>0</v>
      </c>
      <c r="AI50" s="278">
        <f t="shared" si="36"/>
        <v>0</v>
      </c>
      <c r="AJ50" s="278">
        <f t="shared" si="37"/>
        <v>0</v>
      </c>
      <c r="AK50" s="278">
        <f t="shared" si="38"/>
        <v>0</v>
      </c>
      <c r="AL50" s="278">
        <f t="shared" si="39"/>
        <v>17778.323207115402</v>
      </c>
    </row>
    <row r="51" spans="1:38" s="16" customFormat="1" ht="14.25">
      <c r="A51" s="265">
        <v>47</v>
      </c>
      <c r="B51" s="142" t="s">
        <v>68</v>
      </c>
      <c r="C51" s="156" t="s">
        <v>305</v>
      </c>
      <c r="D51" s="268" t="s">
        <v>306</v>
      </c>
      <c r="E51" s="269" t="s">
        <v>67</v>
      </c>
      <c r="F51" s="279">
        <f>ROUND(172683.992,2)</f>
        <v>172683.99</v>
      </c>
      <c r="G51" s="280" t="s">
        <v>222</v>
      </c>
      <c r="H51" s="340">
        <f>'附表2-EF'!G62</f>
        <v>3.5231056577475499E-3</v>
      </c>
      <c r="I51" s="280" t="s">
        <v>223</v>
      </c>
      <c r="J51" s="281">
        <v>1</v>
      </c>
      <c r="K51" s="287"/>
      <c r="L51" s="282"/>
      <c r="M51" s="281"/>
      <c r="N51" s="287"/>
      <c r="O51" s="280"/>
      <c r="P51" s="281"/>
      <c r="Q51" s="283"/>
      <c r="R51" s="284"/>
      <c r="S51" s="285"/>
      <c r="T51" s="286"/>
      <c r="U51" s="287"/>
      <c r="V51" s="280"/>
      <c r="W51" s="288"/>
      <c r="X51" s="280"/>
      <c r="Y51" s="287"/>
      <c r="Z51" s="280"/>
      <c r="AA51" s="281"/>
      <c r="AB51" s="287"/>
      <c r="AC51" s="284"/>
      <c r="AD51" s="281"/>
      <c r="AE51" s="278">
        <f t="shared" si="32"/>
        <v>608.38394217142104</v>
      </c>
      <c r="AF51" s="278">
        <f t="shared" si="33"/>
        <v>0</v>
      </c>
      <c r="AG51" s="278">
        <f t="shared" si="34"/>
        <v>0</v>
      </c>
      <c r="AH51" s="278">
        <f t="shared" si="35"/>
        <v>0</v>
      </c>
      <c r="AI51" s="278">
        <f t="shared" si="36"/>
        <v>0</v>
      </c>
      <c r="AJ51" s="278">
        <f t="shared" si="37"/>
        <v>0</v>
      </c>
      <c r="AK51" s="278">
        <f t="shared" si="38"/>
        <v>0</v>
      </c>
      <c r="AL51" s="278">
        <f t="shared" si="39"/>
        <v>608.38394217142104</v>
      </c>
    </row>
    <row r="52" spans="1:38" s="16" customFormat="1" ht="14.25">
      <c r="A52" s="265">
        <v>48</v>
      </c>
      <c r="B52" s="142" t="s">
        <v>68</v>
      </c>
      <c r="C52" s="156" t="s">
        <v>307</v>
      </c>
      <c r="D52" s="268" t="s">
        <v>284</v>
      </c>
      <c r="E52" s="269" t="s">
        <v>67</v>
      </c>
      <c r="F52" s="279">
        <f>ROUND(3219.1+1277.04,2)</f>
        <v>4496.1400000000003</v>
      </c>
      <c r="G52" s="280" t="s">
        <v>222</v>
      </c>
      <c r="H52" s="340">
        <f>'附表2-EF'!G63</f>
        <v>5.4368447769783996</v>
      </c>
      <c r="I52" s="280" t="s">
        <v>223</v>
      </c>
      <c r="J52" s="281">
        <v>1</v>
      </c>
      <c r="K52" s="287"/>
      <c r="L52" s="282"/>
      <c r="M52" s="281"/>
      <c r="N52" s="287"/>
      <c r="O52" s="280"/>
      <c r="P52" s="281"/>
      <c r="Q52" s="283"/>
      <c r="R52" s="284"/>
      <c r="S52" s="285"/>
      <c r="T52" s="286"/>
      <c r="U52" s="287"/>
      <c r="V52" s="280"/>
      <c r="W52" s="288"/>
      <c r="X52" s="280"/>
      <c r="Y52" s="287"/>
      <c r="Z52" s="280"/>
      <c r="AA52" s="281"/>
      <c r="AB52" s="287"/>
      <c r="AC52" s="284"/>
      <c r="AD52" s="281"/>
      <c r="AE52" s="278">
        <f t="shared" si="32"/>
        <v>24444.815275563698</v>
      </c>
      <c r="AF52" s="278">
        <f t="shared" si="33"/>
        <v>0</v>
      </c>
      <c r="AG52" s="278">
        <f t="shared" si="34"/>
        <v>0</v>
      </c>
      <c r="AH52" s="278">
        <f t="shared" si="35"/>
        <v>0</v>
      </c>
      <c r="AI52" s="278">
        <f t="shared" si="36"/>
        <v>0</v>
      </c>
      <c r="AJ52" s="278">
        <f t="shared" si="37"/>
        <v>0</v>
      </c>
      <c r="AK52" s="278">
        <f t="shared" si="38"/>
        <v>0</v>
      </c>
      <c r="AL52" s="278">
        <f t="shared" si="39"/>
        <v>24444.815275563698</v>
      </c>
    </row>
    <row r="53" spans="1:38" s="16" customFormat="1" ht="14.25">
      <c r="A53" s="265">
        <v>49</v>
      </c>
      <c r="B53" s="142" t="s">
        <v>68</v>
      </c>
      <c r="C53" s="156" t="s">
        <v>308</v>
      </c>
      <c r="D53" s="268" t="s">
        <v>309</v>
      </c>
      <c r="E53" s="269" t="s">
        <v>67</v>
      </c>
      <c r="F53" s="279">
        <v>6614.7979999999998</v>
      </c>
      <c r="G53" s="280" t="s">
        <v>222</v>
      </c>
      <c r="H53" s="340">
        <f>'附表2-EF'!G64</f>
        <v>7.2790711257223997</v>
      </c>
      <c r="I53" s="280" t="s">
        <v>223</v>
      </c>
      <c r="J53" s="281">
        <v>1</v>
      </c>
      <c r="K53" s="287"/>
      <c r="L53" s="282"/>
      <c r="M53" s="281"/>
      <c r="N53" s="287"/>
      <c r="O53" s="280"/>
      <c r="P53" s="281"/>
      <c r="Q53" s="283"/>
      <c r="R53" s="284"/>
      <c r="S53" s="285"/>
      <c r="T53" s="286"/>
      <c r="U53" s="287"/>
      <c r="V53" s="280"/>
      <c r="W53" s="288"/>
      <c r="X53" s="280"/>
      <c r="Y53" s="287"/>
      <c r="Z53" s="280"/>
      <c r="AA53" s="281"/>
      <c r="AB53" s="287"/>
      <c r="AC53" s="284"/>
      <c r="AD53" s="281"/>
      <c r="AE53" s="278">
        <f t="shared" si="32"/>
        <v>48149.585124286299</v>
      </c>
      <c r="AF53" s="278">
        <f t="shared" si="33"/>
        <v>0</v>
      </c>
      <c r="AG53" s="278">
        <f t="shared" si="34"/>
        <v>0</v>
      </c>
      <c r="AH53" s="278">
        <f t="shared" si="35"/>
        <v>0</v>
      </c>
      <c r="AI53" s="278">
        <f t="shared" si="36"/>
        <v>0</v>
      </c>
      <c r="AJ53" s="278">
        <f t="shared" si="37"/>
        <v>0</v>
      </c>
      <c r="AK53" s="278">
        <f t="shared" si="38"/>
        <v>0</v>
      </c>
      <c r="AL53" s="278">
        <f t="shared" si="39"/>
        <v>48149.585124286299</v>
      </c>
    </row>
    <row r="54" spans="1:38" s="16" customFormat="1" ht="14.25">
      <c r="A54" s="265">
        <v>50</v>
      </c>
      <c r="B54" s="142" t="s">
        <v>68</v>
      </c>
      <c r="C54" s="156" t="s">
        <v>310</v>
      </c>
      <c r="D54" s="268" t="s">
        <v>309</v>
      </c>
      <c r="E54" s="269" t="s">
        <v>67</v>
      </c>
      <c r="F54" s="279">
        <v>11710.709000000001</v>
      </c>
      <c r="G54" s="280" t="s">
        <v>222</v>
      </c>
      <c r="H54" s="340">
        <f>'附表2-EF'!G65</f>
        <v>26.345188319021499</v>
      </c>
      <c r="I54" s="280" t="s">
        <v>223</v>
      </c>
      <c r="J54" s="281">
        <v>1</v>
      </c>
      <c r="K54" s="287"/>
      <c r="L54" s="282"/>
      <c r="M54" s="281"/>
      <c r="N54" s="287"/>
      <c r="O54" s="280"/>
      <c r="P54" s="281"/>
      <c r="Q54" s="283"/>
      <c r="R54" s="284"/>
      <c r="S54" s="285"/>
      <c r="T54" s="286"/>
      <c r="U54" s="287"/>
      <c r="V54" s="280"/>
      <c r="W54" s="288"/>
      <c r="X54" s="280"/>
      <c r="Y54" s="287"/>
      <c r="Z54" s="280"/>
      <c r="AA54" s="281"/>
      <c r="AB54" s="287"/>
      <c r="AC54" s="284"/>
      <c r="AD54" s="281"/>
      <c r="AE54" s="278">
        <f t="shared" si="32"/>
        <v>308520.83395425999</v>
      </c>
      <c r="AF54" s="278">
        <f t="shared" si="33"/>
        <v>0</v>
      </c>
      <c r="AG54" s="278">
        <f t="shared" si="34"/>
        <v>0</v>
      </c>
      <c r="AH54" s="278">
        <f t="shared" si="35"/>
        <v>0</v>
      </c>
      <c r="AI54" s="278">
        <f t="shared" si="36"/>
        <v>0</v>
      </c>
      <c r="AJ54" s="278">
        <f t="shared" si="37"/>
        <v>0</v>
      </c>
      <c r="AK54" s="278">
        <f t="shared" si="38"/>
        <v>0</v>
      </c>
      <c r="AL54" s="278">
        <f t="shared" si="39"/>
        <v>308520.83395425999</v>
      </c>
    </row>
    <row r="55" spans="1:38" s="16" customFormat="1" ht="14.25">
      <c r="A55" s="265">
        <v>51</v>
      </c>
      <c r="B55" s="142" t="s">
        <v>68</v>
      </c>
      <c r="C55" s="156" t="s">
        <v>311</v>
      </c>
      <c r="D55" s="268" t="s">
        <v>312</v>
      </c>
      <c r="E55" s="269" t="s">
        <v>67</v>
      </c>
      <c r="F55" s="279">
        <f>ROUND(16162.1742168567,2)</f>
        <v>16162.17</v>
      </c>
      <c r="G55" s="280" t="s">
        <v>313</v>
      </c>
      <c r="H55" s="340">
        <f>'附表2-EF'!G66</f>
        <v>3.4299999999999999E-4</v>
      </c>
      <c r="I55" s="280" t="s">
        <v>314</v>
      </c>
      <c r="J55" s="281">
        <v>1</v>
      </c>
      <c r="K55" s="287"/>
      <c r="L55" s="282"/>
      <c r="M55" s="281"/>
      <c r="N55" s="287"/>
      <c r="O55" s="280"/>
      <c r="P55" s="281"/>
      <c r="Q55" s="283"/>
      <c r="R55" s="284"/>
      <c r="S55" s="285"/>
      <c r="T55" s="286"/>
      <c r="U55" s="287"/>
      <c r="V55" s="280"/>
      <c r="W55" s="288"/>
      <c r="X55" s="280"/>
      <c r="Y55" s="287"/>
      <c r="Z55" s="280"/>
      <c r="AA55" s="281"/>
      <c r="AB55" s="287"/>
      <c r="AC55" s="284"/>
      <c r="AD55" s="281"/>
      <c r="AE55" s="278">
        <f t="shared" si="32"/>
        <v>5.5436243100000002</v>
      </c>
      <c r="AF55" s="278">
        <f t="shared" si="33"/>
        <v>0</v>
      </c>
      <c r="AG55" s="278">
        <f t="shared" si="34"/>
        <v>0</v>
      </c>
      <c r="AH55" s="278">
        <f t="shared" si="35"/>
        <v>0</v>
      </c>
      <c r="AI55" s="278">
        <f t="shared" si="36"/>
        <v>0</v>
      </c>
      <c r="AJ55" s="278">
        <f t="shared" si="37"/>
        <v>0</v>
      </c>
      <c r="AK55" s="278">
        <f t="shared" si="38"/>
        <v>0</v>
      </c>
      <c r="AL55" s="278">
        <f t="shared" si="39"/>
        <v>5.5436243100000002</v>
      </c>
    </row>
    <row r="56" spans="1:38" s="16" customFormat="1" ht="14.25">
      <c r="A56" s="265">
        <v>52</v>
      </c>
      <c r="B56" s="142" t="s">
        <v>68</v>
      </c>
      <c r="C56" s="156" t="s">
        <v>315</v>
      </c>
      <c r="D56" s="268" t="s">
        <v>312</v>
      </c>
      <c r="E56" s="269" t="s">
        <v>67</v>
      </c>
      <c r="F56" s="279">
        <f>ROUND(177487.755162724,2)</f>
        <v>177487.76</v>
      </c>
      <c r="G56" s="280" t="s">
        <v>313</v>
      </c>
      <c r="H56" s="340">
        <f>'附表2-EF'!G67</f>
        <v>2.6499999999999999E-4</v>
      </c>
      <c r="I56" s="280" t="s">
        <v>314</v>
      </c>
      <c r="J56" s="281">
        <v>1</v>
      </c>
      <c r="K56" s="287"/>
      <c r="L56" s="282"/>
      <c r="M56" s="281"/>
      <c r="N56" s="287"/>
      <c r="O56" s="280"/>
      <c r="P56" s="281"/>
      <c r="Q56" s="283"/>
      <c r="R56" s="284"/>
      <c r="S56" s="285"/>
      <c r="T56" s="286"/>
      <c r="U56" s="287"/>
      <c r="V56" s="280"/>
      <c r="W56" s="288"/>
      <c r="X56" s="280"/>
      <c r="Y56" s="287"/>
      <c r="Z56" s="280"/>
      <c r="AA56" s="281"/>
      <c r="AB56" s="287"/>
      <c r="AC56" s="284"/>
      <c r="AD56" s="281"/>
      <c r="AE56" s="278">
        <f t="shared" si="32"/>
        <v>47.034256399999997</v>
      </c>
      <c r="AF56" s="278">
        <f t="shared" si="33"/>
        <v>0</v>
      </c>
      <c r="AG56" s="278">
        <f t="shared" si="34"/>
        <v>0</v>
      </c>
      <c r="AH56" s="278">
        <f t="shared" si="35"/>
        <v>0</v>
      </c>
      <c r="AI56" s="278">
        <f t="shared" si="36"/>
        <v>0</v>
      </c>
      <c r="AJ56" s="278">
        <f t="shared" si="37"/>
        <v>0</v>
      </c>
      <c r="AK56" s="278">
        <f t="shared" si="38"/>
        <v>0</v>
      </c>
      <c r="AL56" s="278">
        <f t="shared" si="39"/>
        <v>47.034256399999997</v>
      </c>
    </row>
    <row r="57" spans="1:38" s="16" customFormat="1" ht="14.25">
      <c r="A57" s="265">
        <v>53</v>
      </c>
      <c r="B57" s="142" t="s">
        <v>68</v>
      </c>
      <c r="C57" s="156" t="s">
        <v>316</v>
      </c>
      <c r="D57" s="268" t="s">
        <v>317</v>
      </c>
      <c r="E57" s="269" t="s">
        <v>67</v>
      </c>
      <c r="F57" s="279">
        <f>ROUND(23278634,2)</f>
        <v>23278634</v>
      </c>
      <c r="G57" s="280" t="s">
        <v>222</v>
      </c>
      <c r="H57" s="340">
        <f>'附表2-EF'!G68</f>
        <v>1.2784698043450801E-3</v>
      </c>
      <c r="I57" s="280" t="s">
        <v>223</v>
      </c>
      <c r="J57" s="281">
        <v>1</v>
      </c>
      <c r="K57" s="287"/>
      <c r="L57" s="282"/>
      <c r="M57" s="281"/>
      <c r="N57" s="287"/>
      <c r="O57" s="280"/>
      <c r="P57" s="281"/>
      <c r="Q57" s="283"/>
      <c r="R57" s="284"/>
      <c r="S57" s="285"/>
      <c r="T57" s="286"/>
      <c r="U57" s="287"/>
      <c r="V57" s="280"/>
      <c r="W57" s="288"/>
      <c r="X57" s="280"/>
      <c r="Y57" s="287"/>
      <c r="Z57" s="280"/>
      <c r="AA57" s="281"/>
      <c r="AB57" s="287"/>
      <c r="AC57" s="284"/>
      <c r="AD57" s="281"/>
      <c r="AE57" s="278">
        <f t="shared" si="32"/>
        <v>29761.0306554007</v>
      </c>
      <c r="AF57" s="278">
        <f t="shared" si="33"/>
        <v>0</v>
      </c>
      <c r="AG57" s="278">
        <f t="shared" si="34"/>
        <v>0</v>
      </c>
      <c r="AH57" s="278">
        <f t="shared" si="35"/>
        <v>0</v>
      </c>
      <c r="AI57" s="278">
        <f t="shared" si="36"/>
        <v>0</v>
      </c>
      <c r="AJ57" s="278">
        <f t="shared" si="37"/>
        <v>0</v>
      </c>
      <c r="AK57" s="278">
        <f t="shared" si="38"/>
        <v>0</v>
      </c>
      <c r="AL57" s="278">
        <f t="shared" si="39"/>
        <v>29761.0306554007</v>
      </c>
    </row>
    <row r="58" spans="1:38" s="16" customFormat="1" ht="24">
      <c r="A58" s="265">
        <v>54</v>
      </c>
      <c r="B58" s="142" t="s">
        <v>318</v>
      </c>
      <c r="C58" s="341" t="s">
        <v>319</v>
      </c>
      <c r="D58" s="268" t="s">
        <v>320</v>
      </c>
      <c r="E58" s="269" t="s">
        <v>93</v>
      </c>
      <c r="F58" s="289">
        <f>ROUND(137337.400573884,2)</f>
        <v>137337.4</v>
      </c>
      <c r="G58" s="280" t="s">
        <v>313</v>
      </c>
      <c r="H58" s="340">
        <f>'附表2-EF'!F73</f>
        <v>1.08E-4</v>
      </c>
      <c r="I58" s="280" t="s">
        <v>314</v>
      </c>
      <c r="J58" s="281">
        <v>1</v>
      </c>
      <c r="K58" s="287"/>
      <c r="L58" s="282"/>
      <c r="M58" s="281"/>
      <c r="N58" s="287"/>
      <c r="O58" s="280"/>
      <c r="P58" s="281"/>
      <c r="Q58" s="283"/>
      <c r="R58" s="284"/>
      <c r="S58" s="285"/>
      <c r="T58" s="286"/>
      <c r="U58" s="287"/>
      <c r="V58" s="280"/>
      <c r="W58" s="288"/>
      <c r="X58" s="280"/>
      <c r="Y58" s="287"/>
      <c r="Z58" s="280"/>
      <c r="AA58" s="281"/>
      <c r="AB58" s="287"/>
      <c r="AC58" s="284"/>
      <c r="AD58" s="281"/>
      <c r="AE58" s="278">
        <f t="shared" si="32"/>
        <v>14.8324392</v>
      </c>
      <c r="AF58" s="278">
        <f t="shared" si="33"/>
        <v>0</v>
      </c>
      <c r="AG58" s="278">
        <f t="shared" si="34"/>
        <v>0</v>
      </c>
      <c r="AH58" s="278">
        <f t="shared" si="35"/>
        <v>0</v>
      </c>
      <c r="AI58" s="278">
        <f t="shared" si="36"/>
        <v>0</v>
      </c>
      <c r="AJ58" s="278">
        <f t="shared" si="37"/>
        <v>0</v>
      </c>
      <c r="AK58" s="278">
        <f t="shared" si="38"/>
        <v>0</v>
      </c>
      <c r="AL58" s="278">
        <f t="shared" si="39"/>
        <v>14.8324392</v>
      </c>
    </row>
    <row r="59" spans="1:38" s="16" customFormat="1" ht="14.25">
      <c r="A59" s="265">
        <v>55</v>
      </c>
      <c r="B59" s="142" t="s">
        <v>318</v>
      </c>
      <c r="C59" s="156" t="s">
        <v>321</v>
      </c>
      <c r="D59" s="268" t="s">
        <v>320</v>
      </c>
      <c r="E59" s="269" t="s">
        <v>93</v>
      </c>
      <c r="F59" s="289">
        <f>ROUND(65311.0316528152,2)</f>
        <v>65311.03</v>
      </c>
      <c r="G59" s="280" t="s">
        <v>313</v>
      </c>
      <c r="H59" s="340">
        <f>'附表2-EF'!F74</f>
        <v>5.8E-5</v>
      </c>
      <c r="I59" s="280" t="s">
        <v>314</v>
      </c>
      <c r="J59" s="281">
        <v>1</v>
      </c>
      <c r="K59" s="287"/>
      <c r="L59" s="282"/>
      <c r="M59" s="281"/>
      <c r="N59" s="287"/>
      <c r="O59" s="280"/>
      <c r="P59" s="281"/>
      <c r="Q59" s="283"/>
      <c r="R59" s="284"/>
      <c r="S59" s="285"/>
      <c r="T59" s="286"/>
      <c r="U59" s="287"/>
      <c r="V59" s="280"/>
      <c r="W59" s="288"/>
      <c r="X59" s="280"/>
      <c r="Y59" s="287"/>
      <c r="Z59" s="280"/>
      <c r="AA59" s="281"/>
      <c r="AB59" s="287"/>
      <c r="AC59" s="284"/>
      <c r="AD59" s="281"/>
      <c r="AE59" s="278">
        <f t="shared" si="32"/>
        <v>3.7880397399999999</v>
      </c>
      <c r="AF59" s="278">
        <f t="shared" si="33"/>
        <v>0</v>
      </c>
      <c r="AG59" s="278">
        <f t="shared" si="34"/>
        <v>0</v>
      </c>
      <c r="AH59" s="278">
        <f t="shared" si="35"/>
        <v>0</v>
      </c>
      <c r="AI59" s="278">
        <f t="shared" si="36"/>
        <v>0</v>
      </c>
      <c r="AJ59" s="278">
        <f t="shared" si="37"/>
        <v>0</v>
      </c>
      <c r="AK59" s="278">
        <f t="shared" si="38"/>
        <v>0</v>
      </c>
      <c r="AL59" s="278">
        <f t="shared" si="39"/>
        <v>3.7880397399999999</v>
      </c>
    </row>
    <row r="60" spans="1:38" s="16" customFormat="1" ht="14.25">
      <c r="A60" s="265">
        <v>56</v>
      </c>
      <c r="B60" s="142" t="s">
        <v>318</v>
      </c>
      <c r="C60" s="156" t="s">
        <v>322</v>
      </c>
      <c r="D60" s="268" t="s">
        <v>323</v>
      </c>
      <c r="E60" s="269" t="s">
        <v>93</v>
      </c>
      <c r="F60" s="289">
        <f>ROUND(869121.797178157,2)</f>
        <v>869121.8</v>
      </c>
      <c r="G60" s="280" t="s">
        <v>313</v>
      </c>
      <c r="H60" s="340">
        <f>'附表2-EF'!F75</f>
        <v>2.4899999999999998E-4</v>
      </c>
      <c r="I60" s="280" t="s">
        <v>314</v>
      </c>
      <c r="J60" s="281">
        <v>1</v>
      </c>
      <c r="K60" s="287"/>
      <c r="L60" s="282"/>
      <c r="M60" s="281"/>
      <c r="N60" s="287"/>
      <c r="O60" s="280"/>
      <c r="P60" s="281"/>
      <c r="Q60" s="283"/>
      <c r="R60" s="284"/>
      <c r="S60" s="285"/>
      <c r="T60" s="286"/>
      <c r="U60" s="287"/>
      <c r="V60" s="280"/>
      <c r="W60" s="288"/>
      <c r="X60" s="280"/>
      <c r="Y60" s="287"/>
      <c r="Z60" s="280"/>
      <c r="AA60" s="281"/>
      <c r="AB60" s="287"/>
      <c r="AC60" s="284"/>
      <c r="AD60" s="281"/>
      <c r="AE60" s="278">
        <f t="shared" ref="AE60:AE73" si="40">F60*H60*J60</f>
        <v>216.41132820000001</v>
      </c>
      <c r="AF60" s="278">
        <f t="shared" ref="AF60:AF77" si="41">F60*K60*M60</f>
        <v>0</v>
      </c>
      <c r="AG60" s="278">
        <f t="shared" ref="AG60:AG77" si="42">F60*N60*P60</f>
        <v>0</v>
      </c>
      <c r="AH60" s="278">
        <f t="shared" ref="AH60:AH77" si="43">F60*Q60*S60</f>
        <v>0</v>
      </c>
      <c r="AI60" s="278">
        <f t="shared" ref="AI60:AI77" si="44">F60*U60*W60</f>
        <v>0</v>
      </c>
      <c r="AJ60" s="278">
        <f t="shared" ref="AJ60:AJ77" si="45">F60*Y60*AA60</f>
        <v>0</v>
      </c>
      <c r="AK60" s="278">
        <f t="shared" ref="AK60:AK77" si="46">F60*AB60*AD60</f>
        <v>0</v>
      </c>
      <c r="AL60" s="278">
        <f t="shared" ref="AL60:AL77" si="47">SUM(AE60:AK60)</f>
        <v>216.41132820000001</v>
      </c>
    </row>
    <row r="61" spans="1:38" s="16" customFormat="1" ht="14.25">
      <c r="A61" s="265">
        <v>57</v>
      </c>
      <c r="B61" s="142" t="s">
        <v>318</v>
      </c>
      <c r="C61" s="156" t="s">
        <v>324</v>
      </c>
      <c r="D61" s="268" t="s">
        <v>323</v>
      </c>
      <c r="E61" s="269" t="s">
        <v>93</v>
      </c>
      <c r="F61" s="289">
        <f>ROUND(6234953.43066562,2)</f>
        <v>6234953.4299999997</v>
      </c>
      <c r="G61" s="280" t="s">
        <v>313</v>
      </c>
      <c r="H61" s="340">
        <f>'附表2-EF'!F76</f>
        <v>1.85E-4</v>
      </c>
      <c r="I61" s="280" t="s">
        <v>314</v>
      </c>
      <c r="J61" s="281">
        <v>1</v>
      </c>
      <c r="K61" s="287"/>
      <c r="L61" s="282"/>
      <c r="M61" s="281"/>
      <c r="N61" s="287"/>
      <c r="O61" s="280"/>
      <c r="P61" s="281"/>
      <c r="Q61" s="283"/>
      <c r="R61" s="284"/>
      <c r="S61" s="285"/>
      <c r="T61" s="286"/>
      <c r="U61" s="287"/>
      <c r="V61" s="280"/>
      <c r="W61" s="288"/>
      <c r="X61" s="280"/>
      <c r="Y61" s="287"/>
      <c r="Z61" s="280"/>
      <c r="AA61" s="281"/>
      <c r="AB61" s="287"/>
      <c r="AC61" s="284"/>
      <c r="AD61" s="281"/>
      <c r="AE61" s="278">
        <f t="shared" si="40"/>
        <v>1153.4663845499999</v>
      </c>
      <c r="AF61" s="278">
        <f t="shared" si="41"/>
        <v>0</v>
      </c>
      <c r="AG61" s="278">
        <f t="shared" si="42"/>
        <v>0</v>
      </c>
      <c r="AH61" s="278">
        <f t="shared" si="43"/>
        <v>0</v>
      </c>
      <c r="AI61" s="278">
        <f t="shared" si="44"/>
        <v>0</v>
      </c>
      <c r="AJ61" s="278">
        <f t="shared" si="45"/>
        <v>0</v>
      </c>
      <c r="AK61" s="278">
        <f t="shared" si="46"/>
        <v>0</v>
      </c>
      <c r="AL61" s="278">
        <f t="shared" si="47"/>
        <v>1153.4663845499999</v>
      </c>
    </row>
    <row r="62" spans="1:38" s="16" customFormat="1" ht="14.25">
      <c r="A62" s="265">
        <v>58</v>
      </c>
      <c r="B62" s="142" t="s">
        <v>318</v>
      </c>
      <c r="C62" s="156" t="s">
        <v>325</v>
      </c>
      <c r="D62" s="268" t="s">
        <v>323</v>
      </c>
      <c r="E62" s="269" t="s">
        <v>93</v>
      </c>
      <c r="F62" s="289">
        <f>ROUND(560965.846478643,2)</f>
        <v>560965.85</v>
      </c>
      <c r="G62" s="280" t="s">
        <v>313</v>
      </c>
      <c r="H62" s="340">
        <f>'附表2-EF'!F77</f>
        <v>7.8999999999999996E-5</v>
      </c>
      <c r="I62" s="280" t="s">
        <v>314</v>
      </c>
      <c r="J62" s="281">
        <v>1</v>
      </c>
      <c r="K62" s="287"/>
      <c r="L62" s="282"/>
      <c r="M62" s="281"/>
      <c r="N62" s="287"/>
      <c r="O62" s="280"/>
      <c r="P62" s="281"/>
      <c r="Q62" s="283"/>
      <c r="R62" s="284"/>
      <c r="S62" s="285"/>
      <c r="T62" s="286"/>
      <c r="U62" s="287"/>
      <c r="V62" s="280"/>
      <c r="W62" s="288"/>
      <c r="X62" s="280"/>
      <c r="Y62" s="287"/>
      <c r="Z62" s="280"/>
      <c r="AA62" s="281"/>
      <c r="AB62" s="287"/>
      <c r="AC62" s="284"/>
      <c r="AD62" s="281"/>
      <c r="AE62" s="278">
        <f t="shared" ref="AE62:AE63" si="48">F62*H62*J62</f>
        <v>44.316302149999999</v>
      </c>
      <c r="AF62" s="278">
        <f t="shared" ref="AF62:AF63" si="49">F62*K62*M62</f>
        <v>0</v>
      </c>
      <c r="AG62" s="278">
        <f t="shared" ref="AG62:AG63" si="50">F62*N62*P62</f>
        <v>0</v>
      </c>
      <c r="AH62" s="278">
        <f t="shared" ref="AH62:AH63" si="51">F62*Q62*S62</f>
        <v>0</v>
      </c>
      <c r="AI62" s="278">
        <f t="shared" ref="AI62:AI63" si="52">F62*U62*W62</f>
        <v>0</v>
      </c>
      <c r="AJ62" s="278">
        <f t="shared" ref="AJ62:AJ63" si="53">F62*Y62*AA62</f>
        <v>0</v>
      </c>
      <c r="AK62" s="278">
        <f t="shared" ref="AK62:AK63" si="54">F62*AB62*AD62</f>
        <v>0</v>
      </c>
      <c r="AL62" s="278">
        <f t="shared" ref="AL62:AL63" si="55">SUM(AE62:AK62)</f>
        <v>44.316302149999999</v>
      </c>
    </row>
    <row r="63" spans="1:38" s="16" customFormat="1" ht="14.25">
      <c r="A63" s="265">
        <v>59</v>
      </c>
      <c r="B63" s="142" t="s">
        <v>318</v>
      </c>
      <c r="C63" s="156" t="s">
        <v>326</v>
      </c>
      <c r="D63" s="268" t="s">
        <v>323</v>
      </c>
      <c r="E63" s="269" t="s">
        <v>93</v>
      </c>
      <c r="F63" s="289">
        <f>ROUND(631698.520688066,2)</f>
        <v>631698.52</v>
      </c>
      <c r="G63" s="280" t="s">
        <v>313</v>
      </c>
      <c r="H63" s="340">
        <f>'附表2-EF'!F78</f>
        <v>8.8999999999999995E-5</v>
      </c>
      <c r="I63" s="280" t="s">
        <v>314</v>
      </c>
      <c r="J63" s="281">
        <v>1</v>
      </c>
      <c r="K63" s="287"/>
      <c r="L63" s="282"/>
      <c r="M63" s="281"/>
      <c r="N63" s="287"/>
      <c r="O63" s="280"/>
      <c r="P63" s="281"/>
      <c r="Q63" s="283"/>
      <c r="R63" s="284"/>
      <c r="S63" s="285"/>
      <c r="T63" s="286"/>
      <c r="U63" s="287"/>
      <c r="V63" s="280"/>
      <c r="W63" s="288"/>
      <c r="X63" s="280"/>
      <c r="Y63" s="287"/>
      <c r="Z63" s="280"/>
      <c r="AA63" s="281"/>
      <c r="AB63" s="287"/>
      <c r="AC63" s="284"/>
      <c r="AD63" s="281"/>
      <c r="AE63" s="278">
        <f t="shared" si="48"/>
        <v>56.221168280000001</v>
      </c>
      <c r="AF63" s="278">
        <f t="shared" si="49"/>
        <v>0</v>
      </c>
      <c r="AG63" s="278">
        <f t="shared" si="50"/>
        <v>0</v>
      </c>
      <c r="AH63" s="278">
        <f t="shared" si="51"/>
        <v>0</v>
      </c>
      <c r="AI63" s="278">
        <f t="shared" si="52"/>
        <v>0</v>
      </c>
      <c r="AJ63" s="278">
        <f t="shared" si="53"/>
        <v>0</v>
      </c>
      <c r="AK63" s="278">
        <f t="shared" si="54"/>
        <v>0</v>
      </c>
      <c r="AL63" s="278">
        <f t="shared" si="55"/>
        <v>56.221168280000001</v>
      </c>
    </row>
    <row r="64" spans="1:38" s="16" customFormat="1" ht="14.25">
      <c r="A64" s="265">
        <v>60</v>
      </c>
      <c r="B64" s="142" t="s">
        <v>318</v>
      </c>
      <c r="C64" s="156" t="s">
        <v>327</v>
      </c>
      <c r="D64" s="268" t="s">
        <v>323</v>
      </c>
      <c r="E64" s="269" t="s">
        <v>93</v>
      </c>
      <c r="F64" s="289">
        <f>ROUND(168918.914378317,2)</f>
        <v>168918.91</v>
      </c>
      <c r="G64" s="280" t="s">
        <v>313</v>
      </c>
      <c r="H64" s="340">
        <f>'附表2-EF'!F79</f>
        <v>2.0900000000000001E-4</v>
      </c>
      <c r="I64" s="280" t="s">
        <v>314</v>
      </c>
      <c r="J64" s="281">
        <v>1</v>
      </c>
      <c r="K64" s="287"/>
      <c r="L64" s="282"/>
      <c r="M64" s="281"/>
      <c r="N64" s="287"/>
      <c r="O64" s="280"/>
      <c r="P64" s="281"/>
      <c r="Q64" s="283"/>
      <c r="R64" s="284"/>
      <c r="S64" s="285"/>
      <c r="T64" s="286"/>
      <c r="U64" s="287"/>
      <c r="V64" s="280"/>
      <c r="W64" s="288"/>
      <c r="X64" s="280"/>
      <c r="Y64" s="287"/>
      <c r="Z64" s="280"/>
      <c r="AA64" s="281"/>
      <c r="AB64" s="287"/>
      <c r="AC64" s="284"/>
      <c r="AD64" s="281"/>
      <c r="AE64" s="278">
        <f t="shared" ref="AE64:AE66" si="56">F64*H64*J64</f>
        <v>35.30405219</v>
      </c>
      <c r="AF64" s="278">
        <f t="shared" ref="AF64:AF66" si="57">F64*K64*M64</f>
        <v>0</v>
      </c>
      <c r="AG64" s="278">
        <f t="shared" ref="AG64:AG66" si="58">F64*N64*P64</f>
        <v>0</v>
      </c>
      <c r="AH64" s="278">
        <f t="shared" ref="AH64:AH66" si="59">F64*Q64*S64</f>
        <v>0</v>
      </c>
      <c r="AI64" s="278">
        <f t="shared" ref="AI64:AI66" si="60">F64*U64*W64</f>
        <v>0</v>
      </c>
      <c r="AJ64" s="278">
        <f t="shared" ref="AJ64:AJ66" si="61">F64*Y64*AA64</f>
        <v>0</v>
      </c>
      <c r="AK64" s="278">
        <f t="shared" ref="AK64:AK66" si="62">F64*AB64*AD64</f>
        <v>0</v>
      </c>
      <c r="AL64" s="278">
        <f t="shared" ref="AL64:AL66" si="63">SUM(AE64:AK64)</f>
        <v>35.30405219</v>
      </c>
    </row>
    <row r="65" spans="1:38" s="16" customFormat="1" ht="14.25">
      <c r="A65" s="265">
        <v>61</v>
      </c>
      <c r="B65" s="142" t="s">
        <v>318</v>
      </c>
      <c r="C65" s="156" t="s">
        <v>328</v>
      </c>
      <c r="D65" s="268" t="s">
        <v>323</v>
      </c>
      <c r="E65" s="269" t="s">
        <v>93</v>
      </c>
      <c r="F65" s="289">
        <f>ROUND(1937496.9491979,2)</f>
        <v>1937496.95</v>
      </c>
      <c r="G65" s="280" t="s">
        <v>313</v>
      </c>
      <c r="H65" s="340">
        <f>'附表2-EF'!F80</f>
        <v>2.23E-4</v>
      </c>
      <c r="I65" s="280" t="s">
        <v>314</v>
      </c>
      <c r="J65" s="281">
        <v>1</v>
      </c>
      <c r="K65" s="287"/>
      <c r="L65" s="282"/>
      <c r="M65" s="281"/>
      <c r="N65" s="287"/>
      <c r="O65" s="280"/>
      <c r="P65" s="281"/>
      <c r="Q65" s="283"/>
      <c r="R65" s="284"/>
      <c r="S65" s="285"/>
      <c r="T65" s="286"/>
      <c r="U65" s="287"/>
      <c r="V65" s="280"/>
      <c r="W65" s="288"/>
      <c r="X65" s="280"/>
      <c r="Y65" s="287"/>
      <c r="Z65" s="280"/>
      <c r="AA65" s="281"/>
      <c r="AB65" s="287"/>
      <c r="AC65" s="284"/>
      <c r="AD65" s="281"/>
      <c r="AE65" s="278">
        <f t="shared" si="56"/>
        <v>432.06181985000001</v>
      </c>
      <c r="AF65" s="278">
        <f t="shared" si="57"/>
        <v>0</v>
      </c>
      <c r="AG65" s="278">
        <f t="shared" si="58"/>
        <v>0</v>
      </c>
      <c r="AH65" s="278">
        <f t="shared" si="59"/>
        <v>0</v>
      </c>
      <c r="AI65" s="278">
        <f t="shared" si="60"/>
        <v>0</v>
      </c>
      <c r="AJ65" s="278">
        <f t="shared" si="61"/>
        <v>0</v>
      </c>
      <c r="AK65" s="278">
        <f t="shared" si="62"/>
        <v>0</v>
      </c>
      <c r="AL65" s="278">
        <f t="shared" si="63"/>
        <v>432.06181985000001</v>
      </c>
    </row>
    <row r="66" spans="1:38" s="16" customFormat="1" ht="14.25">
      <c r="A66" s="265">
        <v>62</v>
      </c>
      <c r="B66" s="142" t="s">
        <v>318</v>
      </c>
      <c r="C66" s="156" t="s">
        <v>329</v>
      </c>
      <c r="D66" s="268" t="s">
        <v>323</v>
      </c>
      <c r="E66" s="269" t="s">
        <v>93</v>
      </c>
      <c r="F66" s="289">
        <f>ROUND(177532.576084209,2)</f>
        <v>177532.58</v>
      </c>
      <c r="G66" s="280" t="s">
        <v>313</v>
      </c>
      <c r="H66" s="340">
        <f>'附表2-EF'!F81</f>
        <v>6.3E-5</v>
      </c>
      <c r="I66" s="280" t="s">
        <v>314</v>
      </c>
      <c r="J66" s="281">
        <v>1</v>
      </c>
      <c r="K66" s="287"/>
      <c r="L66" s="282"/>
      <c r="M66" s="281"/>
      <c r="N66" s="287"/>
      <c r="O66" s="280"/>
      <c r="P66" s="281"/>
      <c r="Q66" s="283"/>
      <c r="R66" s="284"/>
      <c r="S66" s="285"/>
      <c r="T66" s="286"/>
      <c r="U66" s="287"/>
      <c r="V66" s="280"/>
      <c r="W66" s="288"/>
      <c r="X66" s="280"/>
      <c r="Y66" s="287"/>
      <c r="Z66" s="280"/>
      <c r="AA66" s="281"/>
      <c r="AB66" s="287"/>
      <c r="AC66" s="284"/>
      <c r="AD66" s="281"/>
      <c r="AE66" s="278">
        <f t="shared" si="56"/>
        <v>11.18455254</v>
      </c>
      <c r="AF66" s="278">
        <f t="shared" si="57"/>
        <v>0</v>
      </c>
      <c r="AG66" s="278">
        <f t="shared" si="58"/>
        <v>0</v>
      </c>
      <c r="AH66" s="278">
        <f t="shared" si="59"/>
        <v>0</v>
      </c>
      <c r="AI66" s="278">
        <f t="shared" si="60"/>
        <v>0</v>
      </c>
      <c r="AJ66" s="278">
        <f t="shared" si="61"/>
        <v>0</v>
      </c>
      <c r="AK66" s="278">
        <f t="shared" si="62"/>
        <v>0</v>
      </c>
      <c r="AL66" s="278">
        <f t="shared" si="63"/>
        <v>11.18455254</v>
      </c>
    </row>
    <row r="67" spans="1:38" s="16" customFormat="1" ht="14.25">
      <c r="A67" s="265">
        <v>63</v>
      </c>
      <c r="B67" s="142" t="s">
        <v>318</v>
      </c>
      <c r="C67" s="156" t="s">
        <v>330</v>
      </c>
      <c r="D67" s="268" t="s">
        <v>323</v>
      </c>
      <c r="E67" s="269" t="s">
        <v>93</v>
      </c>
      <c r="F67" s="289">
        <f>ROUND(4336501.56405644,2)</f>
        <v>4336501.5599999996</v>
      </c>
      <c r="G67" s="280" t="s">
        <v>313</v>
      </c>
      <c r="H67" s="340">
        <f>'附表2-EF'!F82</f>
        <v>1.2799999999999999E-4</v>
      </c>
      <c r="I67" s="280" t="s">
        <v>314</v>
      </c>
      <c r="J67" s="281">
        <v>1</v>
      </c>
      <c r="K67" s="287"/>
      <c r="L67" s="282"/>
      <c r="M67" s="281"/>
      <c r="N67" s="287"/>
      <c r="O67" s="280"/>
      <c r="P67" s="281"/>
      <c r="Q67" s="283"/>
      <c r="R67" s="284"/>
      <c r="S67" s="285"/>
      <c r="T67" s="286"/>
      <c r="U67" s="287"/>
      <c r="V67" s="280"/>
      <c r="W67" s="288"/>
      <c r="X67" s="280"/>
      <c r="Y67" s="287"/>
      <c r="Z67" s="280"/>
      <c r="AA67" s="281"/>
      <c r="AB67" s="287"/>
      <c r="AC67" s="284"/>
      <c r="AD67" s="281"/>
      <c r="AE67" s="278">
        <f t="shared" si="40"/>
        <v>555.07219968000004</v>
      </c>
      <c r="AF67" s="278">
        <f t="shared" si="41"/>
        <v>0</v>
      </c>
      <c r="AG67" s="278">
        <f t="shared" si="42"/>
        <v>0</v>
      </c>
      <c r="AH67" s="278">
        <f t="shared" si="43"/>
        <v>0</v>
      </c>
      <c r="AI67" s="278">
        <f t="shared" si="44"/>
        <v>0</v>
      </c>
      <c r="AJ67" s="278">
        <f t="shared" si="45"/>
        <v>0</v>
      </c>
      <c r="AK67" s="278">
        <f t="shared" si="46"/>
        <v>0</v>
      </c>
      <c r="AL67" s="278">
        <f t="shared" si="47"/>
        <v>555.07219968000004</v>
      </c>
    </row>
    <row r="68" spans="1:38" s="16" customFormat="1" ht="14.25">
      <c r="A68" s="265">
        <v>64</v>
      </c>
      <c r="B68" s="142" t="s">
        <v>318</v>
      </c>
      <c r="C68" s="156" t="s">
        <v>331</v>
      </c>
      <c r="D68" s="268" t="s">
        <v>323</v>
      </c>
      <c r="E68" s="269" t="s">
        <v>93</v>
      </c>
      <c r="F68" s="289">
        <f>ROUND(270792923.38651,2)</f>
        <v>270792923.38999999</v>
      </c>
      <c r="G68" s="280" t="s">
        <v>313</v>
      </c>
      <c r="H68" s="340">
        <f>'附表2-EF'!F83</f>
        <v>1.8200000000000001E-4</v>
      </c>
      <c r="I68" s="280" t="s">
        <v>314</v>
      </c>
      <c r="J68" s="281">
        <v>1</v>
      </c>
      <c r="K68" s="287"/>
      <c r="L68" s="282"/>
      <c r="M68" s="281"/>
      <c r="N68" s="287"/>
      <c r="O68" s="280"/>
      <c r="P68" s="281"/>
      <c r="Q68" s="283"/>
      <c r="R68" s="284"/>
      <c r="S68" s="285"/>
      <c r="T68" s="286"/>
      <c r="U68" s="287"/>
      <c r="V68" s="280"/>
      <c r="W68" s="288"/>
      <c r="X68" s="280"/>
      <c r="Y68" s="287"/>
      <c r="Z68" s="280"/>
      <c r="AA68" s="281"/>
      <c r="AB68" s="287"/>
      <c r="AC68" s="284"/>
      <c r="AD68" s="281"/>
      <c r="AE68" s="278">
        <f t="shared" si="40"/>
        <v>49284.312056980001</v>
      </c>
      <c r="AF68" s="278">
        <f t="shared" si="41"/>
        <v>0</v>
      </c>
      <c r="AG68" s="278">
        <f t="shared" si="42"/>
        <v>0</v>
      </c>
      <c r="AH68" s="278">
        <f t="shared" si="43"/>
        <v>0</v>
      </c>
      <c r="AI68" s="278">
        <f t="shared" si="44"/>
        <v>0</v>
      </c>
      <c r="AJ68" s="278">
        <f t="shared" si="45"/>
        <v>0</v>
      </c>
      <c r="AK68" s="278">
        <f t="shared" si="46"/>
        <v>0</v>
      </c>
      <c r="AL68" s="278">
        <f t="shared" si="47"/>
        <v>49284.312056980001</v>
      </c>
    </row>
    <row r="69" spans="1:38" s="19" customFormat="1" ht="24">
      <c r="A69" s="265">
        <v>65</v>
      </c>
      <c r="B69" s="142" t="s">
        <v>332</v>
      </c>
      <c r="C69" s="342" t="s">
        <v>333</v>
      </c>
      <c r="D69" s="268" t="s">
        <v>221</v>
      </c>
      <c r="E69" s="269" t="s">
        <v>105</v>
      </c>
      <c r="F69" s="270">
        <f>F6</f>
        <v>9.39</v>
      </c>
      <c r="G69" s="280" t="s">
        <v>222</v>
      </c>
      <c r="H69" s="340">
        <f>'附表2-EF'!G87</f>
        <v>1.0062255640344899</v>
      </c>
      <c r="I69" s="280" t="s">
        <v>223</v>
      </c>
      <c r="J69" s="273">
        <v>1</v>
      </c>
      <c r="K69" s="274"/>
      <c r="L69" s="271"/>
      <c r="M69" s="273"/>
      <c r="N69" s="274"/>
      <c r="O69" s="271"/>
      <c r="P69" s="273"/>
      <c r="Q69" s="275"/>
      <c r="R69" s="110"/>
      <c r="S69" s="276"/>
      <c r="T69" s="110"/>
      <c r="U69" s="274"/>
      <c r="V69" s="271"/>
      <c r="W69" s="277"/>
      <c r="X69" s="271"/>
      <c r="Y69" s="274"/>
      <c r="Z69" s="271"/>
      <c r="AA69" s="273"/>
      <c r="AB69" s="274"/>
      <c r="AC69" s="310"/>
      <c r="AD69" s="307"/>
      <c r="AE69" s="278">
        <f t="shared" si="40"/>
        <v>9.4484580462838608</v>
      </c>
      <c r="AF69" s="278">
        <f t="shared" si="41"/>
        <v>0</v>
      </c>
      <c r="AG69" s="278">
        <f t="shared" si="42"/>
        <v>0</v>
      </c>
      <c r="AH69" s="278">
        <f t="shared" si="43"/>
        <v>0</v>
      </c>
      <c r="AI69" s="278">
        <f t="shared" si="44"/>
        <v>0</v>
      </c>
      <c r="AJ69" s="278">
        <f t="shared" si="45"/>
        <v>0</v>
      </c>
      <c r="AK69" s="278">
        <f t="shared" si="46"/>
        <v>0</v>
      </c>
      <c r="AL69" s="278">
        <f t="shared" si="47"/>
        <v>9.4484580462838608</v>
      </c>
    </row>
    <row r="70" spans="1:38" s="16" customFormat="1" ht="24">
      <c r="A70" s="265">
        <v>66</v>
      </c>
      <c r="B70" s="142" t="s">
        <v>332</v>
      </c>
      <c r="C70" s="156" t="s">
        <v>334</v>
      </c>
      <c r="D70" s="268" t="s">
        <v>335</v>
      </c>
      <c r="E70" s="269" t="s">
        <v>105</v>
      </c>
      <c r="F70" s="279">
        <f>F9</f>
        <v>1946577.05</v>
      </c>
      <c r="G70" s="280" t="s">
        <v>222</v>
      </c>
      <c r="H70" s="340">
        <f>'附表2-EF'!G88</f>
        <v>0.57555000000000001</v>
      </c>
      <c r="I70" s="280" t="s">
        <v>223</v>
      </c>
      <c r="J70" s="281">
        <v>1</v>
      </c>
      <c r="K70" s="287"/>
      <c r="L70" s="282"/>
      <c r="M70" s="281"/>
      <c r="N70" s="287"/>
      <c r="O70" s="280"/>
      <c r="P70" s="281"/>
      <c r="Q70" s="283"/>
      <c r="R70" s="284"/>
      <c r="S70" s="285"/>
      <c r="T70" s="286"/>
      <c r="U70" s="287"/>
      <c r="V70" s="280"/>
      <c r="W70" s="288"/>
      <c r="X70" s="280"/>
      <c r="Y70" s="287"/>
      <c r="Z70" s="280"/>
      <c r="AA70" s="281"/>
      <c r="AB70" s="287"/>
      <c r="AC70" s="284"/>
      <c r="AD70" s="281"/>
      <c r="AE70" s="278">
        <f t="shared" si="40"/>
        <v>1120352.4211275</v>
      </c>
      <c r="AF70" s="278">
        <f t="shared" si="41"/>
        <v>0</v>
      </c>
      <c r="AG70" s="278">
        <f t="shared" si="42"/>
        <v>0</v>
      </c>
      <c r="AH70" s="278">
        <f t="shared" si="43"/>
        <v>0</v>
      </c>
      <c r="AI70" s="278">
        <f t="shared" si="44"/>
        <v>0</v>
      </c>
      <c r="AJ70" s="278">
        <f t="shared" si="45"/>
        <v>0</v>
      </c>
      <c r="AK70" s="278">
        <f t="shared" si="46"/>
        <v>0</v>
      </c>
      <c r="AL70" s="278">
        <f t="shared" si="47"/>
        <v>1120352.4211275</v>
      </c>
    </row>
    <row r="71" spans="1:38" s="16" customFormat="1" ht="24">
      <c r="A71" s="265">
        <v>67</v>
      </c>
      <c r="B71" s="142" t="s">
        <v>332</v>
      </c>
      <c r="C71" s="156" t="s">
        <v>336</v>
      </c>
      <c r="D71" s="268" t="s">
        <v>323</v>
      </c>
      <c r="E71" s="269" t="s">
        <v>105</v>
      </c>
      <c r="F71" s="279">
        <f>F13</f>
        <v>1403.87</v>
      </c>
      <c r="G71" s="280" t="s">
        <v>222</v>
      </c>
      <c r="H71" s="340">
        <f>'附表2-EF'!G89</f>
        <v>0.84211999999999998</v>
      </c>
      <c r="I71" s="280" t="s">
        <v>223</v>
      </c>
      <c r="J71" s="281">
        <v>1</v>
      </c>
      <c r="K71" s="287"/>
      <c r="L71" s="282"/>
      <c r="M71" s="281"/>
      <c r="N71" s="287"/>
      <c r="O71" s="280"/>
      <c r="P71" s="281"/>
      <c r="Q71" s="283"/>
      <c r="R71" s="284"/>
      <c r="S71" s="285"/>
      <c r="T71" s="286"/>
      <c r="U71" s="287"/>
      <c r="V71" s="280"/>
      <c r="W71" s="288"/>
      <c r="X71" s="280"/>
      <c r="Y71" s="287"/>
      <c r="Z71" s="280"/>
      <c r="AA71" s="281"/>
      <c r="AB71" s="287"/>
      <c r="AC71" s="284"/>
      <c r="AD71" s="281"/>
      <c r="AE71" s="278">
        <f t="shared" si="40"/>
        <v>1182.2270043999999</v>
      </c>
      <c r="AF71" s="278">
        <f t="shared" si="41"/>
        <v>0</v>
      </c>
      <c r="AG71" s="278">
        <f t="shared" si="42"/>
        <v>0</v>
      </c>
      <c r="AH71" s="278">
        <f t="shared" si="43"/>
        <v>0</v>
      </c>
      <c r="AI71" s="278">
        <f t="shared" si="44"/>
        <v>0</v>
      </c>
      <c r="AJ71" s="278">
        <f t="shared" si="45"/>
        <v>0</v>
      </c>
      <c r="AK71" s="278">
        <f t="shared" si="46"/>
        <v>0</v>
      </c>
      <c r="AL71" s="278">
        <f t="shared" si="47"/>
        <v>1182.2270043999999</v>
      </c>
    </row>
    <row r="72" spans="1:38" s="16" customFormat="1" ht="24">
      <c r="A72" s="265">
        <v>68</v>
      </c>
      <c r="B72" s="142" t="s">
        <v>332</v>
      </c>
      <c r="C72" s="156" t="s">
        <v>337</v>
      </c>
      <c r="D72" s="268" t="s">
        <v>338</v>
      </c>
      <c r="E72" s="269" t="s">
        <v>105</v>
      </c>
      <c r="F72" s="279">
        <f>F14</f>
        <v>49.06</v>
      </c>
      <c r="G72" s="280" t="s">
        <v>222</v>
      </c>
      <c r="H72" s="340">
        <f>'附表2-EF'!G90</f>
        <v>0.98733030522440801</v>
      </c>
      <c r="I72" s="280" t="s">
        <v>223</v>
      </c>
      <c r="J72" s="281">
        <v>1</v>
      </c>
      <c r="K72" s="287"/>
      <c r="L72" s="282"/>
      <c r="M72" s="281"/>
      <c r="N72" s="287"/>
      <c r="O72" s="280"/>
      <c r="P72" s="281"/>
      <c r="Q72" s="283"/>
      <c r="R72" s="284"/>
      <c r="S72" s="285"/>
      <c r="T72" s="286"/>
      <c r="U72" s="287"/>
      <c r="V72" s="280"/>
      <c r="W72" s="288"/>
      <c r="X72" s="280"/>
      <c r="Y72" s="287"/>
      <c r="Z72" s="280"/>
      <c r="AA72" s="281"/>
      <c r="AB72" s="287"/>
      <c r="AC72" s="284"/>
      <c r="AD72" s="281"/>
      <c r="AE72" s="278">
        <f t="shared" si="40"/>
        <v>48.438424774309503</v>
      </c>
      <c r="AF72" s="278">
        <f t="shared" si="41"/>
        <v>0</v>
      </c>
      <c r="AG72" s="278">
        <f t="shared" si="42"/>
        <v>0</v>
      </c>
      <c r="AH72" s="278">
        <f t="shared" si="43"/>
        <v>0</v>
      </c>
      <c r="AI72" s="278">
        <f t="shared" si="44"/>
        <v>0</v>
      </c>
      <c r="AJ72" s="278">
        <f t="shared" si="45"/>
        <v>0</v>
      </c>
      <c r="AK72" s="278">
        <f t="shared" si="46"/>
        <v>0</v>
      </c>
      <c r="AL72" s="278">
        <f t="shared" si="47"/>
        <v>48.438424774309503</v>
      </c>
    </row>
    <row r="73" spans="1:38" s="16" customFormat="1" ht="24">
      <c r="A73" s="265">
        <v>69</v>
      </c>
      <c r="B73" s="142" t="s">
        <v>332</v>
      </c>
      <c r="C73" s="156" t="s">
        <v>339</v>
      </c>
      <c r="D73" s="268" t="s">
        <v>234</v>
      </c>
      <c r="E73" s="269" t="s">
        <v>105</v>
      </c>
      <c r="F73" s="279">
        <f>F10</f>
        <v>145430.20000000001</v>
      </c>
      <c r="G73" s="280" t="s">
        <v>222</v>
      </c>
      <c r="H73" s="340">
        <f>'附表2-EF'!G91</f>
        <v>1.2676000000000001</v>
      </c>
      <c r="I73" s="280" t="s">
        <v>223</v>
      </c>
      <c r="J73" s="281">
        <v>1</v>
      </c>
      <c r="K73" s="287"/>
      <c r="L73" s="282"/>
      <c r="M73" s="281"/>
      <c r="N73" s="287"/>
      <c r="O73" s="280"/>
      <c r="P73" s="281"/>
      <c r="Q73" s="283"/>
      <c r="R73" s="284"/>
      <c r="S73" s="285"/>
      <c r="T73" s="286"/>
      <c r="U73" s="287"/>
      <c r="V73" s="280"/>
      <c r="W73" s="288"/>
      <c r="X73" s="280"/>
      <c r="Y73" s="287"/>
      <c r="Z73" s="280"/>
      <c r="AA73" s="281"/>
      <c r="AB73" s="287"/>
      <c r="AC73" s="284"/>
      <c r="AD73" s="281"/>
      <c r="AE73" s="278">
        <f t="shared" si="40"/>
        <v>184347.32152</v>
      </c>
      <c r="AF73" s="278">
        <f t="shared" si="41"/>
        <v>0</v>
      </c>
      <c r="AG73" s="278">
        <f t="shared" si="42"/>
        <v>0</v>
      </c>
      <c r="AH73" s="278">
        <f t="shared" si="43"/>
        <v>0</v>
      </c>
      <c r="AI73" s="278">
        <f t="shared" si="44"/>
        <v>0</v>
      </c>
      <c r="AJ73" s="278">
        <f t="shared" si="45"/>
        <v>0</v>
      </c>
      <c r="AK73" s="278">
        <f t="shared" si="46"/>
        <v>0</v>
      </c>
      <c r="AL73" s="278">
        <f t="shared" si="47"/>
        <v>184347.32152</v>
      </c>
    </row>
    <row r="74" spans="1:38" s="16" customFormat="1" ht="24">
      <c r="A74" s="265">
        <v>70</v>
      </c>
      <c r="B74" s="142" t="s">
        <v>332</v>
      </c>
      <c r="C74" s="156" t="s">
        <v>340</v>
      </c>
      <c r="D74" s="268" t="s">
        <v>234</v>
      </c>
      <c r="E74" s="269" t="s">
        <v>105</v>
      </c>
      <c r="F74" s="279">
        <f>F11</f>
        <v>120570.5</v>
      </c>
      <c r="G74" s="280" t="s">
        <v>222</v>
      </c>
      <c r="H74" s="340">
        <f>'附表2-EF'!G92</f>
        <v>1.2676000000000001</v>
      </c>
      <c r="I74" s="280" t="s">
        <v>223</v>
      </c>
      <c r="J74" s="281">
        <v>1</v>
      </c>
      <c r="K74" s="287"/>
      <c r="L74" s="282"/>
      <c r="M74" s="281"/>
      <c r="N74" s="287"/>
      <c r="O74" s="280"/>
      <c r="P74" s="281"/>
      <c r="Q74" s="283"/>
      <c r="R74" s="284"/>
      <c r="S74" s="285"/>
      <c r="T74" s="286"/>
      <c r="U74" s="287"/>
      <c r="V74" s="280"/>
      <c r="W74" s="288"/>
      <c r="X74" s="280"/>
      <c r="Y74" s="287"/>
      <c r="Z74" s="280"/>
      <c r="AA74" s="281"/>
      <c r="AB74" s="287"/>
      <c r="AC74" s="284"/>
      <c r="AD74" s="281"/>
      <c r="AE74" s="278">
        <f t="shared" ref="AE74:AE86" si="64">F74*H74*J74</f>
        <v>152835.16579999999</v>
      </c>
      <c r="AF74" s="278">
        <f t="shared" si="41"/>
        <v>0</v>
      </c>
      <c r="AG74" s="278">
        <f t="shared" si="42"/>
        <v>0</v>
      </c>
      <c r="AH74" s="278">
        <f t="shared" si="43"/>
        <v>0</v>
      </c>
      <c r="AI74" s="278">
        <f t="shared" si="44"/>
        <v>0</v>
      </c>
      <c r="AJ74" s="278">
        <f t="shared" si="45"/>
        <v>0</v>
      </c>
      <c r="AK74" s="278">
        <f t="shared" si="46"/>
        <v>0</v>
      </c>
      <c r="AL74" s="278">
        <f t="shared" si="47"/>
        <v>152835.16579999999</v>
      </c>
    </row>
    <row r="75" spans="1:38" s="16" customFormat="1" ht="24">
      <c r="A75" s="265">
        <v>71</v>
      </c>
      <c r="B75" s="142" t="s">
        <v>332</v>
      </c>
      <c r="C75" s="156" t="s">
        <v>341</v>
      </c>
      <c r="D75" s="268" t="s">
        <v>232</v>
      </c>
      <c r="E75" s="269" t="s">
        <v>105</v>
      </c>
      <c r="F75" s="279">
        <f>F7</f>
        <v>399079.16</v>
      </c>
      <c r="G75" s="280" t="s">
        <v>222</v>
      </c>
      <c r="H75" s="340">
        <f>'附表2-EF'!G93</f>
        <v>0.57555000000000001</v>
      </c>
      <c r="I75" s="280" t="s">
        <v>223</v>
      </c>
      <c r="J75" s="281">
        <v>1</v>
      </c>
      <c r="K75" s="287"/>
      <c r="L75" s="282"/>
      <c r="M75" s="281"/>
      <c r="N75" s="287"/>
      <c r="O75" s="280"/>
      <c r="P75" s="281"/>
      <c r="Q75" s="283"/>
      <c r="R75" s="284"/>
      <c r="S75" s="285"/>
      <c r="T75" s="286"/>
      <c r="U75" s="287"/>
      <c r="V75" s="280"/>
      <c r="W75" s="288"/>
      <c r="X75" s="280"/>
      <c r="Y75" s="287"/>
      <c r="Z75" s="280"/>
      <c r="AA75" s="281"/>
      <c r="AB75" s="287"/>
      <c r="AC75" s="284"/>
      <c r="AD75" s="281"/>
      <c r="AE75" s="278">
        <f t="shared" si="64"/>
        <v>229690.010538</v>
      </c>
      <c r="AF75" s="278">
        <f t="shared" si="41"/>
        <v>0</v>
      </c>
      <c r="AG75" s="278">
        <f t="shared" si="42"/>
        <v>0</v>
      </c>
      <c r="AH75" s="278">
        <f t="shared" si="43"/>
        <v>0</v>
      </c>
      <c r="AI75" s="278">
        <f t="shared" si="44"/>
        <v>0</v>
      </c>
      <c r="AJ75" s="278">
        <f t="shared" si="45"/>
        <v>0</v>
      </c>
      <c r="AK75" s="278">
        <f t="shared" si="46"/>
        <v>0</v>
      </c>
      <c r="AL75" s="278">
        <f t="shared" si="47"/>
        <v>229690.010538</v>
      </c>
    </row>
    <row r="76" spans="1:38" s="16" customFormat="1" ht="24">
      <c r="A76" s="265">
        <v>72</v>
      </c>
      <c r="B76" s="142" t="s">
        <v>332</v>
      </c>
      <c r="C76" s="156" t="s">
        <v>342</v>
      </c>
      <c r="D76" s="268" t="s">
        <v>234</v>
      </c>
      <c r="E76" s="269" t="s">
        <v>105</v>
      </c>
      <c r="F76" s="279">
        <f>F8</f>
        <v>260530.34</v>
      </c>
      <c r="G76" s="280" t="s">
        <v>222</v>
      </c>
      <c r="H76" s="340">
        <f>'附表2-EF'!G94</f>
        <v>0.57555000000000001</v>
      </c>
      <c r="I76" s="280" t="s">
        <v>223</v>
      </c>
      <c r="J76" s="281">
        <v>1</v>
      </c>
      <c r="K76" s="287"/>
      <c r="L76" s="282"/>
      <c r="M76" s="281"/>
      <c r="N76" s="287"/>
      <c r="O76" s="280"/>
      <c r="P76" s="281"/>
      <c r="Q76" s="283"/>
      <c r="R76" s="284"/>
      <c r="S76" s="285"/>
      <c r="T76" s="286"/>
      <c r="U76" s="287"/>
      <c r="V76" s="280"/>
      <c r="W76" s="288"/>
      <c r="X76" s="280"/>
      <c r="Y76" s="287"/>
      <c r="Z76" s="280"/>
      <c r="AA76" s="281"/>
      <c r="AB76" s="287"/>
      <c r="AC76" s="284"/>
      <c r="AD76" s="281"/>
      <c r="AE76" s="278">
        <f t="shared" si="64"/>
        <v>149948.23718699999</v>
      </c>
      <c r="AF76" s="278">
        <f t="shared" si="41"/>
        <v>0</v>
      </c>
      <c r="AG76" s="278">
        <f t="shared" si="42"/>
        <v>0</v>
      </c>
      <c r="AH76" s="278">
        <f t="shared" si="43"/>
        <v>0</v>
      </c>
      <c r="AI76" s="278">
        <f t="shared" si="44"/>
        <v>0</v>
      </c>
      <c r="AJ76" s="278">
        <f t="shared" si="45"/>
        <v>0</v>
      </c>
      <c r="AK76" s="278">
        <f t="shared" si="46"/>
        <v>0</v>
      </c>
      <c r="AL76" s="278">
        <f t="shared" si="47"/>
        <v>149948.23718699999</v>
      </c>
    </row>
    <row r="77" spans="1:38" s="16" customFormat="1" ht="24">
      <c r="A77" s="265">
        <v>73</v>
      </c>
      <c r="B77" s="142" t="s">
        <v>332</v>
      </c>
      <c r="C77" s="156" t="s">
        <v>343</v>
      </c>
      <c r="D77" s="268" t="s">
        <v>344</v>
      </c>
      <c r="E77" s="269" t="s">
        <v>105</v>
      </c>
      <c r="F77" s="279">
        <f>F5</f>
        <v>1796.49</v>
      </c>
      <c r="G77" s="280" t="s">
        <v>218</v>
      </c>
      <c r="H77" s="340">
        <f>'附表2-EF'!G95</f>
        <v>6.19</v>
      </c>
      <c r="I77" s="280" t="s">
        <v>223</v>
      </c>
      <c r="J77" s="281">
        <v>1</v>
      </c>
      <c r="K77" s="287"/>
      <c r="L77" s="282"/>
      <c r="M77" s="281"/>
      <c r="N77" s="287"/>
      <c r="O77" s="280"/>
      <c r="P77" s="281"/>
      <c r="Q77" s="283"/>
      <c r="R77" s="284"/>
      <c r="S77" s="285"/>
      <c r="T77" s="286"/>
      <c r="U77" s="287"/>
      <c r="V77" s="280"/>
      <c r="W77" s="288"/>
      <c r="X77" s="280"/>
      <c r="Y77" s="287"/>
      <c r="Z77" s="280"/>
      <c r="AA77" s="281"/>
      <c r="AB77" s="287"/>
      <c r="AC77" s="284"/>
      <c r="AD77" s="281"/>
      <c r="AE77" s="278">
        <f t="shared" si="64"/>
        <v>11120.2731</v>
      </c>
      <c r="AF77" s="278">
        <f t="shared" si="41"/>
        <v>0</v>
      </c>
      <c r="AG77" s="278">
        <f t="shared" si="42"/>
        <v>0</v>
      </c>
      <c r="AH77" s="278">
        <f t="shared" si="43"/>
        <v>0</v>
      </c>
      <c r="AI77" s="278">
        <f t="shared" si="44"/>
        <v>0</v>
      </c>
      <c r="AJ77" s="278">
        <f t="shared" si="45"/>
        <v>0</v>
      </c>
      <c r="AK77" s="278">
        <f t="shared" si="46"/>
        <v>0</v>
      </c>
      <c r="AL77" s="278">
        <f t="shared" si="47"/>
        <v>11120.2731</v>
      </c>
    </row>
    <row r="78" spans="1:38" s="16" customFormat="1" ht="24">
      <c r="A78" s="265">
        <v>74</v>
      </c>
      <c r="B78" s="142" t="s">
        <v>332</v>
      </c>
      <c r="C78" s="156" t="s">
        <v>345</v>
      </c>
      <c r="D78" s="268" t="s">
        <v>323</v>
      </c>
      <c r="E78" s="269" t="s">
        <v>105</v>
      </c>
      <c r="F78" s="289">
        <f>F32</f>
        <v>1992878.77</v>
      </c>
      <c r="G78" s="271" t="s">
        <v>280</v>
      </c>
      <c r="H78" s="340">
        <f>'附表2-EF'!G96</f>
        <v>8.3900000000000099E-2</v>
      </c>
      <c r="I78" s="271" t="s">
        <v>281</v>
      </c>
      <c r="J78" s="281">
        <v>1</v>
      </c>
      <c r="K78" s="287"/>
      <c r="L78" s="282"/>
      <c r="M78" s="281"/>
      <c r="N78" s="287"/>
      <c r="O78" s="280"/>
      <c r="P78" s="281"/>
      <c r="Q78" s="283"/>
      <c r="R78" s="284"/>
      <c r="S78" s="285"/>
      <c r="T78" s="286"/>
      <c r="U78" s="287"/>
      <c r="V78" s="280"/>
      <c r="W78" s="288"/>
      <c r="X78" s="280"/>
      <c r="Y78" s="287"/>
      <c r="Z78" s="280"/>
      <c r="AA78" s="281"/>
      <c r="AB78" s="287"/>
      <c r="AC78" s="284"/>
      <c r="AD78" s="281"/>
      <c r="AE78" s="278">
        <f t="shared" si="64"/>
        <v>167202.52880299999</v>
      </c>
      <c r="AF78" s="278">
        <f t="shared" ref="AF78:AF103" si="65">F78*K78*M78</f>
        <v>0</v>
      </c>
      <c r="AG78" s="278">
        <f t="shared" ref="AG78:AG103" si="66">F78*N78*P78</f>
        <v>0</v>
      </c>
      <c r="AH78" s="278">
        <f t="shared" ref="AH78:AH103" si="67">F78*Q78*S78</f>
        <v>0</v>
      </c>
      <c r="AI78" s="278">
        <f t="shared" ref="AI78:AI103" si="68">F78*U78*W78</f>
        <v>0</v>
      </c>
      <c r="AJ78" s="278">
        <f t="shared" ref="AJ78:AJ103" si="69">F78*Y78*AA78</f>
        <v>0</v>
      </c>
      <c r="AK78" s="278">
        <f t="shared" ref="AK78:AK103" si="70">F78*AB78*AD78</f>
        <v>0</v>
      </c>
      <c r="AL78" s="278">
        <f t="shared" ref="AL78:AL103" si="71">SUM(AE78:AK78)</f>
        <v>167202.52880299999</v>
      </c>
    </row>
    <row r="79" spans="1:38" s="16" customFormat="1" ht="14.25">
      <c r="A79" s="265">
        <v>75</v>
      </c>
      <c r="B79" s="142" t="s">
        <v>346</v>
      </c>
      <c r="C79" s="156" t="s">
        <v>347</v>
      </c>
      <c r="D79" s="268" t="s">
        <v>309</v>
      </c>
      <c r="E79" s="269" t="s">
        <v>116</v>
      </c>
      <c r="F79" s="279">
        <v>4937773501.3000002</v>
      </c>
      <c r="G79" s="280" t="s">
        <v>348</v>
      </c>
      <c r="H79" s="340">
        <f>'附表2-EF'!G100</f>
        <v>5.1968558099999999E-5</v>
      </c>
      <c r="I79" s="280" t="str">
        <f>'附表2-EF'!H100</f>
        <v>tCO2-Eq/tkm</v>
      </c>
      <c r="J79" s="281">
        <v>1</v>
      </c>
      <c r="K79" s="287"/>
      <c r="L79" s="282"/>
      <c r="M79" s="281"/>
      <c r="N79" s="287"/>
      <c r="O79" s="280"/>
      <c r="P79" s="281"/>
      <c r="Q79" s="283"/>
      <c r="R79" s="284"/>
      <c r="S79" s="285"/>
      <c r="T79" s="286"/>
      <c r="U79" s="287"/>
      <c r="V79" s="280"/>
      <c r="W79" s="288"/>
      <c r="X79" s="280"/>
      <c r="Y79" s="287"/>
      <c r="Z79" s="280"/>
      <c r="AA79" s="281"/>
      <c r="AB79" s="287"/>
      <c r="AC79" s="284"/>
      <c r="AD79" s="281"/>
      <c r="AE79" s="278">
        <f t="shared" si="64"/>
        <v>256608.96908694899</v>
      </c>
      <c r="AF79" s="278">
        <f t="shared" si="65"/>
        <v>0</v>
      </c>
      <c r="AG79" s="278">
        <f t="shared" si="66"/>
        <v>0</v>
      </c>
      <c r="AH79" s="278">
        <f t="shared" si="67"/>
        <v>0</v>
      </c>
      <c r="AI79" s="278">
        <f t="shared" si="68"/>
        <v>0</v>
      </c>
      <c r="AJ79" s="278">
        <f t="shared" si="69"/>
        <v>0</v>
      </c>
      <c r="AK79" s="278">
        <f t="shared" si="70"/>
        <v>0</v>
      </c>
      <c r="AL79" s="278">
        <f t="shared" si="71"/>
        <v>256608.96908694899</v>
      </c>
    </row>
    <row r="80" spans="1:38" s="16" customFormat="1" ht="14.25">
      <c r="A80" s="265">
        <v>76</v>
      </c>
      <c r="B80" s="142" t="s">
        <v>346</v>
      </c>
      <c r="C80" s="156" t="s">
        <v>349</v>
      </c>
      <c r="D80" s="268" t="s">
        <v>309</v>
      </c>
      <c r="E80" s="269" t="s">
        <v>116</v>
      </c>
      <c r="F80" s="279">
        <v>303695957.77999997</v>
      </c>
      <c r="G80" s="280" t="s">
        <v>348</v>
      </c>
      <c r="H80" s="340">
        <f>'附表2-EF'!G101</f>
        <v>1.5196287830000001E-4</v>
      </c>
      <c r="I80" s="280" t="str">
        <f>'附表2-EF'!H101</f>
        <v>tCO2-Eq/tkm</v>
      </c>
      <c r="J80" s="281">
        <v>1</v>
      </c>
      <c r="K80" s="287"/>
      <c r="L80" s="282"/>
      <c r="M80" s="281"/>
      <c r="N80" s="287"/>
      <c r="O80" s="280"/>
      <c r="P80" s="281"/>
      <c r="Q80" s="283"/>
      <c r="R80" s="284"/>
      <c r="S80" s="285"/>
      <c r="T80" s="286"/>
      <c r="U80" s="287"/>
      <c r="V80" s="280"/>
      <c r="W80" s="288"/>
      <c r="X80" s="280"/>
      <c r="Y80" s="287"/>
      <c r="Z80" s="280"/>
      <c r="AA80" s="281"/>
      <c r="AB80" s="287"/>
      <c r="AC80" s="284"/>
      <c r="AD80" s="281"/>
      <c r="AE80" s="278">
        <f t="shared" si="64"/>
        <v>46150.511872324103</v>
      </c>
      <c r="AF80" s="278">
        <f t="shared" si="65"/>
        <v>0</v>
      </c>
      <c r="AG80" s="278">
        <f t="shared" si="66"/>
        <v>0</v>
      </c>
      <c r="AH80" s="278">
        <f t="shared" si="67"/>
        <v>0</v>
      </c>
      <c r="AI80" s="278">
        <f t="shared" si="68"/>
        <v>0</v>
      </c>
      <c r="AJ80" s="278">
        <f t="shared" si="69"/>
        <v>0</v>
      </c>
      <c r="AK80" s="278">
        <f t="shared" si="70"/>
        <v>0</v>
      </c>
      <c r="AL80" s="278">
        <f t="shared" si="71"/>
        <v>46150.511872324103</v>
      </c>
    </row>
    <row r="81" spans="1:38" s="16" customFormat="1" ht="14.25">
      <c r="A81" s="265">
        <v>77</v>
      </c>
      <c r="B81" s="142" t="s">
        <v>346</v>
      </c>
      <c r="C81" s="156" t="s">
        <v>350</v>
      </c>
      <c r="D81" s="268" t="s">
        <v>309</v>
      </c>
      <c r="E81" s="269" t="s">
        <v>116</v>
      </c>
      <c r="F81" s="279">
        <v>1226509412.23</v>
      </c>
      <c r="G81" s="280" t="s">
        <v>348</v>
      </c>
      <c r="H81" s="340">
        <f>'附表2-EF'!G102</f>
        <v>4.8531850728157997E-5</v>
      </c>
      <c r="I81" s="280" t="str">
        <f>'附表2-EF'!H102</f>
        <v>tCO2-Eq/tkm</v>
      </c>
      <c r="J81" s="281">
        <v>1</v>
      </c>
      <c r="K81" s="287"/>
      <c r="L81" s="282"/>
      <c r="M81" s="281"/>
      <c r="N81" s="287"/>
      <c r="O81" s="280"/>
      <c r="P81" s="281"/>
      <c r="Q81" s="283"/>
      <c r="R81" s="284"/>
      <c r="S81" s="285"/>
      <c r="T81" s="286"/>
      <c r="U81" s="287"/>
      <c r="V81" s="280"/>
      <c r="W81" s="288"/>
      <c r="X81" s="280"/>
      <c r="Y81" s="287"/>
      <c r="Z81" s="280"/>
      <c r="AA81" s="281"/>
      <c r="AB81" s="287"/>
      <c r="AC81" s="284"/>
      <c r="AD81" s="281"/>
      <c r="AE81" s="278">
        <f t="shared" si="64"/>
        <v>59524.771711027199</v>
      </c>
      <c r="AF81" s="278">
        <f t="shared" si="65"/>
        <v>0</v>
      </c>
      <c r="AG81" s="278">
        <f t="shared" si="66"/>
        <v>0</v>
      </c>
      <c r="AH81" s="278">
        <f t="shared" si="67"/>
        <v>0</v>
      </c>
      <c r="AI81" s="278">
        <f t="shared" si="68"/>
        <v>0</v>
      </c>
      <c r="AJ81" s="278">
        <f t="shared" si="69"/>
        <v>0</v>
      </c>
      <c r="AK81" s="278">
        <f t="shared" si="70"/>
        <v>0</v>
      </c>
      <c r="AL81" s="278">
        <f t="shared" si="71"/>
        <v>59524.771711027199</v>
      </c>
    </row>
    <row r="82" spans="1:38" s="16" customFormat="1" ht="14.25">
      <c r="A82" s="265">
        <v>78</v>
      </c>
      <c r="B82" s="142" t="s">
        <v>351</v>
      </c>
      <c r="C82" s="156" t="s">
        <v>352</v>
      </c>
      <c r="D82" s="268" t="s">
        <v>353</v>
      </c>
      <c r="E82" s="269" t="s">
        <v>120</v>
      </c>
      <c r="F82" s="279">
        <f>ROUND(205.51+2404.65,2)</f>
        <v>2610.16</v>
      </c>
      <c r="G82" s="280" t="s">
        <v>222</v>
      </c>
      <c r="H82" s="340">
        <f>'附表2-EF'!G106</f>
        <v>0.37133429739544099</v>
      </c>
      <c r="I82" s="280" t="s">
        <v>223</v>
      </c>
      <c r="J82" s="281">
        <v>1</v>
      </c>
      <c r="K82" s="287"/>
      <c r="L82" s="282"/>
      <c r="M82" s="281"/>
      <c r="N82" s="287"/>
      <c r="O82" s="280"/>
      <c r="P82" s="281"/>
      <c r="Q82" s="283"/>
      <c r="R82" s="284"/>
      <c r="S82" s="285"/>
      <c r="T82" s="286"/>
      <c r="U82" s="287"/>
      <c r="V82" s="280"/>
      <c r="W82" s="288"/>
      <c r="X82" s="280"/>
      <c r="Y82" s="287"/>
      <c r="Z82" s="280"/>
      <c r="AA82" s="281"/>
      <c r="AB82" s="287"/>
      <c r="AC82" s="284"/>
      <c r="AD82" s="281"/>
      <c r="AE82" s="278">
        <f t="shared" si="64"/>
        <v>969.24192968968396</v>
      </c>
      <c r="AF82" s="278">
        <f t="shared" si="65"/>
        <v>0</v>
      </c>
      <c r="AG82" s="278">
        <f t="shared" si="66"/>
        <v>0</v>
      </c>
      <c r="AH82" s="278">
        <f t="shared" si="67"/>
        <v>0</v>
      </c>
      <c r="AI82" s="278">
        <f t="shared" si="68"/>
        <v>0</v>
      </c>
      <c r="AJ82" s="278">
        <f t="shared" si="69"/>
        <v>0</v>
      </c>
      <c r="AK82" s="278">
        <f t="shared" si="70"/>
        <v>0</v>
      </c>
      <c r="AL82" s="278">
        <f t="shared" si="71"/>
        <v>969.24192968968396</v>
      </c>
    </row>
    <row r="83" spans="1:38" s="16" customFormat="1" ht="14.25">
      <c r="A83" s="265">
        <v>79</v>
      </c>
      <c r="B83" s="142" t="s">
        <v>351</v>
      </c>
      <c r="C83" s="156" t="s">
        <v>354</v>
      </c>
      <c r="D83" s="268" t="s">
        <v>309</v>
      </c>
      <c r="E83" s="269" t="s">
        <v>120</v>
      </c>
      <c r="F83" s="279">
        <f>ROUND(36.746,2)</f>
        <v>36.75</v>
      </c>
      <c r="G83" s="280" t="s">
        <v>222</v>
      </c>
      <c r="H83" s="340">
        <f>'附表2-EF'!G107</f>
        <v>2.8490570223227398</v>
      </c>
      <c r="I83" s="280" t="s">
        <v>223</v>
      </c>
      <c r="J83" s="281">
        <v>1</v>
      </c>
      <c r="K83" s="287"/>
      <c r="L83" s="282"/>
      <c r="M83" s="281"/>
      <c r="N83" s="287"/>
      <c r="O83" s="280"/>
      <c r="P83" s="281"/>
      <c r="Q83" s="283"/>
      <c r="R83" s="284"/>
      <c r="S83" s="285"/>
      <c r="T83" s="286"/>
      <c r="U83" s="287"/>
      <c r="V83" s="280"/>
      <c r="W83" s="288"/>
      <c r="X83" s="280"/>
      <c r="Y83" s="287"/>
      <c r="Z83" s="280"/>
      <c r="AA83" s="281"/>
      <c r="AB83" s="287"/>
      <c r="AC83" s="284"/>
      <c r="AD83" s="281"/>
      <c r="AE83" s="278">
        <f t="shared" si="64"/>
        <v>104.70284557036101</v>
      </c>
      <c r="AF83" s="278">
        <f t="shared" si="65"/>
        <v>0</v>
      </c>
      <c r="AG83" s="278">
        <f t="shared" si="66"/>
        <v>0</v>
      </c>
      <c r="AH83" s="278">
        <f t="shared" si="67"/>
        <v>0</v>
      </c>
      <c r="AI83" s="278">
        <f t="shared" si="68"/>
        <v>0</v>
      </c>
      <c r="AJ83" s="278">
        <f t="shared" si="69"/>
        <v>0</v>
      </c>
      <c r="AK83" s="278">
        <f t="shared" si="70"/>
        <v>0</v>
      </c>
      <c r="AL83" s="278">
        <f t="shared" si="71"/>
        <v>104.70284557036101</v>
      </c>
    </row>
    <row r="84" spans="1:38" s="16" customFormat="1" ht="14.25">
      <c r="A84" s="265">
        <v>80</v>
      </c>
      <c r="B84" s="142" t="s">
        <v>351</v>
      </c>
      <c r="C84" s="156" t="s">
        <v>355</v>
      </c>
      <c r="D84" s="268" t="s">
        <v>309</v>
      </c>
      <c r="E84" s="269" t="s">
        <v>120</v>
      </c>
      <c r="F84" s="279">
        <v>229.5</v>
      </c>
      <c r="G84" s="280" t="s">
        <v>222</v>
      </c>
      <c r="H84" s="340">
        <f>'附表2-EF'!G108</f>
        <v>2.8490570223227398</v>
      </c>
      <c r="I84" s="280" t="s">
        <v>223</v>
      </c>
      <c r="J84" s="281">
        <v>1</v>
      </c>
      <c r="K84" s="287"/>
      <c r="L84" s="282"/>
      <c r="M84" s="281"/>
      <c r="N84" s="287"/>
      <c r="O84" s="280"/>
      <c r="P84" s="281"/>
      <c r="Q84" s="283"/>
      <c r="R84" s="284"/>
      <c r="S84" s="285"/>
      <c r="T84" s="286"/>
      <c r="U84" s="287"/>
      <c r="V84" s="280"/>
      <c r="W84" s="288"/>
      <c r="X84" s="280"/>
      <c r="Y84" s="287"/>
      <c r="Z84" s="280"/>
      <c r="AA84" s="281"/>
      <c r="AB84" s="287"/>
      <c r="AC84" s="284"/>
      <c r="AD84" s="281"/>
      <c r="AE84" s="278">
        <f t="shared" si="64"/>
        <v>653.85858662306896</v>
      </c>
      <c r="AF84" s="278">
        <f t="shared" si="65"/>
        <v>0</v>
      </c>
      <c r="AG84" s="278">
        <f t="shared" si="66"/>
        <v>0</v>
      </c>
      <c r="AH84" s="278">
        <f t="shared" si="67"/>
        <v>0</v>
      </c>
      <c r="AI84" s="278">
        <f t="shared" si="68"/>
        <v>0</v>
      </c>
      <c r="AJ84" s="278">
        <f t="shared" si="69"/>
        <v>0</v>
      </c>
      <c r="AK84" s="278">
        <f t="shared" si="70"/>
        <v>0</v>
      </c>
      <c r="AL84" s="278">
        <f t="shared" si="71"/>
        <v>653.85858662306896</v>
      </c>
    </row>
    <row r="85" spans="1:38" s="19" customFormat="1" ht="14.25">
      <c r="A85" s="265">
        <v>81</v>
      </c>
      <c r="B85" s="142" t="s">
        <v>351</v>
      </c>
      <c r="C85" s="291" t="s">
        <v>274</v>
      </c>
      <c r="D85" s="303" t="s">
        <v>309</v>
      </c>
      <c r="E85" s="269" t="s">
        <v>120</v>
      </c>
      <c r="F85" s="270">
        <v>57478.34</v>
      </c>
      <c r="G85" s="271" t="s">
        <v>222</v>
      </c>
      <c r="H85" s="340">
        <f>'附表2-EF'!G109</f>
        <v>2.5237124650269598</v>
      </c>
      <c r="I85" s="271" t="s">
        <v>223</v>
      </c>
      <c r="J85" s="281">
        <v>1</v>
      </c>
      <c r="K85" s="313"/>
      <c r="L85" s="308"/>
      <c r="M85" s="307"/>
      <c r="N85" s="313"/>
      <c r="O85" s="306"/>
      <c r="P85" s="307"/>
      <c r="Q85" s="309"/>
      <c r="R85" s="310"/>
      <c r="S85" s="311"/>
      <c r="T85" s="312"/>
      <c r="U85" s="313"/>
      <c r="V85" s="306"/>
      <c r="W85" s="314"/>
      <c r="X85" s="306"/>
      <c r="Y85" s="313"/>
      <c r="Z85" s="306"/>
      <c r="AA85" s="307"/>
      <c r="AB85" s="313"/>
      <c r="AC85" s="310"/>
      <c r="AD85" s="307"/>
      <c r="AE85" s="278">
        <f t="shared" si="64"/>
        <v>145058.803127058</v>
      </c>
      <c r="AF85" s="278">
        <f t="shared" si="65"/>
        <v>0</v>
      </c>
      <c r="AG85" s="278">
        <f t="shared" si="66"/>
        <v>0</v>
      </c>
      <c r="AH85" s="278">
        <f t="shared" si="67"/>
        <v>0</v>
      </c>
      <c r="AI85" s="278">
        <f t="shared" si="68"/>
        <v>0</v>
      </c>
      <c r="AJ85" s="278">
        <f t="shared" si="69"/>
        <v>0</v>
      </c>
      <c r="AK85" s="278">
        <f t="shared" si="70"/>
        <v>0</v>
      </c>
      <c r="AL85" s="278">
        <f t="shared" si="71"/>
        <v>145058.803127058</v>
      </c>
    </row>
    <row r="86" spans="1:38" s="16" customFormat="1" ht="14.25">
      <c r="A86" s="265">
        <v>82</v>
      </c>
      <c r="B86" s="142" t="s">
        <v>351</v>
      </c>
      <c r="C86" s="156" t="s">
        <v>356</v>
      </c>
      <c r="D86" s="268" t="s">
        <v>309</v>
      </c>
      <c r="E86" s="269" t="s">
        <v>120</v>
      </c>
      <c r="F86" s="279">
        <v>5589690.04</v>
      </c>
      <c r="G86" s="280" t="s">
        <v>348</v>
      </c>
      <c r="H86" s="340">
        <f>'附表2-EF'!G101</f>
        <v>1.5196287830000001E-4</v>
      </c>
      <c r="I86" s="280" t="str">
        <f>'附表2-EF'!H93</f>
        <v>tCO2/t</v>
      </c>
      <c r="J86" s="281">
        <v>1</v>
      </c>
      <c r="K86" s="287"/>
      <c r="L86" s="282"/>
      <c r="M86" s="281"/>
      <c r="N86" s="287"/>
      <c r="O86" s="280"/>
      <c r="P86" s="281"/>
      <c r="Q86" s="283"/>
      <c r="R86" s="284"/>
      <c r="S86" s="285"/>
      <c r="T86" s="286"/>
      <c r="U86" s="287"/>
      <c r="V86" s="280"/>
      <c r="W86" s="288"/>
      <c r="X86" s="280"/>
      <c r="Y86" s="287"/>
      <c r="Z86" s="280"/>
      <c r="AA86" s="281"/>
      <c r="AB86" s="287"/>
      <c r="AC86" s="284"/>
      <c r="AD86" s="281"/>
      <c r="AE86" s="278">
        <f t="shared" si="64"/>
        <v>849.425387283242</v>
      </c>
      <c r="AF86" s="278">
        <f t="shared" si="65"/>
        <v>0</v>
      </c>
      <c r="AG86" s="278">
        <f t="shared" si="66"/>
        <v>0</v>
      </c>
      <c r="AH86" s="278">
        <f t="shared" si="67"/>
        <v>0</v>
      </c>
      <c r="AI86" s="278">
        <f t="shared" si="68"/>
        <v>0</v>
      </c>
      <c r="AJ86" s="278">
        <f t="shared" si="69"/>
        <v>0</v>
      </c>
      <c r="AK86" s="278">
        <f t="shared" si="70"/>
        <v>0</v>
      </c>
      <c r="AL86" s="278">
        <f t="shared" si="71"/>
        <v>849.425387283242</v>
      </c>
    </row>
    <row r="87" spans="1:38" s="16" customFormat="1" ht="14.25">
      <c r="A87" s="265">
        <v>83</v>
      </c>
      <c r="B87" s="142" t="s">
        <v>357</v>
      </c>
      <c r="C87" s="156" t="s">
        <v>358</v>
      </c>
      <c r="D87" s="268" t="s">
        <v>309</v>
      </c>
      <c r="E87" s="269" t="s">
        <v>126</v>
      </c>
      <c r="F87" s="279">
        <f>ROUND(3901916.53046595,2)</f>
        <v>3901916.53</v>
      </c>
      <c r="G87" s="280" t="s">
        <v>359</v>
      </c>
      <c r="H87" s="340">
        <f>'附表2-EF'!G113</f>
        <v>8.4000000000000005E-2</v>
      </c>
      <c r="I87" s="280" t="str">
        <f>'附表2-EF'!H113</f>
        <v>kgCO2/passenger*km</v>
      </c>
      <c r="J87" s="281">
        <v>1</v>
      </c>
      <c r="K87" s="287"/>
      <c r="L87" s="282"/>
      <c r="M87" s="281"/>
      <c r="N87" s="287"/>
      <c r="O87" s="280"/>
      <c r="P87" s="281"/>
      <c r="Q87" s="283"/>
      <c r="R87" s="284"/>
      <c r="S87" s="285"/>
      <c r="T87" s="286"/>
      <c r="U87" s="287"/>
      <c r="V87" s="280"/>
      <c r="W87" s="288"/>
      <c r="X87" s="280"/>
      <c r="Y87" s="287"/>
      <c r="Z87" s="280"/>
      <c r="AA87" s="281"/>
      <c r="AB87" s="287"/>
      <c r="AC87" s="284"/>
      <c r="AD87" s="281"/>
      <c r="AE87" s="278">
        <f t="shared" ref="AE87:AE93" si="72">F87*H87*J87/1000</f>
        <v>327.76098852000001</v>
      </c>
      <c r="AF87" s="278">
        <f t="shared" si="65"/>
        <v>0</v>
      </c>
      <c r="AG87" s="278">
        <f t="shared" si="66"/>
        <v>0</v>
      </c>
      <c r="AH87" s="278">
        <f t="shared" si="67"/>
        <v>0</v>
      </c>
      <c r="AI87" s="278">
        <f t="shared" si="68"/>
        <v>0</v>
      </c>
      <c r="AJ87" s="278">
        <f t="shared" si="69"/>
        <v>0</v>
      </c>
      <c r="AK87" s="278">
        <f t="shared" si="70"/>
        <v>0</v>
      </c>
      <c r="AL87" s="278">
        <f t="shared" si="71"/>
        <v>327.76098852000001</v>
      </c>
    </row>
    <row r="88" spans="1:38" s="16" customFormat="1" ht="14.25">
      <c r="A88" s="265">
        <v>84</v>
      </c>
      <c r="B88" s="142" t="s">
        <v>357</v>
      </c>
      <c r="C88" s="156" t="s">
        <v>350</v>
      </c>
      <c r="D88" s="268" t="s">
        <v>309</v>
      </c>
      <c r="E88" s="269" t="s">
        <v>126</v>
      </c>
      <c r="F88" s="279">
        <f>ROUND(8277796.53044579,2)</f>
        <v>8277796.5300000003</v>
      </c>
      <c r="G88" s="280" t="s">
        <v>359</v>
      </c>
      <c r="H88" s="340">
        <f>'附表2-EF'!G114</f>
        <v>7.4873544302409098E-2</v>
      </c>
      <c r="I88" s="280" t="str">
        <f>'附表2-EF'!H114</f>
        <v>kgCO2/passenger*km</v>
      </c>
      <c r="J88" s="281">
        <v>1</v>
      </c>
      <c r="K88" s="287"/>
      <c r="L88" s="282"/>
      <c r="M88" s="281"/>
      <c r="N88" s="287"/>
      <c r="O88" s="280"/>
      <c r="P88" s="281"/>
      <c r="Q88" s="283"/>
      <c r="R88" s="284"/>
      <c r="S88" s="285"/>
      <c r="T88" s="286"/>
      <c r="U88" s="287"/>
      <c r="V88" s="280"/>
      <c r="W88" s="288"/>
      <c r="X88" s="280"/>
      <c r="Y88" s="287"/>
      <c r="Z88" s="280"/>
      <c r="AA88" s="281"/>
      <c r="AB88" s="287"/>
      <c r="AC88" s="284"/>
      <c r="AD88" s="281"/>
      <c r="AE88" s="278">
        <f t="shared" si="72"/>
        <v>619.78796521528295</v>
      </c>
      <c r="AF88" s="278">
        <f t="shared" si="65"/>
        <v>0</v>
      </c>
      <c r="AG88" s="278">
        <f t="shared" si="66"/>
        <v>0</v>
      </c>
      <c r="AH88" s="278">
        <f t="shared" si="67"/>
        <v>0</v>
      </c>
      <c r="AI88" s="278">
        <f t="shared" si="68"/>
        <v>0</v>
      </c>
      <c r="AJ88" s="278">
        <f t="shared" si="69"/>
        <v>0</v>
      </c>
      <c r="AK88" s="278">
        <f t="shared" si="70"/>
        <v>0</v>
      </c>
      <c r="AL88" s="278">
        <f t="shared" si="71"/>
        <v>619.78796521528295</v>
      </c>
    </row>
    <row r="89" spans="1:38" s="16" customFormat="1" ht="14.25">
      <c r="A89" s="265">
        <v>85</v>
      </c>
      <c r="B89" s="142" t="s">
        <v>357</v>
      </c>
      <c r="C89" s="156" t="s">
        <v>360</v>
      </c>
      <c r="D89" s="268" t="s">
        <v>309</v>
      </c>
      <c r="E89" s="269" t="s">
        <v>126</v>
      </c>
      <c r="F89" s="279">
        <f>ROUND(13507,2)</f>
        <v>13507</v>
      </c>
      <c r="G89" s="280" t="s">
        <v>361</v>
      </c>
      <c r="H89" s="340">
        <f>'附表2-EF'!G115</f>
        <v>5.3499999999999999E-2</v>
      </c>
      <c r="I89" s="280" t="s">
        <v>362</v>
      </c>
      <c r="J89" s="281">
        <v>1</v>
      </c>
      <c r="K89" s="287"/>
      <c r="L89" s="282"/>
      <c r="M89" s="281"/>
      <c r="N89" s="287"/>
      <c r="O89" s="280"/>
      <c r="P89" s="281"/>
      <c r="Q89" s="283"/>
      <c r="R89" s="284"/>
      <c r="S89" s="285"/>
      <c r="T89" s="286"/>
      <c r="U89" s="287"/>
      <c r="V89" s="280"/>
      <c r="W89" s="288"/>
      <c r="X89" s="280"/>
      <c r="Y89" s="287"/>
      <c r="Z89" s="280"/>
      <c r="AA89" s="281"/>
      <c r="AB89" s="287"/>
      <c r="AC89" s="284"/>
      <c r="AD89" s="281"/>
      <c r="AE89" s="278">
        <f>F89*H89*J89</f>
        <v>722.62450000000001</v>
      </c>
      <c r="AF89" s="278">
        <f t="shared" si="65"/>
        <v>0</v>
      </c>
      <c r="AG89" s="278">
        <f t="shared" si="66"/>
        <v>0</v>
      </c>
      <c r="AH89" s="278">
        <f t="shared" si="67"/>
        <v>0</v>
      </c>
      <c r="AI89" s="278">
        <f t="shared" si="68"/>
        <v>0</v>
      </c>
      <c r="AJ89" s="278">
        <f t="shared" si="69"/>
        <v>0</v>
      </c>
      <c r="AK89" s="278">
        <f t="shared" si="70"/>
        <v>0</v>
      </c>
      <c r="AL89" s="278">
        <f t="shared" si="71"/>
        <v>722.62450000000001</v>
      </c>
    </row>
    <row r="90" spans="1:38" s="16" customFormat="1" ht="14.25">
      <c r="A90" s="265">
        <v>86</v>
      </c>
      <c r="B90" s="142" t="s">
        <v>363</v>
      </c>
      <c r="C90" s="156" t="s">
        <v>364</v>
      </c>
      <c r="D90" s="118" t="s">
        <v>309</v>
      </c>
      <c r="E90" s="269" t="s">
        <v>130</v>
      </c>
      <c r="F90" s="289">
        <f>ROUND(12637097,2)</f>
        <v>12637097</v>
      </c>
      <c r="G90" s="280" t="s">
        <v>359</v>
      </c>
      <c r="H90" s="340">
        <f>'附表2-EF'!G119</f>
        <v>8.8000000000000005E-3</v>
      </c>
      <c r="I90" s="280" t="str">
        <f>'附表2-EF'!H119</f>
        <v>kgCO2/passenger*km</v>
      </c>
      <c r="J90" s="281">
        <v>1</v>
      </c>
      <c r="K90" s="287"/>
      <c r="L90" s="282"/>
      <c r="M90" s="281"/>
      <c r="N90" s="287"/>
      <c r="O90" s="280"/>
      <c r="P90" s="281"/>
      <c r="Q90" s="283"/>
      <c r="R90" s="284"/>
      <c r="S90" s="285"/>
      <c r="T90" s="286"/>
      <c r="U90" s="287"/>
      <c r="V90" s="280"/>
      <c r="W90" s="288"/>
      <c r="X90" s="280"/>
      <c r="Y90" s="287"/>
      <c r="Z90" s="280"/>
      <c r="AA90" s="281"/>
      <c r="AB90" s="287"/>
      <c r="AC90" s="284"/>
      <c r="AD90" s="281"/>
      <c r="AE90" s="278">
        <f t="shared" si="72"/>
        <v>111.2064536</v>
      </c>
      <c r="AF90" s="278">
        <f t="shared" si="65"/>
        <v>0</v>
      </c>
      <c r="AG90" s="278">
        <f t="shared" si="66"/>
        <v>0</v>
      </c>
      <c r="AH90" s="278">
        <f t="shared" si="67"/>
        <v>0</v>
      </c>
      <c r="AI90" s="278">
        <f t="shared" si="68"/>
        <v>0</v>
      </c>
      <c r="AJ90" s="278">
        <f t="shared" si="69"/>
        <v>0</v>
      </c>
      <c r="AK90" s="278">
        <f t="shared" si="70"/>
        <v>0</v>
      </c>
      <c r="AL90" s="278">
        <f t="shared" si="71"/>
        <v>111.2064536</v>
      </c>
    </row>
    <row r="91" spans="1:38" s="16" customFormat="1" ht="14.25">
      <c r="A91" s="265">
        <v>87</v>
      </c>
      <c r="B91" s="142" t="s">
        <v>363</v>
      </c>
      <c r="C91" s="156" t="s">
        <v>365</v>
      </c>
      <c r="D91" s="118" t="s">
        <v>309</v>
      </c>
      <c r="E91" s="269" t="s">
        <v>130</v>
      </c>
      <c r="F91" s="279">
        <f>ROUND(17561466,2)</f>
        <v>17561466</v>
      </c>
      <c r="G91" s="280" t="s">
        <v>359</v>
      </c>
      <c r="H91" s="340">
        <f>'附表2-EF'!G120</f>
        <v>2.7020260104150901E-2</v>
      </c>
      <c r="I91" s="280" t="str">
        <f>'附表2-EF'!H120</f>
        <v>kgCO2/passenger*km</v>
      </c>
      <c r="J91" s="281">
        <v>1</v>
      </c>
      <c r="K91" s="287"/>
      <c r="L91" s="282"/>
      <c r="M91" s="281"/>
      <c r="N91" s="287"/>
      <c r="O91" s="280"/>
      <c r="P91" s="281"/>
      <c r="Q91" s="283"/>
      <c r="R91" s="284"/>
      <c r="S91" s="285"/>
      <c r="T91" s="286"/>
      <c r="U91" s="287"/>
      <c r="V91" s="280"/>
      <c r="W91" s="288"/>
      <c r="X91" s="280"/>
      <c r="Y91" s="287"/>
      <c r="Z91" s="280"/>
      <c r="AA91" s="281"/>
      <c r="AB91" s="287"/>
      <c r="AC91" s="284"/>
      <c r="AD91" s="281"/>
      <c r="AE91" s="278">
        <f t="shared" si="72"/>
        <v>474.51537913020297</v>
      </c>
      <c r="AF91" s="278">
        <f t="shared" si="65"/>
        <v>0</v>
      </c>
      <c r="AG91" s="278">
        <f t="shared" si="66"/>
        <v>0</v>
      </c>
      <c r="AH91" s="278">
        <f t="shared" si="67"/>
        <v>0</v>
      </c>
      <c r="AI91" s="278">
        <f t="shared" si="68"/>
        <v>0</v>
      </c>
      <c r="AJ91" s="278">
        <f t="shared" si="69"/>
        <v>0</v>
      </c>
      <c r="AK91" s="278">
        <f t="shared" si="70"/>
        <v>0</v>
      </c>
      <c r="AL91" s="278">
        <f t="shared" si="71"/>
        <v>474.51537913020297</v>
      </c>
    </row>
    <row r="92" spans="1:38" s="16" customFormat="1" ht="14.25">
      <c r="A92" s="265">
        <v>88</v>
      </c>
      <c r="B92" s="142" t="s">
        <v>363</v>
      </c>
      <c r="C92" s="156" t="s">
        <v>366</v>
      </c>
      <c r="D92" s="118" t="s">
        <v>309</v>
      </c>
      <c r="E92" s="269" t="s">
        <v>130</v>
      </c>
      <c r="F92" s="279">
        <f>ROUND(31405120,2)</f>
        <v>31405120</v>
      </c>
      <c r="G92" s="280" t="s">
        <v>367</v>
      </c>
      <c r="H92" s="340">
        <f>'附表2-EF'!G121</f>
        <v>0.37142761569327498</v>
      </c>
      <c r="I92" s="280" t="str">
        <f>'附表2-EF'!H121</f>
        <v>kgCO2/km</v>
      </c>
      <c r="J92" s="281">
        <v>1</v>
      </c>
      <c r="K92" s="287"/>
      <c r="L92" s="282"/>
      <c r="M92" s="281"/>
      <c r="N92" s="287"/>
      <c r="O92" s="280"/>
      <c r="P92" s="281"/>
      <c r="Q92" s="283"/>
      <c r="R92" s="284"/>
      <c r="S92" s="285"/>
      <c r="T92" s="286"/>
      <c r="U92" s="287"/>
      <c r="V92" s="280"/>
      <c r="W92" s="288"/>
      <c r="X92" s="280"/>
      <c r="Y92" s="287"/>
      <c r="Z92" s="280"/>
      <c r="AA92" s="281"/>
      <c r="AB92" s="287"/>
      <c r="AC92" s="284"/>
      <c r="AD92" s="281"/>
      <c r="AE92" s="278">
        <f t="shared" si="72"/>
        <v>11664.728842161199</v>
      </c>
      <c r="AF92" s="278">
        <f t="shared" si="65"/>
        <v>0</v>
      </c>
      <c r="AG92" s="278">
        <f t="shared" si="66"/>
        <v>0</v>
      </c>
      <c r="AH92" s="278">
        <f t="shared" si="67"/>
        <v>0</v>
      </c>
      <c r="AI92" s="278">
        <f t="shared" si="68"/>
        <v>0</v>
      </c>
      <c r="AJ92" s="278">
        <f t="shared" si="69"/>
        <v>0</v>
      </c>
      <c r="AK92" s="278">
        <f t="shared" si="70"/>
        <v>0</v>
      </c>
      <c r="AL92" s="278">
        <f t="shared" si="71"/>
        <v>11664.728842161199</v>
      </c>
    </row>
    <row r="93" spans="1:38" s="16" customFormat="1" ht="14.25">
      <c r="A93" s="265">
        <v>89</v>
      </c>
      <c r="B93" s="142" t="s">
        <v>363</v>
      </c>
      <c r="C93" s="156" t="s">
        <v>368</v>
      </c>
      <c r="D93" s="118" t="s">
        <v>309</v>
      </c>
      <c r="E93" s="269" t="s">
        <v>130</v>
      </c>
      <c r="F93" s="279">
        <f>ROUND(2886500,2)</f>
        <v>2886500</v>
      </c>
      <c r="G93" s="280" t="s">
        <v>367</v>
      </c>
      <c r="H93" s="340">
        <f>'附表2-EF'!G122</f>
        <v>0.37142761569327498</v>
      </c>
      <c r="I93" s="280" t="str">
        <f>'附表2-EF'!H122</f>
        <v>kgCO2/km</v>
      </c>
      <c r="J93" s="281">
        <v>1</v>
      </c>
      <c r="K93" s="287"/>
      <c r="L93" s="282"/>
      <c r="M93" s="281"/>
      <c r="N93" s="287"/>
      <c r="O93" s="280"/>
      <c r="P93" s="281"/>
      <c r="Q93" s="283"/>
      <c r="R93" s="284"/>
      <c r="S93" s="285"/>
      <c r="T93" s="286"/>
      <c r="U93" s="287"/>
      <c r="V93" s="280"/>
      <c r="W93" s="288"/>
      <c r="X93" s="280"/>
      <c r="Y93" s="287"/>
      <c r="Z93" s="280"/>
      <c r="AA93" s="281"/>
      <c r="AB93" s="287"/>
      <c r="AC93" s="284"/>
      <c r="AD93" s="281"/>
      <c r="AE93" s="278">
        <f t="shared" si="72"/>
        <v>1072.1258126986399</v>
      </c>
      <c r="AF93" s="278">
        <f t="shared" si="65"/>
        <v>0</v>
      </c>
      <c r="AG93" s="278">
        <f t="shared" si="66"/>
        <v>0</v>
      </c>
      <c r="AH93" s="278">
        <f t="shared" si="67"/>
        <v>0</v>
      </c>
      <c r="AI93" s="278">
        <f t="shared" si="68"/>
        <v>0</v>
      </c>
      <c r="AJ93" s="278">
        <f t="shared" si="69"/>
        <v>0</v>
      </c>
      <c r="AK93" s="278">
        <f t="shared" si="70"/>
        <v>0</v>
      </c>
      <c r="AL93" s="278">
        <f t="shared" si="71"/>
        <v>1072.1258126986399</v>
      </c>
    </row>
    <row r="94" spans="1:38" s="16" customFormat="1" ht="14.25">
      <c r="A94" s="265">
        <v>90</v>
      </c>
      <c r="B94" s="142" t="s">
        <v>369</v>
      </c>
      <c r="C94" s="156" t="s">
        <v>347</v>
      </c>
      <c r="D94" s="268" t="s">
        <v>309</v>
      </c>
      <c r="E94" s="269" t="s">
        <v>135</v>
      </c>
      <c r="F94" s="279">
        <v>1029048283.74</v>
      </c>
      <c r="G94" s="280" t="s">
        <v>348</v>
      </c>
      <c r="H94" s="340">
        <f>'附表2-EF'!G100</f>
        <v>5.1968558099999999E-5</v>
      </c>
      <c r="I94" s="280" t="str">
        <f>'附表2-EF'!H100</f>
        <v>tCO2-Eq/tkm</v>
      </c>
      <c r="J94" s="281">
        <v>1</v>
      </c>
      <c r="K94" s="287"/>
      <c r="L94" s="282"/>
      <c r="M94" s="281"/>
      <c r="N94" s="287"/>
      <c r="O94" s="280"/>
      <c r="P94" s="281"/>
      <c r="Q94" s="283"/>
      <c r="R94" s="284"/>
      <c r="S94" s="285"/>
      <c r="T94" s="286"/>
      <c r="U94" s="287"/>
      <c r="V94" s="280"/>
      <c r="W94" s="288"/>
      <c r="X94" s="280"/>
      <c r="Y94" s="287"/>
      <c r="Z94" s="280"/>
      <c r="AA94" s="281"/>
      <c r="AB94" s="287"/>
      <c r="AC94" s="284"/>
      <c r="AD94" s="281"/>
      <c r="AE94" s="278">
        <f t="shared" ref="AE94:AE103" si="73">F94*H94*J94</f>
        <v>53478.1555212475</v>
      </c>
      <c r="AF94" s="278">
        <f t="shared" si="65"/>
        <v>0</v>
      </c>
      <c r="AG94" s="278">
        <f t="shared" si="66"/>
        <v>0</v>
      </c>
      <c r="AH94" s="278">
        <f t="shared" si="67"/>
        <v>0</v>
      </c>
      <c r="AI94" s="278">
        <f t="shared" si="68"/>
        <v>0</v>
      </c>
      <c r="AJ94" s="278">
        <f t="shared" si="69"/>
        <v>0</v>
      </c>
      <c r="AK94" s="278">
        <f t="shared" si="70"/>
        <v>0</v>
      </c>
      <c r="AL94" s="278">
        <f t="shared" si="71"/>
        <v>53478.1555212475</v>
      </c>
    </row>
    <row r="95" spans="1:38" s="16" customFormat="1" ht="14.25">
      <c r="A95" s="265">
        <v>91</v>
      </c>
      <c r="B95" s="142" t="s">
        <v>369</v>
      </c>
      <c r="C95" s="156" t="s">
        <v>349</v>
      </c>
      <c r="D95" s="268" t="s">
        <v>309</v>
      </c>
      <c r="E95" s="269" t="s">
        <v>135</v>
      </c>
      <c r="F95" s="279">
        <v>1369080976.6600001</v>
      </c>
      <c r="G95" s="280" t="s">
        <v>348</v>
      </c>
      <c r="H95" s="340">
        <f>'附表2-EF'!G101</f>
        <v>1.5196287830000001E-4</v>
      </c>
      <c r="I95" s="280" t="str">
        <f>'附表2-EF'!H101</f>
        <v>tCO2-Eq/tkm</v>
      </c>
      <c r="J95" s="281">
        <v>1</v>
      </c>
      <c r="K95" s="287"/>
      <c r="L95" s="282"/>
      <c r="M95" s="281"/>
      <c r="N95" s="287"/>
      <c r="O95" s="280"/>
      <c r="P95" s="281"/>
      <c r="Q95" s="283"/>
      <c r="R95" s="284"/>
      <c r="S95" s="285"/>
      <c r="T95" s="286"/>
      <c r="U95" s="287"/>
      <c r="V95" s="280"/>
      <c r="W95" s="288"/>
      <c r="X95" s="280"/>
      <c r="Y95" s="287"/>
      <c r="Z95" s="280"/>
      <c r="AA95" s="281"/>
      <c r="AB95" s="287"/>
      <c r="AC95" s="284"/>
      <c r="AD95" s="281"/>
      <c r="AE95" s="278">
        <f t="shared" si="73"/>
        <v>208049.48583902899</v>
      </c>
      <c r="AF95" s="278">
        <f t="shared" si="65"/>
        <v>0</v>
      </c>
      <c r="AG95" s="278">
        <f t="shared" si="66"/>
        <v>0</v>
      </c>
      <c r="AH95" s="278">
        <f t="shared" si="67"/>
        <v>0</v>
      </c>
      <c r="AI95" s="278">
        <f t="shared" si="68"/>
        <v>0</v>
      </c>
      <c r="AJ95" s="278">
        <f t="shared" si="69"/>
        <v>0</v>
      </c>
      <c r="AK95" s="278">
        <f t="shared" si="70"/>
        <v>0</v>
      </c>
      <c r="AL95" s="278">
        <f t="shared" si="71"/>
        <v>208049.48583902899</v>
      </c>
    </row>
    <row r="96" spans="1:38" s="16" customFormat="1" ht="14.25">
      <c r="A96" s="265">
        <v>92</v>
      </c>
      <c r="B96" s="142" t="s">
        <v>369</v>
      </c>
      <c r="C96" s="156" t="s">
        <v>350</v>
      </c>
      <c r="D96" s="268" t="s">
        <v>309</v>
      </c>
      <c r="E96" s="269" t="s">
        <v>135</v>
      </c>
      <c r="F96" s="279">
        <v>228437028.19</v>
      </c>
      <c r="G96" s="280" t="s">
        <v>348</v>
      </c>
      <c r="H96" s="340">
        <f>'附表2-EF'!G102</f>
        <v>4.8531850728157997E-5</v>
      </c>
      <c r="I96" s="280" t="str">
        <f>'附表2-EF'!H102</f>
        <v>tCO2-Eq/tkm</v>
      </c>
      <c r="J96" s="281">
        <v>1</v>
      </c>
      <c r="K96" s="287"/>
      <c r="L96" s="282"/>
      <c r="M96" s="281"/>
      <c r="N96" s="287"/>
      <c r="O96" s="280"/>
      <c r="P96" s="281"/>
      <c r="Q96" s="283"/>
      <c r="R96" s="284"/>
      <c r="S96" s="285"/>
      <c r="T96" s="286"/>
      <c r="U96" s="287"/>
      <c r="V96" s="280"/>
      <c r="W96" s="288"/>
      <c r="X96" s="280"/>
      <c r="Y96" s="287"/>
      <c r="Z96" s="280"/>
      <c r="AA96" s="281"/>
      <c r="AB96" s="287"/>
      <c r="AC96" s="284"/>
      <c r="AD96" s="281"/>
      <c r="AE96" s="278">
        <f t="shared" si="73"/>
        <v>11086.4717529011</v>
      </c>
      <c r="AF96" s="278">
        <f t="shared" si="65"/>
        <v>0</v>
      </c>
      <c r="AG96" s="278">
        <f t="shared" si="66"/>
        <v>0</v>
      </c>
      <c r="AH96" s="278">
        <f t="shared" si="67"/>
        <v>0</v>
      </c>
      <c r="AI96" s="278">
        <f t="shared" si="68"/>
        <v>0</v>
      </c>
      <c r="AJ96" s="278">
        <f t="shared" si="69"/>
        <v>0</v>
      </c>
      <c r="AK96" s="278">
        <f t="shared" si="70"/>
        <v>0</v>
      </c>
      <c r="AL96" s="278">
        <f t="shared" si="71"/>
        <v>11086.4717529011</v>
      </c>
    </row>
    <row r="97" spans="1:38" s="16" customFormat="1" ht="14.25">
      <c r="A97" s="265">
        <v>93</v>
      </c>
      <c r="B97" s="142" t="s">
        <v>369</v>
      </c>
      <c r="C97" s="156" t="s">
        <v>370</v>
      </c>
      <c r="D97" s="268" t="s">
        <v>309</v>
      </c>
      <c r="E97" s="269" t="s">
        <v>135</v>
      </c>
      <c r="F97" s="279">
        <f>ROUND(12973524,2)</f>
        <v>12973524</v>
      </c>
      <c r="G97" s="280" t="s">
        <v>348</v>
      </c>
      <c r="H97" s="340">
        <f>'附表2-EF'!G101</f>
        <v>1.5196287830000001E-4</v>
      </c>
      <c r="I97" s="280" t="str">
        <f>'附表2-EF'!H101</f>
        <v>tCO2-Eq/tkm</v>
      </c>
      <c r="J97" s="281">
        <v>1</v>
      </c>
      <c r="K97" s="287"/>
      <c r="L97" s="282"/>
      <c r="M97" s="281"/>
      <c r="N97" s="287"/>
      <c r="O97" s="280"/>
      <c r="P97" s="281"/>
      <c r="Q97" s="283"/>
      <c r="R97" s="284"/>
      <c r="S97" s="285"/>
      <c r="T97" s="286"/>
      <c r="U97" s="287"/>
      <c r="V97" s="280"/>
      <c r="W97" s="288"/>
      <c r="X97" s="280"/>
      <c r="Y97" s="287"/>
      <c r="Z97" s="280"/>
      <c r="AA97" s="281"/>
      <c r="AB97" s="287"/>
      <c r="AC97" s="284"/>
      <c r="AD97" s="281"/>
      <c r="AE97" s="278">
        <f t="shared" si="73"/>
        <v>1971.49404873413</v>
      </c>
      <c r="AF97" s="278">
        <f t="shared" si="65"/>
        <v>0</v>
      </c>
      <c r="AG97" s="278">
        <f t="shared" si="66"/>
        <v>0</v>
      </c>
      <c r="AH97" s="278">
        <f t="shared" si="67"/>
        <v>0</v>
      </c>
      <c r="AI97" s="278">
        <f t="shared" si="68"/>
        <v>0</v>
      </c>
      <c r="AJ97" s="278">
        <f t="shared" si="69"/>
        <v>0</v>
      </c>
      <c r="AK97" s="278">
        <f t="shared" si="70"/>
        <v>0</v>
      </c>
      <c r="AL97" s="278">
        <f t="shared" si="71"/>
        <v>1971.49404873413</v>
      </c>
    </row>
    <row r="98" spans="1:38" s="16" customFormat="1" ht="14.25">
      <c r="A98" s="265">
        <v>94</v>
      </c>
      <c r="B98" s="142" t="s">
        <v>371</v>
      </c>
      <c r="C98" s="156" t="s">
        <v>372</v>
      </c>
      <c r="D98" s="268" t="s">
        <v>373</v>
      </c>
      <c r="E98" s="269" t="s">
        <v>140</v>
      </c>
      <c r="F98" s="279">
        <f>ROUND(149966,2)</f>
        <v>149966</v>
      </c>
      <c r="G98" s="280" t="s">
        <v>222</v>
      </c>
      <c r="H98" s="340">
        <f>'附表2-EF'!F126</f>
        <v>0.75534228705514606</v>
      </c>
      <c r="I98" s="280" t="str">
        <f>'附表2-EF'!G126</f>
        <v>kgCO2/kg</v>
      </c>
      <c r="J98" s="281">
        <v>1</v>
      </c>
      <c r="K98" s="287"/>
      <c r="L98" s="282"/>
      <c r="M98" s="281"/>
      <c r="N98" s="287"/>
      <c r="O98" s="280"/>
      <c r="P98" s="281"/>
      <c r="Q98" s="283"/>
      <c r="R98" s="284"/>
      <c r="S98" s="285"/>
      <c r="T98" s="286"/>
      <c r="U98" s="287"/>
      <c r="V98" s="280"/>
      <c r="W98" s="288"/>
      <c r="X98" s="280"/>
      <c r="Y98" s="287"/>
      <c r="Z98" s="280"/>
      <c r="AA98" s="281"/>
      <c r="AB98" s="287"/>
      <c r="AC98" s="284"/>
      <c r="AD98" s="281"/>
      <c r="AE98" s="278">
        <f t="shared" si="73"/>
        <v>113275.661420512</v>
      </c>
      <c r="AF98" s="278">
        <f t="shared" si="65"/>
        <v>0</v>
      </c>
      <c r="AG98" s="278">
        <f t="shared" si="66"/>
        <v>0</v>
      </c>
      <c r="AH98" s="278">
        <f t="shared" si="67"/>
        <v>0</v>
      </c>
      <c r="AI98" s="278">
        <f t="shared" si="68"/>
        <v>0</v>
      </c>
      <c r="AJ98" s="278">
        <f t="shared" si="69"/>
        <v>0</v>
      </c>
      <c r="AK98" s="278">
        <f t="shared" si="70"/>
        <v>0</v>
      </c>
      <c r="AL98" s="278">
        <f t="shared" si="71"/>
        <v>113275.661420512</v>
      </c>
    </row>
    <row r="99" spans="1:38" s="16" customFormat="1" ht="14.25">
      <c r="A99" s="265">
        <v>95</v>
      </c>
      <c r="B99" s="142" t="s">
        <v>371</v>
      </c>
      <c r="C99" s="156" t="s">
        <v>374</v>
      </c>
      <c r="D99" s="268" t="s">
        <v>373</v>
      </c>
      <c r="E99" s="269" t="s">
        <v>140</v>
      </c>
      <c r="F99" s="279">
        <f>ROUND(2033971,2)</f>
        <v>2033971</v>
      </c>
      <c r="G99" s="280" t="s">
        <v>222</v>
      </c>
      <c r="H99" s="340">
        <f>'附表2-EF'!F127</f>
        <v>0.66726380218099701</v>
      </c>
      <c r="I99" s="280" t="str">
        <f>'附表2-EF'!G127</f>
        <v>kgCO2/kg</v>
      </c>
      <c r="J99" s="281">
        <v>1</v>
      </c>
      <c r="K99" s="287"/>
      <c r="L99" s="282"/>
      <c r="M99" s="281"/>
      <c r="N99" s="287"/>
      <c r="O99" s="280"/>
      <c r="P99" s="281"/>
      <c r="Q99" s="283"/>
      <c r="R99" s="284"/>
      <c r="S99" s="285"/>
      <c r="T99" s="286"/>
      <c r="U99" s="287"/>
      <c r="V99" s="280"/>
      <c r="W99" s="288"/>
      <c r="X99" s="280"/>
      <c r="Y99" s="287"/>
      <c r="Z99" s="280"/>
      <c r="AA99" s="281"/>
      <c r="AB99" s="287"/>
      <c r="AC99" s="284"/>
      <c r="AD99" s="281"/>
      <c r="AE99" s="278">
        <f t="shared" si="73"/>
        <v>1357195.22298588</v>
      </c>
      <c r="AF99" s="278">
        <f t="shared" si="65"/>
        <v>0</v>
      </c>
      <c r="AG99" s="278">
        <f t="shared" si="66"/>
        <v>0</v>
      </c>
      <c r="AH99" s="278">
        <f t="shared" si="67"/>
        <v>0</v>
      </c>
      <c r="AI99" s="278">
        <f t="shared" si="68"/>
        <v>0</v>
      </c>
      <c r="AJ99" s="278">
        <f t="shared" si="69"/>
        <v>0</v>
      </c>
      <c r="AK99" s="278">
        <f t="shared" si="70"/>
        <v>0</v>
      </c>
      <c r="AL99" s="278">
        <f t="shared" si="71"/>
        <v>1357195.22298588</v>
      </c>
    </row>
    <row r="100" spans="1:38" s="16" customFormat="1" ht="14.25">
      <c r="A100" s="265">
        <v>96</v>
      </c>
      <c r="B100" s="142" t="s">
        <v>371</v>
      </c>
      <c r="C100" s="156" t="s">
        <v>375</v>
      </c>
      <c r="D100" s="268" t="s">
        <v>373</v>
      </c>
      <c r="E100" s="269" t="s">
        <v>140</v>
      </c>
      <c r="F100" s="279">
        <f>ROUND(760435.743,2)</f>
        <v>760435.74</v>
      </c>
      <c r="G100" s="280" t="s">
        <v>222</v>
      </c>
      <c r="H100" s="340">
        <f>'附表2-EF'!F128</f>
        <v>9.5011763449958195E-2</v>
      </c>
      <c r="I100" s="280" t="str">
        <f>'附表2-EF'!G128</f>
        <v>kgCO2/kg</v>
      </c>
      <c r="J100" s="281">
        <v>1</v>
      </c>
      <c r="K100" s="287"/>
      <c r="L100" s="282"/>
      <c r="M100" s="281"/>
      <c r="N100" s="287"/>
      <c r="O100" s="280"/>
      <c r="P100" s="281"/>
      <c r="Q100" s="283"/>
      <c r="R100" s="284"/>
      <c r="S100" s="285"/>
      <c r="T100" s="286"/>
      <c r="U100" s="287"/>
      <c r="V100" s="280"/>
      <c r="W100" s="288"/>
      <c r="X100" s="280"/>
      <c r="Y100" s="287"/>
      <c r="Z100" s="280"/>
      <c r="AA100" s="281"/>
      <c r="AB100" s="287"/>
      <c r="AC100" s="284"/>
      <c r="AD100" s="281"/>
      <c r="AE100" s="278">
        <f t="shared" si="73"/>
        <v>72250.340647773904</v>
      </c>
      <c r="AF100" s="278">
        <f t="shared" si="65"/>
        <v>0</v>
      </c>
      <c r="AG100" s="278">
        <f t="shared" si="66"/>
        <v>0</v>
      </c>
      <c r="AH100" s="278">
        <f t="shared" si="67"/>
        <v>0</v>
      </c>
      <c r="AI100" s="278">
        <f t="shared" si="68"/>
        <v>0</v>
      </c>
      <c r="AJ100" s="278">
        <f t="shared" si="69"/>
        <v>0</v>
      </c>
      <c r="AK100" s="278">
        <f t="shared" si="70"/>
        <v>0</v>
      </c>
      <c r="AL100" s="278">
        <f t="shared" si="71"/>
        <v>72250.340647773904</v>
      </c>
    </row>
    <row r="101" spans="1:38" s="16" customFormat="1" ht="14.25">
      <c r="A101" s="265">
        <v>97</v>
      </c>
      <c r="B101" s="142" t="s">
        <v>371</v>
      </c>
      <c r="C101" s="156" t="s">
        <v>376</v>
      </c>
      <c r="D101" s="268" t="s">
        <v>373</v>
      </c>
      <c r="E101" s="269" t="s">
        <v>140</v>
      </c>
      <c r="F101" s="279">
        <f>ROUND(702589.8685,2)</f>
        <v>702589.87</v>
      </c>
      <c r="G101" s="280" t="s">
        <v>222</v>
      </c>
      <c r="H101" s="340">
        <f>'附表2-EF'!F129</f>
        <v>0.29021018284161199</v>
      </c>
      <c r="I101" s="280" t="str">
        <f>'附表2-EF'!G128</f>
        <v>kgCO2/kg</v>
      </c>
      <c r="J101" s="281">
        <v>1</v>
      </c>
      <c r="K101" s="287"/>
      <c r="L101" s="282"/>
      <c r="M101" s="281"/>
      <c r="N101" s="287"/>
      <c r="O101" s="280"/>
      <c r="P101" s="281"/>
      <c r="Q101" s="283"/>
      <c r="R101" s="284"/>
      <c r="S101" s="285"/>
      <c r="T101" s="286"/>
      <c r="U101" s="287"/>
      <c r="V101" s="280"/>
      <c r="W101" s="288"/>
      <c r="X101" s="280"/>
      <c r="Y101" s="287"/>
      <c r="Z101" s="280"/>
      <c r="AA101" s="281"/>
      <c r="AB101" s="287"/>
      <c r="AC101" s="284"/>
      <c r="AD101" s="281"/>
      <c r="AE101" s="278">
        <f t="shared" si="73"/>
        <v>203898.734635364</v>
      </c>
      <c r="AF101" s="278">
        <f t="shared" si="65"/>
        <v>0</v>
      </c>
      <c r="AG101" s="278">
        <f t="shared" si="66"/>
        <v>0</v>
      </c>
      <c r="AH101" s="278">
        <f t="shared" si="67"/>
        <v>0</v>
      </c>
      <c r="AI101" s="278">
        <f t="shared" si="68"/>
        <v>0</v>
      </c>
      <c r="AJ101" s="278">
        <f t="shared" si="69"/>
        <v>0</v>
      </c>
      <c r="AK101" s="278">
        <f t="shared" si="70"/>
        <v>0</v>
      </c>
      <c r="AL101" s="278">
        <f t="shared" si="71"/>
        <v>203898.734635364</v>
      </c>
    </row>
    <row r="102" spans="1:38" s="16" customFormat="1" ht="14.25">
      <c r="A102" s="265">
        <v>98</v>
      </c>
      <c r="B102" s="142" t="s">
        <v>377</v>
      </c>
      <c r="C102" s="343" t="s">
        <v>378</v>
      </c>
      <c r="D102" s="268" t="s">
        <v>373</v>
      </c>
      <c r="E102" s="269" t="s">
        <v>379</v>
      </c>
      <c r="F102" s="279">
        <f>ROUND(500.973085,2)</f>
        <v>500.97</v>
      </c>
      <c r="G102" s="271" t="s">
        <v>218</v>
      </c>
      <c r="H102" s="340">
        <f>'附表2-EF'!L11</f>
        <v>7.6419264240000002</v>
      </c>
      <c r="I102" s="280" t="s">
        <v>219</v>
      </c>
      <c r="J102" s="281">
        <v>1</v>
      </c>
      <c r="K102" s="287">
        <f>'附表2-EF'!M11</f>
        <v>1.7211546000000001E-4</v>
      </c>
      <c r="L102" s="282"/>
      <c r="M102" s="281">
        <f>'附表1-GWP TABLE'!E4</f>
        <v>27.9</v>
      </c>
      <c r="N102" s="287">
        <f>'附表2-EF'!N11</f>
        <v>1.7211545999999999E-5</v>
      </c>
      <c r="O102" s="280"/>
      <c r="P102" s="281">
        <f>'附表1-GWP TABLE'!E5</f>
        <v>273</v>
      </c>
      <c r="Q102" s="283"/>
      <c r="R102" s="284"/>
      <c r="S102" s="285"/>
      <c r="T102" s="286"/>
      <c r="U102" s="287"/>
      <c r="V102" s="280"/>
      <c r="W102" s="288"/>
      <c r="X102" s="280"/>
      <c r="Y102" s="287"/>
      <c r="Z102" s="280"/>
      <c r="AA102" s="281"/>
      <c r="AB102" s="287"/>
      <c r="AC102" s="284"/>
      <c r="AD102" s="281"/>
      <c r="AE102" s="278">
        <f t="shared" ref="AE102" si="74">F102*H102*J102</f>
        <v>3828.3758806312799</v>
      </c>
      <c r="AF102" s="278">
        <f t="shared" ref="AF102" si="75">F102*K102*M102</f>
        <v>2.4056686276939798</v>
      </c>
      <c r="AG102" s="278">
        <f t="shared" ref="AG102" si="76">F102*N102*P102</f>
        <v>2.3539338184962602</v>
      </c>
      <c r="AH102" s="278">
        <f t="shared" ref="AH102" si="77">F102*Q102*S102</f>
        <v>0</v>
      </c>
      <c r="AI102" s="278">
        <f t="shared" ref="AI102" si="78">F102*U102*W102</f>
        <v>0</v>
      </c>
      <c r="AJ102" s="278">
        <f t="shared" ref="AJ102" si="79">F102*Y102*AA102</f>
        <v>0</v>
      </c>
      <c r="AK102" s="278">
        <f t="shared" ref="AK102" si="80">F102*AB102*AD102</f>
        <v>0</v>
      </c>
      <c r="AL102" s="278">
        <f t="shared" ref="AL102" si="81">SUM(AE102:AK102)</f>
        <v>3833.1354830774699</v>
      </c>
    </row>
    <row r="103" spans="1:38" s="16" customFormat="1" ht="14.25">
      <c r="A103" s="265">
        <v>99</v>
      </c>
      <c r="B103" s="142" t="s">
        <v>380</v>
      </c>
      <c r="C103" s="156" t="s">
        <v>381</v>
      </c>
      <c r="D103" s="268" t="s">
        <v>373</v>
      </c>
      <c r="E103" s="269" t="s">
        <v>145</v>
      </c>
      <c r="F103" s="279">
        <f>ROUND(SUM(F98:F101)*(2.56-2.14)/2.56,2)</f>
        <v>598329.80000000005</v>
      </c>
      <c r="G103" s="280" t="s">
        <v>222</v>
      </c>
      <c r="H103" s="340">
        <f>'附表2-EF'!G138</f>
        <v>6.2630124048458496E-3</v>
      </c>
      <c r="I103" s="280" t="str">
        <f>'附表2-EF'!H138</f>
        <v>kgCO2/kg</v>
      </c>
      <c r="J103" s="281">
        <v>1</v>
      </c>
      <c r="K103" s="287"/>
      <c r="L103" s="282"/>
      <c r="M103" s="281"/>
      <c r="N103" s="287"/>
      <c r="O103" s="280"/>
      <c r="P103" s="281"/>
      <c r="Q103" s="283"/>
      <c r="R103" s="284"/>
      <c r="S103" s="285"/>
      <c r="T103" s="286"/>
      <c r="U103" s="287"/>
      <c r="V103" s="280"/>
      <c r="W103" s="288"/>
      <c r="X103" s="280"/>
      <c r="Y103" s="287"/>
      <c r="Z103" s="280"/>
      <c r="AA103" s="281"/>
      <c r="AB103" s="287"/>
      <c r="AC103" s="284"/>
      <c r="AD103" s="281"/>
      <c r="AE103" s="344">
        <f t="shared" si="73"/>
        <v>3747.3469595889401</v>
      </c>
      <c r="AF103" s="344">
        <f t="shared" si="65"/>
        <v>0</v>
      </c>
      <c r="AG103" s="344">
        <f t="shared" si="66"/>
        <v>0</v>
      </c>
      <c r="AH103" s="344">
        <f t="shared" si="67"/>
        <v>0</v>
      </c>
      <c r="AI103" s="344">
        <f t="shared" si="68"/>
        <v>0</v>
      </c>
      <c r="AJ103" s="344">
        <f t="shared" si="69"/>
        <v>0</v>
      </c>
      <c r="AK103" s="344">
        <f t="shared" si="70"/>
        <v>0</v>
      </c>
      <c r="AL103" s="344">
        <f t="shared" si="71"/>
        <v>3747.3469595889401</v>
      </c>
    </row>
    <row r="104" spans="1:38" s="20" customFormat="1" ht="14.65" customHeight="1">
      <c r="A104" s="629" t="s">
        <v>382</v>
      </c>
      <c r="B104" s="638" t="s">
        <v>383</v>
      </c>
      <c r="C104" s="638"/>
      <c r="D104" s="638"/>
      <c r="E104" s="345" t="s">
        <v>384</v>
      </c>
      <c r="F104" s="346"/>
      <c r="G104" s="347"/>
      <c r="H104" s="348"/>
      <c r="I104" s="347"/>
      <c r="J104" s="349"/>
      <c r="K104" s="350"/>
      <c r="L104" s="347"/>
      <c r="M104" s="349"/>
      <c r="N104" s="350"/>
      <c r="O104" s="347"/>
      <c r="P104" s="349"/>
      <c r="Q104" s="350"/>
      <c r="R104" s="347"/>
      <c r="S104" s="58"/>
      <c r="T104" s="347"/>
      <c r="U104" s="350"/>
      <c r="V104" s="347"/>
      <c r="W104" s="58"/>
      <c r="X104" s="347"/>
      <c r="Y104" s="350"/>
      <c r="Z104" s="347"/>
      <c r="AA104" s="349"/>
      <c r="AB104" s="350"/>
      <c r="AC104" s="639" t="s">
        <v>385</v>
      </c>
      <c r="AD104" s="640"/>
      <c r="AE104" s="351">
        <f>SUM(AE5:AE32,AE34:AE103)</f>
        <v>15487862.0789469</v>
      </c>
      <c r="AF104" s="351">
        <f t="shared" ref="AF104:AL104" si="82">SUM(AF5:AF32,AF34:AF103)</f>
        <v>2572.0892034866602</v>
      </c>
      <c r="AG104" s="351">
        <f t="shared" si="82"/>
        <v>30424.969256205499</v>
      </c>
      <c r="AH104" s="351">
        <f t="shared" si="82"/>
        <v>717.03</v>
      </c>
      <c r="AI104" s="351">
        <f t="shared" si="82"/>
        <v>0</v>
      </c>
      <c r="AJ104" s="351">
        <f t="shared" si="82"/>
        <v>2459.16</v>
      </c>
      <c r="AK104" s="351">
        <f t="shared" si="82"/>
        <v>0</v>
      </c>
      <c r="AL104" s="351">
        <f t="shared" si="82"/>
        <v>15524035.3274066</v>
      </c>
    </row>
    <row r="105" spans="1:38" s="20" customFormat="1" ht="15.4" customHeight="1">
      <c r="A105" s="629"/>
      <c r="B105" s="638" t="s">
        <v>386</v>
      </c>
      <c r="C105" s="638"/>
      <c r="D105" s="638"/>
      <c r="E105" s="352" t="s">
        <v>384</v>
      </c>
      <c r="F105" s="346"/>
      <c r="G105" s="347"/>
      <c r="H105" s="348"/>
      <c r="I105" s="347"/>
      <c r="J105" s="349"/>
      <c r="K105" s="350"/>
      <c r="L105" s="347"/>
      <c r="M105" s="349"/>
      <c r="N105" s="350"/>
      <c r="O105" s="347"/>
      <c r="P105" s="349"/>
      <c r="Q105" s="350"/>
      <c r="R105" s="347"/>
      <c r="S105" s="58"/>
      <c r="T105" s="347"/>
      <c r="U105" s="350"/>
      <c r="V105" s="347"/>
      <c r="W105" s="58"/>
      <c r="X105" s="347"/>
      <c r="Y105" s="350"/>
      <c r="Z105" s="347"/>
      <c r="AA105" s="349"/>
      <c r="AB105" s="350"/>
      <c r="AC105" s="639" t="s">
        <v>387</v>
      </c>
      <c r="AD105" s="640"/>
      <c r="AE105" s="351">
        <f>SUM(AE5:AE31,AE33:AE103)</f>
        <v>15580383.6633169</v>
      </c>
      <c r="AF105" s="351">
        <f t="shared" ref="AF105:AL105" si="83">SUM(AF5:AF31,AF33:AF103)</f>
        <v>2572.0892034866602</v>
      </c>
      <c r="AG105" s="351">
        <f t="shared" si="83"/>
        <v>30424.969256205499</v>
      </c>
      <c r="AH105" s="351">
        <f t="shared" si="83"/>
        <v>717.03</v>
      </c>
      <c r="AI105" s="351">
        <f t="shared" si="83"/>
        <v>0</v>
      </c>
      <c r="AJ105" s="351">
        <f t="shared" si="83"/>
        <v>2459.16</v>
      </c>
      <c r="AK105" s="351">
        <f t="shared" si="83"/>
        <v>0</v>
      </c>
      <c r="AL105" s="351">
        <f t="shared" si="83"/>
        <v>15616556.9117766</v>
      </c>
    </row>
    <row r="106" spans="1:38" s="20" customFormat="1" ht="14.25">
      <c r="A106" s="349"/>
      <c r="B106" s="353"/>
      <c r="C106" s="166"/>
      <c r="D106" s="354"/>
      <c r="E106" s="354"/>
      <c r="F106" s="346"/>
      <c r="G106" s="347"/>
      <c r="H106" s="348"/>
      <c r="I106" s="347"/>
      <c r="J106" s="349"/>
      <c r="K106" s="350"/>
      <c r="L106" s="347"/>
      <c r="M106" s="349"/>
      <c r="N106" s="350"/>
      <c r="O106" s="347"/>
      <c r="P106" s="349"/>
      <c r="Q106" s="350"/>
      <c r="R106" s="347"/>
      <c r="S106" s="58"/>
      <c r="T106" s="347"/>
      <c r="U106" s="350"/>
      <c r="V106" s="347"/>
      <c r="W106" s="58"/>
      <c r="X106" s="347"/>
      <c r="Y106" s="350"/>
      <c r="Z106" s="347"/>
      <c r="AA106" s="349"/>
      <c r="AB106" s="350"/>
      <c r="AC106" s="355"/>
      <c r="AD106" s="349"/>
      <c r="AE106" s="356"/>
      <c r="AF106" s="357"/>
      <c r="AG106" s="357"/>
      <c r="AH106" s="357"/>
      <c r="AI106" s="357"/>
      <c r="AJ106" s="357"/>
      <c r="AK106" s="357"/>
      <c r="AL106" s="357"/>
    </row>
    <row r="107" spans="1:38" s="20" customFormat="1" ht="14.25">
      <c r="A107" s="349"/>
      <c r="B107" s="353"/>
      <c r="C107" s="354"/>
      <c r="D107" s="354"/>
      <c r="E107" s="354"/>
      <c r="F107" s="346"/>
      <c r="G107" s="347"/>
      <c r="H107" s="348"/>
      <c r="I107" s="347"/>
      <c r="J107" s="349"/>
      <c r="K107" s="350"/>
      <c r="L107" s="347"/>
      <c r="M107" s="349"/>
      <c r="N107" s="350"/>
      <c r="O107" s="347"/>
      <c r="P107" s="349"/>
      <c r="Q107" s="350"/>
      <c r="R107" s="347"/>
      <c r="S107" s="58"/>
      <c r="T107" s="347"/>
      <c r="U107" s="350"/>
      <c r="V107" s="347"/>
      <c r="W107" s="58"/>
      <c r="X107" s="347"/>
      <c r="Y107" s="350"/>
      <c r="Z107" s="347"/>
      <c r="AA107" s="349"/>
      <c r="AB107" s="350"/>
      <c r="AC107" s="355"/>
      <c r="AD107" s="349"/>
      <c r="AE107" s="357"/>
      <c r="AF107" s="357"/>
      <c r="AG107" s="357"/>
      <c r="AH107" s="357"/>
      <c r="AI107" s="357"/>
      <c r="AJ107" s="357"/>
      <c r="AK107" s="357"/>
      <c r="AL107" s="357"/>
    </row>
    <row r="108" spans="1:38" ht="18" customHeight="1">
      <c r="A108" s="633" t="s">
        <v>388</v>
      </c>
      <c r="B108" s="634"/>
      <c r="C108" s="634"/>
      <c r="D108" s="634"/>
      <c r="E108" s="634"/>
      <c r="F108" s="634"/>
      <c r="G108" s="634"/>
      <c r="H108" s="634"/>
      <c r="I108" s="635"/>
      <c r="K108" s="350"/>
      <c r="L108" s="347"/>
      <c r="AF108" s="358"/>
      <c r="AG108" s="358"/>
      <c r="AH108" s="358"/>
      <c r="AI108" s="358"/>
      <c r="AJ108" s="358"/>
      <c r="AK108" s="358"/>
      <c r="AL108" s="359"/>
    </row>
    <row r="109" spans="1:38" ht="18" customHeight="1">
      <c r="A109" s="360" t="s">
        <v>213</v>
      </c>
      <c r="B109" s="361" t="str">
        <f>H3</f>
        <v>CO2</v>
      </c>
      <c r="C109" s="361" t="str">
        <f>K3</f>
        <v>CH4</v>
      </c>
      <c r="D109" s="361" t="str">
        <f>N3</f>
        <v>N2O</v>
      </c>
      <c r="E109" s="361" t="str">
        <f>Q3</f>
        <v>HFCs</v>
      </c>
      <c r="F109" s="361" t="str">
        <f>U3</f>
        <v>PFCs</v>
      </c>
      <c r="G109" s="361" t="str">
        <f>Y3</f>
        <v>SF6</v>
      </c>
      <c r="H109" s="361" t="str">
        <f>AB3</f>
        <v>NF3</v>
      </c>
      <c r="I109" s="361" t="s">
        <v>389</v>
      </c>
      <c r="K109" s="350"/>
      <c r="L109" s="347"/>
      <c r="AL109" s="362"/>
    </row>
    <row r="110" spans="1:38" ht="18" customHeight="1">
      <c r="A110" s="363" t="s">
        <v>390</v>
      </c>
      <c r="B110" s="364">
        <f>SUM(AE5:AE31)</f>
        <v>7086080.3451288501</v>
      </c>
      <c r="C110" s="364">
        <f t="shared" ref="C110:H110" si="84">SUM(AF5:AF31)</f>
        <v>2569.6835348589698</v>
      </c>
      <c r="D110" s="364">
        <f t="shared" si="84"/>
        <v>30422.615322386999</v>
      </c>
      <c r="E110" s="364">
        <f t="shared" si="84"/>
        <v>717.03</v>
      </c>
      <c r="F110" s="364">
        <f t="shared" si="84"/>
        <v>0</v>
      </c>
      <c r="G110" s="364">
        <f t="shared" si="84"/>
        <v>2459.16</v>
      </c>
      <c r="H110" s="364">
        <f t="shared" si="84"/>
        <v>0</v>
      </c>
      <c r="I110" s="364">
        <f>SUM(B110:H110)</f>
        <v>7122248.8339860998</v>
      </c>
      <c r="K110" s="350"/>
      <c r="L110" s="347"/>
      <c r="AL110" s="362"/>
    </row>
    <row r="111" spans="1:38" ht="18" customHeight="1">
      <c r="K111" s="350"/>
      <c r="L111" s="347"/>
      <c r="AL111" s="362"/>
    </row>
    <row r="112" spans="1:38" ht="18" customHeight="1">
      <c r="A112" s="636" t="s">
        <v>391</v>
      </c>
      <c r="B112" s="637"/>
      <c r="C112" s="637"/>
      <c r="D112" s="637"/>
      <c r="K112" s="350"/>
      <c r="L112" s="347"/>
    </row>
    <row r="113" spans="1:10" ht="18" customHeight="1">
      <c r="A113" s="360" t="s">
        <v>213</v>
      </c>
      <c r="B113" s="365" t="s">
        <v>392</v>
      </c>
      <c r="C113" s="361" t="s">
        <v>202</v>
      </c>
      <c r="D113" s="361" t="s">
        <v>389</v>
      </c>
    </row>
    <row r="114" spans="1:10" ht="18" customHeight="1">
      <c r="A114" s="366" t="s">
        <v>393</v>
      </c>
      <c r="B114" s="367" t="s">
        <v>394</v>
      </c>
      <c r="C114" s="367">
        <f>AL32</f>
        <v>1069378.747982</v>
      </c>
      <c r="D114" s="367">
        <f>SUM(C114)</f>
        <v>1069378.747982</v>
      </c>
      <c r="E114" s="364" t="s">
        <v>395</v>
      </c>
      <c r="I114" s="368"/>
      <c r="J114" s="369"/>
    </row>
    <row r="115" spans="1:10" ht="18" customHeight="1">
      <c r="A115" s="366" t="s">
        <v>393</v>
      </c>
      <c r="B115" s="367" t="s">
        <v>394</v>
      </c>
      <c r="C115" s="367">
        <f>AL33</f>
        <v>1161900.3323520001</v>
      </c>
      <c r="D115" s="367">
        <f>SUM(C115)</f>
        <v>1161900.3323520001</v>
      </c>
      <c r="E115" s="364" t="s">
        <v>396</v>
      </c>
      <c r="H115" s="249"/>
      <c r="I115" s="370"/>
    </row>
    <row r="116" spans="1:10" ht="18" customHeight="1">
      <c r="H116" s="249"/>
    </row>
    <row r="117" spans="1:10" ht="18" customHeight="1">
      <c r="A117" s="626" t="s">
        <v>397</v>
      </c>
      <c r="B117" s="627"/>
      <c r="C117" s="627"/>
      <c r="D117" s="371"/>
      <c r="E117" s="372"/>
    </row>
    <row r="118" spans="1:10" ht="18" customHeight="1">
      <c r="A118" s="626" t="s">
        <v>398</v>
      </c>
      <c r="B118" s="627"/>
      <c r="C118" s="627"/>
      <c r="D118" s="371"/>
      <c r="E118" s="372"/>
    </row>
    <row r="119" spans="1:10" ht="18" customHeight="1">
      <c r="A119" s="373" t="s">
        <v>213</v>
      </c>
      <c r="B119" s="374" t="s">
        <v>202</v>
      </c>
      <c r="C119" s="374" t="s">
        <v>389</v>
      </c>
      <c r="D119" s="371"/>
      <c r="E119" s="372"/>
    </row>
    <row r="120" spans="1:10" ht="18" customHeight="1">
      <c r="A120" s="375" t="s">
        <v>393</v>
      </c>
      <c r="B120" s="376">
        <f>SUM(AE34:AE57)</f>
        <v>2710165.6193504599</v>
      </c>
      <c r="C120" s="376">
        <f>SUM(B120)</f>
        <v>2710165.6193504599</v>
      </c>
      <c r="D120" s="371"/>
      <c r="E120" s="372"/>
    </row>
    <row r="121" spans="1:10" ht="18" customHeight="1">
      <c r="A121" s="377"/>
      <c r="B121" s="371"/>
      <c r="C121" s="371"/>
      <c r="D121" s="371"/>
      <c r="E121" s="372"/>
    </row>
    <row r="122" spans="1:10" ht="18" customHeight="1">
      <c r="A122" s="626" t="s">
        <v>399</v>
      </c>
      <c r="B122" s="627"/>
      <c r="C122" s="627"/>
      <c r="D122" s="378"/>
      <c r="E122" s="372"/>
    </row>
    <row r="123" spans="1:10" ht="18" customHeight="1">
      <c r="A123" s="373" t="s">
        <v>213</v>
      </c>
      <c r="B123" s="374" t="s">
        <v>202</v>
      </c>
      <c r="C123" s="374" t="s">
        <v>389</v>
      </c>
      <c r="D123" s="371"/>
      <c r="E123" s="372"/>
    </row>
    <row r="124" spans="1:10" ht="18" customHeight="1">
      <c r="A124" s="375" t="s">
        <v>393</v>
      </c>
      <c r="B124" s="376">
        <f>SUM(AE58:AE68)</f>
        <v>51806.970343360001</v>
      </c>
      <c r="C124" s="376">
        <f>B124</f>
        <v>51806.970343360001</v>
      </c>
      <c r="D124" s="371"/>
      <c r="E124" s="372"/>
    </row>
    <row r="125" spans="1:10" ht="18" customHeight="1">
      <c r="A125" s="377"/>
      <c r="B125" s="371"/>
      <c r="C125" s="371"/>
      <c r="D125" s="371"/>
      <c r="E125" s="372"/>
    </row>
    <row r="126" spans="1:10" ht="18" customHeight="1">
      <c r="A126" s="626" t="s">
        <v>400</v>
      </c>
      <c r="B126" s="627"/>
      <c r="C126" s="627"/>
      <c r="D126" s="378"/>
      <c r="E126" s="372"/>
    </row>
    <row r="127" spans="1:10" ht="18" customHeight="1">
      <c r="A127" s="373" t="s">
        <v>213</v>
      </c>
      <c r="B127" s="374" t="s">
        <v>202</v>
      </c>
      <c r="C127" s="374" t="s">
        <v>389</v>
      </c>
      <c r="D127" s="371"/>
      <c r="E127" s="372"/>
    </row>
    <row r="128" spans="1:10" ht="18" customHeight="1">
      <c r="A128" s="375" t="s">
        <v>393</v>
      </c>
      <c r="B128" s="376">
        <f>SUM(AE69:AE78)</f>
        <v>2016736.07196272</v>
      </c>
      <c r="C128" s="376">
        <f>B128</f>
        <v>2016736.07196272</v>
      </c>
      <c r="D128" s="371"/>
      <c r="E128" s="372"/>
    </row>
    <row r="129" spans="1:5" ht="18" customHeight="1">
      <c r="A129" s="377"/>
      <c r="B129" s="371"/>
      <c r="C129" s="371"/>
      <c r="D129" s="371"/>
      <c r="E129" s="372"/>
    </row>
    <row r="130" spans="1:5" ht="18" customHeight="1">
      <c r="A130" s="626" t="s">
        <v>401</v>
      </c>
      <c r="B130" s="627"/>
      <c r="C130" s="627"/>
      <c r="D130" s="371"/>
      <c r="E130" s="372"/>
    </row>
    <row r="131" spans="1:5" ht="18" customHeight="1">
      <c r="A131" s="373" t="s">
        <v>213</v>
      </c>
      <c r="B131" s="374" t="s">
        <v>202</v>
      </c>
      <c r="C131" s="374" t="s">
        <v>389</v>
      </c>
      <c r="D131" s="371"/>
      <c r="E131" s="372"/>
    </row>
    <row r="132" spans="1:5" ht="18" customHeight="1">
      <c r="A132" s="375" t="s">
        <v>393</v>
      </c>
      <c r="B132" s="376">
        <f>SUM(AE79:AE81)</f>
        <v>362284.25267030101</v>
      </c>
      <c r="C132" s="376">
        <f>SUM(B132)</f>
        <v>362284.25267030101</v>
      </c>
      <c r="D132" s="371"/>
      <c r="E132" s="372"/>
    </row>
    <row r="133" spans="1:5" ht="18" customHeight="1">
      <c r="A133" s="377"/>
      <c r="B133" s="371"/>
      <c r="C133" s="371"/>
      <c r="D133" s="371"/>
      <c r="E133" s="372"/>
    </row>
    <row r="134" spans="1:5" ht="18" customHeight="1">
      <c r="A134" s="626" t="s">
        <v>402</v>
      </c>
      <c r="B134" s="627"/>
      <c r="C134" s="627"/>
      <c r="D134" s="371"/>
      <c r="E134" s="372"/>
    </row>
    <row r="135" spans="1:5" ht="18" customHeight="1">
      <c r="A135" s="373" t="s">
        <v>213</v>
      </c>
      <c r="B135" s="374" t="s">
        <v>202</v>
      </c>
      <c r="C135" s="374" t="s">
        <v>389</v>
      </c>
      <c r="D135" s="371"/>
      <c r="E135" s="372"/>
    </row>
    <row r="136" spans="1:5" ht="18" customHeight="1">
      <c r="A136" s="366" t="s">
        <v>393</v>
      </c>
      <c r="B136" s="367">
        <f>SUM(AE82:AE86)</f>
        <v>147636.03187622401</v>
      </c>
      <c r="C136" s="367">
        <f>SUM(B136)</f>
        <v>147636.03187622401</v>
      </c>
      <c r="D136" s="371"/>
      <c r="E136" s="372"/>
    </row>
    <row r="137" spans="1:5" ht="18" customHeight="1">
      <c r="D137" s="371"/>
      <c r="E137" s="372"/>
    </row>
    <row r="138" spans="1:5" ht="15.75">
      <c r="A138" s="626" t="s">
        <v>403</v>
      </c>
      <c r="B138" s="627"/>
      <c r="C138" s="627"/>
    </row>
    <row r="139" spans="1:5" ht="15.75">
      <c r="A139" s="373" t="s">
        <v>213</v>
      </c>
      <c r="B139" s="374" t="s">
        <v>202</v>
      </c>
      <c r="C139" s="374" t="s">
        <v>389</v>
      </c>
    </row>
    <row r="140" spans="1:5">
      <c r="A140" s="366" t="s">
        <v>393</v>
      </c>
      <c r="B140" s="367">
        <f>SUM(AE87:AE89)</f>
        <v>1670.17345373528</v>
      </c>
      <c r="C140" s="367">
        <f>SUM(B140)</f>
        <v>1670.17345373528</v>
      </c>
    </row>
    <row r="142" spans="1:5" ht="15.75">
      <c r="A142" s="626" t="s">
        <v>404</v>
      </c>
      <c r="B142" s="627"/>
      <c r="C142" s="627"/>
    </row>
    <row r="143" spans="1:5" ht="15.75">
      <c r="A143" s="373" t="s">
        <v>213</v>
      </c>
      <c r="B143" s="374" t="s">
        <v>202</v>
      </c>
      <c r="C143" s="374" t="s">
        <v>389</v>
      </c>
    </row>
    <row r="144" spans="1:5">
      <c r="A144" s="366" t="s">
        <v>393</v>
      </c>
      <c r="B144" s="367">
        <f>SUM(AE90:AE93)</f>
        <v>13322.57648759</v>
      </c>
      <c r="C144" s="367">
        <f>SUM(B144)</f>
        <v>13322.57648759</v>
      </c>
    </row>
    <row r="145" spans="1:9">
      <c r="A145" s="379"/>
      <c r="B145" s="372"/>
      <c r="C145" s="372"/>
    </row>
    <row r="146" spans="1:9" ht="15.75">
      <c r="A146" s="626" t="s">
        <v>405</v>
      </c>
      <c r="B146" s="627"/>
      <c r="C146" s="627"/>
      <c r="D146" s="380" t="s">
        <v>406</v>
      </c>
    </row>
    <row r="147" spans="1:9" ht="15.75">
      <c r="A147" s="373" t="s">
        <v>213</v>
      </c>
      <c r="B147" s="374" t="s">
        <v>202</v>
      </c>
      <c r="C147" s="374" t="s">
        <v>389</v>
      </c>
    </row>
    <row r="148" spans="1:9">
      <c r="A148" s="366" t="s">
        <v>393</v>
      </c>
      <c r="B148" s="367"/>
      <c r="C148" s="367"/>
    </row>
    <row r="150" spans="1:9" ht="15.75">
      <c r="A150" s="626" t="s">
        <v>407</v>
      </c>
      <c r="B150" s="627"/>
      <c r="C150" s="627"/>
    </row>
    <row r="151" spans="1:9" ht="15.75">
      <c r="A151" s="373" t="s">
        <v>213</v>
      </c>
      <c r="B151" s="374" t="s">
        <v>202</v>
      </c>
      <c r="C151" s="374" t="s">
        <v>389</v>
      </c>
    </row>
    <row r="152" spans="1:9">
      <c r="A152" s="366" t="s">
        <v>393</v>
      </c>
      <c r="B152" s="367">
        <f>SUM(AE94:AE97)</f>
        <v>274585.60716191097</v>
      </c>
      <c r="C152" s="367">
        <f>SUM(B152)</f>
        <v>274585.60716191097</v>
      </c>
    </row>
    <row r="154" spans="1:9" ht="15.75">
      <c r="A154" s="626" t="s">
        <v>408</v>
      </c>
      <c r="B154" s="627"/>
      <c r="C154" s="627"/>
    </row>
    <row r="155" spans="1:9" ht="15.75">
      <c r="A155" s="373" t="s">
        <v>213</v>
      </c>
      <c r="B155" s="374" t="s">
        <v>202</v>
      </c>
      <c r="C155" s="374" t="s">
        <v>389</v>
      </c>
    </row>
    <row r="156" spans="1:9">
      <c r="A156" s="366" t="s">
        <v>393</v>
      </c>
      <c r="B156" s="367">
        <f>SUM(AE98:AE101)</f>
        <v>1746619.9596895301</v>
      </c>
      <c r="C156" s="367">
        <f>SUM(B156)</f>
        <v>1746619.9596895301</v>
      </c>
    </row>
    <row r="157" spans="1:9">
      <c r="A157" s="379"/>
      <c r="B157" s="372"/>
      <c r="C157" s="372"/>
    </row>
    <row r="158" spans="1:9" ht="15.75" customHeight="1">
      <c r="A158" s="630" t="s">
        <v>409</v>
      </c>
      <c r="B158" s="631"/>
      <c r="C158" s="631"/>
      <c r="D158" s="631"/>
      <c r="E158" s="631"/>
      <c r="F158" s="631"/>
      <c r="G158" s="631"/>
      <c r="H158" s="631"/>
      <c r="I158" s="632"/>
    </row>
    <row r="159" spans="1:9" ht="15.75">
      <c r="A159" s="374" t="s">
        <v>213</v>
      </c>
      <c r="B159" s="374" t="str">
        <f>H3</f>
        <v>CO2</v>
      </c>
      <c r="C159" s="374">
        <f t="shared" ref="C159:H159" si="85">I3</f>
        <v>0</v>
      </c>
      <c r="D159" s="374">
        <f t="shared" si="85"/>
        <v>0</v>
      </c>
      <c r="E159" s="374" t="str">
        <f t="shared" si="85"/>
        <v>CH4</v>
      </c>
      <c r="F159" s="374">
        <f t="shared" si="85"/>
        <v>0</v>
      </c>
      <c r="G159" s="374">
        <f t="shared" si="85"/>
        <v>0</v>
      </c>
      <c r="H159" s="374" t="str">
        <f t="shared" si="85"/>
        <v>N2O</v>
      </c>
      <c r="I159" s="374" t="s">
        <v>389</v>
      </c>
    </row>
    <row r="160" spans="1:9" ht="15" customHeight="1">
      <c r="A160" s="363" t="s">
        <v>390</v>
      </c>
      <c r="B160" s="367">
        <f>AE102</f>
        <v>3828.3758806312799</v>
      </c>
      <c r="C160" s="367">
        <f t="shared" ref="C160:H160" si="86">AF102</f>
        <v>2.4056686276939798</v>
      </c>
      <c r="D160" s="367">
        <f t="shared" si="86"/>
        <v>2.3539338184962602</v>
      </c>
      <c r="E160" s="367">
        <f t="shared" si="86"/>
        <v>0</v>
      </c>
      <c r="F160" s="367">
        <f t="shared" si="86"/>
        <v>0</v>
      </c>
      <c r="G160" s="367">
        <f t="shared" si="86"/>
        <v>0</v>
      </c>
      <c r="H160" s="367">
        <f t="shared" si="86"/>
        <v>0</v>
      </c>
      <c r="I160" s="367">
        <f>SUM(B160:H160)</f>
        <v>3833.1354830774699</v>
      </c>
    </row>
    <row r="161" spans="1:4">
      <c r="A161" s="379"/>
      <c r="B161" s="372"/>
      <c r="C161" s="372"/>
    </row>
    <row r="162" spans="1:4" ht="15.75">
      <c r="A162" s="626" t="s">
        <v>410</v>
      </c>
      <c r="B162" s="627"/>
      <c r="C162" s="627"/>
      <c r="D162" s="380"/>
    </row>
    <row r="163" spans="1:4" ht="15.75">
      <c r="A163" s="373" t="s">
        <v>213</v>
      </c>
      <c r="B163" s="374" t="s">
        <v>202</v>
      </c>
      <c r="C163" s="374" t="s">
        <v>389</v>
      </c>
    </row>
    <row r="164" spans="1:4">
      <c r="A164" s="366" t="s">
        <v>393</v>
      </c>
      <c r="B164" s="367">
        <f>AL103</f>
        <v>3747.3469595889401</v>
      </c>
      <c r="C164" s="367">
        <f>B164</f>
        <v>3747.3469595889401</v>
      </c>
    </row>
    <row r="165" spans="1:4">
      <c r="A165" s="379"/>
      <c r="B165" s="372"/>
      <c r="C165" s="372"/>
    </row>
    <row r="166" spans="1:4" ht="15.75">
      <c r="A166" s="626" t="s">
        <v>411</v>
      </c>
      <c r="B166" s="627"/>
      <c r="C166" s="627"/>
      <c r="D166" s="380" t="s">
        <v>412</v>
      </c>
    </row>
    <row r="167" spans="1:4" ht="15.75">
      <c r="A167" s="373" t="s">
        <v>213</v>
      </c>
      <c r="B167" s="374" t="s">
        <v>202</v>
      </c>
      <c r="C167" s="374" t="s">
        <v>389</v>
      </c>
    </row>
    <row r="168" spans="1:4">
      <c r="A168" s="366" t="s">
        <v>393</v>
      </c>
      <c r="B168" s="367"/>
      <c r="C168" s="367"/>
    </row>
    <row r="169" spans="1:4">
      <c r="A169" s="379"/>
      <c r="B169" s="372"/>
      <c r="C169" s="372"/>
    </row>
    <row r="170" spans="1:4" ht="15.75">
      <c r="A170" s="626" t="s">
        <v>413</v>
      </c>
      <c r="B170" s="627"/>
      <c r="C170" s="627"/>
      <c r="D170" s="380" t="s">
        <v>414</v>
      </c>
    </row>
    <row r="171" spans="1:4" ht="15.75">
      <c r="A171" s="373" t="s">
        <v>213</v>
      </c>
      <c r="B171" s="374" t="s">
        <v>202</v>
      </c>
      <c r="C171" s="374" t="s">
        <v>389</v>
      </c>
    </row>
    <row r="172" spans="1:4">
      <c r="A172" s="366" t="s">
        <v>393</v>
      </c>
      <c r="B172" s="367"/>
      <c r="C172" s="367"/>
    </row>
    <row r="173" spans="1:4">
      <c r="A173" s="379"/>
      <c r="B173" s="372"/>
      <c r="C173" s="372"/>
    </row>
    <row r="174" spans="1:4" ht="15.75">
      <c r="A174" s="626" t="s">
        <v>415</v>
      </c>
      <c r="B174" s="627"/>
      <c r="C174" s="627"/>
      <c r="D174" s="380" t="s">
        <v>416</v>
      </c>
    </row>
    <row r="175" spans="1:4" ht="15.75">
      <c r="A175" s="373" t="s">
        <v>213</v>
      </c>
      <c r="B175" s="374" t="s">
        <v>202</v>
      </c>
      <c r="C175" s="374" t="s">
        <v>389</v>
      </c>
    </row>
    <row r="176" spans="1:4">
      <c r="A176" s="366" t="s">
        <v>393</v>
      </c>
      <c r="B176" s="367"/>
      <c r="C176" s="367"/>
    </row>
    <row r="178" spans="1:6" ht="15.75">
      <c r="A178" s="373" t="s">
        <v>213</v>
      </c>
      <c r="B178" s="381" t="s">
        <v>217</v>
      </c>
      <c r="C178" s="381" t="s">
        <v>279</v>
      </c>
      <c r="D178" s="381" t="s">
        <v>417</v>
      </c>
      <c r="E178" s="381" t="s">
        <v>389</v>
      </c>
      <c r="F178" s="382"/>
    </row>
    <row r="179" spans="1:6">
      <c r="A179" s="375" t="s">
        <v>418</v>
      </c>
      <c r="B179" s="376">
        <f>I110</f>
        <v>7122248.8339860998</v>
      </c>
      <c r="C179" s="376">
        <f>D114</f>
        <v>1069378.747982</v>
      </c>
      <c r="D179" s="376">
        <f>C120+C124+C128+C132+C136+C140+C144+C152+C156+C164+I160</f>
        <v>7332407.7454385096</v>
      </c>
      <c r="E179" s="364">
        <f>SUM(B179:D179)</f>
        <v>15524035.3274066</v>
      </c>
      <c r="F179" s="382" t="s">
        <v>395</v>
      </c>
    </row>
    <row r="180" spans="1:6">
      <c r="A180" s="375" t="s">
        <v>419</v>
      </c>
      <c r="B180" s="383">
        <f>B179/$E$179</f>
        <v>0.45878849691950002</v>
      </c>
      <c r="C180" s="383">
        <f>C179/$E$179</f>
        <v>6.8885359085345904E-2</v>
      </c>
      <c r="D180" s="383">
        <f>D179/$E$179</f>
        <v>0.47232614399515399</v>
      </c>
      <c r="E180" s="384">
        <f>SUM(B180:D180)</f>
        <v>1</v>
      </c>
    </row>
    <row r="182" spans="1:6" ht="15.75">
      <c r="A182" s="373" t="s">
        <v>213</v>
      </c>
      <c r="B182" s="381" t="s">
        <v>217</v>
      </c>
      <c r="C182" s="381" t="s">
        <v>279</v>
      </c>
      <c r="D182" s="381" t="s">
        <v>417</v>
      </c>
      <c r="E182" s="381" t="s">
        <v>389</v>
      </c>
    </row>
    <row r="183" spans="1:6">
      <c r="A183" s="375" t="s">
        <v>418</v>
      </c>
      <c r="B183" s="376">
        <f>B179</f>
        <v>7122248.8339860998</v>
      </c>
      <c r="C183" s="376">
        <f>D115</f>
        <v>1161900.3323520001</v>
      </c>
      <c r="D183" s="376">
        <f>D179</f>
        <v>7332407.7454385096</v>
      </c>
      <c r="E183" s="364">
        <f>SUM(B183:D183)</f>
        <v>15616556.9117766</v>
      </c>
      <c r="F183" s="382" t="s">
        <v>396</v>
      </c>
    </row>
    <row r="184" spans="1:6">
      <c r="A184" s="375" t="s">
        <v>419</v>
      </c>
      <c r="B184" s="383">
        <f>B183/$E$183</f>
        <v>0.45607036648489002</v>
      </c>
      <c r="C184" s="383">
        <f>C183/$E$183</f>
        <v>7.44018248654926E-2</v>
      </c>
      <c r="D184" s="383">
        <f>D183/$E$183</f>
        <v>0.46952780864961702</v>
      </c>
      <c r="E184" s="384">
        <f>SUM(B184:D184)</f>
        <v>1</v>
      </c>
    </row>
  </sheetData>
  <mergeCells count="40">
    <mergeCell ref="A1:P1"/>
    <mergeCell ref="H2:AD2"/>
    <mergeCell ref="AE2:AL2"/>
    <mergeCell ref="H3:J3"/>
    <mergeCell ref="K3:M3"/>
    <mergeCell ref="N3:P3"/>
    <mergeCell ref="Q3:T3"/>
    <mergeCell ref="U3:X3"/>
    <mergeCell ref="Y3:AA3"/>
    <mergeCell ref="AB3:AD3"/>
    <mergeCell ref="AE4:AL4"/>
    <mergeCell ref="B104:D104"/>
    <mergeCell ref="AC104:AD104"/>
    <mergeCell ref="B105:D105"/>
    <mergeCell ref="AC105:AD105"/>
    <mergeCell ref="D2:D4"/>
    <mergeCell ref="E2:E4"/>
    <mergeCell ref="F2:G3"/>
    <mergeCell ref="A142:C142"/>
    <mergeCell ref="A108:I108"/>
    <mergeCell ref="A112:D112"/>
    <mergeCell ref="A117:C117"/>
    <mergeCell ref="A118:C118"/>
    <mergeCell ref="A122:C122"/>
    <mergeCell ref="A166:C166"/>
    <mergeCell ref="A170:C170"/>
    <mergeCell ref="A174:C174"/>
    <mergeCell ref="A2:A4"/>
    <mergeCell ref="A104:A105"/>
    <mergeCell ref="B2:B4"/>
    <mergeCell ref="C2:C4"/>
    <mergeCell ref="A146:C146"/>
    <mergeCell ref="A150:C150"/>
    <mergeCell ref="A154:C154"/>
    <mergeCell ref="A158:I158"/>
    <mergeCell ref="A162:C162"/>
    <mergeCell ref="A126:C126"/>
    <mergeCell ref="A130:C130"/>
    <mergeCell ref="A134:C134"/>
    <mergeCell ref="A138:C138"/>
  </mergeCells>
  <phoneticPr fontId="87" type="noConversion"/>
  <printOptions horizontalCentered="1"/>
  <pageMargins left="0" right="0" top="0.70866141732283505" bottom="0.511811023622047" header="0.39370078740157499" footer="0.35433070866141703"/>
  <pageSetup paperSize="9" scale="64" fitToWidth="3" orientation="landscape"/>
  <headerFooter alignWithMargins="0">
    <oddFooter>&amp;L文件名称：温室气体盘查表V1.0_20111226</oddFooter>
  </headerFooter>
  <colBreaks count="1" manualBreakCount="1">
    <brk id="30" max="53" man="1"/>
  </colBreaks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119"/>
  <sheetViews>
    <sheetView showOutlineSymbols="0" topLeftCell="A82" zoomScale="85" zoomScaleNormal="85" workbookViewId="0">
      <selection activeCell="H120" sqref="H120"/>
    </sheetView>
  </sheetViews>
  <sheetFormatPr defaultColWidth="8.75" defaultRowHeight="15"/>
  <cols>
    <col min="1" max="1" width="9" customWidth="1"/>
    <col min="2" max="2" width="18.25" customWidth="1"/>
    <col min="3" max="3" width="19.25" customWidth="1"/>
    <col min="4" max="4" width="18.625" customWidth="1"/>
    <col min="5" max="5" width="20" customWidth="1"/>
    <col min="6" max="6" width="31.75" customWidth="1"/>
    <col min="7" max="7" width="14.625" customWidth="1"/>
    <col min="8" max="8" width="9.5" customWidth="1"/>
    <col min="9" max="9" width="10.75" customWidth="1"/>
    <col min="10" max="10" width="11.5" customWidth="1"/>
    <col min="11" max="11" width="21.75" customWidth="1"/>
    <col min="12" max="13" width="14.25" customWidth="1"/>
    <col min="14" max="14" width="10.375" customWidth="1"/>
  </cols>
  <sheetData>
    <row r="1" spans="1:13" ht="28.9" customHeight="1">
      <c r="A1" s="642" t="s">
        <v>420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</row>
    <row r="2" spans="1:13" s="234" customFormat="1" ht="38.65" customHeight="1">
      <c r="A2" s="235" t="s">
        <v>421</v>
      </c>
      <c r="B2" s="235" t="s">
        <v>422</v>
      </c>
      <c r="C2" s="235" t="s">
        <v>423</v>
      </c>
      <c r="D2" s="235" t="s">
        <v>424</v>
      </c>
      <c r="E2" s="235" t="s">
        <v>425</v>
      </c>
      <c r="F2" s="235" t="s">
        <v>426</v>
      </c>
      <c r="G2" s="236" t="s">
        <v>427</v>
      </c>
      <c r="H2" s="236" t="s">
        <v>428</v>
      </c>
      <c r="I2" s="236" t="s">
        <v>429</v>
      </c>
      <c r="J2" s="237" t="s">
        <v>430</v>
      </c>
      <c r="K2" s="236" t="s">
        <v>431</v>
      </c>
      <c r="L2" s="236" t="s">
        <v>432</v>
      </c>
      <c r="M2" s="238" t="s">
        <v>433</v>
      </c>
    </row>
    <row r="3" spans="1:13">
      <c r="A3" s="239">
        <v>1</v>
      </c>
      <c r="B3" s="240" t="str">
        <f>表1温室气体盘查表!C5</f>
        <v>天然气燃烧</v>
      </c>
      <c r="C3" s="240" t="str">
        <f>表1温室气体盘查表!D5</f>
        <v>热处理炉（加热炉）</v>
      </c>
      <c r="D3" s="241" t="s">
        <v>434</v>
      </c>
      <c r="E3" s="241" t="s">
        <v>435</v>
      </c>
      <c r="F3" s="241" t="s">
        <v>436</v>
      </c>
      <c r="G3" s="242">
        <f t="shared" ref="G3" si="0">IF(D3="自动连续量测",6,IF(D3="定期量测/抄表/铭牌",3,1))</f>
        <v>6</v>
      </c>
      <c r="H3" s="243">
        <f t="shared" ref="H3" si="1">IF(E3="量测/质量平衡排放因子",6,IF(E3="制程/设备排放因子",5,IF(E3="制造商提供的排放因子",4,IF(E3="区域排放因子",3,IF(E3="国家排放因子",2,1)))))</f>
        <v>1</v>
      </c>
      <c r="I3" s="242">
        <f t="shared" ref="I3" si="2">IF(F3="校准且合格",6,IF(F3="未校准",1,3))</f>
        <v>6</v>
      </c>
      <c r="J3" s="244">
        <f t="shared" ref="J3" si="3">AVERAGE(G3:I3)</f>
        <v>4.3333333333333304</v>
      </c>
      <c r="K3" s="245">
        <f>表1温室气体盘查表!AL5</f>
        <v>38881.726082692898</v>
      </c>
      <c r="L3" s="246">
        <f t="shared" ref="L3:L34" si="4">K3/$K$101</f>
        <v>2.50461463547754E-3</v>
      </c>
      <c r="M3" s="247">
        <f>J3*L3</f>
        <v>1.0853330087069299E-2</v>
      </c>
    </row>
    <row r="4" spans="1:13">
      <c r="A4" s="239">
        <v>2</v>
      </c>
      <c r="B4" s="240" t="str">
        <f>表1温室气体盘查表!C6</f>
        <v>液化石油气燃烧</v>
      </c>
      <c r="C4" s="240" t="str">
        <f>表1温室气体盘查表!D6</f>
        <v>冶钢宾馆</v>
      </c>
      <c r="D4" s="241" t="s">
        <v>437</v>
      </c>
      <c r="E4" s="241" t="s">
        <v>435</v>
      </c>
      <c r="F4" s="241" t="s">
        <v>436</v>
      </c>
      <c r="G4" s="242">
        <f t="shared" ref="G4:G66" si="5">IF(D4="自动连续量测",6,IF(D4="定期量测/抄表/铭牌",3,1))</f>
        <v>3</v>
      </c>
      <c r="H4" s="243">
        <f t="shared" ref="H4:H66" si="6">IF(E4="量测/质量平衡排放因子",6,IF(E4="制程/设备排放因子",5,IF(E4="制造商提供的排放因子",4,IF(E4="区域排放因子",3,IF(E4="国家排放因子",2,1)))))</f>
        <v>1</v>
      </c>
      <c r="I4" s="242">
        <f t="shared" ref="I4:I66" si="7">IF(F4="校准且合格",6,IF(F4="未校准",1,3))</f>
        <v>6</v>
      </c>
      <c r="J4" s="244">
        <f t="shared" ref="J4:J66" si="8">AVERAGE(G4:I4)</f>
        <v>3.3333333333333299</v>
      </c>
      <c r="K4" s="245">
        <f>表1温室气体盘查表!AL6</f>
        <v>29.162367925877799</v>
      </c>
      <c r="L4" s="246">
        <f t="shared" si="4"/>
        <v>1.8785301186730499E-6</v>
      </c>
      <c r="M4" s="247">
        <f t="shared" ref="M4:M66" si="9">J4*L4</f>
        <v>6.2617670622435102E-6</v>
      </c>
    </row>
    <row r="5" spans="1:13">
      <c r="A5" s="239">
        <v>3</v>
      </c>
      <c r="B5" s="240" t="str">
        <f>表1温室气体盘查表!C7</f>
        <v>烟煤燃烧</v>
      </c>
      <c r="C5" s="240" t="str">
        <f>表1温室气体盘查表!D7</f>
        <v>高炉</v>
      </c>
      <c r="D5" s="241" t="s">
        <v>434</v>
      </c>
      <c r="E5" s="241" t="s">
        <v>435</v>
      </c>
      <c r="F5" s="241" t="s">
        <v>436</v>
      </c>
      <c r="G5" s="242">
        <f t="shared" si="5"/>
        <v>6</v>
      </c>
      <c r="H5" s="243">
        <f t="shared" si="6"/>
        <v>1</v>
      </c>
      <c r="I5" s="242">
        <f t="shared" si="7"/>
        <v>6</v>
      </c>
      <c r="J5" s="244">
        <f t="shared" si="8"/>
        <v>4.3333333333333304</v>
      </c>
      <c r="K5" s="245">
        <f>表1温室气体盘查表!AL7</f>
        <v>925941.31884315598</v>
      </c>
      <c r="L5" s="246">
        <f t="shared" si="4"/>
        <v>5.9645659090228398E-2</v>
      </c>
      <c r="M5" s="247">
        <f t="shared" si="9"/>
        <v>0.25846452272432302</v>
      </c>
    </row>
    <row r="6" spans="1:13">
      <c r="A6" s="239">
        <v>4</v>
      </c>
      <c r="B6" s="240" t="str">
        <f>表1温室气体盘查表!C8</f>
        <v>无烟煤燃烧</v>
      </c>
      <c r="C6" s="240" t="str">
        <f>表1温室气体盘查表!D8</f>
        <v>高炉、烧结</v>
      </c>
      <c r="D6" s="241" t="s">
        <v>434</v>
      </c>
      <c r="E6" s="241" t="s">
        <v>435</v>
      </c>
      <c r="F6" s="241" t="s">
        <v>436</v>
      </c>
      <c r="G6" s="242">
        <f t="shared" si="5"/>
        <v>6</v>
      </c>
      <c r="H6" s="243">
        <f t="shared" si="6"/>
        <v>1</v>
      </c>
      <c r="I6" s="242">
        <f t="shared" si="7"/>
        <v>6</v>
      </c>
      <c r="J6" s="244">
        <f t="shared" si="8"/>
        <v>4.3333333333333304</v>
      </c>
      <c r="K6" s="245">
        <f>表1温室气体盘查表!AL8</f>
        <v>637282.392059932</v>
      </c>
      <c r="L6" s="246">
        <f t="shared" si="4"/>
        <v>4.10513361132884E-2</v>
      </c>
      <c r="M6" s="247">
        <f t="shared" si="9"/>
        <v>0.17788912315758301</v>
      </c>
    </row>
    <row r="7" spans="1:13">
      <c r="A7" s="239">
        <v>5</v>
      </c>
      <c r="B7" s="240" t="str">
        <f>表1温室气体盘查表!C9</f>
        <v>洗精煤燃烧</v>
      </c>
      <c r="C7" s="240" t="str">
        <f>表1温室气体盘查表!D9</f>
        <v>焦炉</v>
      </c>
      <c r="D7" s="241" t="s">
        <v>434</v>
      </c>
      <c r="E7" s="241" t="s">
        <v>435</v>
      </c>
      <c r="F7" s="241" t="s">
        <v>436</v>
      </c>
      <c r="G7" s="242">
        <f t="shared" si="5"/>
        <v>6</v>
      </c>
      <c r="H7" s="243">
        <f t="shared" si="6"/>
        <v>1</v>
      </c>
      <c r="I7" s="242">
        <f t="shared" si="7"/>
        <v>6</v>
      </c>
      <c r="J7" s="244">
        <f t="shared" si="8"/>
        <v>4.3333333333333304</v>
      </c>
      <c r="K7" s="245">
        <f>表1温室气体盘查表!AL9</f>
        <v>4824841.57343012</v>
      </c>
      <c r="L7" s="246">
        <f t="shared" si="4"/>
        <v>0.31079815728789301</v>
      </c>
      <c r="M7" s="247">
        <f t="shared" si="9"/>
        <v>1.3467920149142001</v>
      </c>
    </row>
    <row r="8" spans="1:13">
      <c r="A8" s="239">
        <v>6</v>
      </c>
      <c r="B8" s="240" t="str">
        <f>表1温室气体盘查表!C10</f>
        <v>焦炭燃烧</v>
      </c>
      <c r="C8" s="240" t="str">
        <f>表1温室气体盘查表!D10</f>
        <v>高炉</v>
      </c>
      <c r="D8" s="241" t="s">
        <v>434</v>
      </c>
      <c r="E8" s="241" t="s">
        <v>435</v>
      </c>
      <c r="F8" s="241" t="s">
        <v>436</v>
      </c>
      <c r="G8" s="242">
        <f t="shared" si="5"/>
        <v>6</v>
      </c>
      <c r="H8" s="243">
        <f t="shared" si="6"/>
        <v>1</v>
      </c>
      <c r="I8" s="242">
        <f t="shared" si="7"/>
        <v>6</v>
      </c>
      <c r="J8" s="244">
        <f t="shared" si="8"/>
        <v>4.3333333333333304</v>
      </c>
      <c r="K8" s="245">
        <f>表1温室气体盘查表!AL10</f>
        <v>439843.84434853197</v>
      </c>
      <c r="L8" s="246">
        <f t="shared" si="4"/>
        <v>2.8333087053210901E-2</v>
      </c>
      <c r="M8" s="247">
        <f t="shared" si="9"/>
        <v>0.122776710563914</v>
      </c>
    </row>
    <row r="9" spans="1:13">
      <c r="A9" s="239">
        <v>7</v>
      </c>
      <c r="B9" s="240" t="str">
        <f>表1温室气体盘查表!C11</f>
        <v>焦屑燃烧</v>
      </c>
      <c r="C9" s="240" t="str">
        <f>表1温室气体盘查表!D11</f>
        <v>烧结、高炉</v>
      </c>
      <c r="D9" s="241" t="s">
        <v>434</v>
      </c>
      <c r="E9" s="241" t="s">
        <v>435</v>
      </c>
      <c r="F9" s="241" t="s">
        <v>436</v>
      </c>
      <c r="G9" s="242">
        <f t="shared" si="5"/>
        <v>6</v>
      </c>
      <c r="H9" s="243">
        <f t="shared" si="6"/>
        <v>1</v>
      </c>
      <c r="I9" s="242">
        <f t="shared" si="7"/>
        <v>6</v>
      </c>
      <c r="J9" s="244">
        <f t="shared" si="8"/>
        <v>4.3333333333333304</v>
      </c>
      <c r="K9" s="245">
        <f>表1温室气体盘查表!AL11</f>
        <v>364657.35614077898</v>
      </c>
      <c r="L9" s="246">
        <f t="shared" si="4"/>
        <v>2.3489856113442498E-2</v>
      </c>
      <c r="M9" s="247">
        <f t="shared" si="9"/>
        <v>0.101789376491584</v>
      </c>
    </row>
    <row r="10" spans="1:13">
      <c r="A10" s="239">
        <v>8</v>
      </c>
      <c r="B10" s="240" t="str">
        <f>表1温室气体盘查表!C12</f>
        <v>焦炉煤气燃烧</v>
      </c>
      <c r="C10" s="240" t="str">
        <f>表1温室气体盘查表!D12</f>
        <v>外售</v>
      </c>
      <c r="D10" s="241" t="s">
        <v>434</v>
      </c>
      <c r="E10" s="241" t="s">
        <v>435</v>
      </c>
      <c r="F10" s="241" t="s">
        <v>436</v>
      </c>
      <c r="G10" s="242">
        <f t="shared" si="5"/>
        <v>6</v>
      </c>
      <c r="H10" s="243">
        <f t="shared" si="6"/>
        <v>1</v>
      </c>
      <c r="I10" s="242">
        <f t="shared" si="7"/>
        <v>6</v>
      </c>
      <c r="J10" s="244">
        <f t="shared" si="8"/>
        <v>4.3333333333333304</v>
      </c>
      <c r="K10" s="245">
        <f>表1温室气体盘查表!AL12</f>
        <v>-3833.1354830774699</v>
      </c>
      <c r="L10" s="246">
        <f t="shared" si="4"/>
        <v>-2.4691617883079302E-4</v>
      </c>
      <c r="M10" s="247">
        <f t="shared" si="9"/>
        <v>-1.0699701082667701E-3</v>
      </c>
    </row>
    <row r="11" spans="1:13">
      <c r="A11" s="239">
        <v>9</v>
      </c>
      <c r="B11" s="240" t="str">
        <f>表1温室气体盘查表!C13</f>
        <v>0#柴油燃烧</v>
      </c>
      <c r="C11" s="240" t="str">
        <f>表1温室气体盘查表!D13</f>
        <v>场内运输</v>
      </c>
      <c r="D11" s="241" t="s">
        <v>437</v>
      </c>
      <c r="E11" s="241" t="s">
        <v>435</v>
      </c>
      <c r="F11" s="241" t="s">
        <v>438</v>
      </c>
      <c r="G11" s="242">
        <f t="shared" si="5"/>
        <v>3</v>
      </c>
      <c r="H11" s="243">
        <f t="shared" si="6"/>
        <v>1</v>
      </c>
      <c r="I11" s="242">
        <f t="shared" si="7"/>
        <v>3</v>
      </c>
      <c r="J11" s="244">
        <f t="shared" si="8"/>
        <v>2.3333333333333299</v>
      </c>
      <c r="K11" s="245">
        <f>表1温室气体盘查表!AL13</f>
        <v>4417.0725986272801</v>
      </c>
      <c r="L11" s="246">
        <f t="shared" si="4"/>
        <v>2.8453121275943299E-4</v>
      </c>
      <c r="M11" s="247">
        <f t="shared" si="9"/>
        <v>6.6390616310534295E-4</v>
      </c>
    </row>
    <row r="12" spans="1:13">
      <c r="A12" s="239">
        <v>10</v>
      </c>
      <c r="B12" s="240" t="str">
        <f>表1温室气体盘查表!C14</f>
        <v>92#汽油燃烧</v>
      </c>
      <c r="C12" s="240" t="str">
        <f>表1温室气体盘查表!D14</f>
        <v>公务车</v>
      </c>
      <c r="D12" s="241" t="s">
        <v>437</v>
      </c>
      <c r="E12" s="241" t="s">
        <v>435</v>
      </c>
      <c r="F12" s="241" t="s">
        <v>438</v>
      </c>
      <c r="G12" s="242">
        <f t="shared" si="5"/>
        <v>3</v>
      </c>
      <c r="H12" s="243">
        <f t="shared" si="6"/>
        <v>1</v>
      </c>
      <c r="I12" s="242">
        <f t="shared" si="7"/>
        <v>3</v>
      </c>
      <c r="J12" s="244">
        <f t="shared" si="8"/>
        <v>2.3333333333333299</v>
      </c>
      <c r="K12" s="245">
        <f>表1温室气体盘查表!AL14</f>
        <v>149.47012378775401</v>
      </c>
      <c r="L12" s="246">
        <f t="shared" si="4"/>
        <v>9.6283035071348298E-6</v>
      </c>
      <c r="M12" s="247">
        <f t="shared" si="9"/>
        <v>2.2466041516647899E-5</v>
      </c>
    </row>
    <row r="13" spans="1:13" ht="18" customHeight="1">
      <c r="A13" s="239">
        <v>11</v>
      </c>
      <c r="B13" s="240" t="str">
        <f>表1温室气体盘查表!C15</f>
        <v>制冷剂逸散（R32）</v>
      </c>
      <c r="C13" s="240" t="str">
        <f>表1温室气体盘查表!D15</f>
        <v>分体式空调</v>
      </c>
      <c r="D13" s="241" t="s">
        <v>437</v>
      </c>
      <c r="E13" s="241" t="s">
        <v>439</v>
      </c>
      <c r="F13" s="241" t="s">
        <v>436</v>
      </c>
      <c r="G13" s="242">
        <f t="shared" si="5"/>
        <v>3</v>
      </c>
      <c r="H13" s="243">
        <f t="shared" si="6"/>
        <v>2</v>
      </c>
      <c r="I13" s="242">
        <f t="shared" si="7"/>
        <v>6</v>
      </c>
      <c r="J13" s="244">
        <f t="shared" si="8"/>
        <v>3.6666666666666701</v>
      </c>
      <c r="K13" s="245">
        <f>表1温室气体盘查表!AL15</f>
        <v>717.03</v>
      </c>
      <c r="L13" s="246">
        <f t="shared" si="4"/>
        <v>4.6188377240686503E-5</v>
      </c>
      <c r="M13" s="247">
        <f t="shared" si="9"/>
        <v>1.6935738321585E-4</v>
      </c>
    </row>
    <row r="14" spans="1:13" ht="18" customHeight="1">
      <c r="A14" s="239">
        <v>12</v>
      </c>
      <c r="B14" s="240" t="str">
        <f>表1温室气体盘查表!C16</f>
        <v>CO2逸散</v>
      </c>
      <c r="C14" s="240" t="str">
        <f>表1温室气体盘查表!D16</f>
        <v>二氧化碳灭火器</v>
      </c>
      <c r="D14" s="241" t="s">
        <v>437</v>
      </c>
      <c r="E14" s="241" t="s">
        <v>439</v>
      </c>
      <c r="F14" s="241" t="s">
        <v>436</v>
      </c>
      <c r="G14" s="242">
        <f t="shared" si="5"/>
        <v>3</v>
      </c>
      <c r="H14" s="243">
        <f t="shared" si="6"/>
        <v>2</v>
      </c>
      <c r="I14" s="242">
        <f t="shared" si="7"/>
        <v>6</v>
      </c>
      <c r="J14" s="244">
        <f t="shared" si="8"/>
        <v>3.6666666666666701</v>
      </c>
      <c r="K14" s="245">
        <f>表1温室气体盘查表!AL16</f>
        <v>0.66</v>
      </c>
      <c r="L14" s="246">
        <f t="shared" si="4"/>
        <v>4.25147190199198E-8</v>
      </c>
      <c r="M14" s="247">
        <f t="shared" si="9"/>
        <v>1.55887303073039E-7</v>
      </c>
    </row>
    <row r="15" spans="1:13" ht="18" customHeight="1">
      <c r="A15" s="239">
        <v>13</v>
      </c>
      <c r="B15" s="240" t="str">
        <f>表1温室气体盘查表!C17</f>
        <v>CH4逸散</v>
      </c>
      <c r="C15" s="240" t="str">
        <f>表1温室气体盘查表!D17</f>
        <v>化粪池</v>
      </c>
      <c r="D15" s="241" t="s">
        <v>437</v>
      </c>
      <c r="E15" s="241" t="s">
        <v>435</v>
      </c>
      <c r="F15" s="241" t="s">
        <v>436</v>
      </c>
      <c r="G15" s="242">
        <f t="shared" si="5"/>
        <v>3</v>
      </c>
      <c r="H15" s="243">
        <f t="shared" si="6"/>
        <v>1</v>
      </c>
      <c r="I15" s="242">
        <f t="shared" si="7"/>
        <v>6</v>
      </c>
      <c r="J15" s="244">
        <f t="shared" si="8"/>
        <v>3.3333333333333299</v>
      </c>
      <c r="K15" s="245">
        <f>表1温室气体盘查表!AL17</f>
        <v>112.29192</v>
      </c>
      <c r="L15" s="246">
        <f t="shared" si="4"/>
        <v>7.2334233742535004E-6</v>
      </c>
      <c r="M15" s="247">
        <f t="shared" si="9"/>
        <v>2.4111411247511698E-5</v>
      </c>
    </row>
    <row r="16" spans="1:13" ht="18" customHeight="1">
      <c r="A16" s="239">
        <v>14</v>
      </c>
      <c r="B16" s="240" t="str">
        <f>表1温室气体盘查表!C18</f>
        <v>CH4逸散</v>
      </c>
      <c r="C16" s="240" t="str">
        <f>表1温室气体盘查表!D18</f>
        <v>耗氧池</v>
      </c>
      <c r="D16" s="241" t="s">
        <v>437</v>
      </c>
      <c r="E16" s="241" t="s">
        <v>439</v>
      </c>
      <c r="F16" s="241" t="s">
        <v>436</v>
      </c>
      <c r="G16" s="242">
        <f t="shared" si="5"/>
        <v>3</v>
      </c>
      <c r="H16" s="243">
        <f t="shared" si="6"/>
        <v>2</v>
      </c>
      <c r="I16" s="242">
        <f t="shared" si="7"/>
        <v>6</v>
      </c>
      <c r="J16" s="244">
        <f t="shared" si="8"/>
        <v>3.6666666666666701</v>
      </c>
      <c r="K16" s="245">
        <f>表1温室气体盘查表!AL18</f>
        <v>365.58067499999999</v>
      </c>
      <c r="L16" s="246">
        <f t="shared" si="4"/>
        <v>2.3549332843541799E-5</v>
      </c>
      <c r="M16" s="247">
        <f t="shared" si="9"/>
        <v>8.6347553759653399E-5</v>
      </c>
    </row>
    <row r="17" spans="1:13" ht="18" customHeight="1">
      <c r="A17" s="239">
        <v>15</v>
      </c>
      <c r="B17" s="240" t="str">
        <f>表1温室气体盘查表!C19</f>
        <v>SF6逸散</v>
      </c>
      <c r="C17" s="240" t="str">
        <f>表1温室气体盘查表!D19</f>
        <v>高压开关</v>
      </c>
      <c r="D17" s="241" t="s">
        <v>437</v>
      </c>
      <c r="E17" s="241" t="s">
        <v>439</v>
      </c>
      <c r="F17" s="241" t="s">
        <v>436</v>
      </c>
      <c r="G17" s="242">
        <f t="shared" si="5"/>
        <v>3</v>
      </c>
      <c r="H17" s="243">
        <f t="shared" si="6"/>
        <v>2</v>
      </c>
      <c r="I17" s="242">
        <f t="shared" si="7"/>
        <v>6</v>
      </c>
      <c r="J17" s="244">
        <f t="shared" si="8"/>
        <v>3.6666666666666701</v>
      </c>
      <c r="K17" s="245">
        <f>表1温室气体盘查表!AL19</f>
        <v>2459.16</v>
      </c>
      <c r="L17" s="246">
        <f t="shared" si="4"/>
        <v>1.5840984306822101E-4</v>
      </c>
      <c r="M17" s="247">
        <f t="shared" si="9"/>
        <v>5.8083609125014399E-4</v>
      </c>
    </row>
    <row r="18" spans="1:13" ht="17.649999999999999" customHeight="1">
      <c r="A18" s="239">
        <v>16</v>
      </c>
      <c r="B18" s="240" t="str">
        <f>表1温室气体盘查表!C20</f>
        <v>石灰石</v>
      </c>
      <c r="C18" s="240" t="str">
        <f>表1温室气体盘查表!D20</f>
        <v>石灰窑</v>
      </c>
      <c r="D18" s="241" t="s">
        <v>437</v>
      </c>
      <c r="E18" s="241" t="s">
        <v>439</v>
      </c>
      <c r="F18" s="241" t="s">
        <v>436</v>
      </c>
      <c r="G18" s="242">
        <f t="shared" si="5"/>
        <v>3</v>
      </c>
      <c r="H18" s="243">
        <f t="shared" si="6"/>
        <v>2</v>
      </c>
      <c r="I18" s="242">
        <f t="shared" si="7"/>
        <v>6</v>
      </c>
      <c r="J18" s="244">
        <f t="shared" si="8"/>
        <v>3.6666666666666701</v>
      </c>
      <c r="K18" s="245">
        <f>表1温室气体盘查表!AL20</f>
        <v>8520.9387999999999</v>
      </c>
      <c r="L18" s="246">
        <f t="shared" si="4"/>
        <v>5.4888684676959395E-4</v>
      </c>
      <c r="M18" s="247">
        <f t="shared" si="9"/>
        <v>2.0125851048218499E-3</v>
      </c>
    </row>
    <row r="19" spans="1:13" ht="18" customHeight="1">
      <c r="A19" s="239">
        <v>17</v>
      </c>
      <c r="B19" s="240" t="str">
        <f>表1温室气体盘查表!C21</f>
        <v>白云石</v>
      </c>
      <c r="C19" s="240" t="str">
        <f>表1温室气体盘查表!D21</f>
        <v>高炉</v>
      </c>
      <c r="D19" s="241" t="s">
        <v>437</v>
      </c>
      <c r="E19" s="241" t="s">
        <v>439</v>
      </c>
      <c r="F19" s="241" t="s">
        <v>436</v>
      </c>
      <c r="G19" s="242">
        <f t="shared" si="5"/>
        <v>3</v>
      </c>
      <c r="H19" s="243">
        <f t="shared" si="6"/>
        <v>2</v>
      </c>
      <c r="I19" s="242">
        <f t="shared" si="7"/>
        <v>6</v>
      </c>
      <c r="J19" s="244">
        <f t="shared" si="8"/>
        <v>3.6666666666666701</v>
      </c>
      <c r="K19" s="245">
        <f>表1温室气体盘查表!AL21</f>
        <v>169593.74963999999</v>
      </c>
      <c r="L19" s="246">
        <f t="shared" si="4"/>
        <v>1.09245918386049E-2</v>
      </c>
      <c r="M19" s="247">
        <f t="shared" si="9"/>
        <v>4.0056836741551201E-2</v>
      </c>
    </row>
    <row r="20" spans="1:13" ht="18" customHeight="1">
      <c r="A20" s="239">
        <v>18</v>
      </c>
      <c r="B20" s="240" t="str">
        <f>表1温室气体盘查表!C22</f>
        <v>电极</v>
      </c>
      <c r="C20" s="240" t="str">
        <f>表1温室气体盘查表!D22</f>
        <v>炼钢</v>
      </c>
      <c r="D20" s="241" t="s">
        <v>437</v>
      </c>
      <c r="E20" s="241" t="s">
        <v>435</v>
      </c>
      <c r="F20" s="241" t="s">
        <v>436</v>
      </c>
      <c r="G20" s="242">
        <f t="shared" si="5"/>
        <v>3</v>
      </c>
      <c r="H20" s="243">
        <f t="shared" si="6"/>
        <v>1</v>
      </c>
      <c r="I20" s="242">
        <f t="shared" si="7"/>
        <v>6</v>
      </c>
      <c r="J20" s="244">
        <f t="shared" si="8"/>
        <v>3.3333333333333299</v>
      </c>
      <c r="K20" s="245">
        <f>表1温室气体盘查表!AL22</f>
        <v>17447.125410000001</v>
      </c>
      <c r="L20" s="246">
        <f t="shared" si="4"/>
        <v>1.1238782341082599E-3</v>
      </c>
      <c r="M20" s="247">
        <f t="shared" si="9"/>
        <v>3.7462607803608701E-3</v>
      </c>
    </row>
    <row r="21" spans="1:13" ht="18" customHeight="1">
      <c r="A21" s="239">
        <v>19</v>
      </c>
      <c r="B21" s="240" t="str">
        <f>表1温室气体盘查表!C23</f>
        <v>废钢</v>
      </c>
      <c r="C21" s="240" t="str">
        <f>表1温室气体盘查表!D23</f>
        <v>炼钢</v>
      </c>
      <c r="D21" s="241" t="s">
        <v>437</v>
      </c>
      <c r="E21" s="241" t="s">
        <v>439</v>
      </c>
      <c r="F21" s="241" t="s">
        <v>436</v>
      </c>
      <c r="G21" s="242">
        <f t="shared" si="5"/>
        <v>3</v>
      </c>
      <c r="H21" s="243">
        <f t="shared" si="6"/>
        <v>2</v>
      </c>
      <c r="I21" s="242">
        <f t="shared" si="7"/>
        <v>6</v>
      </c>
      <c r="J21" s="244">
        <f t="shared" si="8"/>
        <v>3.6666666666666701</v>
      </c>
      <c r="K21" s="245">
        <f>表1温室气体盘查表!AL23</f>
        <v>39875.737794618602</v>
      </c>
      <c r="L21" s="246">
        <f t="shared" si="4"/>
        <v>2.5686451334093999E-3</v>
      </c>
      <c r="M21" s="247">
        <f t="shared" si="9"/>
        <v>9.4183654891677997E-3</v>
      </c>
    </row>
    <row r="22" spans="1:13" ht="18" customHeight="1">
      <c r="A22" s="239">
        <v>20</v>
      </c>
      <c r="B22" s="240" t="str">
        <f>表1温室气体盘查表!C24</f>
        <v>锰铁</v>
      </c>
      <c r="C22" s="240" t="str">
        <f>表1温室气体盘查表!D24</f>
        <v>炼钢</v>
      </c>
      <c r="D22" s="241" t="s">
        <v>437</v>
      </c>
      <c r="E22" s="241" t="s">
        <v>439</v>
      </c>
      <c r="F22" s="241" t="s">
        <v>436</v>
      </c>
      <c r="G22" s="242">
        <f t="shared" si="5"/>
        <v>3</v>
      </c>
      <c r="H22" s="243">
        <f t="shared" si="6"/>
        <v>2</v>
      </c>
      <c r="I22" s="242">
        <f t="shared" si="7"/>
        <v>6</v>
      </c>
      <c r="J22" s="244">
        <f t="shared" si="8"/>
        <v>3.6666666666666701</v>
      </c>
      <c r="K22" s="245">
        <f>表1温室气体盘查表!AL24</f>
        <v>13114.101000000001</v>
      </c>
      <c r="L22" s="246">
        <f t="shared" si="4"/>
        <v>8.4476108971795298E-4</v>
      </c>
      <c r="M22" s="247">
        <f t="shared" si="9"/>
        <v>3.0974573289658299E-3</v>
      </c>
    </row>
    <row r="23" spans="1:13" ht="18" customHeight="1">
      <c r="A23" s="239">
        <v>21</v>
      </c>
      <c r="B23" s="240" t="str">
        <f>表1温室气体盘查表!C25</f>
        <v>镍铁</v>
      </c>
      <c r="C23" s="240" t="str">
        <f>表1温室气体盘查表!D25</f>
        <v>炼钢</v>
      </c>
      <c r="D23" s="241" t="s">
        <v>437</v>
      </c>
      <c r="E23" s="241" t="s">
        <v>439</v>
      </c>
      <c r="F23" s="241" t="s">
        <v>436</v>
      </c>
      <c r="G23" s="242">
        <f t="shared" si="5"/>
        <v>3</v>
      </c>
      <c r="H23" s="243">
        <f t="shared" si="6"/>
        <v>2</v>
      </c>
      <c r="I23" s="242">
        <f t="shared" si="7"/>
        <v>6</v>
      </c>
      <c r="J23" s="244">
        <f t="shared" si="8"/>
        <v>3.6666666666666701</v>
      </c>
      <c r="K23" s="245">
        <f>表1温室气体盘查表!AL25</f>
        <v>349.46906999999999</v>
      </c>
      <c r="L23" s="246">
        <f t="shared" si="4"/>
        <v>2.2511483813943402E-5</v>
      </c>
      <c r="M23" s="247">
        <f t="shared" si="9"/>
        <v>8.2542107317792602E-5</v>
      </c>
    </row>
    <row r="24" spans="1:13" ht="18" customHeight="1">
      <c r="A24" s="239">
        <v>22</v>
      </c>
      <c r="B24" s="240" t="str">
        <f>表1温室气体盘查表!C26</f>
        <v>铬铁</v>
      </c>
      <c r="C24" s="240" t="str">
        <f>表1温室气体盘查表!D26</f>
        <v>炼钢</v>
      </c>
      <c r="D24" s="241" t="s">
        <v>437</v>
      </c>
      <c r="E24" s="241" t="s">
        <v>439</v>
      </c>
      <c r="F24" s="241" t="s">
        <v>436</v>
      </c>
      <c r="G24" s="242">
        <f t="shared" si="5"/>
        <v>3</v>
      </c>
      <c r="H24" s="243">
        <f t="shared" si="6"/>
        <v>2</v>
      </c>
      <c r="I24" s="242">
        <f t="shared" si="7"/>
        <v>6</v>
      </c>
      <c r="J24" s="244">
        <f t="shared" si="8"/>
        <v>3.6666666666666701</v>
      </c>
      <c r="K24" s="245">
        <f>表1温室气体盘查表!AL26</f>
        <v>22918.907292</v>
      </c>
      <c r="L24" s="246">
        <f t="shared" si="4"/>
        <v>1.47634985418632E-3</v>
      </c>
      <c r="M24" s="247">
        <f t="shared" si="9"/>
        <v>5.4132827986831701E-3</v>
      </c>
    </row>
    <row r="25" spans="1:13" ht="18" customHeight="1">
      <c r="A25" s="239">
        <v>23</v>
      </c>
      <c r="B25" s="240" t="str">
        <f>表1温室气体盘查表!C27</f>
        <v>硅铁</v>
      </c>
      <c r="C25" s="240" t="str">
        <f>表1温室气体盘查表!D27</f>
        <v>炼钢</v>
      </c>
      <c r="D25" s="241" t="s">
        <v>437</v>
      </c>
      <c r="E25" s="241" t="s">
        <v>439</v>
      </c>
      <c r="F25" s="241" t="s">
        <v>436</v>
      </c>
      <c r="G25" s="242">
        <f t="shared" si="5"/>
        <v>3</v>
      </c>
      <c r="H25" s="243">
        <f t="shared" si="6"/>
        <v>2</v>
      </c>
      <c r="I25" s="242">
        <f t="shared" si="7"/>
        <v>6</v>
      </c>
      <c r="J25" s="244">
        <f t="shared" si="8"/>
        <v>3.6666666666666701</v>
      </c>
      <c r="K25" s="245">
        <f>表1温室气体盘查表!AL27</f>
        <v>74.707359999999994</v>
      </c>
      <c r="L25" s="246">
        <f t="shared" si="4"/>
        <v>4.8123673016969596E-6</v>
      </c>
      <c r="M25" s="247">
        <f t="shared" si="9"/>
        <v>1.7645346772888899E-5</v>
      </c>
    </row>
    <row r="26" spans="1:13" ht="18" customHeight="1">
      <c r="A26" s="239">
        <v>24</v>
      </c>
      <c r="B26" s="240" t="str">
        <f>表1温室气体盘查表!C28</f>
        <v>钼铁</v>
      </c>
      <c r="C26" s="240" t="str">
        <f>表1温室气体盘查表!D28</f>
        <v>炼钢</v>
      </c>
      <c r="D26" s="241" t="s">
        <v>437</v>
      </c>
      <c r="E26" s="241" t="s">
        <v>439</v>
      </c>
      <c r="F26" s="241" t="s">
        <v>436</v>
      </c>
      <c r="G26" s="242">
        <f t="shared" si="5"/>
        <v>3</v>
      </c>
      <c r="H26" s="243">
        <f t="shared" si="6"/>
        <v>2</v>
      </c>
      <c r="I26" s="242">
        <f t="shared" si="7"/>
        <v>6</v>
      </c>
      <c r="J26" s="244">
        <f t="shared" si="8"/>
        <v>3.6666666666666701</v>
      </c>
      <c r="K26" s="245">
        <f>表1温室气体盘查表!AL28</f>
        <v>143.01295200000001</v>
      </c>
      <c r="L26" s="246">
        <f t="shared" si="4"/>
        <v>9.2123567734685997E-6</v>
      </c>
      <c r="M26" s="247">
        <f t="shared" si="9"/>
        <v>3.3778641502718202E-5</v>
      </c>
    </row>
    <row r="27" spans="1:13" ht="18" customHeight="1">
      <c r="A27" s="239">
        <v>25</v>
      </c>
      <c r="B27" s="240" t="str">
        <f>表1温室气体盘查表!C29</f>
        <v>钢坯</v>
      </c>
      <c r="C27" s="240" t="str">
        <f>表1温室气体盘查表!D29</f>
        <v>固碳产品</v>
      </c>
      <c r="D27" s="241" t="s">
        <v>437</v>
      </c>
      <c r="E27" s="241" t="s">
        <v>439</v>
      </c>
      <c r="F27" s="241" t="s">
        <v>436</v>
      </c>
      <c r="G27" s="242">
        <f t="shared" si="5"/>
        <v>3</v>
      </c>
      <c r="H27" s="243">
        <f t="shared" si="6"/>
        <v>2</v>
      </c>
      <c r="I27" s="242">
        <f t="shared" si="7"/>
        <v>6</v>
      </c>
      <c r="J27" s="244">
        <f t="shared" si="8"/>
        <v>3.6666666666666701</v>
      </c>
      <c r="K27" s="245">
        <f>表1温室气体盘查表!AL29</f>
        <v>-160314.41177999999</v>
      </c>
      <c r="L27" s="246">
        <f t="shared" si="4"/>
        <v>-1.0326851775258199E-2</v>
      </c>
      <c r="M27" s="247">
        <f t="shared" si="9"/>
        <v>-3.7865123175946799E-2</v>
      </c>
    </row>
    <row r="28" spans="1:13" ht="18" customHeight="1">
      <c r="A28" s="239">
        <v>26</v>
      </c>
      <c r="B28" s="240" t="str">
        <f>表1温室气体盘查表!C30</f>
        <v>粗苯</v>
      </c>
      <c r="C28" s="240" t="str">
        <f>表1温室气体盘查表!D30</f>
        <v>外售</v>
      </c>
      <c r="D28" s="241" t="s">
        <v>437</v>
      </c>
      <c r="E28" s="241" t="s">
        <v>439</v>
      </c>
      <c r="F28" s="241" t="s">
        <v>436</v>
      </c>
      <c r="G28" s="242">
        <f t="shared" si="5"/>
        <v>3</v>
      </c>
      <c r="H28" s="243">
        <f t="shared" si="6"/>
        <v>2</v>
      </c>
      <c r="I28" s="242">
        <f t="shared" si="7"/>
        <v>6</v>
      </c>
      <c r="J28" s="244">
        <f t="shared" si="8"/>
        <v>3.6666666666666701</v>
      </c>
      <c r="K28" s="245">
        <f>表1温室气体盘查表!AL30</f>
        <v>-65952.990760000001</v>
      </c>
      <c r="L28" s="246">
        <f t="shared" si="4"/>
        <v>-4.2484437434617698E-3</v>
      </c>
      <c r="M28" s="247">
        <f t="shared" si="9"/>
        <v>-1.55776270593598E-2</v>
      </c>
    </row>
    <row r="29" spans="1:13" ht="18" customHeight="1">
      <c r="A29" s="239">
        <v>27</v>
      </c>
      <c r="B29" s="240" t="str">
        <f>表1温室气体盘查表!C31</f>
        <v>煤焦油</v>
      </c>
      <c r="C29" s="240" t="str">
        <f>表1温室气体盘查表!D31</f>
        <v>危废处置</v>
      </c>
      <c r="D29" s="241" t="s">
        <v>437</v>
      </c>
      <c r="E29" s="241" t="s">
        <v>439</v>
      </c>
      <c r="F29" s="241" t="s">
        <v>436</v>
      </c>
      <c r="G29" s="242">
        <f t="shared" si="5"/>
        <v>3</v>
      </c>
      <c r="H29" s="243">
        <f t="shared" si="6"/>
        <v>2</v>
      </c>
      <c r="I29" s="242">
        <f t="shared" si="7"/>
        <v>6</v>
      </c>
      <c r="J29" s="244">
        <f t="shared" si="8"/>
        <v>3.6666666666666701</v>
      </c>
      <c r="K29" s="245">
        <f>表1温室气体盘查表!AL31</f>
        <v>-159387.0159</v>
      </c>
      <c r="L29" s="246">
        <f t="shared" si="4"/>
        <v>-1.0267112418806E-2</v>
      </c>
      <c r="M29" s="247">
        <f t="shared" si="9"/>
        <v>-3.7646078868955497E-2</v>
      </c>
    </row>
    <row r="30" spans="1:13" ht="18" customHeight="1">
      <c r="A30" s="239">
        <v>28</v>
      </c>
      <c r="B30" s="240" t="str">
        <f>表1温室气体盘查表!C32</f>
        <v>外购电力（基于位置）</v>
      </c>
      <c r="C30" s="240" t="str">
        <f>表1温室气体盘查表!D32</f>
        <v>用电设备</v>
      </c>
      <c r="D30" s="241" t="s">
        <v>434</v>
      </c>
      <c r="E30" s="241" t="s">
        <v>439</v>
      </c>
      <c r="F30" s="241" t="s">
        <v>436</v>
      </c>
      <c r="G30" s="242">
        <f t="shared" si="5"/>
        <v>6</v>
      </c>
      <c r="H30" s="243">
        <f t="shared" si="6"/>
        <v>2</v>
      </c>
      <c r="I30" s="242">
        <f t="shared" si="7"/>
        <v>6</v>
      </c>
      <c r="J30" s="244">
        <f t="shared" si="8"/>
        <v>4.6666666666666696</v>
      </c>
      <c r="K30" s="245">
        <f>表1温室气体盘查表!AL32</f>
        <v>1069378.747982</v>
      </c>
      <c r="L30" s="246">
        <f t="shared" si="4"/>
        <v>6.8885359085346001E-2</v>
      </c>
      <c r="M30" s="247">
        <f t="shared" si="9"/>
        <v>0.32146500906494802</v>
      </c>
    </row>
    <row r="31" spans="1:13" ht="18" customHeight="1">
      <c r="A31" s="239">
        <v>29</v>
      </c>
      <c r="B31" s="240" t="str">
        <f>表1温室气体盘查表!C34</f>
        <v>铁矿石生产</v>
      </c>
      <c r="C31" s="240" t="str">
        <f>表1温室气体盘查表!D34</f>
        <v>烧结</v>
      </c>
      <c r="D31" s="241" t="s">
        <v>437</v>
      </c>
      <c r="E31" s="241" t="s">
        <v>439</v>
      </c>
      <c r="F31" s="241" t="s">
        <v>436</v>
      </c>
      <c r="G31" s="242">
        <f t="shared" si="5"/>
        <v>3</v>
      </c>
      <c r="H31" s="243">
        <f t="shared" si="6"/>
        <v>2</v>
      </c>
      <c r="I31" s="242">
        <f t="shared" si="7"/>
        <v>6</v>
      </c>
      <c r="J31" s="244">
        <f t="shared" si="8"/>
        <v>3.6666666666666701</v>
      </c>
      <c r="K31" s="245">
        <f>表1温室气体盘查表!AL34</f>
        <v>448588.57632498001</v>
      </c>
      <c r="L31" s="246">
        <f t="shared" si="4"/>
        <v>2.8896389815155101E-2</v>
      </c>
      <c r="M31" s="247">
        <f t="shared" si="9"/>
        <v>0.105953429322235</v>
      </c>
    </row>
    <row r="32" spans="1:13" ht="18" customHeight="1">
      <c r="A32" s="239">
        <v>30</v>
      </c>
      <c r="B32" s="240" t="str">
        <f>表1温室气体盘查表!C35</f>
        <v>生石灰生产</v>
      </c>
      <c r="C32" s="240" t="str">
        <f>表1温室气体盘查表!D35</f>
        <v>烧结、转炉、电炉</v>
      </c>
      <c r="D32" s="241" t="s">
        <v>437</v>
      </c>
      <c r="E32" s="241" t="s">
        <v>435</v>
      </c>
      <c r="F32" s="241" t="s">
        <v>436</v>
      </c>
      <c r="G32" s="242">
        <f t="shared" si="5"/>
        <v>3</v>
      </c>
      <c r="H32" s="243">
        <f t="shared" si="6"/>
        <v>1</v>
      </c>
      <c r="I32" s="242">
        <f t="shared" si="7"/>
        <v>6</v>
      </c>
      <c r="J32" s="244">
        <f t="shared" si="8"/>
        <v>3.3333333333333299</v>
      </c>
      <c r="K32" s="245">
        <f>表1温室气体盘查表!AL35</f>
        <v>727500.38047630398</v>
      </c>
      <c r="L32" s="246">
        <f t="shared" si="4"/>
        <v>4.6862839792173899E-2</v>
      </c>
      <c r="M32" s="247">
        <f t="shared" si="9"/>
        <v>0.156209465973913</v>
      </c>
    </row>
    <row r="33" spans="1:13" ht="18" customHeight="1">
      <c r="A33" s="239">
        <v>31</v>
      </c>
      <c r="B33" s="240" t="str">
        <f>表1温室气体盘查表!C36</f>
        <v>石灰石生产</v>
      </c>
      <c r="C33" s="240" t="str">
        <f>表1温室气体盘查表!D36</f>
        <v>转炉</v>
      </c>
      <c r="D33" s="241" t="s">
        <v>437</v>
      </c>
      <c r="E33" s="241" t="s">
        <v>435</v>
      </c>
      <c r="F33" s="241" t="s">
        <v>436</v>
      </c>
      <c r="G33" s="242">
        <f t="shared" si="5"/>
        <v>3</v>
      </c>
      <c r="H33" s="243">
        <f t="shared" si="6"/>
        <v>1</v>
      </c>
      <c r="I33" s="242">
        <f t="shared" si="7"/>
        <v>6</v>
      </c>
      <c r="J33" s="244">
        <f t="shared" si="8"/>
        <v>3.3333333333333299</v>
      </c>
      <c r="K33" s="245">
        <f>表1温室气体盘查表!AL36</f>
        <v>58.676346522999999</v>
      </c>
      <c r="L33" s="246">
        <f t="shared" si="4"/>
        <v>3.7797096750618102E-6</v>
      </c>
      <c r="M33" s="247">
        <f t="shared" si="9"/>
        <v>1.2599032250206001E-5</v>
      </c>
    </row>
    <row r="34" spans="1:13" ht="18" customHeight="1">
      <c r="A34" s="239">
        <v>32</v>
      </c>
      <c r="B34" s="240" t="str">
        <f>表1温室气体盘查表!C37</f>
        <v>白云石生产</v>
      </c>
      <c r="C34" s="240" t="str">
        <f>表1温室气体盘查表!D37</f>
        <v>烧结、转炉、电炉</v>
      </c>
      <c r="D34" s="241" t="s">
        <v>437</v>
      </c>
      <c r="E34" s="241" t="s">
        <v>435</v>
      </c>
      <c r="F34" s="241" t="s">
        <v>436</v>
      </c>
      <c r="G34" s="242">
        <f t="shared" si="5"/>
        <v>3</v>
      </c>
      <c r="H34" s="243">
        <f t="shared" si="6"/>
        <v>1</v>
      </c>
      <c r="I34" s="242">
        <f t="shared" si="7"/>
        <v>6</v>
      </c>
      <c r="J34" s="244">
        <f t="shared" si="8"/>
        <v>3.3333333333333299</v>
      </c>
      <c r="K34" s="245">
        <f>表1温室气体盘查表!AL37</f>
        <v>46435.196198700003</v>
      </c>
      <c r="L34" s="246">
        <f t="shared" si="4"/>
        <v>2.99118078639784E-3</v>
      </c>
      <c r="M34" s="247">
        <f t="shared" si="9"/>
        <v>9.9706026213261505E-3</v>
      </c>
    </row>
    <row r="35" spans="1:13" ht="18" customHeight="1">
      <c r="A35" s="239">
        <v>33</v>
      </c>
      <c r="B35" s="240" t="str">
        <f>表1温室气体盘查表!C38</f>
        <v>轻烧白云石生产</v>
      </c>
      <c r="C35" s="240" t="str">
        <f>表1温室气体盘查表!D38</f>
        <v>转炉、电炉</v>
      </c>
      <c r="D35" s="241" t="s">
        <v>437</v>
      </c>
      <c r="E35" s="241" t="s">
        <v>435</v>
      </c>
      <c r="F35" s="241" t="s">
        <v>436</v>
      </c>
      <c r="G35" s="242">
        <f t="shared" si="5"/>
        <v>3</v>
      </c>
      <c r="H35" s="243">
        <f t="shared" si="6"/>
        <v>1</v>
      </c>
      <c r="I35" s="242">
        <f t="shared" si="7"/>
        <v>6</v>
      </c>
      <c r="J35" s="244">
        <f t="shared" si="8"/>
        <v>3.3333333333333299</v>
      </c>
      <c r="K35" s="245">
        <f>表1温室气体盘查表!AL38</f>
        <v>363.20885720000001</v>
      </c>
      <c r="L35" s="246">
        <f t="shared" ref="L35:L66" si="10">K35/$K$101</f>
        <v>2.3396549256672998E-5</v>
      </c>
      <c r="M35" s="247">
        <f t="shared" si="9"/>
        <v>7.7988497522243306E-5</v>
      </c>
    </row>
    <row r="36" spans="1:13" ht="18" customHeight="1">
      <c r="A36" s="239">
        <v>34</v>
      </c>
      <c r="B36" s="240" t="str">
        <f>表1温室气体盘查表!C39</f>
        <v>球团生产</v>
      </c>
      <c r="C36" s="240" t="str">
        <f>表1温室气体盘查表!D39</f>
        <v>高炉、转炉</v>
      </c>
      <c r="D36" s="241" t="s">
        <v>437</v>
      </c>
      <c r="E36" s="241" t="s">
        <v>435</v>
      </c>
      <c r="F36" s="241" t="s">
        <v>436</v>
      </c>
      <c r="G36" s="242">
        <f t="shared" si="5"/>
        <v>3</v>
      </c>
      <c r="H36" s="243">
        <f t="shared" si="6"/>
        <v>1</v>
      </c>
      <c r="I36" s="242">
        <f t="shared" si="7"/>
        <v>6</v>
      </c>
      <c r="J36" s="244">
        <f t="shared" si="8"/>
        <v>3.3333333333333299</v>
      </c>
      <c r="K36" s="245">
        <f>表1温室气体盘查表!AL39</f>
        <v>71601.050909400001</v>
      </c>
      <c r="L36" s="246">
        <f t="shared" si="10"/>
        <v>4.6122705468850198E-3</v>
      </c>
      <c r="M36" s="247">
        <f t="shared" si="9"/>
        <v>1.5374235156283399E-2</v>
      </c>
    </row>
    <row r="37" spans="1:13" ht="18" customHeight="1">
      <c r="A37" s="239">
        <v>35</v>
      </c>
      <c r="B37" s="240" t="str">
        <f>表1温室气体盘查表!C40</f>
        <v>废钢生产</v>
      </c>
      <c r="C37" s="240" t="str">
        <f>表1温室气体盘查表!D40</f>
        <v>转炉、电炉</v>
      </c>
      <c r="D37" s="241" t="s">
        <v>437</v>
      </c>
      <c r="E37" s="241" t="s">
        <v>435</v>
      </c>
      <c r="F37" s="241" t="s">
        <v>436</v>
      </c>
      <c r="G37" s="242">
        <f t="shared" si="5"/>
        <v>3</v>
      </c>
      <c r="H37" s="243">
        <f t="shared" si="6"/>
        <v>1</v>
      </c>
      <c r="I37" s="242">
        <f t="shared" si="7"/>
        <v>6</v>
      </c>
      <c r="J37" s="244">
        <f t="shared" si="8"/>
        <v>3.3333333333333299</v>
      </c>
      <c r="K37" s="245">
        <f>表1温室气体盘查表!AL40</f>
        <v>79944.387942351706</v>
      </c>
      <c r="L37" s="246">
        <f t="shared" si="10"/>
        <v>5.1497169554371898E-3</v>
      </c>
      <c r="M37" s="247">
        <f t="shared" si="9"/>
        <v>1.71657231847906E-2</v>
      </c>
    </row>
    <row r="38" spans="1:13" ht="18" customHeight="1">
      <c r="A38" s="239">
        <v>36</v>
      </c>
      <c r="B38" s="240" t="str">
        <f>表1温室气体盘查表!C41</f>
        <v>电极生产</v>
      </c>
      <c r="C38" s="240" t="str">
        <f>表1温室气体盘查表!D41</f>
        <v>转炉、电炉</v>
      </c>
      <c r="D38" s="241" t="s">
        <v>437</v>
      </c>
      <c r="E38" s="241" t="s">
        <v>435</v>
      </c>
      <c r="F38" s="241" t="s">
        <v>436</v>
      </c>
      <c r="G38" s="242">
        <f t="shared" si="5"/>
        <v>3</v>
      </c>
      <c r="H38" s="243">
        <f t="shared" si="6"/>
        <v>1</v>
      </c>
      <c r="I38" s="242">
        <f t="shared" si="7"/>
        <v>6</v>
      </c>
      <c r="J38" s="244">
        <f t="shared" si="8"/>
        <v>3.3333333333333299</v>
      </c>
      <c r="K38" s="245">
        <f>表1温室气体盘查表!AL41</f>
        <v>37742.8121526018</v>
      </c>
      <c r="L38" s="246">
        <f t="shared" si="10"/>
        <v>2.4312500813476901E-3</v>
      </c>
      <c r="M38" s="247">
        <f t="shared" si="9"/>
        <v>8.1041669378256395E-3</v>
      </c>
    </row>
    <row r="39" spans="1:13" ht="18" customHeight="1">
      <c r="A39" s="239">
        <v>37</v>
      </c>
      <c r="B39" s="240" t="str">
        <f>表1温室气体盘查表!C42</f>
        <v>锰铁生产</v>
      </c>
      <c r="C39" s="240" t="str">
        <f>表1温室气体盘查表!D42</f>
        <v>转炉、电炉</v>
      </c>
      <c r="D39" s="241" t="s">
        <v>437</v>
      </c>
      <c r="E39" s="241" t="s">
        <v>435</v>
      </c>
      <c r="F39" s="241" t="s">
        <v>436</v>
      </c>
      <c r="G39" s="242">
        <f t="shared" si="5"/>
        <v>3</v>
      </c>
      <c r="H39" s="243">
        <f t="shared" si="6"/>
        <v>1</v>
      </c>
      <c r="I39" s="242">
        <f t="shared" si="7"/>
        <v>6</v>
      </c>
      <c r="J39" s="244">
        <f t="shared" si="8"/>
        <v>3.3333333333333299</v>
      </c>
      <c r="K39" s="245">
        <f>表1温室气体盘查表!AL42</f>
        <v>141868.58169600001</v>
      </c>
      <c r="L39" s="246">
        <f t="shared" si="10"/>
        <v>9.1386407402423795E-3</v>
      </c>
      <c r="M39" s="247">
        <f t="shared" si="9"/>
        <v>3.04621358008079E-2</v>
      </c>
    </row>
    <row r="40" spans="1:13" ht="18" customHeight="1">
      <c r="A40" s="239">
        <v>38</v>
      </c>
      <c r="B40" s="240" t="str">
        <f>表1温室气体盘查表!C43</f>
        <v>镍铁生产</v>
      </c>
      <c r="C40" s="240" t="str">
        <f>表1温室气体盘查表!D43</f>
        <v>转炉、电炉</v>
      </c>
      <c r="D40" s="241" t="s">
        <v>437</v>
      </c>
      <c r="E40" s="241" t="s">
        <v>435</v>
      </c>
      <c r="F40" s="241" t="s">
        <v>436</v>
      </c>
      <c r="G40" s="242">
        <f t="shared" si="5"/>
        <v>3</v>
      </c>
      <c r="H40" s="243">
        <f t="shared" si="6"/>
        <v>1</v>
      </c>
      <c r="I40" s="242">
        <f t="shared" si="7"/>
        <v>6</v>
      </c>
      <c r="J40" s="244">
        <f t="shared" si="8"/>
        <v>3.3333333333333299</v>
      </c>
      <c r="K40" s="245">
        <f>表1温室气体盘查表!AL43</f>
        <v>84819.123026999994</v>
      </c>
      <c r="L40" s="246">
        <f t="shared" si="10"/>
        <v>5.4637290651650197E-3</v>
      </c>
      <c r="M40" s="247">
        <f t="shared" si="9"/>
        <v>1.8212430217216701E-2</v>
      </c>
    </row>
    <row r="41" spans="1:13" ht="18" customHeight="1">
      <c r="A41" s="239">
        <v>39</v>
      </c>
      <c r="B41" s="240" t="str">
        <f>表1温室气体盘查表!C44</f>
        <v>铬铁生产</v>
      </c>
      <c r="C41" s="240" t="str">
        <f>表1温室气体盘查表!D44</f>
        <v>转炉、电炉</v>
      </c>
      <c r="D41" s="241" t="s">
        <v>437</v>
      </c>
      <c r="E41" s="241" t="s">
        <v>435</v>
      </c>
      <c r="F41" s="241" t="s">
        <v>436</v>
      </c>
      <c r="G41" s="242">
        <f t="shared" si="5"/>
        <v>3</v>
      </c>
      <c r="H41" s="243">
        <f t="shared" si="6"/>
        <v>1</v>
      </c>
      <c r="I41" s="242">
        <f t="shared" si="7"/>
        <v>6</v>
      </c>
      <c r="J41" s="244">
        <f t="shared" si="8"/>
        <v>3.3333333333333299</v>
      </c>
      <c r="K41" s="245">
        <f>表1温室气体盘查表!AL44</f>
        <v>345101.44475299999</v>
      </c>
      <c r="L41" s="246">
        <f t="shared" si="10"/>
        <v>2.2230137813700201E-2</v>
      </c>
      <c r="M41" s="247">
        <f t="shared" si="9"/>
        <v>7.4100459379000796E-2</v>
      </c>
    </row>
    <row r="42" spans="1:13" ht="18" customHeight="1">
      <c r="A42" s="239">
        <v>40</v>
      </c>
      <c r="B42" s="240" t="str">
        <f>表1温室气体盘查表!C45</f>
        <v>萤石生产</v>
      </c>
      <c r="C42" s="240" t="str">
        <f>表1温室气体盘查表!D45</f>
        <v>转炉、电炉</v>
      </c>
      <c r="D42" s="241" t="s">
        <v>437</v>
      </c>
      <c r="E42" s="241" t="s">
        <v>435</v>
      </c>
      <c r="F42" s="241" t="s">
        <v>436</v>
      </c>
      <c r="G42" s="242">
        <f t="shared" si="5"/>
        <v>3</v>
      </c>
      <c r="H42" s="243">
        <f t="shared" si="6"/>
        <v>1</v>
      </c>
      <c r="I42" s="242">
        <f t="shared" si="7"/>
        <v>6</v>
      </c>
      <c r="J42" s="244">
        <f t="shared" si="8"/>
        <v>3.3333333333333299</v>
      </c>
      <c r="K42" s="245">
        <f>表1温室气体盘查表!AL45</f>
        <v>685.06218720000004</v>
      </c>
      <c r="L42" s="246">
        <f t="shared" si="10"/>
        <v>4.4129130909060099E-5</v>
      </c>
      <c r="M42" s="247">
        <f t="shared" si="9"/>
        <v>1.4709710303019999E-4</v>
      </c>
    </row>
    <row r="43" spans="1:13" ht="18" customHeight="1">
      <c r="A43" s="239">
        <v>41</v>
      </c>
      <c r="B43" s="240" t="str">
        <f>表1温室气体盘查表!C46</f>
        <v>硅铁生产</v>
      </c>
      <c r="C43" s="240" t="str">
        <f>表1温室气体盘查表!D46</f>
        <v>转炉、电炉</v>
      </c>
      <c r="D43" s="241" t="s">
        <v>437</v>
      </c>
      <c r="E43" s="241" t="s">
        <v>435</v>
      </c>
      <c r="F43" s="241" t="s">
        <v>436</v>
      </c>
      <c r="G43" s="242">
        <f t="shared" si="5"/>
        <v>3</v>
      </c>
      <c r="H43" s="243">
        <f t="shared" si="6"/>
        <v>1</v>
      </c>
      <c r="I43" s="242">
        <f t="shared" si="7"/>
        <v>6</v>
      </c>
      <c r="J43" s="244">
        <f t="shared" si="8"/>
        <v>3.3333333333333299</v>
      </c>
      <c r="K43" s="245">
        <f>表1温室气体盘查表!AL46</f>
        <v>103575.7833</v>
      </c>
      <c r="L43" s="246">
        <f t="shared" si="10"/>
        <v>6.67196261252667E-3</v>
      </c>
      <c r="M43" s="247">
        <f t="shared" si="9"/>
        <v>2.22398753750889E-2</v>
      </c>
    </row>
    <row r="44" spans="1:13" ht="18" customHeight="1">
      <c r="A44" s="239">
        <v>42</v>
      </c>
      <c r="B44" s="240" t="str">
        <f>表1温室气体盘查表!C47</f>
        <v>钼铁生产</v>
      </c>
      <c r="C44" s="240" t="str">
        <f>表1温室气体盘查表!D47</f>
        <v>转炉、电炉</v>
      </c>
      <c r="D44" s="241" t="s">
        <v>437</v>
      </c>
      <c r="E44" s="241" t="s">
        <v>435</v>
      </c>
      <c r="F44" s="241" t="s">
        <v>436</v>
      </c>
      <c r="G44" s="242">
        <f t="shared" si="5"/>
        <v>3</v>
      </c>
      <c r="H44" s="243">
        <f t="shared" si="6"/>
        <v>1</v>
      </c>
      <c r="I44" s="242">
        <f t="shared" si="7"/>
        <v>6</v>
      </c>
      <c r="J44" s="244">
        <f t="shared" si="8"/>
        <v>3.3333333333333299</v>
      </c>
      <c r="K44" s="245">
        <f>表1温室气体盘查表!AL47</f>
        <v>66065.399999999994</v>
      </c>
      <c r="L44" s="246">
        <f t="shared" si="10"/>
        <v>4.2556847241494097E-3</v>
      </c>
      <c r="M44" s="247">
        <f t="shared" si="9"/>
        <v>1.41856157471647E-2</v>
      </c>
    </row>
    <row r="45" spans="1:13" ht="18" customHeight="1">
      <c r="A45" s="239">
        <v>43</v>
      </c>
      <c r="B45" s="240" t="str">
        <f>表1温室气体盘查表!C48</f>
        <v>铝铁生产</v>
      </c>
      <c r="C45" s="240" t="str">
        <f>表1温室气体盘查表!D48</f>
        <v>转炉、电炉</v>
      </c>
      <c r="D45" s="241" t="s">
        <v>437</v>
      </c>
      <c r="E45" s="241" t="s">
        <v>439</v>
      </c>
      <c r="F45" s="241" t="s">
        <v>436</v>
      </c>
      <c r="G45" s="242">
        <f t="shared" si="5"/>
        <v>3</v>
      </c>
      <c r="H45" s="243">
        <f t="shared" si="6"/>
        <v>2</v>
      </c>
      <c r="I45" s="242">
        <f t="shared" si="7"/>
        <v>6</v>
      </c>
      <c r="J45" s="244">
        <f t="shared" si="8"/>
        <v>3.6666666666666701</v>
      </c>
      <c r="K45" s="245">
        <f>表1温室气体盘查表!AL48</f>
        <v>63158.190107505099</v>
      </c>
      <c r="L45" s="246">
        <f t="shared" si="10"/>
        <v>4.0684131912534201E-3</v>
      </c>
      <c r="M45" s="247">
        <f t="shared" si="9"/>
        <v>1.49175150345959E-2</v>
      </c>
    </row>
    <row r="46" spans="1:13" ht="18" customHeight="1">
      <c r="A46" s="239">
        <v>44</v>
      </c>
      <c r="B46" s="240" t="str">
        <f>表1温室气体盘查表!C49</f>
        <v>铝生产</v>
      </c>
      <c r="C46" s="240" t="str">
        <f>表1温室气体盘查表!D49</f>
        <v>转炉、电炉</v>
      </c>
      <c r="D46" s="241" t="s">
        <v>437</v>
      </c>
      <c r="E46" s="241" t="s">
        <v>435</v>
      </c>
      <c r="F46" s="241" t="s">
        <v>436</v>
      </c>
      <c r="G46" s="242">
        <f t="shared" si="5"/>
        <v>3</v>
      </c>
      <c r="H46" s="243">
        <f t="shared" si="6"/>
        <v>1</v>
      </c>
      <c r="I46" s="242">
        <f t="shared" si="7"/>
        <v>6</v>
      </c>
      <c r="J46" s="244">
        <f t="shared" si="8"/>
        <v>3.3333333333333299</v>
      </c>
      <c r="K46" s="245">
        <f>表1温室气体盘查表!AL49</f>
        <v>63342.195032190299</v>
      </c>
      <c r="L46" s="246">
        <f t="shared" si="10"/>
        <v>4.0802660968159501E-3</v>
      </c>
      <c r="M46" s="247">
        <f t="shared" si="9"/>
        <v>1.3600886989386499E-2</v>
      </c>
    </row>
    <row r="47" spans="1:13" ht="18" customHeight="1">
      <c r="A47" s="239">
        <v>45</v>
      </c>
      <c r="B47" s="240" t="str">
        <f>表1温室气体盘查表!C50</f>
        <v>增碳剂生产</v>
      </c>
      <c r="C47" s="240" t="str">
        <f>表1温室气体盘查表!D50</f>
        <v>转炉、电炉</v>
      </c>
      <c r="D47" s="241" t="s">
        <v>437</v>
      </c>
      <c r="E47" s="241" t="s">
        <v>435</v>
      </c>
      <c r="F47" s="241" t="s">
        <v>436</v>
      </c>
      <c r="G47" s="242">
        <f t="shared" si="5"/>
        <v>3</v>
      </c>
      <c r="H47" s="243">
        <f t="shared" si="6"/>
        <v>1</v>
      </c>
      <c r="I47" s="242">
        <f t="shared" si="7"/>
        <v>6</v>
      </c>
      <c r="J47" s="244">
        <f t="shared" si="8"/>
        <v>3.3333333333333299</v>
      </c>
      <c r="K47" s="245">
        <f>表1温室气体盘查表!AL50</f>
        <v>17778.323207115402</v>
      </c>
      <c r="L47" s="246">
        <f t="shared" si="10"/>
        <v>1.1452127512058001E-3</v>
      </c>
      <c r="M47" s="247">
        <f t="shared" si="9"/>
        <v>3.8173758373526699E-3</v>
      </c>
    </row>
    <row r="48" spans="1:13" ht="18" customHeight="1">
      <c r="A48" s="239">
        <v>46</v>
      </c>
      <c r="B48" s="240" t="str">
        <f>表1温室气体盘查表!C51</f>
        <v>铁鳞生产</v>
      </c>
      <c r="C48" s="240" t="str">
        <f>表1温室气体盘查表!D51</f>
        <v>炼钢</v>
      </c>
      <c r="D48" s="241" t="s">
        <v>437</v>
      </c>
      <c r="E48" s="241" t="s">
        <v>435</v>
      </c>
      <c r="F48" s="241" t="s">
        <v>436</v>
      </c>
      <c r="G48" s="242">
        <f t="shared" si="5"/>
        <v>3</v>
      </c>
      <c r="H48" s="243">
        <f t="shared" si="6"/>
        <v>1</v>
      </c>
      <c r="I48" s="242">
        <f t="shared" si="7"/>
        <v>6</v>
      </c>
      <c r="J48" s="244">
        <f t="shared" si="8"/>
        <v>3.3333333333333299</v>
      </c>
      <c r="K48" s="245">
        <f>表1温室气体盘查表!AL51</f>
        <v>608.38394217142104</v>
      </c>
      <c r="L48" s="246">
        <f t="shared" si="10"/>
        <v>3.91898066024986E-5</v>
      </c>
      <c r="M48" s="247">
        <f t="shared" si="9"/>
        <v>1.3063268867499501E-4</v>
      </c>
    </row>
    <row r="49" spans="1:13" ht="18" customHeight="1">
      <c r="A49" s="239">
        <v>47</v>
      </c>
      <c r="B49" s="240" t="str">
        <f>表1温室气体盘查表!C52</f>
        <v>氨水生产</v>
      </c>
      <c r="C49" s="240" t="str">
        <f>表1温室气体盘查表!D52</f>
        <v>烧结</v>
      </c>
      <c r="D49" s="241" t="s">
        <v>437</v>
      </c>
      <c r="E49" s="241" t="s">
        <v>435</v>
      </c>
      <c r="F49" s="241" t="s">
        <v>436</v>
      </c>
      <c r="G49" s="242">
        <f t="shared" si="5"/>
        <v>3</v>
      </c>
      <c r="H49" s="243">
        <f t="shared" si="6"/>
        <v>1</v>
      </c>
      <c r="I49" s="242">
        <f t="shared" si="7"/>
        <v>6</v>
      </c>
      <c r="J49" s="244">
        <f t="shared" si="8"/>
        <v>3.3333333333333299</v>
      </c>
      <c r="K49" s="245">
        <f>表1温室气体盘查表!AL52</f>
        <v>24444.815275563698</v>
      </c>
      <c r="L49" s="246">
        <f t="shared" si="10"/>
        <v>1.57464311050672E-3</v>
      </c>
      <c r="M49" s="247">
        <f t="shared" si="9"/>
        <v>5.2488103683557196E-3</v>
      </c>
    </row>
    <row r="50" spans="1:13" ht="18" customHeight="1">
      <c r="A50" s="239">
        <v>48</v>
      </c>
      <c r="B50" s="240" t="str">
        <f>表1温室气体盘查表!C53</f>
        <v>碳化硅生产</v>
      </c>
      <c r="C50" s="240" t="str">
        <f>表1温室气体盘查表!D53</f>
        <v>-</v>
      </c>
      <c r="D50" s="241" t="s">
        <v>437</v>
      </c>
      <c r="E50" s="241" t="s">
        <v>435</v>
      </c>
      <c r="F50" s="241" t="s">
        <v>436</v>
      </c>
      <c r="G50" s="242">
        <f t="shared" si="5"/>
        <v>3</v>
      </c>
      <c r="H50" s="243">
        <f t="shared" si="6"/>
        <v>1</v>
      </c>
      <c r="I50" s="242">
        <f t="shared" si="7"/>
        <v>6</v>
      </c>
      <c r="J50" s="244">
        <f t="shared" si="8"/>
        <v>3.3333333333333299</v>
      </c>
      <c r="K50" s="245">
        <f>表1温室气体盘查表!AL53</f>
        <v>48149.585124286299</v>
      </c>
      <c r="L50" s="246">
        <f t="shared" si="10"/>
        <v>3.1016152764920301E-3</v>
      </c>
      <c r="M50" s="247">
        <f t="shared" si="9"/>
        <v>1.03387175883068E-2</v>
      </c>
    </row>
    <row r="51" spans="1:13" ht="18" customHeight="1">
      <c r="A51" s="239">
        <v>49</v>
      </c>
      <c r="B51" s="240" t="str">
        <f>表1温室气体盘查表!C54</f>
        <v>镁生产</v>
      </c>
      <c r="C51" s="240" t="str">
        <f>表1温室气体盘查表!D54</f>
        <v>-</v>
      </c>
      <c r="D51" s="241" t="s">
        <v>437</v>
      </c>
      <c r="E51" s="241" t="s">
        <v>435</v>
      </c>
      <c r="F51" s="241" t="s">
        <v>436</v>
      </c>
      <c r="G51" s="242">
        <f t="shared" si="5"/>
        <v>3</v>
      </c>
      <c r="H51" s="243">
        <f t="shared" si="6"/>
        <v>1</v>
      </c>
      <c r="I51" s="242">
        <f t="shared" si="7"/>
        <v>6</v>
      </c>
      <c r="J51" s="244">
        <f t="shared" si="8"/>
        <v>3.3333333333333299</v>
      </c>
      <c r="K51" s="245">
        <f>表1温室气体盘查表!AL54</f>
        <v>308520.83395425999</v>
      </c>
      <c r="L51" s="246">
        <f t="shared" si="10"/>
        <v>1.9873752374782901E-2</v>
      </c>
      <c r="M51" s="247">
        <f t="shared" si="9"/>
        <v>6.6245841249276197E-2</v>
      </c>
    </row>
    <row r="52" spans="1:13" ht="18" customHeight="1">
      <c r="A52" s="239">
        <v>50</v>
      </c>
      <c r="B52" s="240" t="str">
        <f>表1温室气体盘查表!C55</f>
        <v>所有其他纸制品加工制造</v>
      </c>
      <c r="C52" s="240" t="str">
        <f>表1温室气体盘查表!D55</f>
        <v>办公室</v>
      </c>
      <c r="D52" s="241" t="s">
        <v>437</v>
      </c>
      <c r="E52" s="241" t="s">
        <v>435</v>
      </c>
      <c r="F52" s="241" t="s">
        <v>438</v>
      </c>
      <c r="G52" s="242">
        <f t="shared" si="5"/>
        <v>3</v>
      </c>
      <c r="H52" s="243">
        <f t="shared" si="6"/>
        <v>1</v>
      </c>
      <c r="I52" s="242">
        <f t="shared" si="7"/>
        <v>3</v>
      </c>
      <c r="J52" s="244">
        <f t="shared" si="8"/>
        <v>2.3333333333333299</v>
      </c>
      <c r="K52" s="245">
        <f>表1温室气体盘查表!AL55</f>
        <v>5.5436243100000002</v>
      </c>
      <c r="L52" s="246">
        <f t="shared" si="10"/>
        <v>3.5709943922976798E-7</v>
      </c>
      <c r="M52" s="247">
        <f t="shared" si="9"/>
        <v>8.3323202486945797E-7</v>
      </c>
    </row>
    <row r="53" spans="1:13" ht="18" customHeight="1">
      <c r="A53" s="239">
        <v>51</v>
      </c>
      <c r="B53" s="240" t="str">
        <f>表1温室气体盘查表!C56</f>
        <v>办公用品(纸张除外)制造</v>
      </c>
      <c r="C53" s="240" t="str">
        <f>表1温室气体盘查表!D56</f>
        <v>办公室</v>
      </c>
      <c r="D53" s="241" t="s">
        <v>437</v>
      </c>
      <c r="E53" s="241" t="s">
        <v>435</v>
      </c>
      <c r="F53" s="241" t="s">
        <v>438</v>
      </c>
      <c r="G53" s="242">
        <f t="shared" si="5"/>
        <v>3</v>
      </c>
      <c r="H53" s="243">
        <f t="shared" si="6"/>
        <v>1</v>
      </c>
      <c r="I53" s="242">
        <f t="shared" si="7"/>
        <v>3</v>
      </c>
      <c r="J53" s="244">
        <f t="shared" si="8"/>
        <v>2.3333333333333299</v>
      </c>
      <c r="K53" s="245">
        <f>表1温室气体盘查表!AL56</f>
        <v>47.034256399999997</v>
      </c>
      <c r="L53" s="246">
        <f t="shared" si="10"/>
        <v>3.0297699926619098E-6</v>
      </c>
      <c r="M53" s="247">
        <f t="shared" si="9"/>
        <v>7.0694633162111299E-6</v>
      </c>
    </row>
    <row r="54" spans="1:13" ht="18" customHeight="1">
      <c r="A54" s="239">
        <v>52</v>
      </c>
      <c r="B54" s="240" t="str">
        <f>表1温室气体盘查表!C57</f>
        <v>源水</v>
      </c>
      <c r="C54" s="240" t="str">
        <f>表1温室气体盘查表!D57</f>
        <v>水处理工序</v>
      </c>
      <c r="D54" s="241" t="s">
        <v>434</v>
      </c>
      <c r="E54" s="241" t="s">
        <v>435</v>
      </c>
      <c r="F54" s="241" t="s">
        <v>436</v>
      </c>
      <c r="G54" s="242">
        <f t="shared" si="5"/>
        <v>6</v>
      </c>
      <c r="H54" s="243">
        <f t="shared" si="6"/>
        <v>1</v>
      </c>
      <c r="I54" s="242">
        <f t="shared" si="7"/>
        <v>6</v>
      </c>
      <c r="J54" s="244">
        <f t="shared" si="8"/>
        <v>4.3333333333333304</v>
      </c>
      <c r="K54" s="245">
        <f>表1温室气体盘查表!AL57</f>
        <v>29761.0306554007</v>
      </c>
      <c r="L54" s="246">
        <f t="shared" si="10"/>
        <v>1.91709372129936E-3</v>
      </c>
      <c r="M54" s="247">
        <f t="shared" si="9"/>
        <v>8.3074061256305804E-3</v>
      </c>
    </row>
    <row r="55" spans="1:13" ht="18" customHeight="1">
      <c r="A55" s="239">
        <v>53</v>
      </c>
      <c r="B55" s="240" t="str">
        <f>表1温室气体盘查表!C58</f>
        <v>采购产品空调和暖空气加热设备和商业和工业制冷设备制造</v>
      </c>
      <c r="C55" s="240" t="str">
        <f>表1温室气体盘查表!D58</f>
        <v>办公室、各工序</v>
      </c>
      <c r="D55" s="248" t="s">
        <v>440</v>
      </c>
      <c r="E55" s="241" t="s">
        <v>435</v>
      </c>
      <c r="F55" s="241" t="s">
        <v>438</v>
      </c>
      <c r="G55" s="242">
        <f t="shared" si="5"/>
        <v>1</v>
      </c>
      <c r="H55" s="243">
        <f t="shared" si="6"/>
        <v>1</v>
      </c>
      <c r="I55" s="242">
        <f t="shared" si="7"/>
        <v>3</v>
      </c>
      <c r="J55" s="244">
        <f t="shared" si="8"/>
        <v>1.6666666666666701</v>
      </c>
      <c r="K55" s="245">
        <f>表1温室气体盘查表!AL58</f>
        <v>14.8324392</v>
      </c>
      <c r="L55" s="246">
        <f t="shared" si="10"/>
        <v>9.5544997722430906E-7</v>
      </c>
      <c r="M55" s="247">
        <f t="shared" si="9"/>
        <v>1.5924166287071799E-6</v>
      </c>
    </row>
    <row r="56" spans="1:13" ht="18" customHeight="1">
      <c r="A56" s="239">
        <v>54</v>
      </c>
      <c r="B56" s="240" t="str">
        <f>表1温室气体盘查表!C59</f>
        <v>电子计算机制造</v>
      </c>
      <c r="C56" s="240" t="str">
        <f>表1温室气体盘查表!D59</f>
        <v>办公室、各工序</v>
      </c>
      <c r="D56" s="248" t="s">
        <v>440</v>
      </c>
      <c r="E56" s="241" t="s">
        <v>435</v>
      </c>
      <c r="F56" s="241" t="s">
        <v>438</v>
      </c>
      <c r="G56" s="242">
        <f t="shared" si="5"/>
        <v>1</v>
      </c>
      <c r="H56" s="243">
        <f t="shared" si="6"/>
        <v>1</v>
      </c>
      <c r="I56" s="242">
        <f t="shared" si="7"/>
        <v>3</v>
      </c>
      <c r="J56" s="244">
        <f t="shared" si="8"/>
        <v>1.6666666666666701</v>
      </c>
      <c r="K56" s="245">
        <f>表1温室气体盘查表!AL59</f>
        <v>3.7880397399999999</v>
      </c>
      <c r="L56" s="246">
        <f t="shared" si="10"/>
        <v>2.4401128057937902E-7</v>
      </c>
      <c r="M56" s="247">
        <f t="shared" si="9"/>
        <v>4.0668546763229799E-7</v>
      </c>
    </row>
    <row r="57" spans="1:13" ht="18" customHeight="1">
      <c r="A57" s="239">
        <v>55</v>
      </c>
      <c r="B57" s="240" t="str">
        <f>表1温室气体盘查表!C60</f>
        <v>焊接及焊接设备制造</v>
      </c>
      <c r="C57" s="240" t="str">
        <f>表1温室气体盘查表!D60</f>
        <v>各工序</v>
      </c>
      <c r="D57" s="248" t="s">
        <v>440</v>
      </c>
      <c r="E57" s="241" t="s">
        <v>435</v>
      </c>
      <c r="F57" s="241" t="s">
        <v>438</v>
      </c>
      <c r="G57" s="242">
        <f t="shared" si="5"/>
        <v>1</v>
      </c>
      <c r="H57" s="243">
        <f t="shared" si="6"/>
        <v>1</v>
      </c>
      <c r="I57" s="242">
        <f t="shared" si="7"/>
        <v>3</v>
      </c>
      <c r="J57" s="244">
        <f t="shared" si="8"/>
        <v>1.6666666666666701</v>
      </c>
      <c r="K57" s="245">
        <f>表1温室气体盘查表!AL60</f>
        <v>216.41132820000001</v>
      </c>
      <c r="L57" s="246">
        <f t="shared" si="10"/>
        <v>1.39404042593192E-5</v>
      </c>
      <c r="M57" s="247">
        <f t="shared" si="9"/>
        <v>2.32340070988653E-5</v>
      </c>
    </row>
    <row r="58" spans="1:13" ht="18" customHeight="1">
      <c r="A58" s="239">
        <v>56</v>
      </c>
      <c r="B58" s="240" t="str">
        <f>表1温室气体盘查表!C61</f>
        <v>其他工业设备制造</v>
      </c>
      <c r="C58" s="240" t="str">
        <f>表1温室气体盘查表!D61</f>
        <v>各工序</v>
      </c>
      <c r="D58" s="248" t="s">
        <v>440</v>
      </c>
      <c r="E58" s="241" t="s">
        <v>435</v>
      </c>
      <c r="F58" s="241" t="s">
        <v>438</v>
      </c>
      <c r="G58" s="242">
        <f t="shared" si="5"/>
        <v>1</v>
      </c>
      <c r="H58" s="243">
        <f t="shared" si="6"/>
        <v>1</v>
      </c>
      <c r="I58" s="242">
        <f t="shared" si="7"/>
        <v>3</v>
      </c>
      <c r="J58" s="244">
        <f t="shared" si="8"/>
        <v>1.6666666666666701</v>
      </c>
      <c r="K58" s="245">
        <f>表1温室气体盘查表!AL61</f>
        <v>1153.4663845499999</v>
      </c>
      <c r="L58" s="246">
        <f t="shared" si="10"/>
        <v>7.4301968542524196E-5</v>
      </c>
      <c r="M58" s="247">
        <f t="shared" si="9"/>
        <v>1.2383661423754001E-4</v>
      </c>
    </row>
    <row r="59" spans="1:13" ht="18" customHeight="1">
      <c r="A59" s="239">
        <v>57</v>
      </c>
      <c r="B59" s="240" t="str">
        <f>表1温室气体盘查表!C62</f>
        <v>测量和测试电力和电气信号的仪器制造</v>
      </c>
      <c r="C59" s="240" t="str">
        <f>表1温室气体盘查表!D62</f>
        <v>各工序</v>
      </c>
      <c r="D59" s="248" t="s">
        <v>440</v>
      </c>
      <c r="E59" s="241" t="s">
        <v>435</v>
      </c>
      <c r="F59" s="241" t="s">
        <v>438</v>
      </c>
      <c r="G59" s="242">
        <f t="shared" si="5"/>
        <v>1</v>
      </c>
      <c r="H59" s="243">
        <f t="shared" si="6"/>
        <v>1</v>
      </c>
      <c r="I59" s="242">
        <f t="shared" si="7"/>
        <v>3</v>
      </c>
      <c r="J59" s="244">
        <f t="shared" si="8"/>
        <v>1.6666666666666701</v>
      </c>
      <c r="K59" s="245">
        <f>表1温室气体盘查表!AL62</f>
        <v>44.316302149999999</v>
      </c>
      <c r="L59" s="246">
        <f t="shared" si="10"/>
        <v>2.8546895968320001E-6</v>
      </c>
      <c r="M59" s="247">
        <f t="shared" si="9"/>
        <v>4.7578159947199896E-6</v>
      </c>
    </row>
    <row r="60" spans="1:13" ht="18" customHeight="1">
      <c r="A60" s="239">
        <v>58</v>
      </c>
      <c r="B60" s="240" t="str">
        <f>表1温室气体盘查表!C63</f>
        <v>计算机系统设计服务</v>
      </c>
      <c r="C60" s="240" t="str">
        <f>表1温室气体盘查表!D63</f>
        <v>各工序</v>
      </c>
      <c r="D60" s="248" t="s">
        <v>440</v>
      </c>
      <c r="E60" s="241" t="s">
        <v>435</v>
      </c>
      <c r="F60" s="241" t="s">
        <v>438</v>
      </c>
      <c r="G60" s="242">
        <f t="shared" si="5"/>
        <v>1</v>
      </c>
      <c r="H60" s="243">
        <f t="shared" si="6"/>
        <v>1</v>
      </c>
      <c r="I60" s="242">
        <f t="shared" si="7"/>
        <v>3</v>
      </c>
      <c r="J60" s="244">
        <f t="shared" si="8"/>
        <v>1.6666666666666701</v>
      </c>
      <c r="K60" s="245">
        <f>表1温室气体盘查表!AL63</f>
        <v>56.221168280000001</v>
      </c>
      <c r="L60" s="246">
        <f t="shared" si="10"/>
        <v>3.6215563218118599E-6</v>
      </c>
      <c r="M60" s="247">
        <f t="shared" si="9"/>
        <v>6.0359272030197602E-6</v>
      </c>
    </row>
    <row r="61" spans="1:13" ht="18" customHeight="1">
      <c r="A61" s="239">
        <v>59</v>
      </c>
      <c r="B61" s="240" t="str">
        <f>表1温室气体盘查表!C64</f>
        <v>机械动力传动设备制造</v>
      </c>
      <c r="C61" s="240" t="str">
        <f>表1温室气体盘查表!D64</f>
        <v>各工序</v>
      </c>
      <c r="D61" s="248" t="s">
        <v>440</v>
      </c>
      <c r="E61" s="241" t="s">
        <v>435</v>
      </c>
      <c r="F61" s="241" t="s">
        <v>438</v>
      </c>
      <c r="G61" s="242">
        <f t="shared" si="5"/>
        <v>1</v>
      </c>
      <c r="H61" s="243">
        <f t="shared" si="6"/>
        <v>1</v>
      </c>
      <c r="I61" s="242">
        <f t="shared" si="7"/>
        <v>3</v>
      </c>
      <c r="J61" s="244">
        <f t="shared" si="8"/>
        <v>1.6666666666666701</v>
      </c>
      <c r="K61" s="245">
        <f>表1温室气体盘查表!AL64</f>
        <v>35.30405219</v>
      </c>
      <c r="L61" s="246">
        <f t="shared" si="10"/>
        <v>2.2741543320036898E-6</v>
      </c>
      <c r="M61" s="247">
        <f t="shared" si="9"/>
        <v>3.7902572200061501E-6</v>
      </c>
    </row>
    <row r="62" spans="1:13" ht="18" customHeight="1">
      <c r="A62" s="239">
        <v>60</v>
      </c>
      <c r="B62" s="240" t="str">
        <f>表1温室气体盘查表!C65</f>
        <v>测量、分配及其他泵类设备制造</v>
      </c>
      <c r="C62" s="240" t="str">
        <f>表1温室气体盘查表!D65</f>
        <v>各工序</v>
      </c>
      <c r="D62" s="248" t="s">
        <v>440</v>
      </c>
      <c r="E62" s="241" t="s">
        <v>435</v>
      </c>
      <c r="F62" s="241" t="s">
        <v>438</v>
      </c>
      <c r="G62" s="242">
        <f t="shared" si="5"/>
        <v>1</v>
      </c>
      <c r="H62" s="243">
        <f t="shared" si="6"/>
        <v>1</v>
      </c>
      <c r="I62" s="242">
        <f t="shared" si="7"/>
        <v>3</v>
      </c>
      <c r="J62" s="244">
        <f t="shared" si="8"/>
        <v>1.6666666666666701</v>
      </c>
      <c r="K62" s="245">
        <f>表1温室气体盘查表!AL65</f>
        <v>432.06181985000001</v>
      </c>
      <c r="L62" s="246">
        <f t="shared" si="10"/>
        <v>2.7831798288118099E-5</v>
      </c>
      <c r="M62" s="247">
        <f t="shared" si="9"/>
        <v>4.6386330480196797E-5</v>
      </c>
    </row>
    <row r="63" spans="1:13" ht="18" customHeight="1">
      <c r="A63" s="239">
        <v>61</v>
      </c>
      <c r="B63" s="240" t="str">
        <f>表1温室气体盘查表!C66</f>
        <v>用于测量、显示和控制工业过程变量的仪器及相关产品制造</v>
      </c>
      <c r="C63" s="240" t="str">
        <f>表1温室气体盘查表!D66</f>
        <v>各工序</v>
      </c>
      <c r="D63" s="248" t="s">
        <v>440</v>
      </c>
      <c r="E63" s="241" t="s">
        <v>435</v>
      </c>
      <c r="F63" s="241" t="s">
        <v>438</v>
      </c>
      <c r="G63" s="242">
        <f t="shared" si="5"/>
        <v>1</v>
      </c>
      <c r="H63" s="243">
        <f t="shared" si="6"/>
        <v>1</v>
      </c>
      <c r="I63" s="242">
        <f t="shared" si="7"/>
        <v>3</v>
      </c>
      <c r="J63" s="244">
        <f t="shared" si="8"/>
        <v>1.6666666666666701</v>
      </c>
      <c r="K63" s="245">
        <f>表1温室气体盘查表!AL66</f>
        <v>11.18455254</v>
      </c>
      <c r="L63" s="246">
        <f t="shared" si="10"/>
        <v>7.2046683121459102E-7</v>
      </c>
      <c r="M63" s="247">
        <f t="shared" si="9"/>
        <v>1.20077805202432E-6</v>
      </c>
    </row>
    <row r="64" spans="1:13" ht="18" customHeight="1">
      <c r="A64" s="239">
        <v>62</v>
      </c>
      <c r="B64" s="240" t="str">
        <f>表1温室气体盘查表!C67</f>
        <v>所有其他杂项电气设备及元件制造</v>
      </c>
      <c r="C64" s="240" t="str">
        <f>表1温室气体盘查表!D67</f>
        <v>各工序</v>
      </c>
      <c r="D64" s="248" t="s">
        <v>440</v>
      </c>
      <c r="E64" s="241" t="s">
        <v>435</v>
      </c>
      <c r="F64" s="241" t="s">
        <v>438</v>
      </c>
      <c r="G64" s="242">
        <f t="shared" si="5"/>
        <v>1</v>
      </c>
      <c r="H64" s="243">
        <f t="shared" si="6"/>
        <v>1</v>
      </c>
      <c r="I64" s="242">
        <f t="shared" si="7"/>
        <v>3</v>
      </c>
      <c r="J64" s="244">
        <f t="shared" si="8"/>
        <v>1.6666666666666701</v>
      </c>
      <c r="K64" s="245">
        <f>表1温室气体盘查表!AL67</f>
        <v>555.07219968000004</v>
      </c>
      <c r="L64" s="246">
        <f t="shared" si="10"/>
        <v>3.5755664553278799E-5</v>
      </c>
      <c r="M64" s="247">
        <f t="shared" si="9"/>
        <v>5.9592774255464702E-5</v>
      </c>
    </row>
    <row r="65" spans="1:13" ht="18" customHeight="1">
      <c r="A65" s="239">
        <v>63</v>
      </c>
      <c r="B65" s="240" t="str">
        <f>表1温室气体盘查表!C68</f>
        <v>所有其他杂项制造</v>
      </c>
      <c r="C65" s="240" t="str">
        <f>表1温室气体盘查表!D68</f>
        <v>各工序</v>
      </c>
      <c r="D65" s="248" t="s">
        <v>440</v>
      </c>
      <c r="E65" s="241" t="s">
        <v>435</v>
      </c>
      <c r="F65" s="241" t="s">
        <v>438</v>
      </c>
      <c r="G65" s="242">
        <f t="shared" si="5"/>
        <v>1</v>
      </c>
      <c r="H65" s="243">
        <f t="shared" si="6"/>
        <v>1</v>
      </c>
      <c r="I65" s="242">
        <f t="shared" si="7"/>
        <v>3</v>
      </c>
      <c r="J65" s="244">
        <f t="shared" si="8"/>
        <v>1.6666666666666701</v>
      </c>
      <c r="K65" s="245">
        <f>表1温室气体盘查表!AL68</f>
        <v>49284.312056980001</v>
      </c>
      <c r="L65" s="246">
        <f t="shared" si="10"/>
        <v>3.1747101199887098E-3</v>
      </c>
      <c r="M65" s="247">
        <f t="shared" si="9"/>
        <v>5.2911835333145198E-3</v>
      </c>
    </row>
    <row r="66" spans="1:13" ht="18" customHeight="1">
      <c r="A66" s="239">
        <v>64</v>
      </c>
      <c r="B66" s="240" t="str">
        <f>表1温室气体盘查表!C69</f>
        <v>液化石油气生产</v>
      </c>
      <c r="C66" s="240" t="str">
        <f>表1温室气体盘查表!D69</f>
        <v>冶钢宾馆</v>
      </c>
      <c r="D66" s="241" t="s">
        <v>437</v>
      </c>
      <c r="E66" s="241" t="s">
        <v>435</v>
      </c>
      <c r="F66" s="241" t="s">
        <v>436</v>
      </c>
      <c r="G66" s="242">
        <f t="shared" si="5"/>
        <v>3</v>
      </c>
      <c r="H66" s="243">
        <f t="shared" si="6"/>
        <v>1</v>
      </c>
      <c r="I66" s="242">
        <f t="shared" si="7"/>
        <v>6</v>
      </c>
      <c r="J66" s="244">
        <f t="shared" si="8"/>
        <v>3.3333333333333299</v>
      </c>
      <c r="K66" s="245">
        <f>表1温室气体盘查表!AL69</f>
        <v>9.4484580462838608</v>
      </c>
      <c r="L66" s="246">
        <f t="shared" si="10"/>
        <v>6.0863415001402801E-7</v>
      </c>
      <c r="M66" s="247">
        <f t="shared" si="9"/>
        <v>2.02878050004676E-6</v>
      </c>
    </row>
    <row r="67" spans="1:13" ht="18" customHeight="1">
      <c r="A67" s="239">
        <v>65</v>
      </c>
      <c r="B67" s="240" t="str">
        <f>表1温室气体盘查表!C70</f>
        <v>洗精煤生产</v>
      </c>
      <c r="C67" s="240" t="str">
        <f>表1温室气体盘查表!D70</f>
        <v>焦化</v>
      </c>
      <c r="D67" s="241" t="s">
        <v>437</v>
      </c>
      <c r="E67" s="241" t="s">
        <v>435</v>
      </c>
      <c r="F67" s="241" t="s">
        <v>436</v>
      </c>
      <c r="G67" s="242">
        <f t="shared" ref="G67:G100" si="11">IF(D67="自动连续量测",6,IF(D67="定期量测/抄表/铭牌",3,1))</f>
        <v>3</v>
      </c>
      <c r="H67" s="243">
        <f t="shared" ref="H67:H100" si="12">IF(E67="量测/质量平衡排放因子",6,IF(E67="制程/设备排放因子",5,IF(E67="制造商提供的排放因子",4,IF(E67="区域排放因子",3,IF(E67="国家排放因子",2,1)))))</f>
        <v>1</v>
      </c>
      <c r="I67" s="242">
        <f t="shared" ref="I67:I100" si="13">IF(F67="校准且合格",6,IF(F67="未校准",1,3))</f>
        <v>6</v>
      </c>
      <c r="J67" s="244">
        <f t="shared" ref="J67:J100" si="14">AVERAGE(G67:I67)</f>
        <v>3.3333333333333299</v>
      </c>
      <c r="K67" s="245">
        <f>表1温室气体盘查表!AL70</f>
        <v>1120352.4211275</v>
      </c>
      <c r="L67" s="246">
        <f t="shared" ref="L67:L98" si="15">K67/$K$101</f>
        <v>7.2168891496246196E-2</v>
      </c>
      <c r="M67" s="247">
        <f t="shared" ref="M67:M98" si="16">J67*L67</f>
        <v>0.240562971654154</v>
      </c>
    </row>
    <row r="68" spans="1:13" ht="18" customHeight="1">
      <c r="A68" s="239">
        <v>66</v>
      </c>
      <c r="B68" s="240" t="str">
        <f>表1温室气体盘查表!C71</f>
        <v>柴油生产</v>
      </c>
      <c r="C68" s="240" t="str">
        <f>表1温室气体盘查表!D71</f>
        <v>各工序</v>
      </c>
      <c r="D68" s="241" t="s">
        <v>437</v>
      </c>
      <c r="E68" s="241" t="s">
        <v>435</v>
      </c>
      <c r="F68" s="241" t="s">
        <v>436</v>
      </c>
      <c r="G68" s="242">
        <f t="shared" si="11"/>
        <v>3</v>
      </c>
      <c r="H68" s="243">
        <f t="shared" si="12"/>
        <v>1</v>
      </c>
      <c r="I68" s="242">
        <f t="shared" si="13"/>
        <v>6</v>
      </c>
      <c r="J68" s="244">
        <f t="shared" si="14"/>
        <v>3.3333333333333299</v>
      </c>
      <c r="K68" s="245">
        <f>表1温室气体盘查表!AL71</f>
        <v>1182.2270043999999</v>
      </c>
      <c r="L68" s="246">
        <f t="shared" si="15"/>
        <v>7.61546195603446E-5</v>
      </c>
      <c r="M68" s="247">
        <f t="shared" si="16"/>
        <v>2.5384873186781498E-4</v>
      </c>
    </row>
    <row r="69" spans="1:13" ht="18" customHeight="1">
      <c r="A69" s="239">
        <v>67</v>
      </c>
      <c r="B69" s="240" t="str">
        <f>表1温室气体盘查表!C72</f>
        <v>汽油生产</v>
      </c>
      <c r="C69" s="240" t="str">
        <f>表1温室气体盘查表!D72</f>
        <v>车队</v>
      </c>
      <c r="D69" s="241" t="s">
        <v>437</v>
      </c>
      <c r="E69" s="241" t="s">
        <v>435</v>
      </c>
      <c r="F69" s="241" t="s">
        <v>436</v>
      </c>
      <c r="G69" s="242">
        <f t="shared" si="11"/>
        <v>3</v>
      </c>
      <c r="H69" s="243">
        <f t="shared" si="12"/>
        <v>1</v>
      </c>
      <c r="I69" s="242">
        <f t="shared" si="13"/>
        <v>6</v>
      </c>
      <c r="J69" s="244">
        <f t="shared" si="14"/>
        <v>3.3333333333333299</v>
      </c>
      <c r="K69" s="245">
        <f>表1温室气体盘查表!AL72</f>
        <v>48.438424774309503</v>
      </c>
      <c r="L69" s="246">
        <f t="shared" si="15"/>
        <v>3.1202212409807398E-6</v>
      </c>
      <c r="M69" s="247">
        <f t="shared" si="16"/>
        <v>1.04007374699358E-5</v>
      </c>
    </row>
    <row r="70" spans="1:13" ht="18" customHeight="1">
      <c r="A70" s="239">
        <v>68</v>
      </c>
      <c r="B70" s="240" t="str">
        <f>表1温室气体盘查表!C73</f>
        <v>焦炭生产</v>
      </c>
      <c r="C70" s="240" t="str">
        <f>表1温室气体盘查表!D73</f>
        <v>烧结、高炉</v>
      </c>
      <c r="D70" s="241" t="s">
        <v>437</v>
      </c>
      <c r="E70" s="241" t="s">
        <v>435</v>
      </c>
      <c r="F70" s="241" t="s">
        <v>436</v>
      </c>
      <c r="G70" s="242">
        <f t="shared" si="11"/>
        <v>3</v>
      </c>
      <c r="H70" s="243">
        <f t="shared" si="12"/>
        <v>1</v>
      </c>
      <c r="I70" s="242">
        <f t="shared" si="13"/>
        <v>6</v>
      </c>
      <c r="J70" s="244">
        <f t="shared" si="14"/>
        <v>3.3333333333333299</v>
      </c>
      <c r="K70" s="245">
        <f>表1温室气体盘查表!AL73</f>
        <v>184347.32152</v>
      </c>
      <c r="L70" s="246">
        <f t="shared" si="15"/>
        <v>1.18749614795418E-2</v>
      </c>
      <c r="M70" s="247">
        <f t="shared" si="16"/>
        <v>3.9583204931806101E-2</v>
      </c>
    </row>
    <row r="71" spans="1:13" ht="18" customHeight="1">
      <c r="A71" s="239">
        <v>69</v>
      </c>
      <c r="B71" s="240" t="str">
        <f>表1温室气体盘查表!C74</f>
        <v>焦屑生产</v>
      </c>
      <c r="C71" s="240" t="str">
        <f>表1温室气体盘查表!D74</f>
        <v>烧结、高炉</v>
      </c>
      <c r="D71" s="241" t="s">
        <v>437</v>
      </c>
      <c r="E71" s="241" t="s">
        <v>435</v>
      </c>
      <c r="F71" s="241" t="s">
        <v>436</v>
      </c>
      <c r="G71" s="242">
        <f t="shared" si="11"/>
        <v>3</v>
      </c>
      <c r="H71" s="243">
        <f t="shared" si="12"/>
        <v>1</v>
      </c>
      <c r="I71" s="242">
        <f t="shared" si="13"/>
        <v>6</v>
      </c>
      <c r="J71" s="244">
        <f t="shared" si="14"/>
        <v>3.3333333333333299</v>
      </c>
      <c r="K71" s="245">
        <f>表1温室气体盘查表!AL74</f>
        <v>152835.16579999999</v>
      </c>
      <c r="L71" s="246">
        <f t="shared" si="15"/>
        <v>9.8450668641664393E-3</v>
      </c>
      <c r="M71" s="247">
        <f t="shared" si="16"/>
        <v>3.2816889547221499E-2</v>
      </c>
    </row>
    <row r="72" spans="1:13" ht="18" customHeight="1">
      <c r="A72" s="239">
        <v>70</v>
      </c>
      <c r="B72" s="240" t="str">
        <f>表1温室气体盘查表!C75</f>
        <v>烟煤生产</v>
      </c>
      <c r="C72" s="240" t="str">
        <f>表1温室气体盘查表!D75</f>
        <v>高炉</v>
      </c>
      <c r="D72" s="241" t="s">
        <v>437</v>
      </c>
      <c r="E72" s="241" t="s">
        <v>435</v>
      </c>
      <c r="F72" s="241" t="s">
        <v>436</v>
      </c>
      <c r="G72" s="242">
        <f t="shared" si="11"/>
        <v>3</v>
      </c>
      <c r="H72" s="243">
        <f t="shared" si="12"/>
        <v>1</v>
      </c>
      <c r="I72" s="242">
        <f t="shared" si="13"/>
        <v>6</v>
      </c>
      <c r="J72" s="244">
        <f t="shared" si="14"/>
        <v>3.3333333333333299</v>
      </c>
      <c r="K72" s="245">
        <f>表1温室气体盘查表!AL75</f>
        <v>229690.010538</v>
      </c>
      <c r="L72" s="246">
        <f t="shared" si="15"/>
        <v>1.47957670601598E-2</v>
      </c>
      <c r="M72" s="247">
        <f t="shared" si="16"/>
        <v>4.9319223533866099E-2</v>
      </c>
    </row>
    <row r="73" spans="1:13" ht="18" customHeight="1">
      <c r="A73" s="239">
        <v>71</v>
      </c>
      <c r="B73" s="240" t="str">
        <f>表1温室气体盘查表!C76</f>
        <v>无烟煤生产</v>
      </c>
      <c r="C73" s="240" t="str">
        <f>表1温室气体盘查表!D76</f>
        <v>烧结、高炉</v>
      </c>
      <c r="D73" s="241" t="s">
        <v>437</v>
      </c>
      <c r="E73" s="241" t="s">
        <v>435</v>
      </c>
      <c r="F73" s="241" t="s">
        <v>436</v>
      </c>
      <c r="G73" s="242">
        <f t="shared" si="11"/>
        <v>3</v>
      </c>
      <c r="H73" s="243">
        <f t="shared" si="12"/>
        <v>1</v>
      </c>
      <c r="I73" s="242">
        <f t="shared" si="13"/>
        <v>6</v>
      </c>
      <c r="J73" s="244">
        <f t="shared" si="14"/>
        <v>3.3333333333333299</v>
      </c>
      <c r="K73" s="245">
        <f>表1温室气体盘查表!AL76</f>
        <v>149948.23718699999</v>
      </c>
      <c r="L73" s="246">
        <f t="shared" si="15"/>
        <v>9.6591017750569594E-3</v>
      </c>
      <c r="M73" s="247">
        <f t="shared" si="16"/>
        <v>3.2197005916856501E-2</v>
      </c>
    </row>
    <row r="74" spans="1:13" ht="18" customHeight="1">
      <c r="A74" s="239">
        <v>72</v>
      </c>
      <c r="B74" s="240" t="str">
        <f>表1温室气体盘查表!C77</f>
        <v>天然气生产</v>
      </c>
      <c r="C74" s="240" t="str">
        <f>表1温室气体盘查表!D77</f>
        <v>转炉、电炉、锻造、热处理</v>
      </c>
      <c r="D74" s="248" t="s">
        <v>434</v>
      </c>
      <c r="E74" s="241" t="s">
        <v>435</v>
      </c>
      <c r="F74" s="241" t="s">
        <v>436</v>
      </c>
      <c r="G74" s="242">
        <f t="shared" si="11"/>
        <v>6</v>
      </c>
      <c r="H74" s="243">
        <f t="shared" si="12"/>
        <v>1</v>
      </c>
      <c r="I74" s="242">
        <f t="shared" si="13"/>
        <v>6</v>
      </c>
      <c r="J74" s="244">
        <f t="shared" si="14"/>
        <v>4.3333333333333304</v>
      </c>
      <c r="K74" s="245">
        <f>表1温室气体盘查表!AL77</f>
        <v>11120.2731</v>
      </c>
      <c r="L74" s="246">
        <f t="shared" si="15"/>
        <v>7.1632619132010905E-4</v>
      </c>
      <c r="M74" s="247">
        <f t="shared" si="16"/>
        <v>3.1040801623871401E-3</v>
      </c>
    </row>
    <row r="75" spans="1:13" ht="18" customHeight="1">
      <c r="A75" s="239">
        <v>73</v>
      </c>
      <c r="B75" s="240" t="str">
        <f>表1温室气体盘查表!C78</f>
        <v>外购电力上游排放</v>
      </c>
      <c r="C75" s="240" t="str">
        <f>表1温室气体盘查表!D78</f>
        <v>各工序</v>
      </c>
      <c r="D75" s="241" t="s">
        <v>434</v>
      </c>
      <c r="E75" s="241" t="s">
        <v>439</v>
      </c>
      <c r="F75" s="241" t="s">
        <v>436</v>
      </c>
      <c r="G75" s="242">
        <f t="shared" si="11"/>
        <v>6</v>
      </c>
      <c r="H75" s="243">
        <f t="shared" si="12"/>
        <v>2</v>
      </c>
      <c r="I75" s="242">
        <f t="shared" si="13"/>
        <v>6</v>
      </c>
      <c r="J75" s="244">
        <f t="shared" si="14"/>
        <v>4.6666666666666696</v>
      </c>
      <c r="K75" s="245">
        <f>表1温室气体盘查表!AL78</f>
        <v>167202.52880299999</v>
      </c>
      <c r="L75" s="246">
        <f t="shared" si="15"/>
        <v>1.07705583810297E-2</v>
      </c>
      <c r="M75" s="247">
        <f t="shared" si="16"/>
        <v>5.0262605778138597E-2</v>
      </c>
    </row>
    <row r="76" spans="1:13" ht="18" customHeight="1">
      <c r="A76" s="239">
        <v>74</v>
      </c>
      <c r="B76" s="240" t="str">
        <f>表1温室气体盘查表!C79</f>
        <v>船运</v>
      </c>
      <c r="C76" s="240" t="str">
        <f>表1温室气体盘查表!D79</f>
        <v>-</v>
      </c>
      <c r="D76" s="241" t="s">
        <v>440</v>
      </c>
      <c r="E76" s="241" t="s">
        <v>435</v>
      </c>
      <c r="F76" s="241" t="s">
        <v>438</v>
      </c>
      <c r="G76" s="242">
        <f t="shared" si="11"/>
        <v>1</v>
      </c>
      <c r="H76" s="243">
        <f t="shared" si="12"/>
        <v>1</v>
      </c>
      <c r="I76" s="242">
        <f t="shared" si="13"/>
        <v>3</v>
      </c>
      <c r="J76" s="244">
        <f t="shared" si="14"/>
        <v>1.6666666666666701</v>
      </c>
      <c r="K76" s="245">
        <f>表1温室气体盘查表!AL79</f>
        <v>256608.96908694899</v>
      </c>
      <c r="L76" s="246">
        <f t="shared" si="15"/>
        <v>1.65297851798832E-2</v>
      </c>
      <c r="M76" s="247">
        <f t="shared" si="16"/>
        <v>2.75496419664721E-2</v>
      </c>
    </row>
    <row r="77" spans="1:13" ht="18" customHeight="1">
      <c r="A77" s="239">
        <v>75</v>
      </c>
      <c r="B77" s="240" t="str">
        <f>表1温室气体盘查表!C80</f>
        <v>汽运</v>
      </c>
      <c r="C77" s="240" t="str">
        <f>表1温室气体盘查表!D80</f>
        <v>-</v>
      </c>
      <c r="D77" s="241" t="s">
        <v>440</v>
      </c>
      <c r="E77" s="241" t="s">
        <v>435</v>
      </c>
      <c r="F77" s="241" t="s">
        <v>438</v>
      </c>
      <c r="G77" s="242">
        <f t="shared" si="11"/>
        <v>1</v>
      </c>
      <c r="H77" s="243">
        <f t="shared" si="12"/>
        <v>1</v>
      </c>
      <c r="I77" s="242">
        <f t="shared" si="13"/>
        <v>3</v>
      </c>
      <c r="J77" s="244">
        <f t="shared" si="14"/>
        <v>1.6666666666666701</v>
      </c>
      <c r="K77" s="245">
        <f>表1温室气体盘查表!AL80</f>
        <v>46150.511872324103</v>
      </c>
      <c r="L77" s="246">
        <f t="shared" si="15"/>
        <v>2.9728424922383801E-3</v>
      </c>
      <c r="M77" s="247">
        <f t="shared" si="16"/>
        <v>4.9547374870639602E-3</v>
      </c>
    </row>
    <row r="78" spans="1:13" ht="18" customHeight="1">
      <c r="A78" s="239">
        <v>76</v>
      </c>
      <c r="B78" s="240" t="str">
        <f>表1温室气体盘查表!C81</f>
        <v>铁路运输</v>
      </c>
      <c r="C78" s="240" t="str">
        <f>表1温室气体盘查表!D81</f>
        <v>-</v>
      </c>
      <c r="D78" s="241" t="s">
        <v>440</v>
      </c>
      <c r="E78" s="241" t="s">
        <v>435</v>
      </c>
      <c r="F78" s="241" t="s">
        <v>438</v>
      </c>
      <c r="G78" s="242">
        <f t="shared" si="11"/>
        <v>1</v>
      </c>
      <c r="H78" s="243">
        <f t="shared" si="12"/>
        <v>1</v>
      </c>
      <c r="I78" s="242">
        <f t="shared" si="13"/>
        <v>3</v>
      </c>
      <c r="J78" s="244">
        <f t="shared" si="14"/>
        <v>1.6666666666666701</v>
      </c>
      <c r="K78" s="245">
        <f>表1温室气体盘查表!AL81</f>
        <v>59524.771711027199</v>
      </c>
      <c r="L78" s="246">
        <f t="shared" si="15"/>
        <v>3.83436203639271E-3</v>
      </c>
      <c r="M78" s="247">
        <f t="shared" si="16"/>
        <v>6.3906033939878501E-3</v>
      </c>
    </row>
    <row r="79" spans="1:13" ht="18" customHeight="1">
      <c r="A79" s="239">
        <v>77</v>
      </c>
      <c r="B79" s="240" t="str">
        <f>表1温室气体盘查表!C82</f>
        <v>生活垃圾和厨余垃圾</v>
      </c>
      <c r="C79" s="240" t="str">
        <f>表1温室气体盘查表!D82</f>
        <v>垃圾站</v>
      </c>
      <c r="D79" s="248" t="s">
        <v>437</v>
      </c>
      <c r="E79" s="241" t="s">
        <v>435</v>
      </c>
      <c r="F79" s="241" t="s">
        <v>438</v>
      </c>
      <c r="G79" s="242">
        <f t="shared" si="11"/>
        <v>3</v>
      </c>
      <c r="H79" s="243">
        <f t="shared" si="12"/>
        <v>1</v>
      </c>
      <c r="I79" s="242">
        <f t="shared" si="13"/>
        <v>3</v>
      </c>
      <c r="J79" s="244">
        <f t="shared" si="14"/>
        <v>2.3333333333333299</v>
      </c>
      <c r="K79" s="245">
        <f>表1温室气体盘查表!AL82</f>
        <v>969.24192968968396</v>
      </c>
      <c r="L79" s="246">
        <f t="shared" si="15"/>
        <v>6.2434921671336005E-5</v>
      </c>
      <c r="M79" s="247">
        <f t="shared" si="16"/>
        <v>1.45681483899784E-4</v>
      </c>
    </row>
    <row r="80" spans="1:13" ht="18" customHeight="1">
      <c r="A80" s="239">
        <v>78</v>
      </c>
      <c r="B80" s="240" t="str">
        <f>表1温室气体盘查表!C83</f>
        <v>废油</v>
      </c>
      <c r="C80" s="240" t="str">
        <f>表1温室气体盘查表!D83</f>
        <v>-</v>
      </c>
      <c r="D80" s="241" t="s">
        <v>437</v>
      </c>
      <c r="E80" s="241" t="s">
        <v>435</v>
      </c>
      <c r="F80" s="241" t="s">
        <v>438</v>
      </c>
      <c r="G80" s="242">
        <f t="shared" si="11"/>
        <v>3</v>
      </c>
      <c r="H80" s="243">
        <f t="shared" si="12"/>
        <v>1</v>
      </c>
      <c r="I80" s="242">
        <f t="shared" si="13"/>
        <v>3</v>
      </c>
      <c r="J80" s="244">
        <f t="shared" si="14"/>
        <v>2.3333333333333299</v>
      </c>
      <c r="K80" s="245">
        <f>表1温室气体盘查表!AL83</f>
        <v>104.70284557036101</v>
      </c>
      <c r="L80" s="246">
        <f t="shared" si="15"/>
        <v>6.7445637272877803E-6</v>
      </c>
      <c r="M80" s="247">
        <f t="shared" si="16"/>
        <v>1.5737315363671499E-5</v>
      </c>
    </row>
    <row r="81" spans="1:13" ht="18" customHeight="1">
      <c r="A81" s="239">
        <v>79</v>
      </c>
      <c r="B81" s="240" t="str">
        <f>表1温室气体盘查表!C84</f>
        <v>废油水</v>
      </c>
      <c r="C81" s="240" t="str">
        <f>表1温室气体盘查表!D84</f>
        <v>-</v>
      </c>
      <c r="D81" s="241" t="s">
        <v>437</v>
      </c>
      <c r="E81" s="241" t="s">
        <v>435</v>
      </c>
      <c r="F81" s="241" t="s">
        <v>438</v>
      </c>
      <c r="G81" s="242">
        <f t="shared" si="11"/>
        <v>3</v>
      </c>
      <c r="H81" s="243">
        <f t="shared" si="12"/>
        <v>1</v>
      </c>
      <c r="I81" s="242">
        <f t="shared" si="13"/>
        <v>3</v>
      </c>
      <c r="J81" s="244">
        <f t="shared" si="14"/>
        <v>2.3333333333333299</v>
      </c>
      <c r="K81" s="245">
        <f>表1温室气体盘查表!AL84</f>
        <v>653.85858662306896</v>
      </c>
      <c r="L81" s="246">
        <f t="shared" si="15"/>
        <v>4.2119112256123702E-5</v>
      </c>
      <c r="M81" s="247">
        <f t="shared" si="16"/>
        <v>9.8277928597621995E-5</v>
      </c>
    </row>
    <row r="82" spans="1:13" ht="18" customHeight="1">
      <c r="A82" s="239">
        <v>80</v>
      </c>
      <c r="B82" s="240" t="str">
        <f>表1温室气体盘查表!C85</f>
        <v>煤焦油</v>
      </c>
      <c r="C82" s="240" t="str">
        <f>表1温室气体盘查表!D85</f>
        <v>-</v>
      </c>
      <c r="D82" s="241" t="s">
        <v>437</v>
      </c>
      <c r="E82" s="241" t="s">
        <v>435</v>
      </c>
      <c r="F82" s="241" t="s">
        <v>438</v>
      </c>
      <c r="G82" s="242">
        <f t="shared" si="11"/>
        <v>3</v>
      </c>
      <c r="H82" s="243">
        <f t="shared" si="12"/>
        <v>1</v>
      </c>
      <c r="I82" s="242">
        <f t="shared" si="13"/>
        <v>3</v>
      </c>
      <c r="J82" s="244">
        <f t="shared" si="14"/>
        <v>2.3333333333333299</v>
      </c>
      <c r="K82" s="245">
        <f>表1温室气体盘查表!AL85</f>
        <v>145058.803127058</v>
      </c>
      <c r="L82" s="246">
        <f t="shared" si="15"/>
        <v>9.3441428125950292E-3</v>
      </c>
      <c r="M82" s="247">
        <f t="shared" si="16"/>
        <v>2.1802999896055102E-2</v>
      </c>
    </row>
    <row r="83" spans="1:13" ht="18" customHeight="1">
      <c r="A83" s="239">
        <v>81</v>
      </c>
      <c r="B83" s="240" t="str">
        <f>表1温室气体盘查表!C86</f>
        <v>废弃物运输</v>
      </c>
      <c r="C83" s="240" t="str">
        <f>表1温室气体盘查表!D86</f>
        <v>-</v>
      </c>
      <c r="D83" s="241" t="s">
        <v>440</v>
      </c>
      <c r="E83" s="241" t="s">
        <v>435</v>
      </c>
      <c r="F83" s="241" t="s">
        <v>438</v>
      </c>
      <c r="G83" s="242">
        <f t="shared" si="11"/>
        <v>1</v>
      </c>
      <c r="H83" s="243">
        <f t="shared" si="12"/>
        <v>1</v>
      </c>
      <c r="I83" s="242">
        <f t="shared" si="13"/>
        <v>3</v>
      </c>
      <c r="J83" s="244">
        <f t="shared" si="14"/>
        <v>1.6666666666666701</v>
      </c>
      <c r="K83" s="245">
        <f>表1温室气体盘查表!AL86</f>
        <v>849.425387283242</v>
      </c>
      <c r="L83" s="246">
        <f t="shared" si="15"/>
        <v>5.4716790407172102E-5</v>
      </c>
      <c r="M83" s="247">
        <f t="shared" si="16"/>
        <v>9.1194650678620205E-5</v>
      </c>
    </row>
    <row r="84" spans="1:13" ht="18" customHeight="1">
      <c r="A84" s="239">
        <v>82</v>
      </c>
      <c r="B84" s="240" t="str">
        <f>表1温室气体盘查表!C87</f>
        <v>航运</v>
      </c>
      <c r="C84" s="240" t="str">
        <f>表1温室气体盘查表!D87</f>
        <v>-</v>
      </c>
      <c r="D84" s="248" t="s">
        <v>440</v>
      </c>
      <c r="E84" s="241" t="s">
        <v>439</v>
      </c>
      <c r="F84" s="241" t="s">
        <v>438</v>
      </c>
      <c r="G84" s="242">
        <f t="shared" si="11"/>
        <v>1</v>
      </c>
      <c r="H84" s="243">
        <f t="shared" si="12"/>
        <v>2</v>
      </c>
      <c r="I84" s="242">
        <f t="shared" si="13"/>
        <v>3</v>
      </c>
      <c r="J84" s="244">
        <f t="shared" si="14"/>
        <v>2</v>
      </c>
      <c r="K84" s="245">
        <f>表1温室气体盘查表!AL87</f>
        <v>327.76098852000001</v>
      </c>
      <c r="L84" s="246">
        <f t="shared" si="15"/>
        <v>2.1113130806998401E-5</v>
      </c>
      <c r="M84" s="247">
        <f t="shared" si="16"/>
        <v>4.2226261613996802E-5</v>
      </c>
    </row>
    <row r="85" spans="1:13" ht="18" customHeight="1">
      <c r="A85" s="239">
        <v>83</v>
      </c>
      <c r="B85" s="240" t="str">
        <f>表1温室气体盘查表!C88</f>
        <v>铁路运输</v>
      </c>
      <c r="C85" s="240" t="str">
        <f>表1温室气体盘查表!D88</f>
        <v>-</v>
      </c>
      <c r="D85" s="248" t="s">
        <v>440</v>
      </c>
      <c r="E85" s="241" t="s">
        <v>435</v>
      </c>
      <c r="F85" s="241" t="s">
        <v>438</v>
      </c>
      <c r="G85" s="242">
        <f t="shared" si="11"/>
        <v>1</v>
      </c>
      <c r="H85" s="243">
        <f t="shared" si="12"/>
        <v>1</v>
      </c>
      <c r="I85" s="242">
        <f t="shared" si="13"/>
        <v>3</v>
      </c>
      <c r="J85" s="244">
        <f t="shared" si="14"/>
        <v>1.6666666666666701</v>
      </c>
      <c r="K85" s="245">
        <f>表1温室气体盘查表!AL88</f>
        <v>619.78796521528295</v>
      </c>
      <c r="L85" s="246">
        <f t="shared" si="15"/>
        <v>3.9924410898569102E-5</v>
      </c>
      <c r="M85" s="247">
        <f t="shared" si="16"/>
        <v>6.6540684830948402E-5</v>
      </c>
    </row>
    <row r="86" spans="1:13" ht="18" customHeight="1">
      <c r="A86" s="239">
        <v>84</v>
      </c>
      <c r="B86" s="240" t="str">
        <f>表1温室气体盘查表!C89</f>
        <v>员工差旅住宿</v>
      </c>
      <c r="C86" s="240" t="str">
        <f>表1温室气体盘查表!D89</f>
        <v>-</v>
      </c>
      <c r="D86" s="241" t="s">
        <v>440</v>
      </c>
      <c r="E86" s="241" t="s">
        <v>439</v>
      </c>
      <c r="F86" s="241" t="s">
        <v>438</v>
      </c>
      <c r="G86" s="242">
        <f t="shared" si="11"/>
        <v>1</v>
      </c>
      <c r="H86" s="243">
        <f t="shared" si="12"/>
        <v>2</v>
      </c>
      <c r="I86" s="242">
        <f t="shared" si="13"/>
        <v>3</v>
      </c>
      <c r="J86" s="244">
        <f t="shared" si="14"/>
        <v>2</v>
      </c>
      <c r="K86" s="245">
        <f>表1温室气体盘查表!AL89</f>
        <v>722.62450000000001</v>
      </c>
      <c r="L86" s="246">
        <f t="shared" si="15"/>
        <v>4.65487539006212E-5</v>
      </c>
      <c r="M86" s="247">
        <f t="shared" si="16"/>
        <v>9.3097507801242495E-5</v>
      </c>
    </row>
    <row r="87" spans="1:13" ht="18" customHeight="1">
      <c r="A87" s="239">
        <v>85</v>
      </c>
      <c r="B87" s="240" t="str">
        <f>表1温室气体盘查表!C90</f>
        <v>通勤车</v>
      </c>
      <c r="C87" s="240" t="str">
        <f>表1温室气体盘查表!D90</f>
        <v>-</v>
      </c>
      <c r="D87" s="248" t="s">
        <v>440</v>
      </c>
      <c r="E87" s="241" t="s">
        <v>439</v>
      </c>
      <c r="F87" s="241" t="s">
        <v>438</v>
      </c>
      <c r="G87" s="242">
        <f t="shared" si="11"/>
        <v>1</v>
      </c>
      <c r="H87" s="243">
        <f t="shared" si="12"/>
        <v>2</v>
      </c>
      <c r="I87" s="242">
        <f t="shared" si="13"/>
        <v>3</v>
      </c>
      <c r="J87" s="244">
        <f t="shared" si="14"/>
        <v>2</v>
      </c>
      <c r="K87" s="245">
        <f>表1温室气体盘查表!AL90</f>
        <v>111.2064536</v>
      </c>
      <c r="L87" s="246">
        <f t="shared" si="15"/>
        <v>7.1635017090996198E-6</v>
      </c>
      <c r="M87" s="247">
        <f t="shared" si="16"/>
        <v>1.4327003418199201E-5</v>
      </c>
    </row>
    <row r="88" spans="1:13" ht="18" customHeight="1">
      <c r="A88" s="239">
        <v>86</v>
      </c>
      <c r="B88" s="240" t="str">
        <f>表1温室气体盘查表!C91</f>
        <v>电动车</v>
      </c>
      <c r="C88" s="240" t="str">
        <f>表1温室气体盘查表!D91</f>
        <v>-</v>
      </c>
      <c r="D88" s="248" t="s">
        <v>440</v>
      </c>
      <c r="E88" s="241" t="s">
        <v>435</v>
      </c>
      <c r="F88" s="241" t="s">
        <v>438</v>
      </c>
      <c r="G88" s="242">
        <f t="shared" si="11"/>
        <v>1</v>
      </c>
      <c r="H88" s="243">
        <f t="shared" si="12"/>
        <v>1</v>
      </c>
      <c r="I88" s="242">
        <f t="shared" si="13"/>
        <v>3</v>
      </c>
      <c r="J88" s="244">
        <f t="shared" si="14"/>
        <v>1.6666666666666701</v>
      </c>
      <c r="K88" s="245">
        <f>表1温室气体盘查表!AL91</f>
        <v>474.51537913020297</v>
      </c>
      <c r="L88" s="246">
        <f t="shared" si="15"/>
        <v>3.0566496991441299E-5</v>
      </c>
      <c r="M88" s="247">
        <f t="shared" si="16"/>
        <v>5.0944161652402197E-5</v>
      </c>
    </row>
    <row r="89" spans="1:13" ht="18" customHeight="1">
      <c r="A89" s="239">
        <v>87</v>
      </c>
      <c r="B89" s="240" t="str">
        <f>表1温室气体盘查表!C92</f>
        <v>自驾油车</v>
      </c>
      <c r="C89" s="240" t="str">
        <f>表1温室气体盘查表!D92</f>
        <v>-</v>
      </c>
      <c r="D89" s="248" t="s">
        <v>440</v>
      </c>
      <c r="E89" s="241" t="s">
        <v>435</v>
      </c>
      <c r="F89" s="241" t="s">
        <v>438</v>
      </c>
      <c r="G89" s="242">
        <f t="shared" si="11"/>
        <v>1</v>
      </c>
      <c r="H89" s="243">
        <f t="shared" si="12"/>
        <v>1</v>
      </c>
      <c r="I89" s="242">
        <f t="shared" si="13"/>
        <v>3</v>
      </c>
      <c r="J89" s="244">
        <f t="shared" si="14"/>
        <v>1.6666666666666701</v>
      </c>
      <c r="K89" s="245">
        <f>表1温室气体盘查表!AL92</f>
        <v>11664.728842161199</v>
      </c>
      <c r="L89" s="246">
        <f t="shared" si="15"/>
        <v>7.5139798358793495E-4</v>
      </c>
      <c r="M89" s="247">
        <f t="shared" si="16"/>
        <v>1.25232997264656E-3</v>
      </c>
    </row>
    <row r="90" spans="1:13" ht="18" customHeight="1">
      <c r="A90" s="239">
        <v>88</v>
      </c>
      <c r="B90" s="240" t="str">
        <f>表1温室气体盘查表!C93</f>
        <v>自驾电车</v>
      </c>
      <c r="C90" s="240" t="str">
        <f>表1温室气体盘查表!D93</f>
        <v>-</v>
      </c>
      <c r="D90" s="248" t="s">
        <v>440</v>
      </c>
      <c r="E90" s="241" t="s">
        <v>435</v>
      </c>
      <c r="F90" s="241" t="s">
        <v>438</v>
      </c>
      <c r="G90" s="242">
        <f t="shared" si="11"/>
        <v>1</v>
      </c>
      <c r="H90" s="243">
        <f t="shared" si="12"/>
        <v>1</v>
      </c>
      <c r="I90" s="242">
        <f t="shared" si="13"/>
        <v>3</v>
      </c>
      <c r="J90" s="244">
        <f t="shared" si="14"/>
        <v>1.6666666666666701</v>
      </c>
      <c r="K90" s="245">
        <f>表1温室气体盘查表!AL93</f>
        <v>1072.1258126986399</v>
      </c>
      <c r="L90" s="246">
        <f t="shared" si="15"/>
        <v>6.9062314668008701E-5</v>
      </c>
      <c r="M90" s="247">
        <f t="shared" si="16"/>
        <v>1.15103857780015E-4</v>
      </c>
    </row>
    <row r="91" spans="1:13" ht="18" customHeight="1">
      <c r="A91" s="239">
        <v>89</v>
      </c>
      <c r="B91" s="240" t="str">
        <f>表1温室气体盘查表!C94</f>
        <v>船运</v>
      </c>
      <c r="C91" s="240" t="str">
        <f>表1温室气体盘查表!D94</f>
        <v>-</v>
      </c>
      <c r="D91" s="248" t="s">
        <v>440</v>
      </c>
      <c r="E91" s="241" t="s">
        <v>435</v>
      </c>
      <c r="F91" s="241" t="s">
        <v>438</v>
      </c>
      <c r="G91" s="242">
        <f t="shared" si="11"/>
        <v>1</v>
      </c>
      <c r="H91" s="243">
        <f t="shared" si="12"/>
        <v>1</v>
      </c>
      <c r="I91" s="242">
        <f t="shared" si="13"/>
        <v>3</v>
      </c>
      <c r="J91" s="244">
        <f t="shared" si="14"/>
        <v>1.6666666666666701</v>
      </c>
      <c r="K91" s="245">
        <f>表1温室气体盘查表!AL94</f>
        <v>53478.1555212475</v>
      </c>
      <c r="L91" s="246">
        <f t="shared" si="15"/>
        <v>3.4448617510445599E-3</v>
      </c>
      <c r="M91" s="247">
        <f t="shared" si="16"/>
        <v>5.7414362517409301E-3</v>
      </c>
    </row>
    <row r="92" spans="1:13" ht="18" customHeight="1">
      <c r="A92" s="239">
        <v>90</v>
      </c>
      <c r="B92" s="240" t="str">
        <f>表1温室气体盘查表!C95</f>
        <v>汽运</v>
      </c>
      <c r="C92" s="240" t="str">
        <f>表1温室气体盘查表!D95</f>
        <v>-</v>
      </c>
      <c r="D92" s="248" t="s">
        <v>440</v>
      </c>
      <c r="E92" s="241" t="s">
        <v>435</v>
      </c>
      <c r="F92" s="241" t="s">
        <v>438</v>
      </c>
      <c r="G92" s="242">
        <f t="shared" si="11"/>
        <v>1</v>
      </c>
      <c r="H92" s="243">
        <f t="shared" si="12"/>
        <v>1</v>
      </c>
      <c r="I92" s="242">
        <f t="shared" si="13"/>
        <v>3</v>
      </c>
      <c r="J92" s="244">
        <f t="shared" si="14"/>
        <v>1.6666666666666701</v>
      </c>
      <c r="K92" s="245">
        <f>表1温室气体盘查表!AL95</f>
        <v>208049.48583902899</v>
      </c>
      <c r="L92" s="246">
        <f t="shared" si="15"/>
        <v>1.3401765807098599E-2</v>
      </c>
      <c r="M92" s="247">
        <f t="shared" si="16"/>
        <v>2.2336276345164399E-2</v>
      </c>
    </row>
    <row r="93" spans="1:13" ht="18" customHeight="1">
      <c r="A93" s="239">
        <v>91</v>
      </c>
      <c r="B93" s="240" t="str">
        <f>表1温室气体盘查表!C96</f>
        <v>铁路运输</v>
      </c>
      <c r="C93" s="240" t="str">
        <f>表1温室气体盘查表!D96</f>
        <v>-</v>
      </c>
      <c r="D93" s="248" t="s">
        <v>440</v>
      </c>
      <c r="E93" s="241" t="s">
        <v>435</v>
      </c>
      <c r="F93" s="241" t="s">
        <v>438</v>
      </c>
      <c r="G93" s="242">
        <f t="shared" si="11"/>
        <v>1</v>
      </c>
      <c r="H93" s="243">
        <f t="shared" si="12"/>
        <v>1</v>
      </c>
      <c r="I93" s="242">
        <f t="shared" si="13"/>
        <v>3</v>
      </c>
      <c r="J93" s="244">
        <f t="shared" si="14"/>
        <v>1.6666666666666701</v>
      </c>
      <c r="K93" s="245">
        <f>表1温室气体盘查表!AL96</f>
        <v>11086.4717529011</v>
      </c>
      <c r="L93" s="246">
        <f t="shared" si="15"/>
        <v>7.1414883560131498E-4</v>
      </c>
      <c r="M93" s="247">
        <f t="shared" si="16"/>
        <v>1.1902480593355201E-3</v>
      </c>
    </row>
    <row r="94" spans="1:13" ht="18" customHeight="1">
      <c r="A94" s="239">
        <v>92</v>
      </c>
      <c r="B94" s="240" t="str">
        <f>表1温室气体盘查表!C97</f>
        <v>汽运-副产品</v>
      </c>
      <c r="C94" s="240" t="str">
        <f>表1温室气体盘查表!D97</f>
        <v>-</v>
      </c>
      <c r="D94" s="248" t="s">
        <v>440</v>
      </c>
      <c r="E94" s="241" t="s">
        <v>435</v>
      </c>
      <c r="F94" s="241" t="s">
        <v>438</v>
      </c>
      <c r="G94" s="242">
        <f t="shared" si="11"/>
        <v>1</v>
      </c>
      <c r="H94" s="243">
        <f t="shared" si="12"/>
        <v>1</v>
      </c>
      <c r="I94" s="242">
        <f t="shared" si="13"/>
        <v>3</v>
      </c>
      <c r="J94" s="244">
        <f t="shared" si="14"/>
        <v>1.6666666666666701</v>
      </c>
      <c r="K94" s="245">
        <f>表1温室气体盘查表!AL97</f>
        <v>1971.49404873413</v>
      </c>
      <c r="L94" s="246">
        <f t="shared" si="15"/>
        <v>1.26996235653599E-4</v>
      </c>
      <c r="M94" s="247">
        <f t="shared" si="16"/>
        <v>2.1166039275599899E-4</v>
      </c>
    </row>
    <row r="95" spans="1:13" ht="18" customHeight="1">
      <c r="A95" s="239">
        <v>93</v>
      </c>
      <c r="B95" s="240" t="str">
        <f>表1温室气体盘查表!C98</f>
        <v>锻材加工</v>
      </c>
      <c r="C95" s="240" t="str">
        <f>表1温室气体盘查表!D98</f>
        <v>下游钢铁厂</v>
      </c>
      <c r="D95" s="241" t="s">
        <v>437</v>
      </c>
      <c r="E95" s="248" t="s">
        <v>440</v>
      </c>
      <c r="F95" s="241" t="s">
        <v>438</v>
      </c>
      <c r="G95" s="242">
        <f t="shared" si="11"/>
        <v>3</v>
      </c>
      <c r="H95" s="243">
        <f t="shared" si="12"/>
        <v>1</v>
      </c>
      <c r="I95" s="242">
        <f t="shared" si="13"/>
        <v>3</v>
      </c>
      <c r="J95" s="244">
        <f t="shared" si="14"/>
        <v>2.3333333333333299</v>
      </c>
      <c r="K95" s="245">
        <f>表1温室气体盘查表!AL98</f>
        <v>113275.661420512</v>
      </c>
      <c r="L95" s="246">
        <f t="shared" si="15"/>
        <v>7.2967922986191397E-3</v>
      </c>
      <c r="M95" s="247">
        <f t="shared" si="16"/>
        <v>1.7025848696778E-2</v>
      </c>
    </row>
    <row r="96" spans="1:13" ht="18" customHeight="1">
      <c r="A96" s="239">
        <v>94</v>
      </c>
      <c r="B96" s="240" t="str">
        <f>表1温室气体盘查表!C99</f>
        <v>棒材加工</v>
      </c>
      <c r="C96" s="240" t="str">
        <f>表1温室气体盘查表!D99</f>
        <v>下游钢铁厂</v>
      </c>
      <c r="D96" s="241" t="s">
        <v>437</v>
      </c>
      <c r="E96" s="248" t="s">
        <v>440</v>
      </c>
      <c r="F96" s="241" t="s">
        <v>438</v>
      </c>
      <c r="G96" s="242">
        <f t="shared" si="11"/>
        <v>3</v>
      </c>
      <c r="H96" s="243">
        <f t="shared" si="12"/>
        <v>1</v>
      </c>
      <c r="I96" s="242">
        <f t="shared" si="13"/>
        <v>3</v>
      </c>
      <c r="J96" s="244">
        <f t="shared" si="14"/>
        <v>2.3333333333333299</v>
      </c>
      <c r="K96" s="245">
        <f>表1温室气体盘查表!AL99</f>
        <v>1357195.22298588</v>
      </c>
      <c r="L96" s="246">
        <f t="shared" si="15"/>
        <v>8.7425414485488295E-2</v>
      </c>
      <c r="M96" s="247">
        <f t="shared" si="16"/>
        <v>0.20399263379947299</v>
      </c>
    </row>
    <row r="97" spans="1:14" ht="18" customHeight="1">
      <c r="A97" s="239">
        <v>95</v>
      </c>
      <c r="B97" s="240" t="str">
        <f>表1温室气体盘查表!C100</f>
        <v>钢管加工</v>
      </c>
      <c r="C97" s="240" t="str">
        <f>表1温室气体盘查表!D100</f>
        <v>下游钢铁厂</v>
      </c>
      <c r="D97" s="241" t="s">
        <v>437</v>
      </c>
      <c r="E97" s="248" t="s">
        <v>440</v>
      </c>
      <c r="F97" s="241" t="s">
        <v>438</v>
      </c>
      <c r="G97" s="242">
        <f t="shared" si="11"/>
        <v>3</v>
      </c>
      <c r="H97" s="243">
        <f t="shared" si="12"/>
        <v>1</v>
      </c>
      <c r="I97" s="242">
        <f t="shared" si="13"/>
        <v>3</v>
      </c>
      <c r="J97" s="244">
        <f t="shared" si="14"/>
        <v>2.3333333333333299</v>
      </c>
      <c r="K97" s="245">
        <f>表1温室气体盘查表!AL100</f>
        <v>72250.340647773904</v>
      </c>
      <c r="L97" s="246">
        <f t="shared" si="15"/>
        <v>4.6540953511115101E-3</v>
      </c>
      <c r="M97" s="247">
        <f t="shared" si="16"/>
        <v>1.08595558192602E-2</v>
      </c>
    </row>
    <row r="98" spans="1:14" ht="18" customHeight="1">
      <c r="A98" s="239">
        <v>96</v>
      </c>
      <c r="B98" s="240" t="str">
        <f>表1温室气体盘查表!C101</f>
        <v>钢坯加工</v>
      </c>
      <c r="C98" s="240" t="str">
        <f>表1温室气体盘查表!D101</f>
        <v>下游钢铁厂</v>
      </c>
      <c r="D98" s="241" t="s">
        <v>437</v>
      </c>
      <c r="E98" s="248" t="s">
        <v>440</v>
      </c>
      <c r="F98" s="241" t="s">
        <v>438</v>
      </c>
      <c r="G98" s="242">
        <f t="shared" si="11"/>
        <v>3</v>
      </c>
      <c r="H98" s="243">
        <f t="shared" si="12"/>
        <v>1</v>
      </c>
      <c r="I98" s="242">
        <f t="shared" si="13"/>
        <v>3</v>
      </c>
      <c r="J98" s="244">
        <f t="shared" si="14"/>
        <v>2.3333333333333299</v>
      </c>
      <c r="K98" s="245">
        <f>表1温室气体盘查表!AL101</f>
        <v>203898.734635364</v>
      </c>
      <c r="L98" s="246">
        <f t="shared" si="15"/>
        <v>1.31343900174844E-2</v>
      </c>
      <c r="M98" s="247">
        <f t="shared" si="16"/>
        <v>3.06469100407969E-2</v>
      </c>
    </row>
    <row r="99" spans="1:14" ht="18" customHeight="1">
      <c r="A99" s="239">
        <v>97</v>
      </c>
      <c r="B99" s="240" t="str">
        <f>表1温室气体盘查表!C102</f>
        <v>外售焦炉煤气燃烧</v>
      </c>
      <c r="C99" s="240" t="str">
        <f>表1温室气体盘查表!D102</f>
        <v>下游钢铁厂</v>
      </c>
      <c r="D99" s="241" t="s">
        <v>434</v>
      </c>
      <c r="E99" s="241" t="s">
        <v>435</v>
      </c>
      <c r="F99" s="241" t="s">
        <v>436</v>
      </c>
      <c r="G99" s="242">
        <f t="shared" ref="G99" si="17">IF(D99="自动连续量测",6,IF(D99="定期量测/抄表/铭牌",3,1))</f>
        <v>6</v>
      </c>
      <c r="H99" s="243">
        <f t="shared" ref="H99" si="18">IF(E99="量测/质量平衡排放因子",6,IF(E99="制程/设备排放因子",5,IF(E99="制造商提供的排放因子",4,IF(E99="区域排放因子",3,IF(E99="国家排放因子",2,1)))))</f>
        <v>1</v>
      </c>
      <c r="I99" s="242">
        <f t="shared" ref="I99" si="19">IF(F99="校准且合格",6,IF(F99="未校准",1,3))</f>
        <v>6</v>
      </c>
      <c r="J99" s="244">
        <f t="shared" ref="J99" si="20">AVERAGE(G99:I99)</f>
        <v>4.3333333333333304</v>
      </c>
      <c r="K99" s="245">
        <f>表1温室气体盘查表!AL102</f>
        <v>3833.1354830774699</v>
      </c>
      <c r="L99" s="246">
        <f t="shared" ref="L99:L100" si="21">K99/$K$101</f>
        <v>2.4691617883079302E-4</v>
      </c>
      <c r="M99" s="247">
        <f t="shared" ref="M99:M100" si="22">J99*L99</f>
        <v>1.0699701082667701E-3</v>
      </c>
    </row>
    <row r="100" spans="1:14" ht="18" customHeight="1">
      <c r="A100" s="239">
        <v>98</v>
      </c>
      <c r="B100" s="240" t="str">
        <f>表1温室气体盘查表!C103</f>
        <v>产品报废</v>
      </c>
      <c r="C100" s="240" t="str">
        <f>表1温室气体盘查表!D103</f>
        <v>下游钢铁厂</v>
      </c>
      <c r="D100" s="241" t="s">
        <v>440</v>
      </c>
      <c r="E100" s="241" t="s">
        <v>435</v>
      </c>
      <c r="F100" s="241" t="s">
        <v>438</v>
      </c>
      <c r="G100" s="242">
        <f t="shared" si="11"/>
        <v>1</v>
      </c>
      <c r="H100" s="243">
        <f t="shared" si="12"/>
        <v>1</v>
      </c>
      <c r="I100" s="242">
        <f t="shared" si="13"/>
        <v>3</v>
      </c>
      <c r="J100" s="244">
        <f t="shared" si="14"/>
        <v>1.6666666666666701</v>
      </c>
      <c r="K100" s="245">
        <f>表1温室气体盘查表!AL103</f>
        <v>3747.3469595889401</v>
      </c>
      <c r="L100" s="246">
        <f t="shared" si="21"/>
        <v>2.4139000463193101E-4</v>
      </c>
      <c r="M100" s="247">
        <f t="shared" si="22"/>
        <v>4.02316674386551E-4</v>
      </c>
    </row>
    <row r="101" spans="1:14">
      <c r="A101" s="249"/>
      <c r="B101" s="249"/>
      <c r="C101" s="249"/>
      <c r="D101" s="249"/>
      <c r="E101" s="249"/>
      <c r="F101" s="249"/>
      <c r="G101" s="234"/>
      <c r="H101" s="234"/>
      <c r="I101" s="234"/>
      <c r="J101" s="234"/>
      <c r="K101" s="250">
        <f>SUM(K3:K100)</f>
        <v>15524035.3274066</v>
      </c>
      <c r="L101" s="251" t="s">
        <v>441</v>
      </c>
      <c r="M101" s="252">
        <f>SUM(M3:M100)</f>
        <v>3.7179689740281199</v>
      </c>
      <c r="N101" t="s">
        <v>859</v>
      </c>
    </row>
    <row r="102" spans="1:14">
      <c r="A102" s="249"/>
      <c r="B102" s="249"/>
      <c r="C102" s="249"/>
      <c r="D102" s="249"/>
      <c r="E102" s="249"/>
      <c r="F102" s="249"/>
      <c r="G102" s="234"/>
      <c r="H102" s="234"/>
      <c r="I102" s="234"/>
      <c r="J102" s="234"/>
      <c r="K102" s="234"/>
      <c r="L102" s="253" t="s">
        <v>442</v>
      </c>
      <c r="M102" s="254" t="str">
        <f>IF(M101&lt;2,"差",IF(M101&lt;3,"一般",IF(M101&lt;4,"良",IF(M101&lt;5,"优","优+"))))</f>
        <v>良</v>
      </c>
    </row>
    <row r="103" spans="1:14">
      <c r="A103" s="234"/>
      <c r="B103" s="234"/>
      <c r="C103" s="234"/>
      <c r="D103" s="234"/>
      <c r="E103" s="234"/>
      <c r="F103" s="234"/>
      <c r="G103" s="234"/>
      <c r="H103" s="234"/>
      <c r="I103" s="234"/>
      <c r="J103" s="255"/>
      <c r="K103" s="234"/>
      <c r="L103" s="234"/>
      <c r="M103" s="234"/>
    </row>
    <row r="104" spans="1:14">
      <c r="A104" s="234"/>
      <c r="B104" s="234"/>
      <c r="C104" s="234"/>
      <c r="D104" s="234"/>
      <c r="E104" s="234"/>
      <c r="F104" s="234"/>
      <c r="G104" s="256"/>
      <c r="H104" s="234"/>
      <c r="I104" s="234"/>
      <c r="J104" s="234"/>
      <c r="K104" s="234"/>
      <c r="L104" s="234"/>
      <c r="M104" s="234"/>
    </row>
    <row r="105" spans="1:14">
      <c r="A105" s="256"/>
      <c r="B105" s="234"/>
      <c r="C105" s="234"/>
      <c r="D105" s="234"/>
      <c r="E105" s="234"/>
      <c r="F105" s="234"/>
      <c r="G105" s="234"/>
      <c r="H105" s="234"/>
      <c r="I105" s="234"/>
      <c r="J105" s="255"/>
      <c r="K105" s="255"/>
      <c r="L105" s="234"/>
      <c r="M105" s="234"/>
    </row>
    <row r="106" spans="1:14">
      <c r="A106" s="234" t="s">
        <v>443</v>
      </c>
      <c r="B106" s="234"/>
      <c r="C106" s="234"/>
      <c r="D106" s="234"/>
      <c r="E106" s="234"/>
      <c r="F106" s="234"/>
      <c r="G106" s="234"/>
      <c r="H106" s="234"/>
      <c r="I106" s="234"/>
      <c r="J106" s="255"/>
      <c r="K106" s="255"/>
      <c r="L106" s="234"/>
      <c r="M106" s="234"/>
    </row>
    <row r="107" spans="1:14">
      <c r="A107" s="234" t="s">
        <v>443</v>
      </c>
      <c r="B107" s="234"/>
      <c r="C107" s="234"/>
      <c r="D107" s="234"/>
      <c r="E107" s="234"/>
      <c r="F107" s="234"/>
      <c r="G107" s="234"/>
      <c r="H107" s="234"/>
      <c r="I107" s="234"/>
      <c r="J107" s="255"/>
      <c r="K107" s="255"/>
      <c r="L107" s="234"/>
      <c r="M107" s="234"/>
    </row>
    <row r="108" spans="1:14">
      <c r="A108" s="234" t="s">
        <v>443</v>
      </c>
      <c r="B108" s="234"/>
      <c r="C108" s="234"/>
      <c r="D108" s="234"/>
      <c r="E108" s="234"/>
      <c r="F108" s="234"/>
      <c r="G108" s="234"/>
      <c r="H108" s="234"/>
      <c r="I108" s="234"/>
      <c r="J108" s="255"/>
      <c r="K108" s="255"/>
      <c r="L108" s="234"/>
      <c r="M108" s="234"/>
    </row>
    <row r="109" spans="1:14">
      <c r="A109" s="234" t="s">
        <v>443</v>
      </c>
      <c r="B109" s="234"/>
      <c r="C109" s="234"/>
      <c r="D109" s="234"/>
      <c r="E109" s="234"/>
      <c r="F109" s="234"/>
      <c r="G109" s="234"/>
      <c r="H109" s="234"/>
      <c r="I109" s="234"/>
      <c r="J109" s="255"/>
      <c r="K109" s="255"/>
      <c r="L109" s="234"/>
      <c r="M109" s="234"/>
    </row>
    <row r="110" spans="1:14">
      <c r="A110" s="234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</row>
    <row r="111" spans="1:14">
      <c r="A111" s="234"/>
      <c r="G111" s="234"/>
      <c r="H111" s="234"/>
      <c r="I111" s="234"/>
      <c r="J111" s="234"/>
      <c r="K111" s="234"/>
      <c r="L111" s="234"/>
      <c r="M111" s="234"/>
    </row>
    <row r="112" spans="1:14">
      <c r="A112" s="257" t="s">
        <v>444</v>
      </c>
      <c r="B112" s="258" t="s">
        <v>445</v>
      </c>
      <c r="G112" s="234"/>
      <c r="H112" s="234"/>
      <c r="I112" s="234"/>
      <c r="J112" s="255"/>
      <c r="K112" s="234"/>
      <c r="L112" s="234"/>
      <c r="M112" s="234"/>
    </row>
    <row r="113" spans="1:13">
      <c r="A113" s="259" t="s">
        <v>446</v>
      </c>
      <c r="B113" s="260" t="s">
        <v>447</v>
      </c>
      <c r="G113" s="234"/>
      <c r="H113" s="234"/>
      <c r="I113" s="234"/>
      <c r="J113" s="255"/>
      <c r="K113" s="234"/>
      <c r="L113" s="234"/>
      <c r="M113" s="234"/>
    </row>
    <row r="114" spans="1:13">
      <c r="A114" s="259" t="s">
        <v>448</v>
      </c>
      <c r="B114" s="260" t="s">
        <v>449</v>
      </c>
      <c r="G114" s="234"/>
      <c r="H114" s="234"/>
      <c r="I114" s="234"/>
      <c r="J114" s="255"/>
      <c r="K114" s="234"/>
      <c r="L114" s="234"/>
      <c r="M114" s="234"/>
    </row>
    <row r="115" spans="1:13">
      <c r="A115" s="259" t="s">
        <v>450</v>
      </c>
      <c r="B115" s="260" t="s">
        <v>451</v>
      </c>
      <c r="G115" s="234"/>
      <c r="H115" s="234"/>
      <c r="I115" s="234"/>
      <c r="J115" s="255"/>
      <c r="K115" s="234"/>
      <c r="L115" s="234"/>
      <c r="M115" s="234"/>
    </row>
    <row r="116" spans="1:13">
      <c r="A116" s="261" t="s">
        <v>452</v>
      </c>
      <c r="B116" s="262" t="s">
        <v>453</v>
      </c>
      <c r="C116" s="234"/>
      <c r="D116" s="234"/>
      <c r="G116" s="234"/>
      <c r="H116" s="234"/>
      <c r="I116" s="234"/>
      <c r="J116" s="255"/>
      <c r="K116" s="234"/>
      <c r="L116" s="234"/>
      <c r="M116" s="234"/>
    </row>
    <row r="117" spans="1:13">
      <c r="A117" s="234"/>
      <c r="B117" s="234"/>
      <c r="C117" s="234"/>
      <c r="D117" s="234"/>
      <c r="G117" s="234"/>
      <c r="H117" s="234"/>
      <c r="I117" s="234"/>
      <c r="J117" s="255"/>
      <c r="K117" s="234"/>
      <c r="L117" s="234"/>
      <c r="M117" s="234"/>
    </row>
    <row r="118" spans="1:13">
      <c r="A118" s="234"/>
      <c r="B118" s="234"/>
      <c r="C118" s="234"/>
      <c r="D118" s="234"/>
      <c r="G118" s="234"/>
      <c r="H118" s="234"/>
      <c r="I118" s="234"/>
      <c r="J118" s="255"/>
      <c r="K118" s="234"/>
      <c r="L118" s="234"/>
      <c r="M118" s="234"/>
    </row>
    <row r="119" spans="1:13">
      <c r="A119" s="234"/>
      <c r="B119" s="234"/>
      <c r="C119" s="234"/>
      <c r="D119" s="234"/>
      <c r="E119" s="234"/>
      <c r="F119" s="234"/>
      <c r="G119" s="234"/>
      <c r="H119" s="234"/>
      <c r="I119" s="234"/>
      <c r="J119" s="255"/>
      <c r="K119" s="234"/>
      <c r="L119" s="234"/>
      <c r="M119" s="234"/>
    </row>
  </sheetData>
  <mergeCells count="1">
    <mergeCell ref="A1:M1"/>
  </mergeCells>
  <phoneticPr fontId="87" type="noConversion"/>
  <dataValidations count="6">
    <dataValidation type="list" allowBlank="1" showInputMessage="1" showErrorMessage="1" sqref="E16 E18 E21 E25 E99 E3:E13 E32:E44 E46:E74 E76:E94" xr:uid="{00000000-0002-0000-0400-000000000000}">
      <formula1>"量测/质量平衡排放因子,制程/设备排放因子,制造商提供的排放因子,区域排放因子,国家排放因子,国际排放因子"</formula1>
    </dataValidation>
    <dataValidation type="list" allowBlank="1" showInputMessage="1" showErrorMessage="1" sqref="E17 E45 E75 E100 E22:E24 E26:E31" xr:uid="{00000000-0002-0000-0400-000001000000}">
      <formula1>"量测/质量平衡排放因子,制程/设备排放因子,制造商提供的排放因子,区域排放因子,国家排放因子"</formula1>
    </dataValidation>
    <dataValidation type="list" allowBlank="1" showInputMessage="1" showErrorMessage="1" sqref="D100 D13:D14 D18:D19 D55:D65 D76:D79 D83:D94 E95:E98" xr:uid="{00000000-0002-0000-0400-000002000000}">
      <formula1>"自动连续量测,定期量测/抄表/铭牌,自行推估"</formula1>
    </dataValidation>
    <dataValidation type="list" allowBlank="1" showInputMessage="1" showErrorMessage="1" sqref="D3:D12 D15:D17 D20:D54 D66:D75 D80:D82 D95:D99" xr:uid="{00000000-0002-0000-0400-000003000000}">
      <formula1>"自动连续量测,定期量测/抄表/铭牌"</formula1>
    </dataValidation>
    <dataValidation type="list" allowBlank="1" showInputMessage="1" showErrorMessage="1" sqref="E14:E15 E19:E20" xr:uid="{00000000-0002-0000-0400-000004000000}">
      <formula1>"量测/质量平衡排放因子,制程/设备排放因子,制造商提供的排放因子,区域排放因子,国家排放因子,国际排放因子,自行校准"</formula1>
    </dataValidation>
    <dataValidation type="list" allowBlank="1" showInputMessage="1" showErrorMessage="1" sqref="F3:F68 F70:F100" xr:uid="{00000000-0002-0000-0400-000005000000}">
      <formula1>"校准且合格,校准但不合格/未校准但数据可查证"</formula1>
    </dataValidation>
  </dataValidations>
  <pageMargins left="0.511811023622047" right="0.511811023622047" top="0.74803149606299202" bottom="0.74803149606299202" header="0.31496062992126" footer="0.31496062992126"/>
  <pageSetup paperSize="9" scale="60" fitToHeight="0" orientation="landscape"/>
  <headerFooter alignWithMargins="0"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119"/>
  <sheetViews>
    <sheetView showOutlineSymbols="0" topLeftCell="A19" zoomScale="85" zoomScaleNormal="85" workbookViewId="0">
      <selection activeCell="P104" sqref="P104"/>
    </sheetView>
  </sheetViews>
  <sheetFormatPr defaultColWidth="8.75" defaultRowHeight="15"/>
  <cols>
    <col min="1" max="1" width="10.375" customWidth="1"/>
    <col min="2" max="2" width="28.75" customWidth="1"/>
    <col min="3" max="3" width="19.25" customWidth="1"/>
    <col min="4" max="4" width="18.625" customWidth="1"/>
    <col min="5" max="5" width="20" customWidth="1"/>
    <col min="6" max="6" width="31.75" customWidth="1"/>
    <col min="7" max="7" width="14.625" customWidth="1"/>
    <col min="8" max="8" width="9.5" customWidth="1"/>
    <col min="9" max="9" width="10.75" customWidth="1"/>
    <col min="10" max="10" width="11.5" customWidth="1"/>
    <col min="11" max="11" width="21.75" customWidth="1"/>
    <col min="12" max="13" width="14.25" customWidth="1"/>
    <col min="14" max="14" width="17" bestFit="1" customWidth="1"/>
  </cols>
  <sheetData>
    <row r="1" spans="1:13" ht="28.9" customHeight="1">
      <c r="A1" s="642" t="s">
        <v>420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</row>
    <row r="2" spans="1:13" s="234" customFormat="1" ht="38.65" customHeight="1">
      <c r="A2" s="235" t="s">
        <v>421</v>
      </c>
      <c r="B2" s="235" t="s">
        <v>422</v>
      </c>
      <c r="C2" s="235" t="s">
        <v>423</v>
      </c>
      <c r="D2" s="235" t="s">
        <v>424</v>
      </c>
      <c r="E2" s="235" t="s">
        <v>425</v>
      </c>
      <c r="F2" s="235" t="s">
        <v>426</v>
      </c>
      <c r="G2" s="236" t="s">
        <v>427</v>
      </c>
      <c r="H2" s="236" t="s">
        <v>428</v>
      </c>
      <c r="I2" s="236" t="s">
        <v>429</v>
      </c>
      <c r="J2" s="237" t="s">
        <v>430</v>
      </c>
      <c r="K2" s="236" t="s">
        <v>431</v>
      </c>
      <c r="L2" s="236" t="s">
        <v>432</v>
      </c>
      <c r="M2" s="238" t="s">
        <v>433</v>
      </c>
    </row>
    <row r="3" spans="1:13">
      <c r="A3" s="239">
        <v>1</v>
      </c>
      <c r="B3" s="240" t="str">
        <f>表1温室气体盘查表!C5</f>
        <v>天然气燃烧</v>
      </c>
      <c r="C3" s="240" t="str">
        <f>表1温室气体盘查表!D5</f>
        <v>热处理炉（加热炉）</v>
      </c>
      <c r="D3" s="241" t="s">
        <v>434</v>
      </c>
      <c r="E3" s="241" t="s">
        <v>435</v>
      </c>
      <c r="F3" s="241" t="s">
        <v>436</v>
      </c>
      <c r="G3" s="242">
        <f t="shared" ref="G3:G65" si="0">IF(D3="自动连续量测",6,IF(D3="定期量测/抄表/铭牌",3,1))</f>
        <v>6</v>
      </c>
      <c r="H3" s="243">
        <f t="shared" ref="H3:H65" si="1">IF(E3="量测/质量平衡排放因子",6,IF(E3="制程/设备排放因子",5,IF(E3="制造商提供的排放因子",4,IF(E3="区域排放因子",3,IF(E3="国家排放因子",2,1)))))</f>
        <v>1</v>
      </c>
      <c r="I3" s="242">
        <f t="shared" ref="I3:I65" si="2">IF(F3="校准且合格",6,IF(F3="未校准",1,3))</f>
        <v>6</v>
      </c>
      <c r="J3" s="244">
        <f t="shared" ref="J3:J65" si="3">AVERAGE(G3:I3)</f>
        <v>4.3333333333333304</v>
      </c>
      <c r="K3" s="245">
        <f>表1温室气体盘查表!AL5</f>
        <v>38881.726082692898</v>
      </c>
      <c r="L3" s="246">
        <f t="shared" ref="L3:L34" si="4">K3/$K$101</f>
        <v>2.4897758387043599E-3</v>
      </c>
      <c r="M3" s="247">
        <f>J3*L3</f>
        <v>1.07890286343855E-2</v>
      </c>
    </row>
    <row r="4" spans="1:13">
      <c r="A4" s="239">
        <v>2</v>
      </c>
      <c r="B4" s="240" t="str">
        <f>表1温室气体盘查表!C6</f>
        <v>液化石油气燃烧</v>
      </c>
      <c r="C4" s="240" t="str">
        <f>表1温室气体盘查表!D6</f>
        <v>冶钢宾馆</v>
      </c>
      <c r="D4" s="241" t="s">
        <v>437</v>
      </c>
      <c r="E4" s="241" t="s">
        <v>435</v>
      </c>
      <c r="F4" s="241" t="s">
        <v>436</v>
      </c>
      <c r="G4" s="242">
        <f t="shared" si="0"/>
        <v>3</v>
      </c>
      <c r="H4" s="243">
        <f t="shared" si="1"/>
        <v>1</v>
      </c>
      <c r="I4" s="242">
        <f t="shared" si="2"/>
        <v>6</v>
      </c>
      <c r="J4" s="244">
        <f t="shared" si="3"/>
        <v>3.3333333333333299</v>
      </c>
      <c r="K4" s="245">
        <f>表1温室气体盘查表!AL6</f>
        <v>29.162367925877799</v>
      </c>
      <c r="L4" s="246">
        <f t="shared" si="4"/>
        <v>1.8674006114552801E-6</v>
      </c>
      <c r="M4" s="247">
        <f t="shared" ref="M4:M66" si="5">J4*L4</f>
        <v>6.22466870485093E-6</v>
      </c>
    </row>
    <row r="5" spans="1:13">
      <c r="A5" s="239">
        <v>3</v>
      </c>
      <c r="B5" s="240" t="str">
        <f>表1温室气体盘查表!C7</f>
        <v>烟煤燃烧</v>
      </c>
      <c r="C5" s="240" t="str">
        <f>表1温室气体盘查表!D7</f>
        <v>高炉</v>
      </c>
      <c r="D5" s="241" t="s">
        <v>434</v>
      </c>
      <c r="E5" s="241" t="s">
        <v>435</v>
      </c>
      <c r="F5" s="241" t="s">
        <v>436</v>
      </c>
      <c r="G5" s="242">
        <f t="shared" si="0"/>
        <v>6</v>
      </c>
      <c r="H5" s="243">
        <f t="shared" si="1"/>
        <v>1</v>
      </c>
      <c r="I5" s="242">
        <f t="shared" si="2"/>
        <v>6</v>
      </c>
      <c r="J5" s="244">
        <f t="shared" si="3"/>
        <v>4.3333333333333304</v>
      </c>
      <c r="K5" s="245">
        <f>表1温室气体盘查表!AL7</f>
        <v>925941.31884315598</v>
      </c>
      <c r="L5" s="246">
        <f t="shared" si="4"/>
        <v>5.9292283444687802E-2</v>
      </c>
      <c r="M5" s="247">
        <f t="shared" si="5"/>
        <v>0.25693322826031401</v>
      </c>
    </row>
    <row r="6" spans="1:13">
      <c r="A6" s="239">
        <v>4</v>
      </c>
      <c r="B6" s="240" t="str">
        <f>表1温室气体盘查表!C8</f>
        <v>无烟煤燃烧</v>
      </c>
      <c r="C6" s="240" t="str">
        <f>表1温室气体盘查表!D8</f>
        <v>高炉、烧结</v>
      </c>
      <c r="D6" s="241" t="s">
        <v>434</v>
      </c>
      <c r="E6" s="241" t="s">
        <v>435</v>
      </c>
      <c r="F6" s="241" t="s">
        <v>436</v>
      </c>
      <c r="G6" s="242">
        <f t="shared" si="0"/>
        <v>6</v>
      </c>
      <c r="H6" s="243">
        <f t="shared" si="1"/>
        <v>1</v>
      </c>
      <c r="I6" s="242">
        <f t="shared" si="2"/>
        <v>6</v>
      </c>
      <c r="J6" s="244">
        <f t="shared" si="3"/>
        <v>4.3333333333333304</v>
      </c>
      <c r="K6" s="245">
        <f>表1温室气体盘查表!AL8</f>
        <v>637282.392059932</v>
      </c>
      <c r="L6" s="246">
        <f t="shared" si="4"/>
        <v>4.08081240737099E-2</v>
      </c>
      <c r="M6" s="247">
        <f t="shared" si="5"/>
        <v>0.17683520431940999</v>
      </c>
    </row>
    <row r="7" spans="1:13">
      <c r="A7" s="239">
        <v>5</v>
      </c>
      <c r="B7" s="240" t="str">
        <f>表1温室气体盘查表!C9</f>
        <v>洗精煤燃烧</v>
      </c>
      <c r="C7" s="240" t="str">
        <f>表1温室气体盘查表!D9</f>
        <v>焦炉</v>
      </c>
      <c r="D7" s="241" t="s">
        <v>434</v>
      </c>
      <c r="E7" s="241" t="s">
        <v>435</v>
      </c>
      <c r="F7" s="241" t="s">
        <v>436</v>
      </c>
      <c r="G7" s="242">
        <f t="shared" si="0"/>
        <v>6</v>
      </c>
      <c r="H7" s="243">
        <f t="shared" si="1"/>
        <v>1</v>
      </c>
      <c r="I7" s="242">
        <f t="shared" si="2"/>
        <v>6</v>
      </c>
      <c r="J7" s="244">
        <f t="shared" si="3"/>
        <v>4.3333333333333304</v>
      </c>
      <c r="K7" s="245">
        <f>表1温室气体盘查表!AL9</f>
        <v>4824841.57343012</v>
      </c>
      <c r="L7" s="246">
        <f t="shared" si="4"/>
        <v>0.30895680787303798</v>
      </c>
      <c r="M7" s="247">
        <f t="shared" si="5"/>
        <v>1.3388128341165</v>
      </c>
    </row>
    <row r="8" spans="1:13">
      <c r="A8" s="239">
        <v>6</v>
      </c>
      <c r="B8" s="240" t="str">
        <f>表1温室气体盘查表!C10</f>
        <v>焦炭燃烧</v>
      </c>
      <c r="C8" s="240" t="str">
        <f>表1温室气体盘查表!D10</f>
        <v>高炉</v>
      </c>
      <c r="D8" s="241" t="s">
        <v>434</v>
      </c>
      <c r="E8" s="241" t="s">
        <v>435</v>
      </c>
      <c r="F8" s="241" t="s">
        <v>436</v>
      </c>
      <c r="G8" s="242">
        <f t="shared" si="0"/>
        <v>6</v>
      </c>
      <c r="H8" s="243">
        <f t="shared" si="1"/>
        <v>1</v>
      </c>
      <c r="I8" s="242">
        <f t="shared" si="2"/>
        <v>6</v>
      </c>
      <c r="J8" s="244">
        <f t="shared" si="3"/>
        <v>4.3333333333333304</v>
      </c>
      <c r="K8" s="245">
        <f>表1温室气体盘查表!AL10</f>
        <v>439843.84434853197</v>
      </c>
      <c r="L8" s="246">
        <f t="shared" si="4"/>
        <v>2.81652253331745E-2</v>
      </c>
      <c r="M8" s="247">
        <f t="shared" si="5"/>
        <v>0.12204930977709</v>
      </c>
    </row>
    <row r="9" spans="1:13">
      <c r="A9" s="239">
        <v>7</v>
      </c>
      <c r="B9" s="240" t="str">
        <f>表1温室气体盘查表!C11</f>
        <v>焦屑燃烧</v>
      </c>
      <c r="C9" s="240" t="str">
        <f>表1温室气体盘查表!D11</f>
        <v>烧结、高炉</v>
      </c>
      <c r="D9" s="241" t="s">
        <v>434</v>
      </c>
      <c r="E9" s="241" t="s">
        <v>435</v>
      </c>
      <c r="F9" s="241" t="s">
        <v>436</v>
      </c>
      <c r="G9" s="242">
        <f t="shared" si="0"/>
        <v>6</v>
      </c>
      <c r="H9" s="243">
        <f t="shared" si="1"/>
        <v>1</v>
      </c>
      <c r="I9" s="242">
        <f t="shared" si="2"/>
        <v>6</v>
      </c>
      <c r="J9" s="244">
        <f t="shared" si="3"/>
        <v>4.3333333333333304</v>
      </c>
      <c r="K9" s="245">
        <f>表1温室气体盘查表!AL11</f>
        <v>364657.35614077898</v>
      </c>
      <c r="L9" s="246">
        <f t="shared" si="4"/>
        <v>2.3350688516095799E-2</v>
      </c>
      <c r="M9" s="247">
        <f t="shared" si="5"/>
        <v>0.101186316903082</v>
      </c>
    </row>
    <row r="10" spans="1:13">
      <c r="A10" s="239">
        <v>8</v>
      </c>
      <c r="B10" s="240" t="str">
        <f>表1温室气体盘查表!C12</f>
        <v>焦炉煤气燃烧</v>
      </c>
      <c r="C10" s="240" t="str">
        <f>表1温室气体盘查表!D12</f>
        <v>外售</v>
      </c>
      <c r="D10" s="241" t="s">
        <v>434</v>
      </c>
      <c r="E10" s="241" t="s">
        <v>435</v>
      </c>
      <c r="F10" s="241" t="s">
        <v>436</v>
      </c>
      <c r="G10" s="242">
        <f t="shared" si="0"/>
        <v>6</v>
      </c>
      <c r="H10" s="243">
        <f t="shared" si="1"/>
        <v>1</v>
      </c>
      <c r="I10" s="242">
        <f t="shared" si="2"/>
        <v>6</v>
      </c>
      <c r="J10" s="244">
        <f t="shared" si="3"/>
        <v>4.3333333333333304</v>
      </c>
      <c r="K10" s="245">
        <f>表1温室气体盘查表!AL12</f>
        <v>-3833.1354830774699</v>
      </c>
      <c r="L10" s="246">
        <f t="shared" si="4"/>
        <v>-2.4545330348630599E-4</v>
      </c>
      <c r="M10" s="247">
        <f t="shared" si="5"/>
        <v>-1.0636309817739901E-3</v>
      </c>
    </row>
    <row r="11" spans="1:13">
      <c r="A11" s="239">
        <v>9</v>
      </c>
      <c r="B11" s="240" t="str">
        <f>表1温室气体盘查表!C13</f>
        <v>0#柴油燃烧</v>
      </c>
      <c r="C11" s="240" t="str">
        <f>表1温室气体盘查表!D13</f>
        <v>场内运输</v>
      </c>
      <c r="D11" s="241" t="s">
        <v>437</v>
      </c>
      <c r="E11" s="241" t="s">
        <v>435</v>
      </c>
      <c r="F11" s="241" t="s">
        <v>438</v>
      </c>
      <c r="G11" s="242">
        <f t="shared" si="0"/>
        <v>3</v>
      </c>
      <c r="H11" s="243">
        <f t="shared" si="1"/>
        <v>1</v>
      </c>
      <c r="I11" s="242">
        <f t="shared" si="2"/>
        <v>3</v>
      </c>
      <c r="J11" s="244">
        <f t="shared" si="3"/>
        <v>2.3333333333333299</v>
      </c>
      <c r="K11" s="245">
        <f>表1温室气体盘查表!AL13</f>
        <v>4417.0725986272801</v>
      </c>
      <c r="L11" s="246">
        <f t="shared" si="4"/>
        <v>2.8284548403216298E-4</v>
      </c>
      <c r="M11" s="247">
        <f t="shared" si="5"/>
        <v>6.5997279607504702E-4</v>
      </c>
    </row>
    <row r="12" spans="1:13">
      <c r="A12" s="239">
        <v>10</v>
      </c>
      <c r="B12" s="240" t="str">
        <f>表1温室气体盘查表!C14</f>
        <v>92#汽油燃烧</v>
      </c>
      <c r="C12" s="240" t="str">
        <f>表1温室气体盘查表!D14</f>
        <v>公务车</v>
      </c>
      <c r="D12" s="241" t="s">
        <v>437</v>
      </c>
      <c r="E12" s="241" t="s">
        <v>435</v>
      </c>
      <c r="F12" s="241" t="s">
        <v>438</v>
      </c>
      <c r="G12" s="242">
        <f t="shared" si="0"/>
        <v>3</v>
      </c>
      <c r="H12" s="243">
        <f t="shared" si="1"/>
        <v>1</v>
      </c>
      <c r="I12" s="242">
        <f t="shared" si="2"/>
        <v>3</v>
      </c>
      <c r="J12" s="244">
        <f t="shared" si="3"/>
        <v>2.3333333333333299</v>
      </c>
      <c r="K12" s="245">
        <f>表1温室气体盘查表!AL14</f>
        <v>149.47012378775401</v>
      </c>
      <c r="L12" s="246">
        <f t="shared" si="4"/>
        <v>9.5712598258478508E-6</v>
      </c>
      <c r="M12" s="247">
        <f t="shared" si="5"/>
        <v>2.2332939593645E-5</v>
      </c>
    </row>
    <row r="13" spans="1:13" ht="18" customHeight="1">
      <c r="A13" s="239">
        <v>11</v>
      </c>
      <c r="B13" s="240" t="str">
        <f>表1温室气体盘查表!C15</f>
        <v>制冷剂逸散（R32）</v>
      </c>
      <c r="C13" s="240" t="str">
        <f>表1温室气体盘查表!D15</f>
        <v>分体式空调</v>
      </c>
      <c r="D13" s="241" t="s">
        <v>437</v>
      </c>
      <c r="E13" s="241" t="s">
        <v>439</v>
      </c>
      <c r="F13" s="241" t="s">
        <v>436</v>
      </c>
      <c r="G13" s="242">
        <f t="shared" si="0"/>
        <v>3</v>
      </c>
      <c r="H13" s="243">
        <f t="shared" si="1"/>
        <v>2</v>
      </c>
      <c r="I13" s="242">
        <f t="shared" si="2"/>
        <v>6</v>
      </c>
      <c r="J13" s="244">
        <f t="shared" si="3"/>
        <v>3.6666666666666701</v>
      </c>
      <c r="K13" s="245">
        <f>表1温室气体盘查表!AL15</f>
        <v>717.03</v>
      </c>
      <c r="L13" s="246">
        <f t="shared" si="4"/>
        <v>4.59147303756362E-5</v>
      </c>
      <c r="M13" s="247">
        <f t="shared" si="5"/>
        <v>1.68354011377333E-4</v>
      </c>
    </row>
    <row r="14" spans="1:13" ht="18" customHeight="1">
      <c r="A14" s="239">
        <v>12</v>
      </c>
      <c r="B14" s="240" t="str">
        <f>表1温室气体盘查表!C16</f>
        <v>CO2逸散</v>
      </c>
      <c r="C14" s="240" t="str">
        <f>表1温室气体盘查表!D16</f>
        <v>二氧化碳灭火器</v>
      </c>
      <c r="D14" s="241" t="s">
        <v>437</v>
      </c>
      <c r="E14" s="241" t="s">
        <v>439</v>
      </c>
      <c r="F14" s="241" t="s">
        <v>436</v>
      </c>
      <c r="G14" s="242">
        <f t="shared" si="0"/>
        <v>3</v>
      </c>
      <c r="H14" s="243">
        <f t="shared" si="1"/>
        <v>2</v>
      </c>
      <c r="I14" s="242">
        <f t="shared" si="2"/>
        <v>6</v>
      </c>
      <c r="J14" s="244">
        <f t="shared" si="3"/>
        <v>3.6666666666666701</v>
      </c>
      <c r="K14" s="245">
        <f>表1温室气体盘查表!AL16</f>
        <v>0.66</v>
      </c>
      <c r="L14" s="246">
        <f t="shared" si="4"/>
        <v>4.22628370471527E-8</v>
      </c>
      <c r="M14" s="247">
        <f t="shared" si="5"/>
        <v>1.5496373583956E-7</v>
      </c>
    </row>
    <row r="15" spans="1:13" ht="18" customHeight="1">
      <c r="A15" s="239">
        <v>13</v>
      </c>
      <c r="B15" s="240" t="str">
        <f>表1温室气体盘查表!C17</f>
        <v>CH4逸散</v>
      </c>
      <c r="C15" s="240" t="str">
        <f>表1温室气体盘查表!D17</f>
        <v>化粪池</v>
      </c>
      <c r="D15" s="241" t="s">
        <v>437</v>
      </c>
      <c r="E15" s="241" t="s">
        <v>435</v>
      </c>
      <c r="F15" s="241" t="s">
        <v>436</v>
      </c>
      <c r="G15" s="242">
        <f t="shared" si="0"/>
        <v>3</v>
      </c>
      <c r="H15" s="243">
        <f t="shared" si="1"/>
        <v>1</v>
      </c>
      <c r="I15" s="242">
        <f t="shared" si="2"/>
        <v>6</v>
      </c>
      <c r="J15" s="244">
        <f t="shared" si="3"/>
        <v>3.3333333333333299</v>
      </c>
      <c r="K15" s="245">
        <f>表1温室气体盘查表!AL17</f>
        <v>112.29192</v>
      </c>
      <c r="L15" s="246">
        <f t="shared" si="4"/>
        <v>7.1905683585937896E-6</v>
      </c>
      <c r="M15" s="247">
        <f t="shared" si="5"/>
        <v>2.39685611953126E-5</v>
      </c>
    </row>
    <row r="16" spans="1:13" ht="18" customHeight="1">
      <c r="A16" s="239">
        <v>14</v>
      </c>
      <c r="B16" s="240" t="str">
        <f>表1温室气体盘查表!C18</f>
        <v>CH4逸散</v>
      </c>
      <c r="C16" s="240" t="str">
        <f>表1温室气体盘查表!D18</f>
        <v>耗氧池</v>
      </c>
      <c r="D16" s="241" t="s">
        <v>437</v>
      </c>
      <c r="E16" s="241" t="s">
        <v>439</v>
      </c>
      <c r="F16" s="241" t="s">
        <v>436</v>
      </c>
      <c r="G16" s="242">
        <f t="shared" si="0"/>
        <v>3</v>
      </c>
      <c r="H16" s="243">
        <f t="shared" si="1"/>
        <v>2</v>
      </c>
      <c r="I16" s="242">
        <f t="shared" si="2"/>
        <v>6</v>
      </c>
      <c r="J16" s="244">
        <f t="shared" si="3"/>
        <v>3.6666666666666701</v>
      </c>
      <c r="K16" s="245">
        <f>表1温室气体盘查表!AL18</f>
        <v>365.58067499999999</v>
      </c>
      <c r="L16" s="246">
        <f t="shared" si="4"/>
        <v>2.34098128713834E-5</v>
      </c>
      <c r="M16" s="247">
        <f t="shared" si="5"/>
        <v>8.5835980528405995E-5</v>
      </c>
    </row>
    <row r="17" spans="1:13" ht="18" customHeight="1">
      <c r="A17" s="239">
        <v>15</v>
      </c>
      <c r="B17" s="240" t="str">
        <f>表1温室气体盘查表!C19</f>
        <v>SF6逸散</v>
      </c>
      <c r="C17" s="240" t="str">
        <f>表1温室气体盘查表!D19</f>
        <v>高压开关</v>
      </c>
      <c r="D17" s="241" t="s">
        <v>437</v>
      </c>
      <c r="E17" s="241" t="s">
        <v>439</v>
      </c>
      <c r="F17" s="241" t="s">
        <v>436</v>
      </c>
      <c r="G17" s="242">
        <f t="shared" si="0"/>
        <v>3</v>
      </c>
      <c r="H17" s="243">
        <f t="shared" si="1"/>
        <v>2</v>
      </c>
      <c r="I17" s="242">
        <f t="shared" si="2"/>
        <v>6</v>
      </c>
      <c r="J17" s="244">
        <f t="shared" si="3"/>
        <v>3.6666666666666701</v>
      </c>
      <c r="K17" s="245">
        <f>表1温室气体盘查表!AL19</f>
        <v>2459.16</v>
      </c>
      <c r="L17" s="246">
        <f t="shared" si="4"/>
        <v>1.5747133083769099E-4</v>
      </c>
      <c r="M17" s="247">
        <f t="shared" si="5"/>
        <v>5.7739487973819902E-4</v>
      </c>
    </row>
    <row r="18" spans="1:13" ht="17.649999999999999" customHeight="1">
      <c r="A18" s="239">
        <v>16</v>
      </c>
      <c r="B18" s="240" t="str">
        <f>表1温室气体盘查表!C20</f>
        <v>石灰石</v>
      </c>
      <c r="C18" s="240" t="str">
        <f>表1温室气体盘查表!D20</f>
        <v>石灰窑</v>
      </c>
      <c r="D18" s="241" t="s">
        <v>437</v>
      </c>
      <c r="E18" s="241" t="s">
        <v>439</v>
      </c>
      <c r="F18" s="241" t="s">
        <v>436</v>
      </c>
      <c r="G18" s="242">
        <f t="shared" si="0"/>
        <v>3</v>
      </c>
      <c r="H18" s="243">
        <f t="shared" si="1"/>
        <v>2</v>
      </c>
      <c r="I18" s="242">
        <f t="shared" si="2"/>
        <v>6</v>
      </c>
      <c r="J18" s="244">
        <f t="shared" si="3"/>
        <v>3.6666666666666701</v>
      </c>
      <c r="K18" s="245">
        <f>表1温室气体盘查表!AL20</f>
        <v>8520.9387999999999</v>
      </c>
      <c r="L18" s="246">
        <f t="shared" si="4"/>
        <v>5.4563492120175802E-4</v>
      </c>
      <c r="M18" s="247">
        <f t="shared" si="5"/>
        <v>2.0006613777397799E-3</v>
      </c>
    </row>
    <row r="19" spans="1:13" ht="18" customHeight="1">
      <c r="A19" s="239">
        <v>17</v>
      </c>
      <c r="B19" s="240" t="str">
        <f>表1温室气体盘查表!C21</f>
        <v>白云石</v>
      </c>
      <c r="C19" s="240" t="str">
        <f>表1温室气体盘查表!D21</f>
        <v>高炉</v>
      </c>
      <c r="D19" s="241" t="s">
        <v>437</v>
      </c>
      <c r="E19" s="241" t="s">
        <v>439</v>
      </c>
      <c r="F19" s="241" t="s">
        <v>436</v>
      </c>
      <c r="G19" s="242">
        <f t="shared" si="0"/>
        <v>3</v>
      </c>
      <c r="H19" s="243">
        <f t="shared" si="1"/>
        <v>2</v>
      </c>
      <c r="I19" s="242">
        <f t="shared" si="2"/>
        <v>6</v>
      </c>
      <c r="J19" s="244">
        <f t="shared" si="3"/>
        <v>3.6666666666666701</v>
      </c>
      <c r="K19" s="245">
        <f>表1温室气体盘查表!AL21</f>
        <v>169593.74963999999</v>
      </c>
      <c r="L19" s="246">
        <f t="shared" si="4"/>
        <v>1.0859868189774099E-2</v>
      </c>
      <c r="M19" s="247">
        <f t="shared" si="5"/>
        <v>3.9819516695838497E-2</v>
      </c>
    </row>
    <row r="20" spans="1:13" ht="18" customHeight="1">
      <c r="A20" s="239">
        <v>18</v>
      </c>
      <c r="B20" s="240" t="str">
        <f>表1温室气体盘查表!C22</f>
        <v>电极</v>
      </c>
      <c r="C20" s="240" t="str">
        <f>表1温室气体盘查表!D22</f>
        <v>炼钢</v>
      </c>
      <c r="D20" s="241" t="s">
        <v>437</v>
      </c>
      <c r="E20" s="241" t="s">
        <v>435</v>
      </c>
      <c r="F20" s="241" t="s">
        <v>436</v>
      </c>
      <c r="G20" s="242">
        <f t="shared" si="0"/>
        <v>3</v>
      </c>
      <c r="H20" s="243">
        <f t="shared" si="1"/>
        <v>1</v>
      </c>
      <c r="I20" s="242">
        <f t="shared" si="2"/>
        <v>6</v>
      </c>
      <c r="J20" s="244">
        <f t="shared" si="3"/>
        <v>3.3333333333333299</v>
      </c>
      <c r="K20" s="245">
        <f>表1温室气体盘查表!AL22</f>
        <v>17447.125410000001</v>
      </c>
      <c r="L20" s="246">
        <f t="shared" si="4"/>
        <v>1.11721972446071E-3</v>
      </c>
      <c r="M20" s="247">
        <f t="shared" si="5"/>
        <v>3.7240657482023598E-3</v>
      </c>
    </row>
    <row r="21" spans="1:13" ht="18" customHeight="1">
      <c r="A21" s="239">
        <v>19</v>
      </c>
      <c r="B21" s="240" t="str">
        <f>表1温室气体盘查表!C23</f>
        <v>废钢</v>
      </c>
      <c r="C21" s="240" t="str">
        <f>表1温室气体盘查表!D23</f>
        <v>炼钢</v>
      </c>
      <c r="D21" s="241" t="s">
        <v>437</v>
      </c>
      <c r="E21" s="241" t="s">
        <v>439</v>
      </c>
      <c r="F21" s="241" t="s">
        <v>436</v>
      </c>
      <c r="G21" s="242">
        <f t="shared" si="0"/>
        <v>3</v>
      </c>
      <c r="H21" s="243">
        <f t="shared" si="1"/>
        <v>2</v>
      </c>
      <c r="I21" s="242">
        <f t="shared" si="2"/>
        <v>6</v>
      </c>
      <c r="J21" s="244">
        <f t="shared" si="3"/>
        <v>3.6666666666666701</v>
      </c>
      <c r="K21" s="245">
        <f>表1温室气体盘查表!AL23</f>
        <v>39875.737794618602</v>
      </c>
      <c r="L21" s="246">
        <f t="shared" si="4"/>
        <v>2.5534269826499299E-3</v>
      </c>
      <c r="M21" s="247">
        <f t="shared" si="5"/>
        <v>9.3625656030497297E-3</v>
      </c>
    </row>
    <row r="22" spans="1:13" ht="18" customHeight="1">
      <c r="A22" s="239">
        <v>20</v>
      </c>
      <c r="B22" s="240" t="str">
        <f>表1温室气体盘查表!C24</f>
        <v>锰铁</v>
      </c>
      <c r="C22" s="240" t="str">
        <f>表1温室气体盘查表!D24</f>
        <v>炼钢</v>
      </c>
      <c r="D22" s="241" t="s">
        <v>437</v>
      </c>
      <c r="E22" s="241" t="s">
        <v>439</v>
      </c>
      <c r="F22" s="241" t="s">
        <v>436</v>
      </c>
      <c r="G22" s="242">
        <f t="shared" si="0"/>
        <v>3</v>
      </c>
      <c r="H22" s="243">
        <f t="shared" si="1"/>
        <v>2</v>
      </c>
      <c r="I22" s="242">
        <f t="shared" si="2"/>
        <v>6</v>
      </c>
      <c r="J22" s="244">
        <f t="shared" si="3"/>
        <v>3.6666666666666701</v>
      </c>
      <c r="K22" s="245">
        <f>表1温室气体盘查表!AL24</f>
        <v>13114.101000000001</v>
      </c>
      <c r="L22" s="246">
        <f t="shared" si="4"/>
        <v>8.3975623270136598E-4</v>
      </c>
      <c r="M22" s="247">
        <f t="shared" si="5"/>
        <v>3.0791061865716798E-3</v>
      </c>
    </row>
    <row r="23" spans="1:13" ht="18" customHeight="1">
      <c r="A23" s="239">
        <v>21</v>
      </c>
      <c r="B23" s="240" t="str">
        <f>表1温室气体盘查表!C25</f>
        <v>镍铁</v>
      </c>
      <c r="C23" s="240" t="str">
        <f>表1温室气体盘查表!D25</f>
        <v>炼钢</v>
      </c>
      <c r="D23" s="241" t="s">
        <v>437</v>
      </c>
      <c r="E23" s="241" t="s">
        <v>439</v>
      </c>
      <c r="F23" s="241" t="s">
        <v>436</v>
      </c>
      <c r="G23" s="242">
        <f t="shared" si="0"/>
        <v>3</v>
      </c>
      <c r="H23" s="243">
        <f t="shared" si="1"/>
        <v>2</v>
      </c>
      <c r="I23" s="242">
        <f t="shared" si="2"/>
        <v>6</v>
      </c>
      <c r="J23" s="244">
        <f t="shared" si="3"/>
        <v>3.6666666666666701</v>
      </c>
      <c r="K23" s="245">
        <f>表1温室气体盘查表!AL25</f>
        <v>349.46906999999999</v>
      </c>
      <c r="L23" s="246">
        <f t="shared" si="4"/>
        <v>2.2378112664287901E-5</v>
      </c>
      <c r="M23" s="247">
        <f t="shared" si="5"/>
        <v>8.2053079769055505E-5</v>
      </c>
    </row>
    <row r="24" spans="1:13" ht="18" customHeight="1">
      <c r="A24" s="239">
        <v>22</v>
      </c>
      <c r="B24" s="240" t="str">
        <f>表1温室气体盘查表!C26</f>
        <v>铬铁</v>
      </c>
      <c r="C24" s="240" t="str">
        <f>表1温室气体盘查表!D26</f>
        <v>炼钢</v>
      </c>
      <c r="D24" s="241" t="s">
        <v>437</v>
      </c>
      <c r="E24" s="241" t="s">
        <v>439</v>
      </c>
      <c r="F24" s="241" t="s">
        <v>436</v>
      </c>
      <c r="G24" s="242">
        <f t="shared" si="0"/>
        <v>3</v>
      </c>
      <c r="H24" s="243">
        <f t="shared" si="1"/>
        <v>2</v>
      </c>
      <c r="I24" s="242">
        <f t="shared" si="2"/>
        <v>6</v>
      </c>
      <c r="J24" s="244">
        <f t="shared" si="3"/>
        <v>3.6666666666666701</v>
      </c>
      <c r="K24" s="245">
        <f>表1温室气体盘查表!AL26</f>
        <v>22918.907292</v>
      </c>
      <c r="L24" s="246">
        <f t="shared" si="4"/>
        <v>1.46760309724333E-3</v>
      </c>
      <c r="M24" s="247">
        <f t="shared" si="5"/>
        <v>5.38121135655886E-3</v>
      </c>
    </row>
    <row r="25" spans="1:13" ht="18" customHeight="1">
      <c r="A25" s="239">
        <v>23</v>
      </c>
      <c r="B25" s="240" t="str">
        <f>表1温室气体盘查表!C27</f>
        <v>硅铁</v>
      </c>
      <c r="C25" s="240" t="str">
        <f>表1温室气体盘查表!D27</f>
        <v>炼钢</v>
      </c>
      <c r="D25" s="241" t="s">
        <v>437</v>
      </c>
      <c r="E25" s="241" t="s">
        <v>439</v>
      </c>
      <c r="F25" s="241" t="s">
        <v>436</v>
      </c>
      <c r="G25" s="242">
        <f t="shared" si="0"/>
        <v>3</v>
      </c>
      <c r="H25" s="243">
        <f t="shared" si="1"/>
        <v>2</v>
      </c>
      <c r="I25" s="242">
        <f t="shared" si="2"/>
        <v>6</v>
      </c>
      <c r="J25" s="244">
        <f t="shared" si="3"/>
        <v>3.6666666666666701</v>
      </c>
      <c r="K25" s="245">
        <f>表1温室气体盘查表!AL27</f>
        <v>74.707359999999994</v>
      </c>
      <c r="L25" s="246">
        <f t="shared" si="4"/>
        <v>4.7838560331863203E-6</v>
      </c>
      <c r="M25" s="247">
        <f t="shared" si="5"/>
        <v>1.7540805455016501E-5</v>
      </c>
    </row>
    <row r="26" spans="1:13" ht="18" customHeight="1">
      <c r="A26" s="239">
        <v>24</v>
      </c>
      <c r="B26" s="240" t="str">
        <f>表1温室气体盘查表!C28</f>
        <v>钼铁</v>
      </c>
      <c r="C26" s="240" t="str">
        <f>表1温室气体盘查表!D28</f>
        <v>炼钢</v>
      </c>
      <c r="D26" s="241" t="s">
        <v>437</v>
      </c>
      <c r="E26" s="241" t="s">
        <v>439</v>
      </c>
      <c r="F26" s="241" t="s">
        <v>436</v>
      </c>
      <c r="G26" s="242">
        <f t="shared" si="0"/>
        <v>3</v>
      </c>
      <c r="H26" s="243">
        <f t="shared" si="1"/>
        <v>2</v>
      </c>
      <c r="I26" s="242">
        <f t="shared" si="2"/>
        <v>6</v>
      </c>
      <c r="J26" s="244">
        <f t="shared" si="3"/>
        <v>3.6666666666666701</v>
      </c>
      <c r="K26" s="245">
        <f>表1温室气体盘查表!AL28</f>
        <v>143.01295200000001</v>
      </c>
      <c r="L26" s="246">
        <f t="shared" si="4"/>
        <v>9.1577774030428193E-6</v>
      </c>
      <c r="M26" s="247">
        <f t="shared" si="5"/>
        <v>3.3578517144490299E-5</v>
      </c>
    </row>
    <row r="27" spans="1:13" ht="18" customHeight="1">
      <c r="A27" s="239">
        <v>25</v>
      </c>
      <c r="B27" s="240" t="str">
        <f>表1温室气体盘查表!C29</f>
        <v>钢坯</v>
      </c>
      <c r="C27" s="240" t="str">
        <f>表1温室气体盘查表!D29</f>
        <v>固碳产品</v>
      </c>
      <c r="D27" s="241" t="s">
        <v>437</v>
      </c>
      <c r="E27" s="241" t="s">
        <v>439</v>
      </c>
      <c r="F27" s="241" t="s">
        <v>436</v>
      </c>
      <c r="G27" s="242">
        <f t="shared" si="0"/>
        <v>3</v>
      </c>
      <c r="H27" s="243">
        <f t="shared" si="1"/>
        <v>2</v>
      </c>
      <c r="I27" s="242">
        <f t="shared" si="2"/>
        <v>6</v>
      </c>
      <c r="J27" s="244">
        <f t="shared" si="3"/>
        <v>3.6666666666666701</v>
      </c>
      <c r="K27" s="245">
        <f>表1温室气体盘查表!AL29</f>
        <v>-160314.41177999999</v>
      </c>
      <c r="L27" s="246">
        <f t="shared" si="4"/>
        <v>-1.02656694869216E-2</v>
      </c>
      <c r="M27" s="247">
        <f t="shared" si="5"/>
        <v>-3.7640788118712597E-2</v>
      </c>
    </row>
    <row r="28" spans="1:13" ht="18" customHeight="1">
      <c r="A28" s="239">
        <v>26</v>
      </c>
      <c r="B28" s="240" t="str">
        <f>表1温室气体盘查表!C30</f>
        <v>粗苯</v>
      </c>
      <c r="C28" s="240" t="str">
        <f>表1温室气体盘查表!D30</f>
        <v>外售</v>
      </c>
      <c r="D28" s="241" t="s">
        <v>437</v>
      </c>
      <c r="E28" s="241" t="s">
        <v>439</v>
      </c>
      <c r="F28" s="241" t="s">
        <v>436</v>
      </c>
      <c r="G28" s="242">
        <f t="shared" si="0"/>
        <v>3</v>
      </c>
      <c r="H28" s="243">
        <f t="shared" si="1"/>
        <v>2</v>
      </c>
      <c r="I28" s="242">
        <f t="shared" si="2"/>
        <v>6</v>
      </c>
      <c r="J28" s="244">
        <f t="shared" si="3"/>
        <v>3.6666666666666701</v>
      </c>
      <c r="K28" s="245">
        <f>表1温室气体盘查表!AL30</f>
        <v>-65952.990760000001</v>
      </c>
      <c r="L28" s="246">
        <f t="shared" si="4"/>
        <v>-4.2232734867609801E-3</v>
      </c>
      <c r="M28" s="247">
        <f t="shared" si="5"/>
        <v>-1.54853361181236E-2</v>
      </c>
    </row>
    <row r="29" spans="1:13" ht="18" customHeight="1">
      <c r="A29" s="239">
        <v>27</v>
      </c>
      <c r="B29" s="240" t="str">
        <f>表1温室气体盘查表!C31</f>
        <v>煤焦油</v>
      </c>
      <c r="C29" s="240" t="str">
        <f>表1温室气体盘查表!D31</f>
        <v>危废处置</v>
      </c>
      <c r="D29" s="241" t="s">
        <v>437</v>
      </c>
      <c r="E29" s="241" t="s">
        <v>439</v>
      </c>
      <c r="F29" s="241" t="s">
        <v>436</v>
      </c>
      <c r="G29" s="242">
        <f t="shared" si="0"/>
        <v>3</v>
      </c>
      <c r="H29" s="243">
        <f t="shared" si="1"/>
        <v>2</v>
      </c>
      <c r="I29" s="242">
        <f t="shared" si="2"/>
        <v>6</v>
      </c>
      <c r="J29" s="244">
        <f t="shared" si="3"/>
        <v>3.6666666666666701</v>
      </c>
      <c r="K29" s="245">
        <f>表1温室气体盘查表!AL31</f>
        <v>-159387.0159</v>
      </c>
      <c r="L29" s="246">
        <f t="shared" si="4"/>
        <v>-1.02062840612328E-2</v>
      </c>
      <c r="M29" s="247">
        <f t="shared" si="5"/>
        <v>-3.7423041557853497E-2</v>
      </c>
    </row>
    <row r="30" spans="1:13" ht="18" customHeight="1">
      <c r="A30" s="239">
        <v>28</v>
      </c>
      <c r="B30" s="240" t="str">
        <f>表1温室气体盘查表!C33</f>
        <v>外购电力（基于市场）</v>
      </c>
      <c r="C30" s="240" t="str">
        <f>表1温室气体盘查表!D33</f>
        <v>用电设备</v>
      </c>
      <c r="D30" s="241" t="s">
        <v>434</v>
      </c>
      <c r="E30" s="241" t="s">
        <v>439</v>
      </c>
      <c r="F30" s="241" t="s">
        <v>436</v>
      </c>
      <c r="G30" s="242">
        <f t="shared" si="0"/>
        <v>6</v>
      </c>
      <c r="H30" s="243">
        <f t="shared" si="1"/>
        <v>2</v>
      </c>
      <c r="I30" s="242">
        <f t="shared" si="2"/>
        <v>6</v>
      </c>
      <c r="J30" s="244">
        <f t="shared" si="3"/>
        <v>4.6666666666666696</v>
      </c>
      <c r="K30" s="245">
        <f>表1温室气体盘查表!AL33</f>
        <v>1161900.3323520001</v>
      </c>
      <c r="L30" s="246">
        <f t="shared" si="4"/>
        <v>7.44018248654926E-2</v>
      </c>
      <c r="M30" s="247">
        <f t="shared" si="5"/>
        <v>0.34720851603896502</v>
      </c>
    </row>
    <row r="31" spans="1:13" ht="18" customHeight="1">
      <c r="A31" s="239">
        <v>29</v>
      </c>
      <c r="B31" s="240" t="str">
        <f>表1温室气体盘查表!C34</f>
        <v>铁矿石生产</v>
      </c>
      <c r="C31" s="240" t="str">
        <f>表1温室气体盘查表!D34</f>
        <v>烧结</v>
      </c>
      <c r="D31" s="241" t="s">
        <v>437</v>
      </c>
      <c r="E31" s="241" t="s">
        <v>439</v>
      </c>
      <c r="F31" s="241" t="s">
        <v>436</v>
      </c>
      <c r="G31" s="242">
        <f t="shared" si="0"/>
        <v>3</v>
      </c>
      <c r="H31" s="243">
        <f t="shared" si="1"/>
        <v>2</v>
      </c>
      <c r="I31" s="242">
        <f t="shared" si="2"/>
        <v>6</v>
      </c>
      <c r="J31" s="244">
        <f t="shared" si="3"/>
        <v>3.6666666666666701</v>
      </c>
      <c r="K31" s="245">
        <f>表1温室气体盘查表!AL34</f>
        <v>448588.57632498001</v>
      </c>
      <c r="L31" s="246">
        <f t="shared" si="4"/>
        <v>2.8725190761267901E-2</v>
      </c>
      <c r="M31" s="247">
        <f t="shared" si="5"/>
        <v>0.10532569945798199</v>
      </c>
    </row>
    <row r="32" spans="1:13" ht="18" customHeight="1">
      <c r="A32" s="239">
        <v>30</v>
      </c>
      <c r="B32" s="240" t="str">
        <f>表1温室气体盘查表!C35</f>
        <v>生石灰生产</v>
      </c>
      <c r="C32" s="240" t="str">
        <f>表1温室气体盘查表!D35</f>
        <v>烧结、转炉、电炉</v>
      </c>
      <c r="D32" s="241" t="s">
        <v>437</v>
      </c>
      <c r="E32" s="241" t="s">
        <v>435</v>
      </c>
      <c r="F32" s="241" t="s">
        <v>436</v>
      </c>
      <c r="G32" s="242">
        <f t="shared" si="0"/>
        <v>3</v>
      </c>
      <c r="H32" s="243">
        <f t="shared" si="1"/>
        <v>1</v>
      </c>
      <c r="I32" s="242">
        <f t="shared" si="2"/>
        <v>6</v>
      </c>
      <c r="J32" s="244">
        <f t="shared" si="3"/>
        <v>3.3333333333333299</v>
      </c>
      <c r="K32" s="245">
        <f>表1温室气体盘查表!AL35</f>
        <v>727500.38047630398</v>
      </c>
      <c r="L32" s="246">
        <f t="shared" si="4"/>
        <v>4.6585197017896401E-2</v>
      </c>
      <c r="M32" s="247">
        <f t="shared" si="5"/>
        <v>0.15528399005965501</v>
      </c>
    </row>
    <row r="33" spans="1:13" ht="18" customHeight="1">
      <c r="A33" s="239">
        <v>31</v>
      </c>
      <c r="B33" s="240" t="str">
        <f>表1温室气体盘查表!C36</f>
        <v>石灰石生产</v>
      </c>
      <c r="C33" s="240" t="str">
        <f>表1温室气体盘查表!D36</f>
        <v>转炉</v>
      </c>
      <c r="D33" s="241" t="s">
        <v>437</v>
      </c>
      <c r="E33" s="241" t="s">
        <v>435</v>
      </c>
      <c r="F33" s="241" t="s">
        <v>436</v>
      </c>
      <c r="G33" s="242">
        <f t="shared" si="0"/>
        <v>3</v>
      </c>
      <c r="H33" s="243">
        <f t="shared" si="1"/>
        <v>1</v>
      </c>
      <c r="I33" s="242">
        <f t="shared" si="2"/>
        <v>6</v>
      </c>
      <c r="J33" s="244">
        <f t="shared" si="3"/>
        <v>3.3333333333333299</v>
      </c>
      <c r="K33" s="245">
        <f>表1温室气体盘查表!AL36</f>
        <v>58.676346522999999</v>
      </c>
      <c r="L33" s="246">
        <f t="shared" si="4"/>
        <v>3.7573164721572898E-6</v>
      </c>
      <c r="M33" s="247">
        <f t="shared" si="5"/>
        <v>1.2524388240524299E-5</v>
      </c>
    </row>
    <row r="34" spans="1:13" ht="18" customHeight="1">
      <c r="A34" s="239">
        <v>32</v>
      </c>
      <c r="B34" s="240" t="str">
        <f>表1温室气体盘查表!C37</f>
        <v>白云石生产</v>
      </c>
      <c r="C34" s="240" t="str">
        <f>表1温室气体盘查表!D37</f>
        <v>烧结、转炉、电炉</v>
      </c>
      <c r="D34" s="241" t="s">
        <v>437</v>
      </c>
      <c r="E34" s="241" t="s">
        <v>435</v>
      </c>
      <c r="F34" s="241" t="s">
        <v>436</v>
      </c>
      <c r="G34" s="242">
        <f t="shared" si="0"/>
        <v>3</v>
      </c>
      <c r="H34" s="243">
        <f t="shared" si="1"/>
        <v>1</v>
      </c>
      <c r="I34" s="242">
        <f t="shared" si="2"/>
        <v>6</v>
      </c>
      <c r="J34" s="244">
        <f t="shared" si="3"/>
        <v>3.3333333333333299</v>
      </c>
      <c r="K34" s="245">
        <f>表1温室气体盘查表!AL37</f>
        <v>46435.196198700003</v>
      </c>
      <c r="L34" s="246">
        <f t="shared" si="4"/>
        <v>2.9734592881791198E-3</v>
      </c>
      <c r="M34" s="247">
        <f t="shared" si="5"/>
        <v>9.9115309605970706E-3</v>
      </c>
    </row>
    <row r="35" spans="1:13" ht="18" customHeight="1">
      <c r="A35" s="239">
        <v>33</v>
      </c>
      <c r="B35" s="240" t="str">
        <f>表1温室气体盘查表!C38</f>
        <v>轻烧白云石生产</v>
      </c>
      <c r="C35" s="240" t="str">
        <f>表1温室气体盘查表!D38</f>
        <v>转炉、电炉</v>
      </c>
      <c r="D35" s="241" t="s">
        <v>437</v>
      </c>
      <c r="E35" s="241" t="s">
        <v>435</v>
      </c>
      <c r="F35" s="241" t="s">
        <v>436</v>
      </c>
      <c r="G35" s="242">
        <f t="shared" si="0"/>
        <v>3</v>
      </c>
      <c r="H35" s="243">
        <f t="shared" si="1"/>
        <v>1</v>
      </c>
      <c r="I35" s="242">
        <f t="shared" si="2"/>
        <v>6</v>
      </c>
      <c r="J35" s="244">
        <f t="shared" si="3"/>
        <v>3.3333333333333299</v>
      </c>
      <c r="K35" s="245">
        <f>表1温室气体盘查表!AL38</f>
        <v>363.20885720000001</v>
      </c>
      <c r="L35" s="246">
        <f t="shared" ref="L35:L65" si="6">K35/$K$101</f>
        <v>2.3257934463524499E-5</v>
      </c>
      <c r="M35" s="247">
        <f t="shared" si="5"/>
        <v>7.7526448211748196E-5</v>
      </c>
    </row>
    <row r="36" spans="1:13" ht="18" customHeight="1">
      <c r="A36" s="239">
        <v>34</v>
      </c>
      <c r="B36" s="240" t="str">
        <f>表1温室气体盘查表!C39</f>
        <v>球团生产</v>
      </c>
      <c r="C36" s="240" t="str">
        <f>表1温室气体盘查表!D39</f>
        <v>高炉、转炉</v>
      </c>
      <c r="D36" s="241" t="s">
        <v>437</v>
      </c>
      <c r="E36" s="241" t="s">
        <v>435</v>
      </c>
      <c r="F36" s="241" t="s">
        <v>436</v>
      </c>
      <c r="G36" s="242">
        <f t="shared" si="0"/>
        <v>3</v>
      </c>
      <c r="H36" s="243">
        <f t="shared" si="1"/>
        <v>1</v>
      </c>
      <c r="I36" s="242">
        <f t="shared" si="2"/>
        <v>6</v>
      </c>
      <c r="J36" s="244">
        <f t="shared" si="3"/>
        <v>3.3333333333333299</v>
      </c>
      <c r="K36" s="245">
        <f>表1温室气体盘查表!AL39</f>
        <v>71601.050909400001</v>
      </c>
      <c r="L36" s="246">
        <f t="shared" si="6"/>
        <v>4.5849447681649298E-3</v>
      </c>
      <c r="M36" s="247">
        <f t="shared" si="5"/>
        <v>1.52831492272164E-2</v>
      </c>
    </row>
    <row r="37" spans="1:13" ht="18" customHeight="1">
      <c r="A37" s="239">
        <v>35</v>
      </c>
      <c r="B37" s="240" t="str">
        <f>表1温室气体盘查表!C40</f>
        <v>废钢生产</v>
      </c>
      <c r="C37" s="240" t="str">
        <f>表1温室气体盘查表!D40</f>
        <v>转炉、电炉</v>
      </c>
      <c r="D37" s="241" t="s">
        <v>437</v>
      </c>
      <c r="E37" s="241" t="s">
        <v>435</v>
      </c>
      <c r="F37" s="241" t="s">
        <v>436</v>
      </c>
      <c r="G37" s="242">
        <f t="shared" si="0"/>
        <v>3</v>
      </c>
      <c r="H37" s="243">
        <f t="shared" si="1"/>
        <v>1</v>
      </c>
      <c r="I37" s="242">
        <f t="shared" si="2"/>
        <v>6</v>
      </c>
      <c r="J37" s="244">
        <f t="shared" si="3"/>
        <v>3.3333333333333299</v>
      </c>
      <c r="K37" s="245">
        <f>表1温室气体盘查表!AL40</f>
        <v>79944.387942351706</v>
      </c>
      <c r="L37" s="246">
        <f t="shared" si="6"/>
        <v>5.1192070309726704E-3</v>
      </c>
      <c r="M37" s="247">
        <f t="shared" si="5"/>
        <v>1.70640234365756E-2</v>
      </c>
    </row>
    <row r="38" spans="1:13" ht="18" customHeight="1">
      <c r="A38" s="239">
        <v>36</v>
      </c>
      <c r="B38" s="240" t="str">
        <f>表1温室气体盘查表!C41</f>
        <v>电极生产</v>
      </c>
      <c r="C38" s="240" t="str">
        <f>表1温室气体盘查表!D41</f>
        <v>转炉、电炉</v>
      </c>
      <c r="D38" s="241" t="s">
        <v>437</v>
      </c>
      <c r="E38" s="241" t="s">
        <v>435</v>
      </c>
      <c r="F38" s="241" t="s">
        <v>436</v>
      </c>
      <c r="G38" s="242">
        <f t="shared" si="0"/>
        <v>3</v>
      </c>
      <c r="H38" s="243">
        <f t="shared" si="1"/>
        <v>1</v>
      </c>
      <c r="I38" s="242">
        <f t="shared" si="2"/>
        <v>6</v>
      </c>
      <c r="J38" s="244">
        <f t="shared" si="3"/>
        <v>3.3333333333333299</v>
      </c>
      <c r="K38" s="245">
        <f>表1温室气体盘查表!AL41</f>
        <v>37742.8121526018</v>
      </c>
      <c r="L38" s="246">
        <f t="shared" si="6"/>
        <v>2.41684593894955E-3</v>
      </c>
      <c r="M38" s="247">
        <f t="shared" si="5"/>
        <v>8.0561531298318206E-3</v>
      </c>
    </row>
    <row r="39" spans="1:13" ht="18" customHeight="1">
      <c r="A39" s="239">
        <v>37</v>
      </c>
      <c r="B39" s="240" t="str">
        <f>表1温室气体盘查表!C42</f>
        <v>锰铁生产</v>
      </c>
      <c r="C39" s="240" t="str">
        <f>表1温室气体盘查表!D42</f>
        <v>转炉、电炉</v>
      </c>
      <c r="D39" s="241" t="s">
        <v>437</v>
      </c>
      <c r="E39" s="241" t="s">
        <v>435</v>
      </c>
      <c r="F39" s="241" t="s">
        <v>436</v>
      </c>
      <c r="G39" s="242">
        <f t="shared" si="0"/>
        <v>3</v>
      </c>
      <c r="H39" s="243">
        <f t="shared" si="1"/>
        <v>1</v>
      </c>
      <c r="I39" s="242">
        <f t="shared" si="2"/>
        <v>6</v>
      </c>
      <c r="J39" s="244">
        <f t="shared" si="3"/>
        <v>3.3333333333333299</v>
      </c>
      <c r="K39" s="245">
        <f>表1温室气体盘查表!AL42</f>
        <v>141868.58169600001</v>
      </c>
      <c r="L39" s="246">
        <f t="shared" si="6"/>
        <v>9.0844981065586507E-3</v>
      </c>
      <c r="M39" s="247">
        <f t="shared" si="5"/>
        <v>3.02816603551955E-2</v>
      </c>
    </row>
    <row r="40" spans="1:13" ht="18" customHeight="1">
      <c r="A40" s="239">
        <v>38</v>
      </c>
      <c r="B40" s="240" t="str">
        <f>表1温室气体盘查表!C43</f>
        <v>镍铁生产</v>
      </c>
      <c r="C40" s="240" t="str">
        <f>表1温室气体盘查表!D43</f>
        <v>转炉、电炉</v>
      </c>
      <c r="D40" s="241" t="s">
        <v>437</v>
      </c>
      <c r="E40" s="241" t="s">
        <v>435</v>
      </c>
      <c r="F40" s="241" t="s">
        <v>436</v>
      </c>
      <c r="G40" s="242">
        <f t="shared" si="0"/>
        <v>3</v>
      </c>
      <c r="H40" s="243">
        <f t="shared" si="1"/>
        <v>1</v>
      </c>
      <c r="I40" s="242">
        <f t="shared" si="2"/>
        <v>6</v>
      </c>
      <c r="J40" s="244">
        <f t="shared" si="3"/>
        <v>3.3333333333333299</v>
      </c>
      <c r="K40" s="245">
        <f>表1温室气体盘查表!AL43</f>
        <v>84819.123026999994</v>
      </c>
      <c r="L40" s="246">
        <f t="shared" si="6"/>
        <v>5.4313587499583201E-3</v>
      </c>
      <c r="M40" s="247">
        <f t="shared" si="5"/>
        <v>1.8104529166527699E-2</v>
      </c>
    </row>
    <row r="41" spans="1:13" ht="18" customHeight="1">
      <c r="A41" s="239">
        <v>39</v>
      </c>
      <c r="B41" s="240" t="str">
        <f>表1温室气体盘查表!C44</f>
        <v>铬铁生产</v>
      </c>
      <c r="C41" s="240" t="str">
        <f>表1温室气体盘查表!D44</f>
        <v>转炉、电炉</v>
      </c>
      <c r="D41" s="241" t="s">
        <v>437</v>
      </c>
      <c r="E41" s="241" t="s">
        <v>435</v>
      </c>
      <c r="F41" s="241" t="s">
        <v>436</v>
      </c>
      <c r="G41" s="242">
        <f t="shared" si="0"/>
        <v>3</v>
      </c>
      <c r="H41" s="243">
        <f t="shared" si="1"/>
        <v>1</v>
      </c>
      <c r="I41" s="242">
        <f t="shared" si="2"/>
        <v>6</v>
      </c>
      <c r="J41" s="244">
        <f t="shared" si="3"/>
        <v>3.3333333333333299</v>
      </c>
      <c r="K41" s="245">
        <f>表1温室气体盘查表!AL44</f>
        <v>345101.44475299999</v>
      </c>
      <c r="L41" s="246">
        <f t="shared" si="6"/>
        <v>2.2098433521716698E-2</v>
      </c>
      <c r="M41" s="247">
        <f t="shared" si="5"/>
        <v>7.3661445072388906E-2</v>
      </c>
    </row>
    <row r="42" spans="1:13" ht="18" customHeight="1">
      <c r="A42" s="239">
        <v>40</v>
      </c>
      <c r="B42" s="240" t="str">
        <f>表1温室气体盘查表!C45</f>
        <v>萤石生产</v>
      </c>
      <c r="C42" s="240" t="str">
        <f>表1温室气体盘查表!D45</f>
        <v>转炉、电炉</v>
      </c>
      <c r="D42" s="241" t="s">
        <v>437</v>
      </c>
      <c r="E42" s="241" t="s">
        <v>435</v>
      </c>
      <c r="F42" s="241" t="s">
        <v>436</v>
      </c>
      <c r="G42" s="242">
        <f t="shared" si="0"/>
        <v>3</v>
      </c>
      <c r="H42" s="243">
        <f t="shared" si="1"/>
        <v>1</v>
      </c>
      <c r="I42" s="242">
        <f t="shared" si="2"/>
        <v>6</v>
      </c>
      <c r="J42" s="244">
        <f t="shared" si="3"/>
        <v>3.3333333333333299</v>
      </c>
      <c r="K42" s="245">
        <f>表1温室气体盘查表!AL45</f>
        <v>685.06218720000004</v>
      </c>
      <c r="L42" s="246">
        <f t="shared" si="6"/>
        <v>4.38676842193933E-5</v>
      </c>
      <c r="M42" s="247">
        <f t="shared" si="5"/>
        <v>1.4622561406464401E-4</v>
      </c>
    </row>
    <row r="43" spans="1:13" ht="18" customHeight="1">
      <c r="A43" s="239">
        <v>41</v>
      </c>
      <c r="B43" s="240" t="str">
        <f>表1温室气体盘查表!C46</f>
        <v>硅铁生产</v>
      </c>
      <c r="C43" s="240" t="str">
        <f>表1温室气体盘查表!D46</f>
        <v>转炉、电炉</v>
      </c>
      <c r="D43" s="241" t="s">
        <v>437</v>
      </c>
      <c r="E43" s="241" t="s">
        <v>435</v>
      </c>
      <c r="F43" s="241" t="s">
        <v>436</v>
      </c>
      <c r="G43" s="242">
        <f t="shared" si="0"/>
        <v>3</v>
      </c>
      <c r="H43" s="243">
        <f t="shared" si="1"/>
        <v>1</v>
      </c>
      <c r="I43" s="242">
        <f t="shared" si="2"/>
        <v>6</v>
      </c>
      <c r="J43" s="244">
        <f t="shared" si="3"/>
        <v>3.3333333333333299</v>
      </c>
      <c r="K43" s="245">
        <f>表1温室气体盘查表!AL46</f>
        <v>103575.7833</v>
      </c>
      <c r="L43" s="246">
        <f t="shared" si="6"/>
        <v>6.6324340176349902E-3</v>
      </c>
      <c r="M43" s="247">
        <f t="shared" si="5"/>
        <v>2.2108113392116598E-2</v>
      </c>
    </row>
    <row r="44" spans="1:13" ht="18" customHeight="1">
      <c r="A44" s="239">
        <v>42</v>
      </c>
      <c r="B44" s="240" t="str">
        <f>表1温室气体盘查表!C47</f>
        <v>钼铁生产</v>
      </c>
      <c r="C44" s="240" t="str">
        <f>表1温室气体盘查表!D47</f>
        <v>转炉、电炉</v>
      </c>
      <c r="D44" s="241" t="s">
        <v>437</v>
      </c>
      <c r="E44" s="241" t="s">
        <v>435</v>
      </c>
      <c r="F44" s="241" t="s">
        <v>436</v>
      </c>
      <c r="G44" s="242">
        <f t="shared" si="0"/>
        <v>3</v>
      </c>
      <c r="H44" s="243">
        <f t="shared" si="1"/>
        <v>1</v>
      </c>
      <c r="I44" s="242">
        <f t="shared" si="2"/>
        <v>6</v>
      </c>
      <c r="J44" s="244">
        <f t="shared" si="3"/>
        <v>3.3333333333333299</v>
      </c>
      <c r="K44" s="245">
        <f>表1温室气体盘查表!AL47</f>
        <v>66065.399999999994</v>
      </c>
      <c r="L44" s="246">
        <f t="shared" si="6"/>
        <v>4.2304715676590304E-3</v>
      </c>
      <c r="M44" s="247">
        <f t="shared" si="5"/>
        <v>1.4101571892196799E-2</v>
      </c>
    </row>
    <row r="45" spans="1:13" ht="18" customHeight="1">
      <c r="A45" s="239">
        <v>43</v>
      </c>
      <c r="B45" s="240" t="str">
        <f>表1温室气体盘查表!C48</f>
        <v>铝铁生产</v>
      </c>
      <c r="C45" s="240" t="str">
        <f>表1温室气体盘查表!D48</f>
        <v>转炉、电炉</v>
      </c>
      <c r="D45" s="241" t="s">
        <v>437</v>
      </c>
      <c r="E45" s="241" t="s">
        <v>439</v>
      </c>
      <c r="F45" s="241" t="s">
        <v>436</v>
      </c>
      <c r="G45" s="242">
        <f t="shared" si="0"/>
        <v>3</v>
      </c>
      <c r="H45" s="243">
        <f t="shared" si="1"/>
        <v>2</v>
      </c>
      <c r="I45" s="242">
        <f t="shared" si="2"/>
        <v>6</v>
      </c>
      <c r="J45" s="244">
        <f t="shared" si="3"/>
        <v>3.6666666666666701</v>
      </c>
      <c r="K45" s="245">
        <f>表1温室气体盘查表!AL48</f>
        <v>63158.190107505099</v>
      </c>
      <c r="L45" s="246">
        <f t="shared" si="6"/>
        <v>4.0443095404645102E-3</v>
      </c>
      <c r="M45" s="247">
        <f t="shared" si="5"/>
        <v>1.48291349817032E-2</v>
      </c>
    </row>
    <row r="46" spans="1:13" ht="18" customHeight="1">
      <c r="A46" s="239">
        <v>44</v>
      </c>
      <c r="B46" s="240" t="str">
        <f>表1温室气体盘查表!C49</f>
        <v>铝生产</v>
      </c>
      <c r="C46" s="240" t="str">
        <f>表1温室气体盘查表!D49</f>
        <v>转炉、电炉</v>
      </c>
      <c r="D46" s="241" t="s">
        <v>437</v>
      </c>
      <c r="E46" s="241" t="s">
        <v>435</v>
      </c>
      <c r="F46" s="241" t="s">
        <v>436</v>
      </c>
      <c r="G46" s="242">
        <f t="shared" si="0"/>
        <v>3</v>
      </c>
      <c r="H46" s="243">
        <f t="shared" si="1"/>
        <v>1</v>
      </c>
      <c r="I46" s="242">
        <f t="shared" si="2"/>
        <v>6</v>
      </c>
      <c r="J46" s="244">
        <f t="shared" si="3"/>
        <v>3.3333333333333299</v>
      </c>
      <c r="K46" s="245">
        <f>表1温室气体盘查表!AL49</f>
        <v>63342.195032190299</v>
      </c>
      <c r="L46" s="246">
        <f t="shared" si="6"/>
        <v>4.0560922225067004E-3</v>
      </c>
      <c r="M46" s="247">
        <f t="shared" si="5"/>
        <v>1.35203074083557E-2</v>
      </c>
    </row>
    <row r="47" spans="1:13" ht="18" customHeight="1">
      <c r="A47" s="239">
        <v>45</v>
      </c>
      <c r="B47" s="240" t="str">
        <f>表1温室气体盘查表!C50</f>
        <v>增碳剂生产</v>
      </c>
      <c r="C47" s="240" t="str">
        <f>表1温室气体盘查表!D50</f>
        <v>转炉、电炉</v>
      </c>
      <c r="D47" s="241" t="s">
        <v>437</v>
      </c>
      <c r="E47" s="241" t="s">
        <v>435</v>
      </c>
      <c r="F47" s="241" t="s">
        <v>436</v>
      </c>
      <c r="G47" s="242">
        <f t="shared" si="0"/>
        <v>3</v>
      </c>
      <c r="H47" s="243">
        <f t="shared" si="1"/>
        <v>1</v>
      </c>
      <c r="I47" s="242">
        <f t="shared" si="2"/>
        <v>6</v>
      </c>
      <c r="J47" s="244">
        <f t="shared" si="3"/>
        <v>3.3333333333333299</v>
      </c>
      <c r="K47" s="245">
        <f>表1温室气体盘查表!AL50</f>
        <v>17778.323207115402</v>
      </c>
      <c r="L47" s="246">
        <f t="shared" si="6"/>
        <v>1.13842784344535E-3</v>
      </c>
      <c r="M47" s="247">
        <f t="shared" si="5"/>
        <v>3.7947594781511601E-3</v>
      </c>
    </row>
    <row r="48" spans="1:13" ht="18" customHeight="1">
      <c r="A48" s="239">
        <v>46</v>
      </c>
      <c r="B48" s="240" t="str">
        <f>表1温室气体盘查表!C51</f>
        <v>铁鳞生产</v>
      </c>
      <c r="C48" s="240" t="str">
        <f>表1温室气体盘查表!D51</f>
        <v>炼钢</v>
      </c>
      <c r="D48" s="241" t="s">
        <v>437</v>
      </c>
      <c r="E48" s="241" t="s">
        <v>435</v>
      </c>
      <c r="F48" s="241" t="s">
        <v>436</v>
      </c>
      <c r="G48" s="242">
        <f t="shared" si="0"/>
        <v>3</v>
      </c>
      <c r="H48" s="243">
        <f t="shared" si="1"/>
        <v>1</v>
      </c>
      <c r="I48" s="242">
        <f t="shared" si="2"/>
        <v>6</v>
      </c>
      <c r="J48" s="244">
        <f t="shared" si="3"/>
        <v>3.3333333333333299</v>
      </c>
      <c r="K48" s="245">
        <f>表1温室气体盘查表!AL51</f>
        <v>608.38394217142104</v>
      </c>
      <c r="L48" s="246">
        <f t="shared" si="6"/>
        <v>3.8957623348629001E-5</v>
      </c>
      <c r="M48" s="247">
        <f t="shared" si="5"/>
        <v>1.2985874449542999E-4</v>
      </c>
    </row>
    <row r="49" spans="1:13" ht="18" customHeight="1">
      <c r="A49" s="239">
        <v>47</v>
      </c>
      <c r="B49" s="240" t="str">
        <f>表1温室气体盘查表!C52</f>
        <v>氨水生产</v>
      </c>
      <c r="C49" s="240" t="str">
        <f>表1温室气体盘查表!D52</f>
        <v>烧结</v>
      </c>
      <c r="D49" s="241" t="s">
        <v>437</v>
      </c>
      <c r="E49" s="241" t="s">
        <v>435</v>
      </c>
      <c r="F49" s="241" t="s">
        <v>436</v>
      </c>
      <c r="G49" s="242">
        <f t="shared" si="0"/>
        <v>3</v>
      </c>
      <c r="H49" s="243">
        <f t="shared" si="1"/>
        <v>1</v>
      </c>
      <c r="I49" s="242">
        <f t="shared" si="2"/>
        <v>6</v>
      </c>
      <c r="J49" s="244">
        <f t="shared" si="3"/>
        <v>3.3333333333333299</v>
      </c>
      <c r="K49" s="245">
        <f>表1温室气体盘查表!AL52</f>
        <v>24444.815275563698</v>
      </c>
      <c r="L49" s="246">
        <f t="shared" si="6"/>
        <v>1.56531400702863E-3</v>
      </c>
      <c r="M49" s="247">
        <f t="shared" si="5"/>
        <v>5.2177133567620996E-3</v>
      </c>
    </row>
    <row r="50" spans="1:13" ht="18" customHeight="1">
      <c r="A50" s="239">
        <v>48</v>
      </c>
      <c r="B50" s="240" t="str">
        <f>表1温室气体盘查表!C53</f>
        <v>碳化硅生产</v>
      </c>
      <c r="C50" s="240" t="str">
        <f>表1温室气体盘查表!D53</f>
        <v>-</v>
      </c>
      <c r="D50" s="241" t="s">
        <v>437</v>
      </c>
      <c r="E50" s="241" t="s">
        <v>435</v>
      </c>
      <c r="F50" s="241" t="s">
        <v>436</v>
      </c>
      <c r="G50" s="242">
        <f t="shared" si="0"/>
        <v>3</v>
      </c>
      <c r="H50" s="243">
        <f t="shared" si="1"/>
        <v>1</v>
      </c>
      <c r="I50" s="242">
        <f t="shared" si="2"/>
        <v>6</v>
      </c>
      <c r="J50" s="244">
        <f t="shared" si="3"/>
        <v>3.3333333333333299</v>
      </c>
      <c r="K50" s="245">
        <f>表1温室气体盘查表!AL53</f>
        <v>48149.585124286299</v>
      </c>
      <c r="L50" s="246">
        <f t="shared" si="6"/>
        <v>3.0832394999935099E-3</v>
      </c>
      <c r="M50" s="247">
        <f t="shared" si="5"/>
        <v>1.02774649999784E-2</v>
      </c>
    </row>
    <row r="51" spans="1:13" ht="18" customHeight="1">
      <c r="A51" s="239">
        <v>49</v>
      </c>
      <c r="B51" s="240" t="str">
        <f>表1温室气体盘查表!C54</f>
        <v>镁生产</v>
      </c>
      <c r="C51" s="240" t="str">
        <f>表1温室气体盘查表!D54</f>
        <v>-</v>
      </c>
      <c r="D51" s="241" t="s">
        <v>437</v>
      </c>
      <c r="E51" s="241" t="s">
        <v>435</v>
      </c>
      <c r="F51" s="241" t="s">
        <v>436</v>
      </c>
      <c r="G51" s="242">
        <f t="shared" si="0"/>
        <v>3</v>
      </c>
      <c r="H51" s="243">
        <f t="shared" si="1"/>
        <v>1</v>
      </c>
      <c r="I51" s="242">
        <f t="shared" si="2"/>
        <v>6</v>
      </c>
      <c r="J51" s="244">
        <f t="shared" si="3"/>
        <v>3.3333333333333299</v>
      </c>
      <c r="K51" s="245">
        <f>表1温室气体盘查表!AL54</f>
        <v>308520.83395425999</v>
      </c>
      <c r="L51" s="246">
        <f t="shared" si="6"/>
        <v>1.9756008683424999E-2</v>
      </c>
      <c r="M51" s="247">
        <f t="shared" si="5"/>
        <v>6.5853362278083499E-2</v>
      </c>
    </row>
    <row r="52" spans="1:13" ht="18" customHeight="1">
      <c r="A52" s="239">
        <v>50</v>
      </c>
      <c r="B52" s="240" t="str">
        <f>表1温室气体盘查表!C55</f>
        <v>所有其他纸制品加工制造</v>
      </c>
      <c r="C52" s="240" t="str">
        <f>表1温室气体盘查表!D55</f>
        <v>办公室</v>
      </c>
      <c r="D52" s="241" t="s">
        <v>437</v>
      </c>
      <c r="E52" s="241" t="s">
        <v>435</v>
      </c>
      <c r="F52" s="241" t="s">
        <v>438</v>
      </c>
      <c r="G52" s="242">
        <f t="shared" si="0"/>
        <v>3</v>
      </c>
      <c r="H52" s="243">
        <f t="shared" si="1"/>
        <v>1</v>
      </c>
      <c r="I52" s="242">
        <f t="shared" si="2"/>
        <v>3</v>
      </c>
      <c r="J52" s="244">
        <f t="shared" si="3"/>
        <v>2.3333333333333299</v>
      </c>
      <c r="K52" s="245">
        <f>表1温室气体盘查表!AL55</f>
        <v>5.5436243100000002</v>
      </c>
      <c r="L52" s="246">
        <f t="shared" si="6"/>
        <v>3.5498377403661199E-7</v>
      </c>
      <c r="M52" s="247">
        <f t="shared" si="5"/>
        <v>8.2829547275209502E-7</v>
      </c>
    </row>
    <row r="53" spans="1:13" ht="18" customHeight="1">
      <c r="A53" s="239">
        <v>51</v>
      </c>
      <c r="B53" s="240" t="str">
        <f>表1温室气体盘查表!C56</f>
        <v>办公用品(纸张除外)制造</v>
      </c>
      <c r="C53" s="240" t="str">
        <f>表1温室气体盘查表!D56</f>
        <v>办公室</v>
      </c>
      <c r="D53" s="241" t="s">
        <v>437</v>
      </c>
      <c r="E53" s="241" t="s">
        <v>435</v>
      </c>
      <c r="F53" s="241" t="s">
        <v>438</v>
      </c>
      <c r="G53" s="242">
        <f t="shared" si="0"/>
        <v>3</v>
      </c>
      <c r="H53" s="243">
        <f t="shared" si="1"/>
        <v>1</v>
      </c>
      <c r="I53" s="242">
        <f t="shared" si="2"/>
        <v>3</v>
      </c>
      <c r="J53" s="244">
        <f t="shared" si="3"/>
        <v>2.3333333333333299</v>
      </c>
      <c r="K53" s="245">
        <f>表1温室气体盘查表!AL56</f>
        <v>47.034256399999997</v>
      </c>
      <c r="L53" s="246">
        <f t="shared" si="6"/>
        <v>3.0118198694957498E-6</v>
      </c>
      <c r="M53" s="247">
        <f t="shared" si="5"/>
        <v>7.0275796954900899E-6</v>
      </c>
    </row>
    <row r="54" spans="1:13" ht="18" customHeight="1">
      <c r="A54" s="239">
        <v>52</v>
      </c>
      <c r="B54" s="240" t="str">
        <f>表1温室气体盘查表!C57</f>
        <v>源水</v>
      </c>
      <c r="C54" s="240" t="str">
        <f>表1温室气体盘查表!D57</f>
        <v>水处理工序</v>
      </c>
      <c r="D54" s="241" t="s">
        <v>434</v>
      </c>
      <c r="E54" s="241" t="s">
        <v>435</v>
      </c>
      <c r="F54" s="241" t="s">
        <v>436</v>
      </c>
      <c r="G54" s="242">
        <f t="shared" si="0"/>
        <v>6</v>
      </c>
      <c r="H54" s="243">
        <f t="shared" si="1"/>
        <v>1</v>
      </c>
      <c r="I54" s="242">
        <f t="shared" si="2"/>
        <v>6</v>
      </c>
      <c r="J54" s="244">
        <f t="shared" si="3"/>
        <v>4.3333333333333304</v>
      </c>
      <c r="K54" s="245">
        <f>表1温室气体盘查表!AL57</f>
        <v>29761.0306554007</v>
      </c>
      <c r="L54" s="246">
        <f t="shared" si="6"/>
        <v>1.90573574082502E-3</v>
      </c>
      <c r="M54" s="247">
        <f t="shared" si="5"/>
        <v>8.2581882102417698E-3</v>
      </c>
    </row>
    <row r="55" spans="1:13" ht="18" customHeight="1">
      <c r="A55" s="239">
        <v>53</v>
      </c>
      <c r="B55" s="240" t="str">
        <f>表1温室气体盘查表!C58</f>
        <v>采购产品空调和暖空气加热设备和商业和工业制冷设备制造</v>
      </c>
      <c r="C55" s="240" t="str">
        <f>表1温室气体盘查表!D58</f>
        <v>办公室、各工序</v>
      </c>
      <c r="D55" s="248" t="s">
        <v>440</v>
      </c>
      <c r="E55" s="241" t="s">
        <v>435</v>
      </c>
      <c r="F55" s="241" t="s">
        <v>438</v>
      </c>
      <c r="G55" s="242">
        <f t="shared" si="0"/>
        <v>1</v>
      </c>
      <c r="H55" s="243">
        <f t="shared" si="1"/>
        <v>1</v>
      </c>
      <c r="I55" s="242">
        <f t="shared" si="2"/>
        <v>3</v>
      </c>
      <c r="J55" s="244">
        <f t="shared" si="3"/>
        <v>1.6666666666666701</v>
      </c>
      <c r="K55" s="245">
        <f>表1温室气体盘查表!AL58</f>
        <v>14.8324392</v>
      </c>
      <c r="L55" s="246">
        <f t="shared" si="6"/>
        <v>9.4978933472939304E-7</v>
      </c>
      <c r="M55" s="247">
        <f t="shared" si="5"/>
        <v>1.58298222454899E-6</v>
      </c>
    </row>
    <row r="56" spans="1:13" ht="18" customHeight="1">
      <c r="A56" s="239">
        <v>54</v>
      </c>
      <c r="B56" s="240" t="str">
        <f>表1温室气体盘查表!C59</f>
        <v>电子计算机制造</v>
      </c>
      <c r="C56" s="240" t="str">
        <f>表1温室气体盘查表!D59</f>
        <v>办公室、各工序</v>
      </c>
      <c r="D56" s="248" t="s">
        <v>440</v>
      </c>
      <c r="E56" s="241" t="s">
        <v>435</v>
      </c>
      <c r="F56" s="241" t="s">
        <v>438</v>
      </c>
      <c r="G56" s="242">
        <f t="shared" si="0"/>
        <v>1</v>
      </c>
      <c r="H56" s="243">
        <f t="shared" si="1"/>
        <v>1</v>
      </c>
      <c r="I56" s="242">
        <f t="shared" si="2"/>
        <v>3</v>
      </c>
      <c r="J56" s="244">
        <f t="shared" si="3"/>
        <v>1.6666666666666701</v>
      </c>
      <c r="K56" s="245">
        <f>表1温室气体盘查表!AL59</f>
        <v>3.7880397399999999</v>
      </c>
      <c r="L56" s="246">
        <f t="shared" si="6"/>
        <v>2.42565615545089E-7</v>
      </c>
      <c r="M56" s="247">
        <f t="shared" si="5"/>
        <v>4.04276025908481E-7</v>
      </c>
    </row>
    <row r="57" spans="1:13" ht="18" customHeight="1">
      <c r="A57" s="239">
        <v>55</v>
      </c>
      <c r="B57" s="240" t="str">
        <f>表1温室气体盘查表!C60</f>
        <v>焊接及焊接设备制造</v>
      </c>
      <c r="C57" s="240" t="str">
        <f>表1温室气体盘查表!D60</f>
        <v>各工序</v>
      </c>
      <c r="D57" s="248" t="s">
        <v>440</v>
      </c>
      <c r="E57" s="241" t="s">
        <v>435</v>
      </c>
      <c r="F57" s="241" t="s">
        <v>438</v>
      </c>
      <c r="G57" s="242">
        <f t="shared" si="0"/>
        <v>1</v>
      </c>
      <c r="H57" s="243">
        <f t="shared" si="1"/>
        <v>1</v>
      </c>
      <c r="I57" s="242">
        <f t="shared" si="2"/>
        <v>3</v>
      </c>
      <c r="J57" s="244">
        <f t="shared" si="3"/>
        <v>1.6666666666666701</v>
      </c>
      <c r="K57" s="245">
        <f>表1温室气体盘查表!AL60</f>
        <v>216.41132820000001</v>
      </c>
      <c r="L57" s="246">
        <f t="shared" si="6"/>
        <v>1.38578131801128E-5</v>
      </c>
      <c r="M57" s="247">
        <f t="shared" si="5"/>
        <v>2.3096355300188099E-5</v>
      </c>
    </row>
    <row r="58" spans="1:13" ht="18" customHeight="1">
      <c r="A58" s="239">
        <v>56</v>
      </c>
      <c r="B58" s="240" t="str">
        <f>表1温室气体盘查表!C61</f>
        <v>其他工业设备制造</v>
      </c>
      <c r="C58" s="240" t="str">
        <f>表1温室气体盘查表!D61</f>
        <v>各工序</v>
      </c>
      <c r="D58" s="248" t="s">
        <v>440</v>
      </c>
      <c r="E58" s="241" t="s">
        <v>435</v>
      </c>
      <c r="F58" s="241" t="s">
        <v>438</v>
      </c>
      <c r="G58" s="242">
        <f t="shared" si="0"/>
        <v>1</v>
      </c>
      <c r="H58" s="243">
        <f t="shared" si="1"/>
        <v>1</v>
      </c>
      <c r="I58" s="242">
        <f t="shared" si="2"/>
        <v>3</v>
      </c>
      <c r="J58" s="244">
        <f t="shared" si="3"/>
        <v>1.6666666666666701</v>
      </c>
      <c r="K58" s="245">
        <f>表1温室气体盘查表!AL61</f>
        <v>1153.4663845499999</v>
      </c>
      <c r="L58" s="246">
        <f t="shared" si="6"/>
        <v>7.3861760378189303E-5</v>
      </c>
      <c r="M58" s="247">
        <f t="shared" si="5"/>
        <v>1.23102933963649E-4</v>
      </c>
    </row>
    <row r="59" spans="1:13" ht="18" customHeight="1">
      <c r="A59" s="239">
        <v>57</v>
      </c>
      <c r="B59" s="240" t="str">
        <f>表1温室气体盘查表!C62</f>
        <v>测量和测试电力和电气信号的仪器制造</v>
      </c>
      <c r="C59" s="240" t="str">
        <f>表1温室气体盘查表!D62</f>
        <v>各工序</v>
      </c>
      <c r="D59" s="248" t="s">
        <v>440</v>
      </c>
      <c r="E59" s="241" t="s">
        <v>435</v>
      </c>
      <c r="F59" s="241" t="s">
        <v>438</v>
      </c>
      <c r="G59" s="242">
        <f t="shared" si="0"/>
        <v>1</v>
      </c>
      <c r="H59" s="243">
        <f t="shared" si="1"/>
        <v>1</v>
      </c>
      <c r="I59" s="242">
        <f t="shared" si="2"/>
        <v>3</v>
      </c>
      <c r="J59" s="244">
        <f t="shared" si="3"/>
        <v>1.6666666666666701</v>
      </c>
      <c r="K59" s="245">
        <f>表1温室气体盘查表!AL62</f>
        <v>44.316302149999999</v>
      </c>
      <c r="L59" s="246">
        <f t="shared" si="6"/>
        <v>2.8377767519664102E-6</v>
      </c>
      <c r="M59" s="247">
        <f t="shared" si="5"/>
        <v>4.7296279199440197E-6</v>
      </c>
    </row>
    <row r="60" spans="1:13" ht="18" customHeight="1">
      <c r="A60" s="239">
        <v>58</v>
      </c>
      <c r="B60" s="240" t="str">
        <f>表1温室气体盘查表!C63</f>
        <v>计算机系统设计服务</v>
      </c>
      <c r="C60" s="240" t="str">
        <f>表1温室气体盘查表!D63</f>
        <v>各工序</v>
      </c>
      <c r="D60" s="248" t="s">
        <v>440</v>
      </c>
      <c r="E60" s="241" t="s">
        <v>435</v>
      </c>
      <c r="F60" s="241" t="s">
        <v>438</v>
      </c>
      <c r="G60" s="242">
        <f t="shared" si="0"/>
        <v>1</v>
      </c>
      <c r="H60" s="243">
        <f t="shared" si="1"/>
        <v>1</v>
      </c>
      <c r="I60" s="242">
        <f t="shared" si="2"/>
        <v>3</v>
      </c>
      <c r="J60" s="244">
        <f t="shared" si="3"/>
        <v>1.6666666666666701</v>
      </c>
      <c r="K60" s="245">
        <f>表1温室气体盘查表!AL63</f>
        <v>56.221168280000001</v>
      </c>
      <c r="L60" s="246">
        <f t="shared" si="6"/>
        <v>3.6001001115427098E-6</v>
      </c>
      <c r="M60" s="247">
        <f t="shared" si="5"/>
        <v>6.0001668525711799E-6</v>
      </c>
    </row>
    <row r="61" spans="1:13" ht="18" customHeight="1">
      <c r="A61" s="239">
        <v>59</v>
      </c>
      <c r="B61" s="240" t="str">
        <f>表1温室气体盘查表!C64</f>
        <v>机械动力传动设备制造</v>
      </c>
      <c r="C61" s="240" t="str">
        <f>表1温室气体盘查表!D64</f>
        <v>各工序</v>
      </c>
      <c r="D61" s="248" t="s">
        <v>440</v>
      </c>
      <c r="E61" s="241" t="s">
        <v>435</v>
      </c>
      <c r="F61" s="241" t="s">
        <v>438</v>
      </c>
      <c r="G61" s="242">
        <f t="shared" si="0"/>
        <v>1</v>
      </c>
      <c r="H61" s="243">
        <f t="shared" si="1"/>
        <v>1</v>
      </c>
      <c r="I61" s="242">
        <f t="shared" si="2"/>
        <v>3</v>
      </c>
      <c r="J61" s="244">
        <f t="shared" si="3"/>
        <v>1.6666666666666701</v>
      </c>
      <c r="K61" s="245">
        <f>表1温室气体盘查表!AL64</f>
        <v>35.30405219</v>
      </c>
      <c r="L61" s="246">
        <f t="shared" si="6"/>
        <v>2.2606809163789998E-6</v>
      </c>
      <c r="M61" s="247">
        <f t="shared" si="5"/>
        <v>3.7678015272983401E-6</v>
      </c>
    </row>
    <row r="62" spans="1:13" ht="18" customHeight="1">
      <c r="A62" s="239">
        <v>60</v>
      </c>
      <c r="B62" s="240" t="str">
        <f>表1温室气体盘查表!C65</f>
        <v>测量、分配及其他泵类设备制造</v>
      </c>
      <c r="C62" s="240" t="str">
        <f>表1温室气体盘查表!D65</f>
        <v>各工序</v>
      </c>
      <c r="D62" s="248" t="s">
        <v>440</v>
      </c>
      <c r="E62" s="241" t="s">
        <v>435</v>
      </c>
      <c r="F62" s="241" t="s">
        <v>438</v>
      </c>
      <c r="G62" s="242">
        <f t="shared" si="0"/>
        <v>1</v>
      </c>
      <c r="H62" s="243">
        <f t="shared" si="1"/>
        <v>1</v>
      </c>
      <c r="I62" s="242">
        <f t="shared" si="2"/>
        <v>3</v>
      </c>
      <c r="J62" s="244">
        <f t="shared" si="3"/>
        <v>1.6666666666666701</v>
      </c>
      <c r="K62" s="245">
        <f>表1温室气体盘查表!AL65</f>
        <v>432.06181985000001</v>
      </c>
      <c r="L62" s="246">
        <f t="shared" si="6"/>
        <v>2.7666906494873901E-5</v>
      </c>
      <c r="M62" s="247">
        <f t="shared" si="5"/>
        <v>4.6111510824789802E-5</v>
      </c>
    </row>
    <row r="63" spans="1:13" ht="18" customHeight="1">
      <c r="A63" s="239">
        <v>61</v>
      </c>
      <c r="B63" s="240" t="str">
        <f>表1温室气体盘查表!C66</f>
        <v>用于测量、显示和控制工业过程变量的仪器及相关产品制造</v>
      </c>
      <c r="C63" s="240" t="str">
        <f>表1温室气体盘查表!D66</f>
        <v>各工序</v>
      </c>
      <c r="D63" s="248" t="s">
        <v>440</v>
      </c>
      <c r="E63" s="241" t="s">
        <v>435</v>
      </c>
      <c r="F63" s="241" t="s">
        <v>438</v>
      </c>
      <c r="G63" s="242">
        <f t="shared" si="0"/>
        <v>1</v>
      </c>
      <c r="H63" s="243">
        <f t="shared" si="1"/>
        <v>1</v>
      </c>
      <c r="I63" s="242">
        <f t="shared" si="2"/>
        <v>3</v>
      </c>
      <c r="J63" s="244">
        <f t="shared" si="3"/>
        <v>1.6666666666666701</v>
      </c>
      <c r="K63" s="245">
        <f>表1温室气体盘查表!AL66</f>
        <v>11.18455254</v>
      </c>
      <c r="L63" s="246">
        <f t="shared" si="6"/>
        <v>7.1619836582323801E-7</v>
      </c>
      <c r="M63" s="247">
        <f t="shared" si="5"/>
        <v>1.19366394303873E-6</v>
      </c>
    </row>
    <row r="64" spans="1:13" ht="18" customHeight="1">
      <c r="A64" s="239">
        <v>62</v>
      </c>
      <c r="B64" s="240" t="str">
        <f>表1温室气体盘查表!C67</f>
        <v>所有其他杂项电气设备及元件制造</v>
      </c>
      <c r="C64" s="240" t="str">
        <f>表1温室气体盘查表!D67</f>
        <v>各工序</v>
      </c>
      <c r="D64" s="248" t="s">
        <v>440</v>
      </c>
      <c r="E64" s="241" t="s">
        <v>435</v>
      </c>
      <c r="F64" s="241" t="s">
        <v>438</v>
      </c>
      <c r="G64" s="242">
        <f t="shared" si="0"/>
        <v>1</v>
      </c>
      <c r="H64" s="243">
        <f t="shared" si="1"/>
        <v>1</v>
      </c>
      <c r="I64" s="242">
        <f t="shared" si="2"/>
        <v>3</v>
      </c>
      <c r="J64" s="244">
        <f t="shared" si="3"/>
        <v>1.6666666666666701</v>
      </c>
      <c r="K64" s="245">
        <f>表1温室气体盘查表!AL67</f>
        <v>555.07219968000004</v>
      </c>
      <c r="L64" s="246">
        <f t="shared" si="6"/>
        <v>3.5543827158303699E-5</v>
      </c>
      <c r="M64" s="247">
        <f t="shared" si="5"/>
        <v>5.9239711930506097E-5</v>
      </c>
    </row>
    <row r="65" spans="1:13" ht="18" customHeight="1">
      <c r="A65" s="239">
        <v>63</v>
      </c>
      <c r="B65" s="240" t="str">
        <f>表1温室气体盘查表!C68</f>
        <v>所有其他杂项制造</v>
      </c>
      <c r="C65" s="240" t="str">
        <f>表1温室气体盘查表!D68</f>
        <v>各工序</v>
      </c>
      <c r="D65" s="248" t="s">
        <v>440</v>
      </c>
      <c r="E65" s="241" t="s">
        <v>435</v>
      </c>
      <c r="F65" s="241" t="s">
        <v>438</v>
      </c>
      <c r="G65" s="242">
        <f t="shared" si="0"/>
        <v>1</v>
      </c>
      <c r="H65" s="243">
        <f t="shared" si="1"/>
        <v>1</v>
      </c>
      <c r="I65" s="242">
        <f t="shared" si="2"/>
        <v>3</v>
      </c>
      <c r="J65" s="244">
        <f t="shared" si="3"/>
        <v>1.6666666666666701</v>
      </c>
      <c r="K65" s="245">
        <f>表1温室气体盘查表!AL68</f>
        <v>49284.312056980001</v>
      </c>
      <c r="L65" s="246">
        <f t="shared" si="6"/>
        <v>3.1559012870381298E-3</v>
      </c>
      <c r="M65" s="247">
        <f t="shared" si="5"/>
        <v>5.2598354783968898E-3</v>
      </c>
    </row>
    <row r="66" spans="1:13" ht="18" customHeight="1">
      <c r="A66" s="239">
        <v>64</v>
      </c>
      <c r="B66" s="240" t="str">
        <f>表1温室气体盘查表!C69</f>
        <v>液化石油气生产</v>
      </c>
      <c r="C66" s="240" t="str">
        <f>表1温室气体盘查表!D69</f>
        <v>冶钢宾馆</v>
      </c>
      <c r="D66" s="241" t="s">
        <v>437</v>
      </c>
      <c r="E66" s="241" t="s">
        <v>435</v>
      </c>
      <c r="F66" s="241" t="s">
        <v>436</v>
      </c>
      <c r="G66" s="242">
        <f t="shared" ref="G66:G100" si="7">IF(D66="自动连续量测",6,IF(D66="定期量测/抄表/铭牌",3,1))</f>
        <v>3</v>
      </c>
      <c r="H66" s="243">
        <f t="shared" ref="H66:H100" si="8">IF(E66="量测/质量平衡排放因子",6,IF(E66="制程/设备排放因子",5,IF(E66="制造商提供的排放因子",4,IF(E66="区域排放因子",3,IF(E66="国家排放因子",2,1)))))</f>
        <v>1</v>
      </c>
      <c r="I66" s="242">
        <f t="shared" ref="I66:I100" si="9">IF(F66="校准且合格",6,IF(F66="未校准",1,3))</f>
        <v>6</v>
      </c>
      <c r="J66" s="244">
        <f t="shared" ref="J66:J100" si="10">AVERAGE(G66:I66)</f>
        <v>3.3333333333333299</v>
      </c>
      <c r="K66" s="245">
        <f>表1温室气体盘查表!AL69</f>
        <v>9.4484580462838608</v>
      </c>
      <c r="L66" s="246">
        <f t="shared" ref="L66:L100" si="11">K66/$K$101</f>
        <v>6.05028246601444E-7</v>
      </c>
      <c r="M66" s="247">
        <f t="shared" si="5"/>
        <v>2.0167608220048102E-6</v>
      </c>
    </row>
    <row r="67" spans="1:13" ht="18" customHeight="1">
      <c r="A67" s="239">
        <v>65</v>
      </c>
      <c r="B67" s="240" t="str">
        <f>表1温室气体盘查表!C70</f>
        <v>洗精煤生产</v>
      </c>
      <c r="C67" s="240" t="str">
        <f>表1温室气体盘查表!D70</f>
        <v>焦化</v>
      </c>
      <c r="D67" s="241" t="s">
        <v>437</v>
      </c>
      <c r="E67" s="241" t="s">
        <v>435</v>
      </c>
      <c r="F67" s="241" t="s">
        <v>436</v>
      </c>
      <c r="G67" s="242">
        <f t="shared" si="7"/>
        <v>3</v>
      </c>
      <c r="H67" s="243">
        <f t="shared" si="8"/>
        <v>1</v>
      </c>
      <c r="I67" s="242">
        <f t="shared" si="9"/>
        <v>6</v>
      </c>
      <c r="J67" s="244">
        <f t="shared" si="10"/>
        <v>3.3333333333333299</v>
      </c>
      <c r="K67" s="245">
        <f>表1温室气体盘查表!AL70</f>
        <v>1120352.4211275</v>
      </c>
      <c r="L67" s="246">
        <f t="shared" si="11"/>
        <v>7.1741320923476501E-2</v>
      </c>
      <c r="M67" s="247">
        <f t="shared" ref="M67:M100" si="12">J67*L67</f>
        <v>0.239137736411588</v>
      </c>
    </row>
    <row r="68" spans="1:13" ht="18" customHeight="1">
      <c r="A68" s="239">
        <v>66</v>
      </c>
      <c r="B68" s="240" t="str">
        <f>表1温室气体盘查表!C71</f>
        <v>柴油生产</v>
      </c>
      <c r="C68" s="240" t="str">
        <f>表1温室气体盘查表!D71</f>
        <v>各工序</v>
      </c>
      <c r="D68" s="241" t="s">
        <v>437</v>
      </c>
      <c r="E68" s="241" t="s">
        <v>435</v>
      </c>
      <c r="F68" s="241" t="s">
        <v>436</v>
      </c>
      <c r="G68" s="242">
        <f t="shared" si="7"/>
        <v>3</v>
      </c>
      <c r="H68" s="243">
        <f t="shared" si="8"/>
        <v>1</v>
      </c>
      <c r="I68" s="242">
        <f t="shared" si="9"/>
        <v>6</v>
      </c>
      <c r="J68" s="244">
        <f t="shared" si="10"/>
        <v>3.3333333333333299</v>
      </c>
      <c r="K68" s="245">
        <f>表1温室气体盘查表!AL71</f>
        <v>1182.2270043999999</v>
      </c>
      <c r="L68" s="246">
        <f t="shared" si="11"/>
        <v>7.5703435211667598E-5</v>
      </c>
      <c r="M68" s="247">
        <f t="shared" si="12"/>
        <v>2.5234478403889202E-4</v>
      </c>
    </row>
    <row r="69" spans="1:13" ht="18" customHeight="1">
      <c r="A69" s="239">
        <v>67</v>
      </c>
      <c r="B69" s="240" t="str">
        <f>表1温室气体盘查表!C72</f>
        <v>汽油生产</v>
      </c>
      <c r="C69" s="240" t="str">
        <f>表1温室气体盘查表!D72</f>
        <v>车队</v>
      </c>
      <c r="D69" s="241" t="s">
        <v>437</v>
      </c>
      <c r="E69" s="241" t="s">
        <v>435</v>
      </c>
      <c r="F69" s="241" t="s">
        <v>436</v>
      </c>
      <c r="G69" s="242">
        <f t="shared" si="7"/>
        <v>3</v>
      </c>
      <c r="H69" s="243">
        <f t="shared" si="8"/>
        <v>1</v>
      </c>
      <c r="I69" s="242">
        <f t="shared" si="9"/>
        <v>6</v>
      </c>
      <c r="J69" s="244">
        <f t="shared" si="10"/>
        <v>3.3333333333333299</v>
      </c>
      <c r="K69" s="245">
        <f>表1温室气体盘查表!AL72</f>
        <v>48.438424774309503</v>
      </c>
      <c r="L69" s="246">
        <f t="shared" si="11"/>
        <v>3.10173523190516E-6</v>
      </c>
      <c r="M69" s="247">
        <f t="shared" si="12"/>
        <v>1.03391174396839E-5</v>
      </c>
    </row>
    <row r="70" spans="1:13" ht="18" customHeight="1">
      <c r="A70" s="239">
        <v>68</v>
      </c>
      <c r="B70" s="240" t="str">
        <f>表1温室气体盘查表!C73</f>
        <v>焦炭生产</v>
      </c>
      <c r="C70" s="240" t="str">
        <f>表1温室气体盘查表!D73</f>
        <v>烧结、高炉</v>
      </c>
      <c r="D70" s="241" t="s">
        <v>437</v>
      </c>
      <c r="E70" s="241" t="s">
        <v>435</v>
      </c>
      <c r="F70" s="241" t="s">
        <v>436</v>
      </c>
      <c r="G70" s="242">
        <f t="shared" si="7"/>
        <v>3</v>
      </c>
      <c r="H70" s="243">
        <f t="shared" si="8"/>
        <v>1</v>
      </c>
      <c r="I70" s="242">
        <f t="shared" si="9"/>
        <v>6</v>
      </c>
      <c r="J70" s="244">
        <f t="shared" si="10"/>
        <v>3.3333333333333299</v>
      </c>
      <c r="K70" s="245">
        <f>表1温室气体盘查表!AL73</f>
        <v>184347.32152</v>
      </c>
      <c r="L70" s="246">
        <f t="shared" si="11"/>
        <v>1.1804607287089101E-2</v>
      </c>
      <c r="M70" s="247">
        <f t="shared" si="12"/>
        <v>3.9348690956963701E-2</v>
      </c>
    </row>
    <row r="71" spans="1:13" ht="18" customHeight="1">
      <c r="A71" s="239">
        <v>69</v>
      </c>
      <c r="B71" s="240" t="str">
        <f>表1温室气体盘查表!C74</f>
        <v>焦屑生产</v>
      </c>
      <c r="C71" s="240" t="str">
        <f>表1温室气体盘查表!D74</f>
        <v>烧结、高炉</v>
      </c>
      <c r="D71" s="241" t="s">
        <v>437</v>
      </c>
      <c r="E71" s="241" t="s">
        <v>435</v>
      </c>
      <c r="F71" s="241" t="s">
        <v>436</v>
      </c>
      <c r="G71" s="242">
        <f t="shared" si="7"/>
        <v>3</v>
      </c>
      <c r="H71" s="243">
        <f t="shared" si="8"/>
        <v>1</v>
      </c>
      <c r="I71" s="242">
        <f t="shared" si="9"/>
        <v>6</v>
      </c>
      <c r="J71" s="244">
        <f t="shared" si="10"/>
        <v>3.3333333333333299</v>
      </c>
      <c r="K71" s="245">
        <f>表1温室气体盘查表!AL74</f>
        <v>152835.16579999999</v>
      </c>
      <c r="L71" s="246">
        <f t="shared" si="11"/>
        <v>9.78673895042418E-3</v>
      </c>
      <c r="M71" s="247">
        <f t="shared" si="12"/>
        <v>3.2622463168080602E-2</v>
      </c>
    </row>
    <row r="72" spans="1:13" ht="18" customHeight="1">
      <c r="A72" s="239">
        <v>70</v>
      </c>
      <c r="B72" s="240" t="str">
        <f>表1温室气体盘查表!C75</f>
        <v>烟煤生产</v>
      </c>
      <c r="C72" s="240" t="str">
        <f>表1温室气体盘查表!D75</f>
        <v>高炉</v>
      </c>
      <c r="D72" s="241" t="s">
        <v>437</v>
      </c>
      <c r="E72" s="241" t="s">
        <v>435</v>
      </c>
      <c r="F72" s="241" t="s">
        <v>436</v>
      </c>
      <c r="G72" s="242">
        <f t="shared" si="7"/>
        <v>3</v>
      </c>
      <c r="H72" s="243">
        <f t="shared" si="8"/>
        <v>1</v>
      </c>
      <c r="I72" s="242">
        <f t="shared" si="9"/>
        <v>6</v>
      </c>
      <c r="J72" s="244">
        <f t="shared" si="10"/>
        <v>3.3333333333333299</v>
      </c>
      <c r="K72" s="245">
        <f>表1温室气体盘查表!AL75</f>
        <v>229690.010538</v>
      </c>
      <c r="L72" s="246">
        <f t="shared" si="11"/>
        <v>1.4708108313221601E-2</v>
      </c>
      <c r="M72" s="247">
        <f t="shared" si="12"/>
        <v>4.9027027710738698E-2</v>
      </c>
    </row>
    <row r="73" spans="1:13" ht="18" customHeight="1">
      <c r="A73" s="239">
        <v>71</v>
      </c>
      <c r="B73" s="240" t="str">
        <f>表1温室气体盘查表!C76</f>
        <v>无烟煤生产</v>
      </c>
      <c r="C73" s="240" t="str">
        <f>表1温室气体盘查表!D76</f>
        <v>烧结、高炉</v>
      </c>
      <c r="D73" s="241" t="s">
        <v>437</v>
      </c>
      <c r="E73" s="241" t="s">
        <v>435</v>
      </c>
      <c r="F73" s="241" t="s">
        <v>436</v>
      </c>
      <c r="G73" s="242">
        <f t="shared" si="7"/>
        <v>3</v>
      </c>
      <c r="H73" s="243">
        <f t="shared" si="8"/>
        <v>1</v>
      </c>
      <c r="I73" s="242">
        <f t="shared" si="9"/>
        <v>6</v>
      </c>
      <c r="J73" s="244">
        <f t="shared" si="10"/>
        <v>3.3333333333333299</v>
      </c>
      <c r="K73" s="245">
        <f>表1温室气体盘查表!AL76</f>
        <v>149948.23718699999</v>
      </c>
      <c r="L73" s="246">
        <f t="shared" si="11"/>
        <v>9.6018756268817802E-3</v>
      </c>
      <c r="M73" s="247">
        <f t="shared" si="12"/>
        <v>3.2006252089605898E-2</v>
      </c>
    </row>
    <row r="74" spans="1:13" ht="18" customHeight="1">
      <c r="A74" s="239">
        <v>72</v>
      </c>
      <c r="B74" s="240" t="str">
        <f>表1温室气体盘查表!C77</f>
        <v>天然气生产</v>
      </c>
      <c r="C74" s="240" t="str">
        <f>表1温室气体盘查表!D77</f>
        <v>转炉、电炉、锻造、热处理</v>
      </c>
      <c r="D74" s="248" t="s">
        <v>434</v>
      </c>
      <c r="E74" s="241" t="s">
        <v>435</v>
      </c>
      <c r="F74" s="241" t="s">
        <v>436</v>
      </c>
      <c r="G74" s="242">
        <f t="shared" si="7"/>
        <v>6</v>
      </c>
      <c r="H74" s="243">
        <f t="shared" si="8"/>
        <v>1</v>
      </c>
      <c r="I74" s="242">
        <f t="shared" si="9"/>
        <v>6</v>
      </c>
      <c r="J74" s="244">
        <f t="shared" si="10"/>
        <v>4.3333333333333304</v>
      </c>
      <c r="K74" s="245">
        <f>表1温室气体盘查表!AL77</f>
        <v>11120.2731</v>
      </c>
      <c r="L74" s="246">
        <f t="shared" si="11"/>
        <v>7.1208225749262895E-4</v>
      </c>
      <c r="M74" s="247">
        <f t="shared" si="12"/>
        <v>3.0856897824680599E-3</v>
      </c>
    </row>
    <row r="75" spans="1:13" ht="18" customHeight="1">
      <c r="A75" s="239">
        <v>73</v>
      </c>
      <c r="B75" s="240" t="str">
        <f>表1温室气体盘查表!C78</f>
        <v>外购电力上游排放</v>
      </c>
      <c r="C75" s="240" t="str">
        <f>表1温室气体盘查表!D78</f>
        <v>各工序</v>
      </c>
      <c r="D75" s="241" t="s">
        <v>434</v>
      </c>
      <c r="E75" s="241" t="s">
        <v>439</v>
      </c>
      <c r="F75" s="241" t="s">
        <v>436</v>
      </c>
      <c r="G75" s="242">
        <f t="shared" si="7"/>
        <v>6</v>
      </c>
      <c r="H75" s="243">
        <f t="shared" si="8"/>
        <v>2</v>
      </c>
      <c r="I75" s="242">
        <f t="shared" si="9"/>
        <v>6</v>
      </c>
      <c r="J75" s="244">
        <f t="shared" si="10"/>
        <v>4.6666666666666696</v>
      </c>
      <c r="K75" s="245">
        <f>表1温室气体盘查表!AL78</f>
        <v>167202.52880299999</v>
      </c>
      <c r="L75" s="246">
        <f t="shared" si="11"/>
        <v>1.07067473161713E-2</v>
      </c>
      <c r="M75" s="247">
        <f t="shared" si="12"/>
        <v>4.9964820808799298E-2</v>
      </c>
    </row>
    <row r="76" spans="1:13" ht="18" customHeight="1">
      <c r="A76" s="239">
        <v>74</v>
      </c>
      <c r="B76" s="240" t="str">
        <f>表1温室气体盘查表!C79</f>
        <v>船运</v>
      </c>
      <c r="C76" s="240" t="str">
        <f>表1温室气体盘查表!D79</f>
        <v>-</v>
      </c>
      <c r="D76" s="241" t="s">
        <v>440</v>
      </c>
      <c r="E76" s="241" t="s">
        <v>435</v>
      </c>
      <c r="F76" s="241" t="s">
        <v>438</v>
      </c>
      <c r="G76" s="242">
        <f t="shared" si="7"/>
        <v>1</v>
      </c>
      <c r="H76" s="243">
        <f t="shared" si="8"/>
        <v>1</v>
      </c>
      <c r="I76" s="242">
        <f t="shared" si="9"/>
        <v>3</v>
      </c>
      <c r="J76" s="244">
        <f t="shared" si="10"/>
        <v>1.6666666666666701</v>
      </c>
      <c r="K76" s="245">
        <f>表1温室气体盘查表!AL79</f>
        <v>256608.96908694899</v>
      </c>
      <c r="L76" s="246">
        <f t="shared" si="11"/>
        <v>1.6431853099029701E-2</v>
      </c>
      <c r="M76" s="247">
        <f t="shared" si="12"/>
        <v>2.73864218317161E-2</v>
      </c>
    </row>
    <row r="77" spans="1:13" ht="18" customHeight="1">
      <c r="A77" s="239">
        <v>75</v>
      </c>
      <c r="B77" s="240" t="str">
        <f>表1温室气体盘查表!C80</f>
        <v>汽运</v>
      </c>
      <c r="C77" s="240" t="str">
        <f>表1温室气体盘查表!D80</f>
        <v>-</v>
      </c>
      <c r="D77" s="241" t="s">
        <v>440</v>
      </c>
      <c r="E77" s="241" t="s">
        <v>435</v>
      </c>
      <c r="F77" s="241" t="s">
        <v>438</v>
      </c>
      <c r="G77" s="242">
        <f t="shared" si="7"/>
        <v>1</v>
      </c>
      <c r="H77" s="243">
        <f t="shared" si="8"/>
        <v>1</v>
      </c>
      <c r="I77" s="242">
        <f t="shared" si="9"/>
        <v>3</v>
      </c>
      <c r="J77" s="244">
        <f t="shared" si="10"/>
        <v>1.6666666666666701</v>
      </c>
      <c r="K77" s="245">
        <f>表1温室气体盘查表!AL80</f>
        <v>46150.511872324103</v>
      </c>
      <c r="L77" s="246">
        <f t="shared" si="11"/>
        <v>2.95522964076169E-3</v>
      </c>
      <c r="M77" s="247">
        <f t="shared" si="12"/>
        <v>4.9253827346028203E-3</v>
      </c>
    </row>
    <row r="78" spans="1:13" ht="18" customHeight="1">
      <c r="A78" s="239">
        <v>76</v>
      </c>
      <c r="B78" s="240" t="str">
        <f>表1温室气体盘查表!C81</f>
        <v>铁路运输</v>
      </c>
      <c r="C78" s="240" t="str">
        <f>表1温室气体盘查表!D81</f>
        <v>-</v>
      </c>
      <c r="D78" s="241" t="s">
        <v>440</v>
      </c>
      <c r="E78" s="241" t="s">
        <v>435</v>
      </c>
      <c r="F78" s="241" t="s">
        <v>438</v>
      </c>
      <c r="G78" s="242">
        <f t="shared" si="7"/>
        <v>1</v>
      </c>
      <c r="H78" s="243">
        <f t="shared" si="8"/>
        <v>1</v>
      </c>
      <c r="I78" s="242">
        <f t="shared" si="9"/>
        <v>3</v>
      </c>
      <c r="J78" s="244">
        <f t="shared" si="10"/>
        <v>1.6666666666666701</v>
      </c>
      <c r="K78" s="245">
        <f>表1温室气体盘查表!AL81</f>
        <v>59524.771711027199</v>
      </c>
      <c r="L78" s="246">
        <f t="shared" si="11"/>
        <v>3.81164504104864E-3</v>
      </c>
      <c r="M78" s="247">
        <f t="shared" si="12"/>
        <v>6.3527417350810701E-3</v>
      </c>
    </row>
    <row r="79" spans="1:13" ht="18" customHeight="1">
      <c r="A79" s="239">
        <v>77</v>
      </c>
      <c r="B79" s="240" t="str">
        <f>表1温室气体盘查表!C82</f>
        <v>生活垃圾和厨余垃圾</v>
      </c>
      <c r="C79" s="240" t="str">
        <f>表1温室气体盘查表!D82</f>
        <v>垃圾站</v>
      </c>
      <c r="D79" s="248" t="s">
        <v>437</v>
      </c>
      <c r="E79" s="241" t="s">
        <v>435</v>
      </c>
      <c r="F79" s="241" t="s">
        <v>438</v>
      </c>
      <c r="G79" s="242">
        <f t="shared" si="7"/>
        <v>3</v>
      </c>
      <c r="H79" s="243">
        <f t="shared" si="8"/>
        <v>1</v>
      </c>
      <c r="I79" s="242">
        <f t="shared" si="9"/>
        <v>3</v>
      </c>
      <c r="J79" s="244">
        <f t="shared" si="10"/>
        <v>2.3333333333333299</v>
      </c>
      <c r="K79" s="245">
        <f>表1温室气体盘查表!AL82</f>
        <v>969.24192968968396</v>
      </c>
      <c r="L79" s="246">
        <f t="shared" si="11"/>
        <v>6.2065020808701397E-5</v>
      </c>
      <c r="M79" s="247">
        <f t="shared" si="12"/>
        <v>1.4481838188697E-4</v>
      </c>
    </row>
    <row r="80" spans="1:13" ht="18" customHeight="1">
      <c r="A80" s="239">
        <v>78</v>
      </c>
      <c r="B80" s="240" t="str">
        <f>表1温室气体盘查表!C83</f>
        <v>废油</v>
      </c>
      <c r="C80" s="240" t="str">
        <f>表1温室气体盘查表!D83</f>
        <v>-</v>
      </c>
      <c r="D80" s="241" t="s">
        <v>437</v>
      </c>
      <c r="E80" s="241" t="s">
        <v>435</v>
      </c>
      <c r="F80" s="241" t="s">
        <v>438</v>
      </c>
      <c r="G80" s="242">
        <f t="shared" si="7"/>
        <v>3</v>
      </c>
      <c r="H80" s="243">
        <f t="shared" si="8"/>
        <v>1</v>
      </c>
      <c r="I80" s="242">
        <f t="shared" si="9"/>
        <v>3</v>
      </c>
      <c r="J80" s="244">
        <f t="shared" si="10"/>
        <v>2.3333333333333299</v>
      </c>
      <c r="K80" s="245">
        <f>表1温室气体盘查表!AL83</f>
        <v>104.70284557036101</v>
      </c>
      <c r="L80" s="246">
        <f t="shared" si="11"/>
        <v>6.7046050010808196E-6</v>
      </c>
      <c r="M80" s="247">
        <f t="shared" si="12"/>
        <v>1.5644078335855301E-5</v>
      </c>
    </row>
    <row r="81" spans="1:13" ht="18" customHeight="1">
      <c r="A81" s="239">
        <v>79</v>
      </c>
      <c r="B81" s="240" t="str">
        <f>表1温室气体盘查表!C84</f>
        <v>废油水</v>
      </c>
      <c r="C81" s="240" t="str">
        <f>表1温室气体盘查表!D84</f>
        <v>-</v>
      </c>
      <c r="D81" s="241" t="s">
        <v>437</v>
      </c>
      <c r="E81" s="241" t="s">
        <v>435</v>
      </c>
      <c r="F81" s="241" t="s">
        <v>438</v>
      </c>
      <c r="G81" s="242">
        <f t="shared" si="7"/>
        <v>3</v>
      </c>
      <c r="H81" s="243">
        <f t="shared" si="8"/>
        <v>1</v>
      </c>
      <c r="I81" s="242">
        <f t="shared" si="9"/>
        <v>3</v>
      </c>
      <c r="J81" s="244">
        <f t="shared" si="10"/>
        <v>2.3333333333333299</v>
      </c>
      <c r="K81" s="245">
        <f>表1温室气体盘查表!AL84</f>
        <v>653.85858662306896</v>
      </c>
      <c r="L81" s="246">
        <f t="shared" si="11"/>
        <v>4.1869574088382303E-5</v>
      </c>
      <c r="M81" s="247">
        <f t="shared" si="12"/>
        <v>9.7695672872892E-5</v>
      </c>
    </row>
    <row r="82" spans="1:13" ht="18" customHeight="1">
      <c r="A82" s="239">
        <v>80</v>
      </c>
      <c r="B82" s="240" t="str">
        <f>表1温室气体盘查表!C85</f>
        <v>煤焦油</v>
      </c>
      <c r="C82" s="240" t="str">
        <f>表1温室气体盘查表!D85</f>
        <v>-</v>
      </c>
      <c r="D82" s="241" t="s">
        <v>437</v>
      </c>
      <c r="E82" s="241" t="s">
        <v>435</v>
      </c>
      <c r="F82" s="241" t="s">
        <v>438</v>
      </c>
      <c r="G82" s="242">
        <f t="shared" si="7"/>
        <v>3</v>
      </c>
      <c r="H82" s="243">
        <f t="shared" si="8"/>
        <v>1</v>
      </c>
      <c r="I82" s="242">
        <f t="shared" si="9"/>
        <v>3</v>
      </c>
      <c r="J82" s="244">
        <f t="shared" si="10"/>
        <v>2.3333333333333299</v>
      </c>
      <c r="K82" s="245">
        <f>表1温室气体盘查表!AL85</f>
        <v>145058.803127058</v>
      </c>
      <c r="L82" s="246">
        <f t="shared" si="11"/>
        <v>9.2887826648694501E-3</v>
      </c>
      <c r="M82" s="247">
        <f t="shared" si="12"/>
        <v>2.1673826218028699E-2</v>
      </c>
    </row>
    <row r="83" spans="1:13" ht="18" customHeight="1">
      <c r="A83" s="239">
        <v>81</v>
      </c>
      <c r="B83" s="240" t="str">
        <f>表1温室气体盘查表!C86</f>
        <v>废弃物运输</v>
      </c>
      <c r="C83" s="240" t="str">
        <f>表1温室气体盘查表!D86</f>
        <v>-</v>
      </c>
      <c r="D83" s="241" t="s">
        <v>440</v>
      </c>
      <c r="E83" s="241" t="s">
        <v>435</v>
      </c>
      <c r="F83" s="241" t="s">
        <v>438</v>
      </c>
      <c r="G83" s="242">
        <f t="shared" si="7"/>
        <v>1</v>
      </c>
      <c r="H83" s="243">
        <f t="shared" si="8"/>
        <v>1</v>
      </c>
      <c r="I83" s="242">
        <f t="shared" si="9"/>
        <v>3</v>
      </c>
      <c r="J83" s="244">
        <f t="shared" si="10"/>
        <v>1.6666666666666701</v>
      </c>
      <c r="K83" s="245">
        <f>表1温室气体盘查表!AL86</f>
        <v>849.425387283242</v>
      </c>
      <c r="L83" s="246">
        <f t="shared" si="11"/>
        <v>5.4392616252221497E-5</v>
      </c>
      <c r="M83" s="247">
        <f t="shared" si="12"/>
        <v>9.0654360420369199E-5</v>
      </c>
    </row>
    <row r="84" spans="1:13" ht="18" customHeight="1">
      <c r="A84" s="239">
        <v>82</v>
      </c>
      <c r="B84" s="240" t="str">
        <f>表1温室气体盘查表!C87</f>
        <v>航运</v>
      </c>
      <c r="C84" s="240" t="str">
        <f>表1温室气体盘查表!D87</f>
        <v>-</v>
      </c>
      <c r="D84" s="248" t="s">
        <v>440</v>
      </c>
      <c r="E84" s="241" t="s">
        <v>439</v>
      </c>
      <c r="F84" s="241" t="s">
        <v>438</v>
      </c>
      <c r="G84" s="242">
        <f t="shared" si="7"/>
        <v>1</v>
      </c>
      <c r="H84" s="243">
        <f t="shared" si="8"/>
        <v>2</v>
      </c>
      <c r="I84" s="242">
        <f t="shared" si="9"/>
        <v>3</v>
      </c>
      <c r="J84" s="244">
        <f t="shared" si="10"/>
        <v>2</v>
      </c>
      <c r="K84" s="245">
        <f>表1温室气体盘查表!AL87</f>
        <v>327.76098852000001</v>
      </c>
      <c r="L84" s="246">
        <f t="shared" si="11"/>
        <v>2.0988044315506701E-5</v>
      </c>
      <c r="M84" s="247">
        <f t="shared" si="12"/>
        <v>4.1976088631013403E-5</v>
      </c>
    </row>
    <row r="85" spans="1:13" ht="18" customHeight="1">
      <c r="A85" s="239">
        <v>83</v>
      </c>
      <c r="B85" s="240" t="str">
        <f>表1温室气体盘查表!C88</f>
        <v>铁路运输</v>
      </c>
      <c r="C85" s="240" t="str">
        <f>表1温室气体盘查表!D88</f>
        <v>-</v>
      </c>
      <c r="D85" s="248" t="s">
        <v>440</v>
      </c>
      <c r="E85" s="241" t="s">
        <v>435</v>
      </c>
      <c r="F85" s="241" t="s">
        <v>438</v>
      </c>
      <c r="G85" s="242">
        <f t="shared" si="7"/>
        <v>1</v>
      </c>
      <c r="H85" s="243">
        <f t="shared" si="8"/>
        <v>1</v>
      </c>
      <c r="I85" s="242">
        <f t="shared" si="9"/>
        <v>3</v>
      </c>
      <c r="J85" s="244">
        <f t="shared" si="10"/>
        <v>1.6666666666666701</v>
      </c>
      <c r="K85" s="245">
        <f>表1温室气体盘查表!AL88</f>
        <v>619.78796521528295</v>
      </c>
      <c r="L85" s="246">
        <f t="shared" si="11"/>
        <v>3.9687875420726999E-5</v>
      </c>
      <c r="M85" s="247">
        <f t="shared" si="12"/>
        <v>6.6146459034544994E-5</v>
      </c>
    </row>
    <row r="86" spans="1:13" ht="18" customHeight="1">
      <c r="A86" s="239">
        <v>84</v>
      </c>
      <c r="B86" s="240" t="str">
        <f>表1温室气体盘查表!C89</f>
        <v>员工差旅住宿</v>
      </c>
      <c r="C86" s="240" t="str">
        <f>表1温室气体盘查表!D89</f>
        <v>-</v>
      </c>
      <c r="D86" s="241" t="s">
        <v>440</v>
      </c>
      <c r="E86" s="241" t="s">
        <v>439</v>
      </c>
      <c r="F86" s="241" t="s">
        <v>438</v>
      </c>
      <c r="G86" s="242">
        <f t="shared" si="7"/>
        <v>1</v>
      </c>
      <c r="H86" s="243">
        <f t="shared" si="8"/>
        <v>2</v>
      </c>
      <c r="I86" s="242">
        <f t="shared" si="9"/>
        <v>3</v>
      </c>
      <c r="J86" s="244">
        <f t="shared" si="10"/>
        <v>2</v>
      </c>
      <c r="K86" s="245">
        <f>表1温室气体盘查表!AL89</f>
        <v>722.62450000000001</v>
      </c>
      <c r="L86" s="246">
        <f t="shared" si="11"/>
        <v>4.62729719542124E-5</v>
      </c>
      <c r="M86" s="247">
        <f t="shared" si="12"/>
        <v>9.2545943908424705E-5</v>
      </c>
    </row>
    <row r="87" spans="1:13" ht="18" customHeight="1">
      <c r="A87" s="239">
        <v>85</v>
      </c>
      <c r="B87" s="240" t="str">
        <f>表1温室气体盘查表!C90</f>
        <v>通勤车</v>
      </c>
      <c r="C87" s="240" t="str">
        <f>表1温室气体盘查表!D90</f>
        <v>-</v>
      </c>
      <c r="D87" s="248" t="s">
        <v>440</v>
      </c>
      <c r="E87" s="241" t="s">
        <v>439</v>
      </c>
      <c r="F87" s="241" t="s">
        <v>438</v>
      </c>
      <c r="G87" s="242">
        <f t="shared" si="7"/>
        <v>1</v>
      </c>
      <c r="H87" s="243">
        <f t="shared" si="8"/>
        <v>2</v>
      </c>
      <c r="I87" s="242">
        <f t="shared" si="9"/>
        <v>3</v>
      </c>
      <c r="J87" s="244">
        <f t="shared" si="10"/>
        <v>2</v>
      </c>
      <c r="K87" s="245">
        <f>表1温室气体盘查表!AL90</f>
        <v>111.2064536</v>
      </c>
      <c r="L87" s="246">
        <f t="shared" si="11"/>
        <v>7.1210609501341602E-6</v>
      </c>
      <c r="M87" s="247">
        <f t="shared" si="12"/>
        <v>1.42421219002683E-5</v>
      </c>
    </row>
    <row r="88" spans="1:13" ht="18" customHeight="1">
      <c r="A88" s="239">
        <v>86</v>
      </c>
      <c r="B88" s="240" t="str">
        <f>表1温室气体盘查表!C91</f>
        <v>电动车</v>
      </c>
      <c r="C88" s="240" t="str">
        <f>表1温室气体盘查表!D91</f>
        <v>-</v>
      </c>
      <c r="D88" s="248" t="s">
        <v>440</v>
      </c>
      <c r="E88" s="241" t="s">
        <v>435</v>
      </c>
      <c r="F88" s="241" t="s">
        <v>438</v>
      </c>
      <c r="G88" s="242">
        <f t="shared" si="7"/>
        <v>1</v>
      </c>
      <c r="H88" s="243">
        <f t="shared" si="8"/>
        <v>1</v>
      </c>
      <c r="I88" s="242">
        <f t="shared" si="9"/>
        <v>3</v>
      </c>
      <c r="J88" s="244">
        <f t="shared" si="10"/>
        <v>1.6666666666666701</v>
      </c>
      <c r="K88" s="245">
        <f>表1温室气体盘查表!AL91</f>
        <v>474.51537913020297</v>
      </c>
      <c r="L88" s="246">
        <f t="shared" si="11"/>
        <v>3.0385403249314601E-5</v>
      </c>
      <c r="M88" s="247">
        <f t="shared" si="12"/>
        <v>5.0642338748857599E-5</v>
      </c>
    </row>
    <row r="89" spans="1:13" ht="18" customHeight="1">
      <c r="A89" s="239">
        <v>87</v>
      </c>
      <c r="B89" s="240" t="str">
        <f>表1温室气体盘查表!C92</f>
        <v>自驾油车</v>
      </c>
      <c r="C89" s="240" t="str">
        <f>表1温室气体盘查表!D92</f>
        <v>-</v>
      </c>
      <c r="D89" s="248" t="s">
        <v>440</v>
      </c>
      <c r="E89" s="241" t="s">
        <v>435</v>
      </c>
      <c r="F89" s="241" t="s">
        <v>438</v>
      </c>
      <c r="G89" s="242">
        <f t="shared" si="7"/>
        <v>1</v>
      </c>
      <c r="H89" s="243">
        <f t="shared" si="8"/>
        <v>1</v>
      </c>
      <c r="I89" s="242">
        <f t="shared" si="9"/>
        <v>3</v>
      </c>
      <c r="J89" s="244">
        <f t="shared" si="10"/>
        <v>1.6666666666666701</v>
      </c>
      <c r="K89" s="245">
        <f>表1温室气体盘查表!AL92</f>
        <v>11664.728842161199</v>
      </c>
      <c r="L89" s="246">
        <f t="shared" si="11"/>
        <v>7.4694626402345399E-4</v>
      </c>
      <c r="M89" s="247">
        <f t="shared" si="12"/>
        <v>1.2449104400390899E-3</v>
      </c>
    </row>
    <row r="90" spans="1:13" ht="18" customHeight="1">
      <c r="A90" s="239">
        <v>88</v>
      </c>
      <c r="B90" s="240" t="str">
        <f>表1温室气体盘查表!C93</f>
        <v>自驾电车</v>
      </c>
      <c r="C90" s="240" t="str">
        <f>表1温室气体盘查表!D93</f>
        <v>-</v>
      </c>
      <c r="D90" s="248" t="s">
        <v>440</v>
      </c>
      <c r="E90" s="241" t="s">
        <v>435</v>
      </c>
      <c r="F90" s="241" t="s">
        <v>438</v>
      </c>
      <c r="G90" s="242">
        <f t="shared" si="7"/>
        <v>1</v>
      </c>
      <c r="H90" s="243">
        <f t="shared" si="8"/>
        <v>1</v>
      </c>
      <c r="I90" s="242">
        <f t="shared" si="9"/>
        <v>3</v>
      </c>
      <c r="J90" s="244">
        <f t="shared" si="10"/>
        <v>1.6666666666666701</v>
      </c>
      <c r="K90" s="245">
        <f>表1温室气体盘查表!AL93</f>
        <v>1072.1258126986399</v>
      </c>
      <c r="L90" s="246">
        <f t="shared" si="11"/>
        <v>6.8653149266861602E-5</v>
      </c>
      <c r="M90" s="247">
        <f t="shared" si="12"/>
        <v>1.14421915444769E-4</v>
      </c>
    </row>
    <row r="91" spans="1:13" ht="18" customHeight="1">
      <c r="A91" s="239">
        <v>89</v>
      </c>
      <c r="B91" s="240" t="str">
        <f>表1温室气体盘查表!C94</f>
        <v>船运</v>
      </c>
      <c r="C91" s="240" t="str">
        <f>表1温室气体盘查表!D94</f>
        <v>-</v>
      </c>
      <c r="D91" s="248" t="s">
        <v>440</v>
      </c>
      <c r="E91" s="241" t="s">
        <v>435</v>
      </c>
      <c r="F91" s="241" t="s">
        <v>438</v>
      </c>
      <c r="G91" s="242">
        <f t="shared" si="7"/>
        <v>1</v>
      </c>
      <c r="H91" s="243">
        <f t="shared" si="8"/>
        <v>1</v>
      </c>
      <c r="I91" s="242">
        <f t="shared" si="9"/>
        <v>3</v>
      </c>
      <c r="J91" s="244">
        <f t="shared" si="10"/>
        <v>1.6666666666666701</v>
      </c>
      <c r="K91" s="245">
        <f>表1温室气体盘查表!AL94</f>
        <v>53478.1555212475</v>
      </c>
      <c r="L91" s="246">
        <f t="shared" si="11"/>
        <v>3.4244523823890398E-3</v>
      </c>
      <c r="M91" s="247">
        <f t="shared" si="12"/>
        <v>5.70742063731507E-3</v>
      </c>
    </row>
    <row r="92" spans="1:13" ht="18" customHeight="1">
      <c r="A92" s="239">
        <v>90</v>
      </c>
      <c r="B92" s="240" t="str">
        <f>表1温室气体盘查表!C95</f>
        <v>汽运</v>
      </c>
      <c r="C92" s="240" t="str">
        <f>表1温室气体盘查表!D95</f>
        <v>-</v>
      </c>
      <c r="D92" s="248" t="s">
        <v>440</v>
      </c>
      <c r="E92" s="241" t="s">
        <v>435</v>
      </c>
      <c r="F92" s="241" t="s">
        <v>438</v>
      </c>
      <c r="G92" s="242">
        <f t="shared" si="7"/>
        <v>1</v>
      </c>
      <c r="H92" s="243">
        <f t="shared" si="8"/>
        <v>1</v>
      </c>
      <c r="I92" s="242">
        <f t="shared" si="9"/>
        <v>3</v>
      </c>
      <c r="J92" s="244">
        <f t="shared" si="10"/>
        <v>1.6666666666666701</v>
      </c>
      <c r="K92" s="245">
        <f>表1温室气体盘查表!AL95</f>
        <v>208049.48583902899</v>
      </c>
      <c r="L92" s="246">
        <f t="shared" si="11"/>
        <v>1.3322365935998099E-2</v>
      </c>
      <c r="M92" s="247">
        <f t="shared" si="12"/>
        <v>2.2203943226663501E-2</v>
      </c>
    </row>
    <row r="93" spans="1:13" ht="18" customHeight="1">
      <c r="A93" s="239">
        <v>91</v>
      </c>
      <c r="B93" s="240" t="str">
        <f>表1温室气体盘查表!C96</f>
        <v>铁路运输</v>
      </c>
      <c r="C93" s="240" t="str">
        <f>表1温室气体盘查表!D96</f>
        <v>-</v>
      </c>
      <c r="D93" s="248" t="s">
        <v>440</v>
      </c>
      <c r="E93" s="241" t="s">
        <v>435</v>
      </c>
      <c r="F93" s="241" t="s">
        <v>438</v>
      </c>
      <c r="G93" s="242">
        <f t="shared" si="7"/>
        <v>1</v>
      </c>
      <c r="H93" s="243">
        <f t="shared" si="8"/>
        <v>1</v>
      </c>
      <c r="I93" s="242">
        <f t="shared" si="9"/>
        <v>3</v>
      </c>
      <c r="J93" s="244">
        <f t="shared" si="10"/>
        <v>1.6666666666666701</v>
      </c>
      <c r="K93" s="245">
        <f>表1温室气体盘查表!AL96</f>
        <v>11086.4717529011</v>
      </c>
      <c r="L93" s="246">
        <f t="shared" si="11"/>
        <v>7.0991780169806103E-4</v>
      </c>
      <c r="M93" s="247">
        <f t="shared" si="12"/>
        <v>1.1831963361634301E-3</v>
      </c>
    </row>
    <row r="94" spans="1:13" ht="18" customHeight="1">
      <c r="A94" s="239">
        <v>92</v>
      </c>
      <c r="B94" s="240" t="str">
        <f>表1温室气体盘查表!C97</f>
        <v>汽运-副产品</v>
      </c>
      <c r="C94" s="240" t="str">
        <f>表1温室气体盘查表!D97</f>
        <v>-</v>
      </c>
      <c r="D94" s="248" t="s">
        <v>440</v>
      </c>
      <c r="E94" s="241" t="s">
        <v>435</v>
      </c>
      <c r="F94" s="241" t="s">
        <v>438</v>
      </c>
      <c r="G94" s="242">
        <f t="shared" si="7"/>
        <v>1</v>
      </c>
      <c r="H94" s="243">
        <f t="shared" si="8"/>
        <v>1</v>
      </c>
      <c r="I94" s="242">
        <f t="shared" si="9"/>
        <v>3</v>
      </c>
      <c r="J94" s="244">
        <f t="shared" si="10"/>
        <v>1.6666666666666701</v>
      </c>
      <c r="K94" s="245">
        <f>表1温室气体盘查表!AL97</f>
        <v>1971.49404873413</v>
      </c>
      <c r="L94" s="246">
        <f t="shared" si="11"/>
        <v>1.2624383594103301E-4</v>
      </c>
      <c r="M94" s="247">
        <f t="shared" si="12"/>
        <v>2.1040639323505501E-4</v>
      </c>
    </row>
    <row r="95" spans="1:13" ht="18" customHeight="1">
      <c r="A95" s="239">
        <v>93</v>
      </c>
      <c r="B95" s="240" t="str">
        <f>表1温室气体盘查表!C98</f>
        <v>锻材加工</v>
      </c>
      <c r="C95" s="240" t="str">
        <f>表1温室气体盘查表!D98</f>
        <v>下游钢铁厂</v>
      </c>
      <c r="D95" s="241" t="s">
        <v>437</v>
      </c>
      <c r="E95" s="248" t="s">
        <v>440</v>
      </c>
      <c r="F95" s="241" t="s">
        <v>438</v>
      </c>
      <c r="G95" s="242">
        <f t="shared" si="7"/>
        <v>3</v>
      </c>
      <c r="H95" s="243">
        <f t="shared" si="8"/>
        <v>1</v>
      </c>
      <c r="I95" s="242">
        <f t="shared" si="9"/>
        <v>3</v>
      </c>
      <c r="J95" s="244">
        <f t="shared" si="10"/>
        <v>2.3333333333333299</v>
      </c>
      <c r="K95" s="245">
        <f>表1温室气体盘查表!AL98</f>
        <v>113275.661420512</v>
      </c>
      <c r="L95" s="246">
        <f t="shared" si="11"/>
        <v>7.2535618485205103E-3</v>
      </c>
      <c r="M95" s="247">
        <f t="shared" si="12"/>
        <v>1.6924977646547899E-2</v>
      </c>
    </row>
    <row r="96" spans="1:13" ht="18" customHeight="1">
      <c r="A96" s="239">
        <v>94</v>
      </c>
      <c r="B96" s="240" t="str">
        <f>表1温室气体盘查表!C99</f>
        <v>棒材加工</v>
      </c>
      <c r="C96" s="240" t="str">
        <f>表1温室气体盘查表!D99</f>
        <v>下游钢铁厂</v>
      </c>
      <c r="D96" s="241" t="s">
        <v>437</v>
      </c>
      <c r="E96" s="248" t="s">
        <v>440</v>
      </c>
      <c r="F96" s="241" t="s">
        <v>438</v>
      </c>
      <c r="G96" s="242">
        <f t="shared" si="7"/>
        <v>3</v>
      </c>
      <c r="H96" s="243">
        <f t="shared" si="8"/>
        <v>1</v>
      </c>
      <c r="I96" s="242">
        <f t="shared" si="9"/>
        <v>3</v>
      </c>
      <c r="J96" s="244">
        <f t="shared" si="10"/>
        <v>2.3333333333333299</v>
      </c>
      <c r="K96" s="245">
        <f>表1温室气体盘查表!AL99</f>
        <v>1357195.22298588</v>
      </c>
      <c r="L96" s="246">
        <f t="shared" si="11"/>
        <v>8.6907455379130999E-2</v>
      </c>
      <c r="M96" s="247">
        <f t="shared" si="12"/>
        <v>0.20278406255130599</v>
      </c>
    </row>
    <row r="97" spans="1:14" ht="18" customHeight="1">
      <c r="A97" s="239">
        <v>95</v>
      </c>
      <c r="B97" s="240" t="str">
        <f>表1温室气体盘查表!C100</f>
        <v>钢管加工</v>
      </c>
      <c r="C97" s="240" t="str">
        <f>表1温室气体盘查表!D100</f>
        <v>下游钢铁厂</v>
      </c>
      <c r="D97" s="241" t="s">
        <v>437</v>
      </c>
      <c r="E97" s="248" t="s">
        <v>440</v>
      </c>
      <c r="F97" s="241" t="s">
        <v>438</v>
      </c>
      <c r="G97" s="242">
        <f t="shared" si="7"/>
        <v>3</v>
      </c>
      <c r="H97" s="243">
        <f t="shared" si="8"/>
        <v>1</v>
      </c>
      <c r="I97" s="242">
        <f t="shared" si="9"/>
        <v>3</v>
      </c>
      <c r="J97" s="244">
        <f t="shared" si="10"/>
        <v>2.3333333333333299</v>
      </c>
      <c r="K97" s="245">
        <f>表1温室气体盘查表!AL100</f>
        <v>72250.340647773904</v>
      </c>
      <c r="L97" s="246">
        <f t="shared" si="11"/>
        <v>4.62652177787597E-3</v>
      </c>
      <c r="M97" s="247">
        <f t="shared" si="12"/>
        <v>1.07952174817106E-2</v>
      </c>
    </row>
    <row r="98" spans="1:14" ht="18" customHeight="1">
      <c r="A98" s="239">
        <v>96</v>
      </c>
      <c r="B98" s="240" t="str">
        <f>表1温室气体盘查表!C101</f>
        <v>钢坯加工</v>
      </c>
      <c r="C98" s="240" t="str">
        <f>表1温室气体盘查表!D101</f>
        <v>下游钢铁厂</v>
      </c>
      <c r="D98" s="241" t="s">
        <v>437</v>
      </c>
      <c r="E98" s="248" t="s">
        <v>440</v>
      </c>
      <c r="F98" s="241" t="s">
        <v>438</v>
      </c>
      <c r="G98" s="242">
        <f t="shared" si="7"/>
        <v>3</v>
      </c>
      <c r="H98" s="243">
        <f t="shared" si="8"/>
        <v>1</v>
      </c>
      <c r="I98" s="242">
        <f t="shared" si="9"/>
        <v>3</v>
      </c>
      <c r="J98" s="244">
        <f t="shared" si="10"/>
        <v>2.3333333333333299</v>
      </c>
      <c r="K98" s="245">
        <f>表1温室气体盘查表!AL101</f>
        <v>203898.734635364</v>
      </c>
      <c r="L98" s="246">
        <f t="shared" si="11"/>
        <v>1.30565742363864E-2</v>
      </c>
      <c r="M98" s="247">
        <f t="shared" si="12"/>
        <v>3.0465339884901601E-2</v>
      </c>
    </row>
    <row r="99" spans="1:14" ht="18" customHeight="1">
      <c r="A99" s="239">
        <v>97</v>
      </c>
      <c r="B99" s="240" t="str">
        <f>表1温室气体盘查表!C102</f>
        <v>外售焦炉煤气燃烧</v>
      </c>
      <c r="C99" s="240" t="str">
        <f>表1温室气体盘查表!D102</f>
        <v>下游钢铁厂</v>
      </c>
      <c r="D99" s="241" t="s">
        <v>434</v>
      </c>
      <c r="E99" s="241" t="s">
        <v>435</v>
      </c>
      <c r="F99" s="241" t="s">
        <v>436</v>
      </c>
      <c r="G99" s="242">
        <f t="shared" ref="G99" si="13">IF(D99="自动连续量测",6,IF(D99="定期量测/抄表/铭牌",3,1))</f>
        <v>6</v>
      </c>
      <c r="H99" s="243">
        <f t="shared" ref="H99" si="14">IF(E99="量测/质量平衡排放因子",6,IF(E99="制程/设备排放因子",5,IF(E99="制造商提供的排放因子",4,IF(E99="区域排放因子",3,IF(E99="国家排放因子",2,1)))))</f>
        <v>1</v>
      </c>
      <c r="I99" s="242">
        <f t="shared" ref="I99" si="15">IF(F99="校准且合格",6,IF(F99="未校准",1,3))</f>
        <v>6</v>
      </c>
      <c r="J99" s="244">
        <f t="shared" ref="J99" si="16">AVERAGE(G99:I99)</f>
        <v>4.3333333333333304</v>
      </c>
      <c r="K99" s="245">
        <f>表1温室气体盘查表!AL102</f>
        <v>3833.1354830774699</v>
      </c>
      <c r="L99" s="246">
        <f t="shared" ref="L99" si="17">K99/$K$101</f>
        <v>2.4545330348630599E-4</v>
      </c>
      <c r="M99" s="247">
        <f t="shared" ref="M99" si="18">J99*L99</f>
        <v>1.0636309817739901E-3</v>
      </c>
    </row>
    <row r="100" spans="1:14" ht="18" customHeight="1">
      <c r="A100" s="239">
        <v>98</v>
      </c>
      <c r="B100" s="240" t="str">
        <f>表1温室气体盘查表!C103</f>
        <v>产品报废</v>
      </c>
      <c r="C100" s="240" t="str">
        <f>表1温室气体盘查表!D103</f>
        <v>下游钢铁厂</v>
      </c>
      <c r="D100" s="241" t="s">
        <v>440</v>
      </c>
      <c r="E100" s="241" t="s">
        <v>435</v>
      </c>
      <c r="F100" s="241" t="s">
        <v>438</v>
      </c>
      <c r="G100" s="242">
        <f t="shared" si="7"/>
        <v>1</v>
      </c>
      <c r="H100" s="243">
        <f t="shared" si="8"/>
        <v>1</v>
      </c>
      <c r="I100" s="242">
        <f t="shared" si="9"/>
        <v>3</v>
      </c>
      <c r="J100" s="244">
        <f t="shared" si="10"/>
        <v>1.6666666666666701</v>
      </c>
      <c r="K100" s="245">
        <f>表1温室气体盘查表!AL103</f>
        <v>3747.3469595889401</v>
      </c>
      <c r="L100" s="246">
        <f t="shared" si="11"/>
        <v>2.3995986956401499E-4</v>
      </c>
      <c r="M100" s="247">
        <f t="shared" si="12"/>
        <v>3.9993311594002602E-4</v>
      </c>
    </row>
    <row r="101" spans="1:14">
      <c r="A101" s="249"/>
      <c r="B101" s="249"/>
      <c r="C101" s="249"/>
      <c r="D101" s="249"/>
      <c r="E101" s="249"/>
      <c r="F101" s="249"/>
      <c r="G101" s="234"/>
      <c r="H101" s="234"/>
      <c r="I101" s="234"/>
      <c r="J101" s="234"/>
      <c r="K101" s="250">
        <f>SUM(K3:K100)</f>
        <v>15616556.9117766</v>
      </c>
      <c r="L101" s="251" t="s">
        <v>441</v>
      </c>
      <c r="M101" s="252">
        <f>SUM(M3:M100)</f>
        <v>3.72358961205396</v>
      </c>
      <c r="N101" t="s">
        <v>860</v>
      </c>
    </row>
    <row r="102" spans="1:14">
      <c r="A102" s="249"/>
      <c r="B102" s="249"/>
      <c r="C102" s="249"/>
      <c r="D102" s="249"/>
      <c r="E102" s="249"/>
      <c r="F102" s="249"/>
      <c r="G102" s="234"/>
      <c r="H102" s="234"/>
      <c r="I102" s="234"/>
      <c r="J102" s="234"/>
      <c r="K102" s="234"/>
      <c r="L102" s="253" t="s">
        <v>442</v>
      </c>
      <c r="M102" s="254" t="str">
        <f>IF(M101&lt;2,"差",IF(M101&lt;3,"一般",IF(M101&lt;4,"良",IF(M101&lt;5,"优","优+"))))</f>
        <v>良</v>
      </c>
      <c r="N102" t="s">
        <v>861</v>
      </c>
    </row>
    <row r="103" spans="1:14">
      <c r="A103" s="234"/>
      <c r="B103" s="234"/>
      <c r="C103" s="234"/>
      <c r="D103" s="234"/>
      <c r="E103" s="234"/>
      <c r="F103" s="234"/>
      <c r="G103" s="234"/>
      <c r="H103" s="234"/>
      <c r="I103" s="234"/>
      <c r="J103" s="255"/>
      <c r="K103" s="234"/>
      <c r="L103" s="234"/>
      <c r="M103" s="234"/>
    </row>
    <row r="104" spans="1:14">
      <c r="A104" s="234"/>
      <c r="B104" s="234"/>
      <c r="C104" s="234"/>
      <c r="D104" s="234"/>
      <c r="E104" s="234"/>
      <c r="F104" s="234"/>
      <c r="G104" s="256"/>
      <c r="H104" s="234"/>
      <c r="I104" s="234"/>
      <c r="J104" s="234"/>
      <c r="K104" s="234"/>
      <c r="L104" s="234"/>
      <c r="M104" s="234"/>
    </row>
    <row r="105" spans="1:14">
      <c r="A105" s="256"/>
      <c r="B105" s="234"/>
      <c r="C105" s="234"/>
      <c r="D105" s="234"/>
      <c r="E105" s="234"/>
      <c r="F105" s="234"/>
      <c r="G105" s="234"/>
      <c r="H105" s="234"/>
      <c r="I105" s="234"/>
      <c r="J105" s="255"/>
      <c r="K105" s="255"/>
      <c r="L105" s="234"/>
      <c r="M105" s="234"/>
    </row>
    <row r="106" spans="1:14">
      <c r="A106" s="234" t="s">
        <v>443</v>
      </c>
      <c r="B106" s="234"/>
      <c r="C106" s="234"/>
      <c r="D106" s="234"/>
      <c r="E106" s="234"/>
      <c r="F106" s="234"/>
      <c r="G106" s="234"/>
      <c r="H106" s="234"/>
      <c r="I106" s="234"/>
      <c r="J106" s="255"/>
      <c r="K106" s="255"/>
      <c r="L106" s="234"/>
      <c r="M106" s="234"/>
    </row>
    <row r="107" spans="1:14">
      <c r="A107" s="234" t="s">
        <v>443</v>
      </c>
      <c r="B107" s="234"/>
      <c r="C107" s="234"/>
      <c r="D107" s="234"/>
      <c r="E107" s="234"/>
      <c r="F107" s="234"/>
      <c r="G107" s="234"/>
      <c r="H107" s="234"/>
      <c r="I107" s="234"/>
      <c r="J107" s="255"/>
      <c r="K107" s="255"/>
      <c r="L107" s="234"/>
      <c r="M107" s="234"/>
    </row>
    <row r="108" spans="1:14">
      <c r="A108" s="234" t="s">
        <v>443</v>
      </c>
      <c r="B108" s="234"/>
      <c r="C108" s="234"/>
      <c r="D108" s="234"/>
      <c r="E108" s="234"/>
      <c r="F108" s="234"/>
      <c r="G108" s="234"/>
      <c r="H108" s="234"/>
      <c r="I108" s="234"/>
      <c r="J108" s="255"/>
      <c r="K108" s="255"/>
      <c r="L108" s="234"/>
      <c r="M108" s="234"/>
    </row>
    <row r="109" spans="1:14">
      <c r="A109" s="234" t="s">
        <v>443</v>
      </c>
      <c r="B109" s="234"/>
      <c r="C109" s="234"/>
      <c r="D109" s="234"/>
      <c r="E109" s="234"/>
      <c r="F109" s="234"/>
      <c r="G109" s="234"/>
      <c r="H109" s="234"/>
      <c r="I109" s="234"/>
      <c r="J109" s="255"/>
      <c r="K109" s="255"/>
      <c r="L109" s="234"/>
      <c r="M109" s="234"/>
    </row>
    <row r="110" spans="1:14">
      <c r="A110" s="234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</row>
    <row r="111" spans="1:14">
      <c r="A111" s="234"/>
      <c r="G111" s="234"/>
      <c r="H111" s="234"/>
      <c r="I111" s="234"/>
      <c r="J111" s="234"/>
      <c r="K111" s="234"/>
      <c r="L111" s="234"/>
      <c r="M111" s="234"/>
    </row>
    <row r="112" spans="1:14">
      <c r="A112" s="257" t="s">
        <v>444</v>
      </c>
      <c r="B112" s="258" t="s">
        <v>445</v>
      </c>
      <c r="G112" s="234"/>
      <c r="H112" s="234"/>
      <c r="I112" s="234"/>
      <c r="J112" s="255"/>
      <c r="K112" s="234"/>
      <c r="L112" s="234"/>
      <c r="M112" s="234"/>
    </row>
    <row r="113" spans="1:13">
      <c r="A113" s="259" t="s">
        <v>446</v>
      </c>
      <c r="B113" s="260" t="s">
        <v>447</v>
      </c>
      <c r="G113" s="234"/>
      <c r="H113" s="234"/>
      <c r="I113" s="234"/>
      <c r="J113" s="255"/>
      <c r="K113" s="234"/>
      <c r="L113" s="234"/>
      <c r="M113" s="234"/>
    </row>
    <row r="114" spans="1:13">
      <c r="A114" s="259" t="s">
        <v>448</v>
      </c>
      <c r="B114" s="260" t="s">
        <v>449</v>
      </c>
      <c r="G114" s="234"/>
      <c r="H114" s="234"/>
      <c r="I114" s="234"/>
      <c r="J114" s="255"/>
      <c r="K114" s="234"/>
      <c r="L114" s="234"/>
      <c r="M114" s="234"/>
    </row>
    <row r="115" spans="1:13">
      <c r="A115" s="259" t="s">
        <v>450</v>
      </c>
      <c r="B115" s="260" t="s">
        <v>451</v>
      </c>
      <c r="G115" s="234"/>
      <c r="H115" s="234"/>
      <c r="I115" s="234"/>
      <c r="J115" s="255"/>
      <c r="K115" s="234"/>
      <c r="L115" s="234"/>
      <c r="M115" s="234"/>
    </row>
    <row r="116" spans="1:13">
      <c r="A116" s="261" t="s">
        <v>452</v>
      </c>
      <c r="B116" s="262" t="s">
        <v>453</v>
      </c>
      <c r="C116" s="234"/>
      <c r="D116" s="234"/>
      <c r="G116" s="234"/>
      <c r="H116" s="234"/>
      <c r="I116" s="234"/>
      <c r="J116" s="255"/>
      <c r="K116" s="234"/>
      <c r="L116" s="234"/>
      <c r="M116" s="234"/>
    </row>
    <row r="117" spans="1:13">
      <c r="A117" s="234"/>
      <c r="B117" s="234"/>
      <c r="C117" s="234"/>
      <c r="D117" s="234"/>
      <c r="G117" s="234"/>
      <c r="H117" s="234"/>
      <c r="I117" s="234"/>
      <c r="J117" s="255"/>
      <c r="K117" s="234"/>
      <c r="L117" s="234"/>
      <c r="M117" s="234"/>
    </row>
    <row r="118" spans="1:13">
      <c r="A118" s="234"/>
      <c r="B118" s="234"/>
      <c r="C118" s="234"/>
      <c r="D118" s="234"/>
      <c r="G118" s="234"/>
      <c r="H118" s="234"/>
      <c r="I118" s="234"/>
      <c r="J118" s="255"/>
      <c r="K118" s="234"/>
      <c r="L118" s="234"/>
      <c r="M118" s="234"/>
    </row>
    <row r="119" spans="1:13">
      <c r="A119" s="234"/>
      <c r="B119" s="234"/>
      <c r="C119" s="234"/>
      <c r="D119" s="234"/>
      <c r="E119" s="234"/>
      <c r="F119" s="234"/>
      <c r="G119" s="234"/>
      <c r="H119" s="234"/>
      <c r="I119" s="234"/>
      <c r="J119" s="255"/>
      <c r="K119" s="234"/>
      <c r="L119" s="234"/>
      <c r="M119" s="234"/>
    </row>
  </sheetData>
  <mergeCells count="1">
    <mergeCell ref="A1:M1"/>
  </mergeCells>
  <phoneticPr fontId="87" type="noConversion"/>
  <dataValidations count="6">
    <dataValidation type="list" allowBlank="1" showInputMessage="1" showErrorMessage="1" sqref="E16 E18 E21 E25 E99 E3:E13 E32:E44 E46:E74 E76:E94" xr:uid="{00000000-0002-0000-0500-000000000000}">
      <formula1>"量测/质量平衡排放因子,制程/设备排放因子,制造商提供的排放因子,区域排放因子,国家排放因子,国际排放因子"</formula1>
    </dataValidation>
    <dataValidation type="list" allowBlank="1" showInputMessage="1" showErrorMessage="1" sqref="E17 E45 E75 E100 E22:E24 E26:E31" xr:uid="{00000000-0002-0000-0500-000001000000}">
      <formula1>"量测/质量平衡排放因子,制程/设备排放因子,制造商提供的排放因子,区域排放因子,国家排放因子"</formula1>
    </dataValidation>
    <dataValidation type="list" allowBlank="1" showInputMessage="1" showErrorMessage="1" sqref="D100 D13:D14 D18:D19 D55:D65 D76:D79 D83:D94 E95:E98" xr:uid="{00000000-0002-0000-0500-000002000000}">
      <formula1>"自动连续量测,定期量测/抄表/铭牌,自行推估"</formula1>
    </dataValidation>
    <dataValidation type="list" allowBlank="1" showInputMessage="1" showErrorMessage="1" sqref="D3:D12 D15:D17 D20:D54 D66:D75 D80:D82 D95:D99" xr:uid="{00000000-0002-0000-0500-000003000000}">
      <formula1>"自动连续量测,定期量测/抄表/铭牌"</formula1>
    </dataValidation>
    <dataValidation type="list" allowBlank="1" showInputMessage="1" showErrorMessage="1" sqref="E14:E15 E19:E20" xr:uid="{00000000-0002-0000-0500-000004000000}">
      <formula1>"量测/质量平衡排放因子,制程/设备排放因子,制造商提供的排放因子,区域排放因子,国家排放因子,国际排放因子,自行校准"</formula1>
    </dataValidation>
    <dataValidation type="list" allowBlank="1" showInputMessage="1" showErrorMessage="1" sqref="F3:F68 F70:F100" xr:uid="{00000000-0002-0000-0500-000005000000}">
      <formula1>"校准且合格,校准但不合格/未校准但数据可查证"</formula1>
    </dataValidation>
  </dataValidations>
  <pageMargins left="0.511811023622047" right="0.511811023622047" top="0.74803149606299202" bottom="0.74803149606299202" header="0.31496062992126" footer="0.31496062992126"/>
  <pageSetup paperSize="9" scale="60" fitToHeight="0" orientation="landscape"/>
  <headerFooter alignWithMargins="0">
    <oddFooter>&amp;CPage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I48"/>
  <sheetViews>
    <sheetView showGridLines="0" zoomScale="115" zoomScaleNormal="115" workbookViewId="0">
      <pane xSplit="2" ySplit="2" topLeftCell="C30" activePane="bottomRight" state="frozenSplit"/>
      <selection pane="topRight"/>
      <selection pane="bottomLeft"/>
      <selection pane="bottomRight" activeCell="C51" sqref="C51"/>
    </sheetView>
  </sheetViews>
  <sheetFormatPr defaultColWidth="8.75" defaultRowHeight="12.75"/>
  <cols>
    <col min="1" max="1" width="1.25" style="175" customWidth="1"/>
    <col min="2" max="2" width="12.625" style="175" customWidth="1"/>
    <col min="3" max="3" width="58.5" style="175" customWidth="1"/>
    <col min="4" max="4" width="30.375" style="175" customWidth="1"/>
    <col min="5" max="5" width="7.625" style="176" customWidth="1"/>
    <col min="6" max="7" width="13.375" style="176" customWidth="1"/>
    <col min="8" max="8" width="29.25" style="176" customWidth="1"/>
    <col min="9" max="9" width="24.75" style="175" customWidth="1"/>
    <col min="10" max="32" width="9" style="175"/>
    <col min="33" max="16384" width="8.75" style="175"/>
  </cols>
  <sheetData>
    <row r="1" spans="2:9" ht="6" customHeight="1"/>
    <row r="2" spans="2:9" s="174" customFormat="1" ht="50.25" customHeight="1">
      <c r="B2" s="177" t="s">
        <v>454</v>
      </c>
      <c r="C2" s="178" t="s">
        <v>455</v>
      </c>
      <c r="D2" s="178" t="s">
        <v>456</v>
      </c>
      <c r="E2" s="179" t="s">
        <v>211</v>
      </c>
      <c r="F2" s="179" t="s">
        <v>457</v>
      </c>
      <c r="G2" s="179" t="s">
        <v>458</v>
      </c>
      <c r="H2" s="180" t="s">
        <v>459</v>
      </c>
      <c r="I2" s="181" t="s">
        <v>24</v>
      </c>
    </row>
    <row r="3" spans="2:9">
      <c r="B3" s="182" t="s">
        <v>202</v>
      </c>
      <c r="C3" s="183" t="s">
        <v>460</v>
      </c>
      <c r="D3" s="184"/>
      <c r="E3" s="185">
        <v>1</v>
      </c>
      <c r="F3" s="186"/>
      <c r="G3" s="187"/>
      <c r="H3" s="188" t="s">
        <v>461</v>
      </c>
      <c r="I3" s="189"/>
    </row>
    <row r="4" spans="2:9">
      <c r="B4" s="182" t="s">
        <v>203</v>
      </c>
      <c r="C4" s="183" t="s">
        <v>462</v>
      </c>
      <c r="D4" s="184"/>
      <c r="E4" s="190">
        <v>27.9</v>
      </c>
      <c r="F4" s="191"/>
      <c r="G4" s="192"/>
      <c r="H4" s="188" t="str">
        <f>H3</f>
        <v>2021年IPCC第六次评估报告AR6</v>
      </c>
      <c r="I4" s="189"/>
    </row>
    <row r="5" spans="2:9">
      <c r="B5" s="182" t="s">
        <v>204</v>
      </c>
      <c r="C5" s="183" t="s">
        <v>463</v>
      </c>
      <c r="D5" s="184"/>
      <c r="E5" s="193">
        <v>273</v>
      </c>
      <c r="F5" s="191"/>
      <c r="G5" s="192"/>
      <c r="H5" s="188" t="str">
        <f>H3</f>
        <v>2021年IPCC第六次评估报告AR6</v>
      </c>
      <c r="I5" s="189"/>
    </row>
    <row r="6" spans="2:9">
      <c r="B6" s="194" t="s">
        <v>464</v>
      </c>
      <c r="C6" s="195" t="s">
        <v>465</v>
      </c>
      <c r="D6" s="196"/>
      <c r="E6" s="197"/>
      <c r="F6" s="198">
        <v>1960</v>
      </c>
      <c r="G6" s="199"/>
      <c r="H6" s="200" t="str">
        <f t="shared" ref="H6:H46" si="0">H$3</f>
        <v>2021年IPCC第六次评估报告AR6</v>
      </c>
      <c r="I6" s="201"/>
    </row>
    <row r="7" spans="2:9">
      <c r="B7" s="194" t="s">
        <v>466</v>
      </c>
      <c r="C7" s="195" t="s">
        <v>467</v>
      </c>
      <c r="D7" s="196"/>
      <c r="E7" s="197"/>
      <c r="F7" s="198">
        <v>14600</v>
      </c>
      <c r="G7" s="199"/>
      <c r="H7" s="200" t="str">
        <f t="shared" si="0"/>
        <v>2021年IPCC第六次评估报告AR6</v>
      </c>
      <c r="I7" s="201"/>
    </row>
    <row r="8" spans="2:9">
      <c r="B8" s="194" t="s">
        <v>246</v>
      </c>
      <c r="C8" s="195" t="s">
        <v>468</v>
      </c>
      <c r="D8" s="196"/>
      <c r="E8" s="197"/>
      <c r="F8" s="198">
        <v>771</v>
      </c>
      <c r="G8" s="199"/>
      <c r="H8" s="200" t="str">
        <f t="shared" si="0"/>
        <v>2021年IPCC第六次评估报告AR6</v>
      </c>
      <c r="I8" s="201"/>
    </row>
    <row r="9" spans="2:9">
      <c r="B9" s="194" t="s">
        <v>469</v>
      </c>
      <c r="C9" s="202" t="s">
        <v>470</v>
      </c>
      <c r="D9" s="196"/>
      <c r="E9" s="197"/>
      <c r="F9" s="198">
        <v>135</v>
      </c>
      <c r="G9" s="199"/>
      <c r="H9" s="200" t="str">
        <f t="shared" si="0"/>
        <v>2021年IPCC第六次评估报告AR6</v>
      </c>
      <c r="I9" s="201"/>
    </row>
    <row r="10" spans="2:9">
      <c r="B10" s="194" t="s">
        <v>471</v>
      </c>
      <c r="C10" s="195" t="s">
        <v>472</v>
      </c>
      <c r="D10" s="196"/>
      <c r="E10" s="197"/>
      <c r="F10" s="198">
        <v>3740</v>
      </c>
      <c r="G10" s="199"/>
      <c r="H10" s="200" t="str">
        <f t="shared" si="0"/>
        <v>2021年IPCC第六次评估报告AR6</v>
      </c>
      <c r="I10" s="201"/>
    </row>
    <row r="11" spans="2:9">
      <c r="B11" s="194" t="s">
        <v>473</v>
      </c>
      <c r="C11" s="195" t="s">
        <v>474</v>
      </c>
      <c r="D11" s="196"/>
      <c r="E11" s="197"/>
      <c r="F11" s="198">
        <v>1260</v>
      </c>
      <c r="G11" s="199"/>
      <c r="H11" s="200" t="str">
        <f t="shared" si="0"/>
        <v>2021年IPCC第六次评估报告AR6</v>
      </c>
      <c r="I11" s="201"/>
    </row>
    <row r="12" spans="2:9">
      <c r="B12" s="194" t="s">
        <v>475</v>
      </c>
      <c r="C12" s="195" t="s">
        <v>476</v>
      </c>
      <c r="D12" s="196"/>
      <c r="E12" s="197"/>
      <c r="F12" s="198">
        <v>1530</v>
      </c>
      <c r="G12" s="199"/>
      <c r="H12" s="200" t="str">
        <f t="shared" si="0"/>
        <v>2021年IPCC第六次评估报告AR6</v>
      </c>
      <c r="I12" s="201"/>
    </row>
    <row r="13" spans="2:9">
      <c r="B13" s="194" t="s">
        <v>477</v>
      </c>
      <c r="C13" s="195" t="s">
        <v>478</v>
      </c>
      <c r="D13" s="196"/>
      <c r="E13" s="197"/>
      <c r="F13" s="198">
        <v>364</v>
      </c>
      <c r="G13" s="199"/>
      <c r="H13" s="200" t="str">
        <f t="shared" si="0"/>
        <v>2021年IPCC第六次评估报告AR6</v>
      </c>
      <c r="I13" s="201"/>
    </row>
    <row r="14" spans="2:9">
      <c r="B14" s="194" t="s">
        <v>479</v>
      </c>
      <c r="C14" s="195" t="s">
        <v>480</v>
      </c>
      <c r="D14" s="196"/>
      <c r="E14" s="197"/>
      <c r="F14" s="198">
        <v>5810</v>
      </c>
      <c r="G14" s="199"/>
      <c r="H14" s="200" t="str">
        <f t="shared" si="0"/>
        <v>2021年IPCC第六次评估报告AR6</v>
      </c>
      <c r="I14" s="201"/>
    </row>
    <row r="15" spans="2:9">
      <c r="B15" s="194" t="s">
        <v>481</v>
      </c>
      <c r="C15" s="195" t="s">
        <v>482</v>
      </c>
      <c r="D15" s="196"/>
      <c r="E15" s="197"/>
      <c r="F15" s="203">
        <v>21.5</v>
      </c>
      <c r="G15" s="199"/>
      <c r="H15" s="200" t="str">
        <f t="shared" si="0"/>
        <v>2021年IPCC第六次评估报告AR6</v>
      </c>
      <c r="I15" s="201"/>
    </row>
    <row r="16" spans="2:9">
      <c r="B16" s="194" t="s">
        <v>483</v>
      </c>
      <c r="C16" s="195" t="s">
        <v>484</v>
      </c>
      <c r="D16" s="196"/>
      <c r="E16" s="197"/>
      <c r="F16" s="198">
        <v>164</v>
      </c>
      <c r="G16" s="199"/>
      <c r="H16" s="200" t="str">
        <f t="shared" si="0"/>
        <v>2021年IPCC第六次评估报告AR6</v>
      </c>
      <c r="I16" s="201"/>
    </row>
    <row r="17" spans="2:9">
      <c r="B17" s="194" t="s">
        <v>485</v>
      </c>
      <c r="C17" s="195" t="s">
        <v>486</v>
      </c>
      <c r="D17" s="196"/>
      <c r="E17" s="197"/>
      <c r="F17" s="204">
        <v>4.84</v>
      </c>
      <c r="G17" s="199"/>
      <c r="H17" s="200" t="str">
        <f t="shared" si="0"/>
        <v>2021年IPCC第六次评估报告AR6</v>
      </c>
      <c r="I17" s="201"/>
    </row>
    <row r="18" spans="2:9">
      <c r="B18" s="194" t="s">
        <v>487</v>
      </c>
      <c r="C18" s="195" t="s">
        <v>488</v>
      </c>
      <c r="D18" s="196"/>
      <c r="E18" s="197"/>
      <c r="F18" s="205">
        <v>3600</v>
      </c>
      <c r="G18" s="199"/>
      <c r="H18" s="200" t="str">
        <f t="shared" si="0"/>
        <v>2021年IPCC第六次评估报告AR6</v>
      </c>
      <c r="I18" s="201"/>
    </row>
    <row r="19" spans="2:9">
      <c r="B19" s="194" t="s">
        <v>489</v>
      </c>
      <c r="C19" s="195" t="s">
        <v>490</v>
      </c>
      <c r="D19" s="196"/>
      <c r="E19" s="197"/>
      <c r="F19" s="198">
        <v>1350</v>
      </c>
      <c r="G19" s="199"/>
      <c r="H19" s="200" t="str">
        <f t="shared" si="0"/>
        <v>2021年IPCC第六次评估报告AR6</v>
      </c>
      <c r="I19" s="201"/>
    </row>
    <row r="20" spans="2:9">
      <c r="B20" s="194" t="s">
        <v>491</v>
      </c>
      <c r="C20" s="195" t="s">
        <v>492</v>
      </c>
      <c r="D20" s="196"/>
      <c r="E20" s="197"/>
      <c r="F20" s="198">
        <v>1500</v>
      </c>
      <c r="G20" s="199"/>
      <c r="H20" s="200" t="str">
        <f t="shared" si="0"/>
        <v>2021年IPCC第六次评估报告AR6</v>
      </c>
      <c r="I20" s="201"/>
    </row>
    <row r="21" spans="2:9">
      <c r="B21" s="194" t="s">
        <v>493</v>
      </c>
      <c r="C21" s="195" t="s">
        <v>494</v>
      </c>
      <c r="D21" s="196"/>
      <c r="E21" s="197"/>
      <c r="F21" s="198">
        <v>8690</v>
      </c>
      <c r="G21" s="199"/>
      <c r="H21" s="200" t="str">
        <f t="shared" si="0"/>
        <v>2021年IPCC第六次评估报告AR6</v>
      </c>
      <c r="I21" s="201"/>
    </row>
    <row r="22" spans="2:9">
      <c r="B22" s="194" t="s">
        <v>495</v>
      </c>
      <c r="C22" s="195" t="s">
        <v>496</v>
      </c>
      <c r="D22" s="196"/>
      <c r="E22" s="197"/>
      <c r="F22" s="198">
        <v>787</v>
      </c>
      <c r="G22" s="199"/>
      <c r="H22" s="200" t="str">
        <f t="shared" si="0"/>
        <v>2021年IPCC第六次评估报告AR6</v>
      </c>
      <c r="I22" s="201"/>
    </row>
    <row r="23" spans="2:9">
      <c r="B23" s="194" t="s">
        <v>497</v>
      </c>
      <c r="C23" s="195" t="s">
        <v>498</v>
      </c>
      <c r="D23" s="196"/>
      <c r="E23" s="197"/>
      <c r="F23" s="198">
        <v>962</v>
      </c>
      <c r="G23" s="199"/>
      <c r="H23" s="200" t="str">
        <f t="shared" si="0"/>
        <v>2021年IPCC第六次评估报告AR6</v>
      </c>
      <c r="I23" s="201"/>
    </row>
    <row r="24" spans="2:9">
      <c r="B24" s="194" t="s">
        <v>499</v>
      </c>
      <c r="C24" s="195" t="s">
        <v>500</v>
      </c>
      <c r="D24" s="196"/>
      <c r="E24" s="197"/>
      <c r="F24" s="198">
        <v>914</v>
      </c>
      <c r="G24" s="199"/>
      <c r="H24" s="200" t="str">
        <f t="shared" si="0"/>
        <v>2021年IPCC第六次评估报告AR6</v>
      </c>
      <c r="I24" s="201"/>
    </row>
    <row r="25" spans="2:9">
      <c r="B25" s="194" t="s">
        <v>501</v>
      </c>
      <c r="C25" s="195" t="s">
        <v>502</v>
      </c>
      <c r="D25" s="196"/>
      <c r="E25" s="197"/>
      <c r="F25" s="198">
        <v>1600</v>
      </c>
      <c r="G25" s="199"/>
      <c r="H25" s="200" t="str">
        <f t="shared" si="0"/>
        <v>2021年IPCC第六次评估报告AR6</v>
      </c>
      <c r="I25" s="201"/>
    </row>
    <row r="26" spans="2:9">
      <c r="B26" s="182" t="s">
        <v>503</v>
      </c>
      <c r="C26" s="206"/>
      <c r="D26" s="184" t="s">
        <v>504</v>
      </c>
      <c r="E26" s="207"/>
      <c r="F26" s="208">
        <f>F16*13%</f>
        <v>21.32</v>
      </c>
      <c r="G26" s="192"/>
      <c r="H26" s="188" t="str">
        <f t="shared" si="0"/>
        <v>2021年IPCC第六次评估报告AR6</v>
      </c>
      <c r="I26" s="209" t="s">
        <v>505</v>
      </c>
    </row>
    <row r="27" spans="2:9">
      <c r="B27" s="182" t="s">
        <v>506</v>
      </c>
      <c r="C27" s="206"/>
      <c r="D27" s="184" t="s">
        <v>507</v>
      </c>
      <c r="E27" s="207"/>
      <c r="F27" s="208">
        <f>F16*11%</f>
        <v>18.04</v>
      </c>
      <c r="G27" s="192"/>
      <c r="H27" s="188" t="str">
        <f t="shared" si="0"/>
        <v>2021年IPCC第六次评估报告AR6</v>
      </c>
      <c r="I27" s="209" t="s">
        <v>505</v>
      </c>
    </row>
    <row r="28" spans="2:9">
      <c r="B28" s="182" t="s">
        <v>508</v>
      </c>
      <c r="C28" s="206"/>
      <c r="D28" s="184" t="s">
        <v>509</v>
      </c>
      <c r="E28" s="207"/>
      <c r="F28" s="210">
        <f>F10*44%+F14*52%+F12*4%</f>
        <v>4728</v>
      </c>
      <c r="G28" s="192"/>
      <c r="H28" s="188" t="str">
        <f t="shared" si="0"/>
        <v>2021年IPCC第六次评估报告AR6</v>
      </c>
      <c r="I28" s="189"/>
    </row>
    <row r="29" spans="2:9">
      <c r="B29" s="182" t="s">
        <v>510</v>
      </c>
      <c r="C29" s="206"/>
      <c r="D29" s="184" t="s">
        <v>511</v>
      </c>
      <c r="E29" s="207"/>
      <c r="F29" s="211">
        <f>F8*20%+F10*40%+F12*40%</f>
        <v>2262.1999999999998</v>
      </c>
      <c r="G29" s="192"/>
      <c r="H29" s="188" t="str">
        <f t="shared" si="0"/>
        <v>2021年IPCC第六次评估报告AR6</v>
      </c>
      <c r="I29" s="189"/>
    </row>
    <row r="30" spans="2:9">
      <c r="B30" s="182" t="s">
        <v>512</v>
      </c>
      <c r="C30" s="206"/>
      <c r="D30" s="184" t="s">
        <v>513</v>
      </c>
      <c r="E30" s="207"/>
      <c r="F30" s="211">
        <f>F8*10%+F10*70%+F12*20%</f>
        <v>3001.1</v>
      </c>
      <c r="G30" s="192"/>
      <c r="H30" s="188" t="str">
        <f t="shared" si="0"/>
        <v>2021年IPCC第六次评估报告AR6</v>
      </c>
      <c r="I30" s="189"/>
    </row>
    <row r="31" spans="2:9">
      <c r="B31" s="182" t="s">
        <v>514</v>
      </c>
      <c r="C31" s="206"/>
      <c r="D31" s="184" t="s">
        <v>515</v>
      </c>
      <c r="E31" s="207"/>
      <c r="F31" s="211">
        <f>F8*23%+F10*25%+F12*52%</f>
        <v>1907.93</v>
      </c>
      <c r="G31" s="192"/>
      <c r="H31" s="188" t="str">
        <f t="shared" si="0"/>
        <v>2021年IPCC第六次评估报告AR6</v>
      </c>
      <c r="I31" s="189"/>
    </row>
    <row r="32" spans="2:9">
      <c r="B32" s="182" t="s">
        <v>516</v>
      </c>
      <c r="C32" s="206"/>
      <c r="D32" s="184" t="s">
        <v>517</v>
      </c>
      <c r="E32" s="207"/>
      <c r="F32" s="211">
        <f>F10*7%+F14*46%</f>
        <v>2934.4</v>
      </c>
      <c r="G32" s="192"/>
      <c r="H32" s="188" t="str">
        <f t="shared" si="0"/>
        <v>2021年IPCC第六次评估报告AR6</v>
      </c>
      <c r="I32" s="209" t="s">
        <v>518</v>
      </c>
    </row>
    <row r="33" spans="2:9">
      <c r="B33" s="182" t="s">
        <v>519</v>
      </c>
      <c r="C33" s="206"/>
      <c r="D33" s="184" t="s">
        <v>520</v>
      </c>
      <c r="E33" s="207"/>
      <c r="F33" s="211">
        <f>F8*50%+F10*50%</f>
        <v>2255.5</v>
      </c>
      <c r="G33" s="192"/>
      <c r="H33" s="188" t="str">
        <f t="shared" si="0"/>
        <v>2021年IPCC第六次评估报告AR6</v>
      </c>
      <c r="I33" s="189"/>
    </row>
    <row r="34" spans="2:9">
      <c r="B34" s="182" t="s">
        <v>521</v>
      </c>
      <c r="C34" s="206"/>
      <c r="D34" s="184" t="s">
        <v>522</v>
      </c>
      <c r="E34" s="193"/>
      <c r="F34" s="212">
        <f>G42*9%+F12*88%+0</f>
        <v>2182.5</v>
      </c>
      <c r="G34" s="192"/>
      <c r="H34" s="188" t="str">
        <f t="shared" si="0"/>
        <v>2021年IPCC第六次评估报告AR6</v>
      </c>
      <c r="I34" s="189"/>
    </row>
    <row r="35" spans="2:9">
      <c r="B35" s="182" t="s">
        <v>523</v>
      </c>
      <c r="C35" s="206"/>
      <c r="D35" s="184" t="s">
        <v>524</v>
      </c>
      <c r="E35" s="193"/>
      <c r="F35" s="212">
        <f>F10*46.6%+F12*50%+0</f>
        <v>2507.84</v>
      </c>
      <c r="G35" s="192"/>
      <c r="H35" s="188" t="str">
        <f t="shared" si="0"/>
        <v>2021年IPCC第六次评估报告AR6</v>
      </c>
      <c r="I35" s="189"/>
    </row>
    <row r="36" spans="2:9">
      <c r="B36" s="182" t="s">
        <v>525</v>
      </c>
      <c r="C36" s="206"/>
      <c r="D36" s="184" t="s">
        <v>526</v>
      </c>
      <c r="E36" s="207"/>
      <c r="F36" s="208">
        <f>F7*40.1%</f>
        <v>5854.6</v>
      </c>
      <c r="G36" s="192"/>
      <c r="H36" s="188" t="str">
        <f t="shared" si="0"/>
        <v>2021年IPCC第六次评估报告AR6</v>
      </c>
      <c r="I36" s="209" t="s">
        <v>527</v>
      </c>
    </row>
    <row r="37" spans="2:9">
      <c r="B37" s="182" t="s">
        <v>528</v>
      </c>
      <c r="C37" s="206"/>
      <c r="D37" s="184" t="s">
        <v>529</v>
      </c>
      <c r="E37" s="193"/>
      <c r="F37" s="213">
        <f>F10*50%+F14*50%</f>
        <v>4775</v>
      </c>
      <c r="G37" s="192"/>
      <c r="H37" s="188" t="str">
        <f t="shared" si="0"/>
        <v>2021年IPCC第六次评估报告AR6</v>
      </c>
      <c r="I37" s="189"/>
    </row>
    <row r="38" spans="2:9">
      <c r="B38" s="182" t="s">
        <v>530</v>
      </c>
      <c r="C38" s="206"/>
      <c r="D38" s="184" t="s">
        <v>531</v>
      </c>
      <c r="E38" s="214"/>
      <c r="F38" s="213">
        <f>F7*39%+G40*61%</f>
        <v>13258</v>
      </c>
      <c r="G38" s="215"/>
      <c r="H38" s="188" t="str">
        <f t="shared" si="0"/>
        <v>2021年IPCC第六次评估报告AR6</v>
      </c>
      <c r="I38" s="189"/>
    </row>
    <row r="39" spans="2:9">
      <c r="B39" s="182" t="s">
        <v>532</v>
      </c>
      <c r="C39" s="206"/>
      <c r="D39" s="184" t="s">
        <v>533</v>
      </c>
      <c r="E39" s="214"/>
      <c r="F39" s="210">
        <f>F7*46%+G40*54%</f>
        <v>13412</v>
      </c>
      <c r="G39" s="215"/>
      <c r="H39" s="188" t="str">
        <f t="shared" si="0"/>
        <v>2021年IPCC第六次评估报告AR6</v>
      </c>
      <c r="I39" s="189"/>
    </row>
    <row r="40" spans="2:9">
      <c r="B40" s="194" t="s">
        <v>534</v>
      </c>
      <c r="C40" s="195" t="s">
        <v>535</v>
      </c>
      <c r="D40" s="196"/>
      <c r="E40" s="197"/>
      <c r="F40" s="216"/>
      <c r="G40" s="199">
        <v>12400</v>
      </c>
      <c r="H40" s="217" t="str">
        <f t="shared" si="0"/>
        <v>2021年IPCC第六次评估报告AR6</v>
      </c>
      <c r="I40" s="201"/>
    </row>
    <row r="41" spans="2:9">
      <c r="B41" s="194" t="s">
        <v>536</v>
      </c>
      <c r="C41" s="195" t="s">
        <v>537</v>
      </c>
      <c r="D41" s="196"/>
      <c r="E41" s="197"/>
      <c r="F41" s="216"/>
      <c r="G41" s="199">
        <v>7380</v>
      </c>
      <c r="H41" s="217" t="str">
        <f t="shared" si="0"/>
        <v>2021年IPCC第六次评估报告AR6</v>
      </c>
      <c r="I41" s="201"/>
    </row>
    <row r="42" spans="2:9">
      <c r="B42" s="194" t="s">
        <v>538</v>
      </c>
      <c r="C42" s="195" t="s">
        <v>539</v>
      </c>
      <c r="D42" s="196"/>
      <c r="E42" s="197"/>
      <c r="F42" s="216"/>
      <c r="G42" s="199">
        <v>9290</v>
      </c>
      <c r="H42" s="217" t="str">
        <f t="shared" si="0"/>
        <v>2021年IPCC第六次评估报告AR6</v>
      </c>
      <c r="I42" s="201"/>
    </row>
    <row r="43" spans="2:9">
      <c r="B43" s="194" t="s">
        <v>540</v>
      </c>
      <c r="C43" s="195" t="s">
        <v>541</v>
      </c>
      <c r="D43" s="196"/>
      <c r="E43" s="197"/>
      <c r="F43" s="216"/>
      <c r="G43" s="199">
        <v>10200</v>
      </c>
      <c r="H43" s="217" t="str">
        <f t="shared" si="0"/>
        <v>2021年IPCC第六次评估报告AR6</v>
      </c>
      <c r="I43" s="201"/>
    </row>
    <row r="44" spans="2:9">
      <c r="B44" s="194" t="s">
        <v>542</v>
      </c>
      <c r="C44" s="195" t="s">
        <v>543</v>
      </c>
      <c r="D44" s="196"/>
      <c r="E44" s="197"/>
      <c r="F44" s="216"/>
      <c r="G44" s="199">
        <v>10000</v>
      </c>
      <c r="H44" s="217" t="str">
        <f t="shared" si="0"/>
        <v>2021年IPCC第六次评估报告AR6</v>
      </c>
      <c r="I44" s="201"/>
    </row>
    <row r="45" spans="2:9">
      <c r="B45" s="194" t="s">
        <v>544</v>
      </c>
      <c r="C45" s="195" t="s">
        <v>545</v>
      </c>
      <c r="D45" s="196"/>
      <c r="E45" s="197"/>
      <c r="F45" s="216"/>
      <c r="G45" s="199">
        <v>9220</v>
      </c>
      <c r="H45" s="217" t="str">
        <f t="shared" si="0"/>
        <v>2021年IPCC第六次评估报告AR6</v>
      </c>
      <c r="I45" s="201"/>
    </row>
    <row r="46" spans="2:9">
      <c r="B46" s="194" t="s">
        <v>546</v>
      </c>
      <c r="C46" s="195" t="s">
        <v>547</v>
      </c>
      <c r="D46" s="196"/>
      <c r="E46" s="197"/>
      <c r="F46" s="216"/>
      <c r="G46" s="199">
        <v>8620</v>
      </c>
      <c r="H46" s="217" t="str">
        <f t="shared" si="0"/>
        <v>2021年IPCC第六次评估报告AR6</v>
      </c>
      <c r="I46" s="201"/>
    </row>
    <row r="47" spans="2:9">
      <c r="B47" s="218" t="s">
        <v>206</v>
      </c>
      <c r="C47" s="219" t="s">
        <v>548</v>
      </c>
      <c r="D47" s="220"/>
      <c r="E47" s="221">
        <v>17400</v>
      </c>
      <c r="F47" s="222"/>
      <c r="G47" s="223"/>
      <c r="H47" s="224" t="str">
        <f>H3</f>
        <v>2021年IPCC第六次评估报告AR6</v>
      </c>
      <c r="I47" s="225"/>
    </row>
    <row r="48" spans="2:9">
      <c r="B48" s="226" t="s">
        <v>205</v>
      </c>
      <c r="C48" s="227" t="s">
        <v>549</v>
      </c>
      <c r="D48" s="228"/>
      <c r="E48" s="229">
        <v>24300</v>
      </c>
      <c r="F48" s="230"/>
      <c r="G48" s="231"/>
      <c r="H48" s="232" t="str">
        <f>H3</f>
        <v>2021年IPCC第六次评估报告AR6</v>
      </c>
      <c r="I48" s="233"/>
    </row>
  </sheetData>
  <phoneticPr fontId="87" type="noConversion"/>
  <pageMargins left="0.7" right="0.7" top="0.75" bottom="0.75" header="0.5" footer="0.5"/>
  <pageSetup paperSize="9" scale="65"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BK138"/>
  <sheetViews>
    <sheetView showGridLines="0" workbookViewId="0">
      <pane xSplit="5" ySplit="3" topLeftCell="F126" activePane="bottomRight" state="frozenSplit"/>
      <selection pane="topRight"/>
      <selection pane="bottomLeft"/>
      <selection pane="bottomRight" activeCell="L134" sqref="L134"/>
    </sheetView>
  </sheetViews>
  <sheetFormatPr defaultColWidth="8.75" defaultRowHeight="12.75"/>
  <cols>
    <col min="1" max="1" width="4.5" style="60" customWidth="1"/>
    <col min="2" max="2" width="6" style="60" customWidth="1"/>
    <col min="3" max="3" width="22.875" style="60" customWidth="1"/>
    <col min="4" max="4" width="15.5" style="60" customWidth="1"/>
    <col min="5" max="5" width="14.625" style="60" customWidth="1"/>
    <col min="6" max="6" width="16.625" style="60" customWidth="1"/>
    <col min="7" max="7" width="10.375" style="60" customWidth="1"/>
    <col min="8" max="8" width="11.125" style="61" customWidth="1"/>
    <col min="9" max="9" width="10.5" style="60" customWidth="1"/>
    <col min="10" max="10" width="13.375" style="60" customWidth="1"/>
    <col min="11" max="11" width="18" style="60" customWidth="1"/>
    <col min="12" max="12" width="10.25" style="60" customWidth="1"/>
    <col min="13" max="13" width="28.375" style="60" customWidth="1"/>
    <col min="14" max="14" width="50.25" style="60" customWidth="1"/>
    <col min="15" max="15" width="26.5" style="60" customWidth="1"/>
    <col min="16" max="16" width="80.375" style="60" customWidth="1"/>
    <col min="17" max="17" width="62" style="60" customWidth="1"/>
    <col min="18" max="18" width="13" style="60" customWidth="1"/>
    <col min="19" max="19" width="139.25" style="60" customWidth="1"/>
    <col min="20" max="20" width="9" style="60" customWidth="1"/>
    <col min="21" max="31" width="9" style="60"/>
    <col min="32" max="16384" width="8.75" style="60"/>
  </cols>
  <sheetData>
    <row r="1" spans="2:15" ht="7.5" customHeight="1">
      <c r="B1" s="62"/>
      <c r="C1" s="62"/>
      <c r="D1" s="62"/>
      <c r="E1" s="62"/>
      <c r="F1" s="62"/>
      <c r="G1" s="62"/>
      <c r="H1" s="63"/>
      <c r="I1" s="62"/>
      <c r="J1" s="62"/>
      <c r="K1" s="62"/>
      <c r="L1" s="62"/>
      <c r="M1" s="62"/>
      <c r="N1" s="62"/>
      <c r="O1" s="62"/>
    </row>
    <row r="2" spans="2:15" s="56" customFormat="1" ht="15.75">
      <c r="B2" s="612" t="s">
        <v>421</v>
      </c>
      <c r="C2" s="612" t="s">
        <v>550</v>
      </c>
      <c r="D2" s="612" t="s">
        <v>422</v>
      </c>
      <c r="E2" s="612" t="s">
        <v>423</v>
      </c>
      <c r="F2" s="613" t="s">
        <v>551</v>
      </c>
      <c r="G2" s="612" t="s">
        <v>552</v>
      </c>
      <c r="H2" s="613" t="s">
        <v>553</v>
      </c>
      <c r="I2" s="613" t="s">
        <v>554</v>
      </c>
      <c r="J2" s="613"/>
      <c r="K2" s="613"/>
      <c r="L2" s="613" t="s">
        <v>555</v>
      </c>
      <c r="M2" s="613"/>
      <c r="N2" s="613"/>
    </row>
    <row r="3" spans="2:15" s="56" customFormat="1" ht="15.75">
      <c r="B3" s="612"/>
      <c r="C3" s="612"/>
      <c r="D3" s="612"/>
      <c r="E3" s="612"/>
      <c r="F3" s="613"/>
      <c r="G3" s="612"/>
      <c r="H3" s="613"/>
      <c r="I3" s="613" t="s">
        <v>556</v>
      </c>
      <c r="J3" s="613"/>
      <c r="K3" s="613"/>
      <c r="L3" s="614" t="s">
        <v>557</v>
      </c>
      <c r="M3" s="614"/>
      <c r="N3" s="614"/>
    </row>
    <row r="4" spans="2:15" s="56" customFormat="1" ht="15.75">
      <c r="B4" s="612"/>
      <c r="C4" s="612"/>
      <c r="D4" s="612"/>
      <c r="E4" s="612"/>
      <c r="F4" s="64" t="s">
        <v>558</v>
      </c>
      <c r="G4" s="612"/>
      <c r="H4" s="64" t="s">
        <v>558</v>
      </c>
      <c r="I4" s="64" t="s">
        <v>202</v>
      </c>
      <c r="J4" s="64" t="s">
        <v>203</v>
      </c>
      <c r="K4" s="64" t="s">
        <v>204</v>
      </c>
      <c r="L4" s="64" t="s">
        <v>202</v>
      </c>
      <c r="M4" s="64" t="s">
        <v>203</v>
      </c>
      <c r="N4" s="64" t="s">
        <v>204</v>
      </c>
    </row>
    <row r="5" spans="2:15" ht="20.65" customHeight="1">
      <c r="B5" s="66">
        <v>1</v>
      </c>
      <c r="C5" s="554" t="s">
        <v>1005</v>
      </c>
      <c r="D5" s="68" t="s">
        <v>559</v>
      </c>
      <c r="E5" s="68" t="s">
        <v>560</v>
      </c>
      <c r="F5" s="66">
        <v>389.31</v>
      </c>
      <c r="G5" s="69" t="s">
        <v>561</v>
      </c>
      <c r="H5" s="70">
        <v>0.99</v>
      </c>
      <c r="I5" s="66">
        <f>56100/10^6</f>
        <v>5.6099999999999997E-2</v>
      </c>
      <c r="J5" s="66">
        <f t="shared" ref="J5:J11" si="0">1/10^6</f>
        <v>9.9999999999999995E-7</v>
      </c>
      <c r="K5" s="71">
        <f>0.1/10^6</f>
        <v>9.9999999999999995E-8</v>
      </c>
      <c r="L5" s="66">
        <f>F5*H5*I5</f>
        <v>21.621888089999999</v>
      </c>
      <c r="M5" s="72">
        <f t="shared" ref="M5:M11" si="1">F5*H5*J5</f>
        <v>3.8541690000000001E-4</v>
      </c>
      <c r="N5" s="66">
        <f t="shared" ref="N5:N11" si="2">F5*H5*K5</f>
        <v>3.8541690000000003E-5</v>
      </c>
    </row>
    <row r="6" spans="2:15" ht="20.65" customHeight="1">
      <c r="B6" s="66">
        <v>2</v>
      </c>
      <c r="C6" s="554" t="s">
        <v>1005</v>
      </c>
      <c r="D6" s="73" t="s">
        <v>220</v>
      </c>
      <c r="E6" s="74" t="s">
        <v>221</v>
      </c>
      <c r="F6" s="75">
        <v>50.179000000000002</v>
      </c>
      <c r="G6" s="69" t="s">
        <v>562</v>
      </c>
      <c r="H6" s="70">
        <v>0.98</v>
      </c>
      <c r="I6" s="66">
        <f>63100/10^6</f>
        <v>6.3100000000000003E-2</v>
      </c>
      <c r="J6" s="66">
        <f t="shared" si="0"/>
        <v>9.9999999999999995E-7</v>
      </c>
      <c r="K6" s="71">
        <f>0.1/10^6</f>
        <v>9.9999999999999995E-8</v>
      </c>
      <c r="L6" s="66">
        <f>F6*H6*I6</f>
        <v>3.102969002</v>
      </c>
      <c r="M6" s="72">
        <f t="shared" si="1"/>
        <v>4.9175419999999998E-5</v>
      </c>
      <c r="N6" s="66">
        <f t="shared" si="2"/>
        <v>4.9175419999999998E-6</v>
      </c>
    </row>
    <row r="7" spans="2:15" ht="20.65" customHeight="1">
      <c r="B7" s="66">
        <v>3</v>
      </c>
      <c r="C7" s="554" t="s">
        <v>1005</v>
      </c>
      <c r="D7" s="68" t="s">
        <v>563</v>
      </c>
      <c r="E7" s="68" t="s">
        <v>232</v>
      </c>
      <c r="F7" s="66">
        <v>23.736000000000001</v>
      </c>
      <c r="G7" s="69" t="s">
        <v>562</v>
      </c>
      <c r="H7" s="70">
        <v>0.99</v>
      </c>
      <c r="I7" s="66">
        <f>98300/10^6</f>
        <v>9.8299999999999998E-2</v>
      </c>
      <c r="J7" s="66">
        <f t="shared" si="0"/>
        <v>9.9999999999999995E-7</v>
      </c>
      <c r="K7" s="71">
        <f>1.5/10^6</f>
        <v>1.5E-6</v>
      </c>
      <c r="L7" s="66">
        <f>F7*H7*I7</f>
        <v>2.3099163119999999</v>
      </c>
      <c r="M7" s="72">
        <f t="shared" si="1"/>
        <v>2.3498639999999998E-5</v>
      </c>
      <c r="N7" s="66">
        <f t="shared" si="2"/>
        <v>3.5247960000000003E-5</v>
      </c>
    </row>
    <row r="8" spans="2:15" ht="20.65" customHeight="1">
      <c r="B8" s="66">
        <v>4</v>
      </c>
      <c r="C8" s="554" t="s">
        <v>1005</v>
      </c>
      <c r="D8" s="68" t="s">
        <v>564</v>
      </c>
      <c r="E8" s="68" t="s">
        <v>232</v>
      </c>
      <c r="F8" s="66">
        <v>25.024000000000001</v>
      </c>
      <c r="G8" s="69" t="s">
        <v>562</v>
      </c>
      <c r="H8" s="70">
        <v>0.99</v>
      </c>
      <c r="I8" s="66">
        <f>98300/10^6</f>
        <v>9.8299999999999998E-2</v>
      </c>
      <c r="J8" s="66">
        <f t="shared" si="0"/>
        <v>9.9999999999999995E-7</v>
      </c>
      <c r="K8" s="71">
        <f>1.5/10^6</f>
        <v>1.5E-6</v>
      </c>
      <c r="L8" s="66">
        <f>F8*H8*I8</f>
        <v>2.4352606080000001</v>
      </c>
      <c r="M8" s="72">
        <f t="shared" si="1"/>
        <v>2.477376E-5</v>
      </c>
      <c r="N8" s="66">
        <f t="shared" si="2"/>
        <v>3.7160640000000001E-5</v>
      </c>
    </row>
    <row r="9" spans="2:15" ht="20.65" customHeight="1">
      <c r="B9" s="66">
        <v>5</v>
      </c>
      <c r="C9" s="554" t="s">
        <v>1005</v>
      </c>
      <c r="D9" s="68" t="s">
        <v>229</v>
      </c>
      <c r="E9" s="68" t="s">
        <v>230</v>
      </c>
      <c r="F9" s="66">
        <v>26.344000000000001</v>
      </c>
      <c r="G9" s="69" t="s">
        <v>562</v>
      </c>
      <c r="H9" s="70">
        <v>0.99</v>
      </c>
      <c r="I9" s="66">
        <f>94600/10^6</f>
        <v>9.4600000000000004E-2</v>
      </c>
      <c r="J9" s="66">
        <f t="shared" si="0"/>
        <v>9.9999999999999995E-7</v>
      </c>
      <c r="K9" s="71">
        <f>1.5/10^6</f>
        <v>1.5E-6</v>
      </c>
      <c r="L9" s="66">
        <f>F9*H9*I9</f>
        <v>2.4672209760000001</v>
      </c>
      <c r="M9" s="72">
        <f t="shared" si="1"/>
        <v>2.608056E-5</v>
      </c>
      <c r="N9" s="66">
        <f t="shared" si="2"/>
        <v>3.9120840000000003E-5</v>
      </c>
    </row>
    <row r="10" spans="2:15" ht="20.65" customHeight="1">
      <c r="B10" s="66">
        <v>6</v>
      </c>
      <c r="C10" s="554" t="s">
        <v>1005</v>
      </c>
      <c r="D10" s="68" t="s">
        <v>565</v>
      </c>
      <c r="E10" s="68" t="s">
        <v>230</v>
      </c>
      <c r="F10" s="66">
        <v>28.434999999999999</v>
      </c>
      <c r="G10" s="69" t="s">
        <v>562</v>
      </c>
      <c r="H10" s="70">
        <v>0.99</v>
      </c>
      <c r="I10" s="66">
        <f>107000/10^6</f>
        <v>0.107</v>
      </c>
      <c r="J10" s="66">
        <f t="shared" si="0"/>
        <v>9.9999999999999995E-7</v>
      </c>
      <c r="K10" s="71">
        <f>1.5/10^6</f>
        <v>1.5E-6</v>
      </c>
      <c r="L10" s="66">
        <f t="shared" ref="L10:L11" si="3">F10*H10*I10</f>
        <v>3.01211955</v>
      </c>
      <c r="M10" s="72">
        <f t="shared" si="1"/>
        <v>2.8150650000000001E-5</v>
      </c>
      <c r="N10" s="66">
        <f t="shared" si="2"/>
        <v>4.2225974999999997E-5</v>
      </c>
    </row>
    <row r="11" spans="2:15" ht="20.65" customHeight="1">
      <c r="B11" s="66">
        <v>7</v>
      </c>
      <c r="C11" s="554" t="s">
        <v>1005</v>
      </c>
      <c r="D11" s="76" t="s">
        <v>235</v>
      </c>
      <c r="E11" s="76" t="s">
        <v>236</v>
      </c>
      <c r="F11" s="77">
        <v>173.85400000000001</v>
      </c>
      <c r="G11" s="78" t="s">
        <v>561</v>
      </c>
      <c r="H11" s="70">
        <v>0.99</v>
      </c>
      <c r="I11" s="77">
        <f>44400/10^6</f>
        <v>4.4400000000000002E-2</v>
      </c>
      <c r="J11" s="77">
        <f t="shared" si="0"/>
        <v>9.9999999999999995E-7</v>
      </c>
      <c r="K11" s="71">
        <f>0.1/10^6</f>
        <v>9.9999999999999995E-8</v>
      </c>
      <c r="L11" s="66">
        <f t="shared" si="3"/>
        <v>7.6419264240000002</v>
      </c>
      <c r="M11" s="72">
        <f t="shared" si="1"/>
        <v>1.7211546000000001E-4</v>
      </c>
      <c r="N11" s="66">
        <f t="shared" si="2"/>
        <v>1.7211545999999999E-5</v>
      </c>
    </row>
    <row r="12" spans="2:15">
      <c r="B12" s="66">
        <v>8</v>
      </c>
      <c r="C12" s="555" t="s">
        <v>1006</v>
      </c>
      <c r="D12" s="68" t="s">
        <v>566</v>
      </c>
      <c r="E12" s="68" t="s">
        <v>567</v>
      </c>
      <c r="F12" s="66">
        <v>42.652000000000001</v>
      </c>
      <c r="G12" s="69" t="s">
        <v>562</v>
      </c>
      <c r="H12" s="79">
        <v>0.98</v>
      </c>
      <c r="I12" s="66">
        <v>7.4099999999999999E-2</v>
      </c>
      <c r="J12" s="66">
        <f>0.0039/10^3</f>
        <v>3.8999999999999999E-6</v>
      </c>
      <c r="K12" s="66">
        <f>0.0039/10^3</f>
        <v>3.8999999999999999E-6</v>
      </c>
      <c r="L12" s="66">
        <f>$F$12*$H$12*I12</f>
        <v>3.0973029360000002</v>
      </c>
      <c r="M12" s="66">
        <f>$F$12*$H$12*J12</f>
        <v>1.6301594399999999E-4</v>
      </c>
      <c r="N12" s="66">
        <f>$F$12*$H$12*K12</f>
        <v>1.6301594399999999E-4</v>
      </c>
    </row>
    <row r="13" spans="2:15">
      <c r="B13" s="66">
        <v>9</v>
      </c>
      <c r="C13" s="555" t="s">
        <v>1006</v>
      </c>
      <c r="D13" s="68" t="s">
        <v>568</v>
      </c>
      <c r="E13" s="68" t="s">
        <v>569</v>
      </c>
      <c r="F13" s="66">
        <v>43.07</v>
      </c>
      <c r="G13" s="69" t="s">
        <v>562</v>
      </c>
      <c r="H13" s="79">
        <v>0.98</v>
      </c>
      <c r="I13" s="66">
        <v>6.93E-2</v>
      </c>
      <c r="J13" s="66">
        <f>0.025/10^3</f>
        <v>2.5000000000000001E-5</v>
      </c>
      <c r="K13" s="66">
        <f>0.008/10^3</f>
        <v>7.9999999999999996E-6</v>
      </c>
      <c r="L13" s="66">
        <f>$F$13*$H$13*I13</f>
        <v>2.9250559799999998</v>
      </c>
      <c r="M13" s="66">
        <f>$F$13*$H$13*J13</f>
        <v>1.055215E-3</v>
      </c>
      <c r="N13" s="66">
        <f>$F$13*$H$13*K13</f>
        <v>3.3766880000000001E-4</v>
      </c>
    </row>
    <row r="14" spans="2:15" ht="20.65" customHeight="1">
      <c r="B14" s="80"/>
      <c r="C14" s="81"/>
      <c r="D14" s="82"/>
      <c r="E14" s="82"/>
      <c r="F14" s="80"/>
      <c r="G14" s="83"/>
      <c r="H14" s="84"/>
      <c r="I14" s="80"/>
      <c r="J14" s="80"/>
      <c r="K14" s="85"/>
      <c r="L14" s="80"/>
      <c r="M14" s="86"/>
      <c r="N14" s="86"/>
    </row>
    <row r="15" spans="2:15" ht="20.65" customHeight="1">
      <c r="B15" s="612" t="s">
        <v>421</v>
      </c>
      <c r="C15" s="612" t="s">
        <v>550</v>
      </c>
      <c r="D15" s="612" t="s">
        <v>422</v>
      </c>
      <c r="E15" s="612" t="s">
        <v>423</v>
      </c>
      <c r="F15" s="65" t="s">
        <v>570</v>
      </c>
      <c r="G15" s="612" t="s">
        <v>552</v>
      </c>
      <c r="H15" s="60"/>
    </row>
    <row r="16" spans="2:15" ht="20.65" customHeight="1">
      <c r="B16" s="612"/>
      <c r="C16" s="612"/>
      <c r="D16" s="612"/>
      <c r="E16" s="612"/>
      <c r="F16" s="64" t="s">
        <v>558</v>
      </c>
      <c r="G16" s="612"/>
      <c r="H16" s="60"/>
    </row>
    <row r="17" spans="2:14" ht="20.65" customHeight="1">
      <c r="B17" s="66">
        <v>1</v>
      </c>
      <c r="C17" s="556" t="s">
        <v>1007</v>
      </c>
      <c r="D17" s="76" t="s">
        <v>273</v>
      </c>
      <c r="E17" s="76" t="s">
        <v>236</v>
      </c>
      <c r="F17" s="87">
        <v>3.3820000000000001</v>
      </c>
      <c r="G17" s="88" t="s">
        <v>223</v>
      </c>
      <c r="H17" s="60"/>
    </row>
    <row r="18" spans="2:14" ht="20.65" customHeight="1">
      <c r="B18" s="66">
        <v>2</v>
      </c>
      <c r="C18" s="556" t="s">
        <v>1007</v>
      </c>
      <c r="D18" s="89" t="s">
        <v>274</v>
      </c>
      <c r="E18" s="89" t="s">
        <v>236</v>
      </c>
      <c r="F18" s="90">
        <v>2.6989999999999998</v>
      </c>
      <c r="G18" s="91" t="s">
        <v>223</v>
      </c>
      <c r="H18" s="60"/>
    </row>
    <row r="19" spans="2:14" ht="20.65" customHeight="1">
      <c r="B19" s="66">
        <v>3</v>
      </c>
      <c r="C19" s="556" t="s">
        <v>1007</v>
      </c>
      <c r="D19" s="93" t="s">
        <v>260</v>
      </c>
      <c r="E19" s="94" t="s">
        <v>571</v>
      </c>
      <c r="F19" s="95">
        <v>0.44</v>
      </c>
      <c r="G19" s="96" t="s">
        <v>223</v>
      </c>
      <c r="H19" s="60"/>
    </row>
    <row r="20" spans="2:14" ht="20.65" customHeight="1">
      <c r="B20" s="66">
        <v>4</v>
      </c>
      <c r="C20" s="556" t="s">
        <v>1007</v>
      </c>
      <c r="D20" s="93" t="s">
        <v>262</v>
      </c>
      <c r="E20" s="94" t="s">
        <v>572</v>
      </c>
      <c r="F20" s="75">
        <v>0.47599999999999998</v>
      </c>
      <c r="G20" s="96" t="s">
        <v>223</v>
      </c>
      <c r="H20" s="60"/>
    </row>
    <row r="21" spans="2:14" ht="20.65" customHeight="1">
      <c r="B21" s="66">
        <v>5</v>
      </c>
      <c r="C21" s="556" t="s">
        <v>1007</v>
      </c>
      <c r="D21" s="94" t="s">
        <v>573</v>
      </c>
      <c r="E21" s="94" t="s">
        <v>574</v>
      </c>
      <c r="F21" s="63">
        <v>3.6629999999999998</v>
      </c>
      <c r="G21" s="96" t="s">
        <v>223</v>
      </c>
      <c r="H21" s="60"/>
    </row>
    <row r="22" spans="2:14" ht="20.65" customHeight="1">
      <c r="B22" s="66">
        <v>6</v>
      </c>
      <c r="C22" s="556" t="s">
        <v>1007</v>
      </c>
      <c r="D22" s="97" t="s">
        <v>575</v>
      </c>
      <c r="E22" s="94" t="s">
        <v>574</v>
      </c>
      <c r="F22" s="63">
        <v>3.6999999999999998E-2</v>
      </c>
      <c r="G22" s="96" t="s">
        <v>223</v>
      </c>
      <c r="H22" s="60"/>
    </row>
    <row r="23" spans="2:14" ht="20.65" customHeight="1">
      <c r="B23" s="66">
        <v>7</v>
      </c>
      <c r="C23" s="556" t="s">
        <v>1007</v>
      </c>
      <c r="D23" s="94" t="s">
        <v>576</v>
      </c>
      <c r="E23" s="94" t="s">
        <v>574</v>
      </c>
      <c r="F23" s="75">
        <v>0.34799999999999998</v>
      </c>
      <c r="G23" s="96" t="s">
        <v>223</v>
      </c>
      <c r="H23" s="60"/>
    </row>
    <row r="24" spans="2:14" ht="20.65" customHeight="1">
      <c r="B24" s="66">
        <v>8</v>
      </c>
      <c r="C24" s="556" t="s">
        <v>1007</v>
      </c>
      <c r="D24" s="94" t="s">
        <v>577</v>
      </c>
      <c r="E24" s="94" t="s">
        <v>574</v>
      </c>
      <c r="F24" s="63">
        <v>1.7999999999999999E-2</v>
      </c>
      <c r="G24" s="96" t="s">
        <v>223</v>
      </c>
      <c r="H24" s="60"/>
    </row>
    <row r="25" spans="2:14" ht="20.65" customHeight="1">
      <c r="B25" s="66">
        <v>9</v>
      </c>
      <c r="C25" s="556" t="s">
        <v>1007</v>
      </c>
      <c r="D25" s="94" t="s">
        <v>578</v>
      </c>
      <c r="E25" s="94" t="s">
        <v>574</v>
      </c>
      <c r="F25" s="75">
        <v>7.0000000000000001E-3</v>
      </c>
      <c r="G25" s="96" t="s">
        <v>223</v>
      </c>
      <c r="H25" s="60"/>
    </row>
    <row r="26" spans="2:14" ht="20.65" customHeight="1">
      <c r="B26" s="66">
        <v>10</v>
      </c>
      <c r="C26" s="556" t="s">
        <v>1007</v>
      </c>
      <c r="D26" s="94" t="s">
        <v>579</v>
      </c>
      <c r="E26" s="94" t="s">
        <v>574</v>
      </c>
      <c r="F26" s="75">
        <v>0.27500000000000002</v>
      </c>
      <c r="G26" s="96" t="s">
        <v>223</v>
      </c>
      <c r="H26" s="60"/>
    </row>
    <row r="27" spans="2:14" ht="20.65" customHeight="1">
      <c r="B27" s="66">
        <v>11</v>
      </c>
      <c r="C27" s="556" t="s">
        <v>1007</v>
      </c>
      <c r="D27" s="94" t="s">
        <v>580</v>
      </c>
      <c r="E27" s="94" t="s">
        <v>574</v>
      </c>
      <c r="F27" s="75">
        <v>3.6999999999999998E-2</v>
      </c>
      <c r="G27" s="96" t="s">
        <v>223</v>
      </c>
      <c r="H27" s="60"/>
    </row>
    <row r="28" spans="2:14" ht="20.65" customHeight="1">
      <c r="B28" s="66">
        <v>12</v>
      </c>
      <c r="C28" s="556" t="s">
        <v>1007</v>
      </c>
      <c r="D28" s="98" t="s">
        <v>581</v>
      </c>
      <c r="E28" s="99" t="s">
        <v>272</v>
      </c>
      <c r="F28" s="75">
        <v>3.6999999999999998E-2</v>
      </c>
      <c r="G28" s="100" t="s">
        <v>223</v>
      </c>
      <c r="H28" s="60"/>
    </row>
    <row r="29" spans="2:14">
      <c r="B29" s="80"/>
      <c r="C29" s="101"/>
      <c r="D29" s="101"/>
      <c r="E29" s="102"/>
      <c r="F29" s="103"/>
      <c r="G29" s="103"/>
      <c r="H29" s="103"/>
      <c r="I29" s="103"/>
      <c r="J29" s="103"/>
      <c r="K29" s="103"/>
      <c r="L29" s="103"/>
      <c r="M29" s="104"/>
      <c r="N29" s="105"/>
    </row>
    <row r="31" spans="2:14" s="57" customFormat="1" ht="15.75">
      <c r="B31" s="612" t="s">
        <v>421</v>
      </c>
      <c r="C31" s="612" t="s">
        <v>550</v>
      </c>
      <c r="D31" s="612" t="s">
        <v>422</v>
      </c>
      <c r="E31" s="612" t="s">
        <v>423</v>
      </c>
      <c r="F31" s="64" t="s">
        <v>582</v>
      </c>
      <c r="G31" s="106"/>
      <c r="H31" s="622" t="s">
        <v>583</v>
      </c>
      <c r="I31" s="624" t="s">
        <v>584</v>
      </c>
      <c r="J31" s="613" t="s">
        <v>585</v>
      </c>
      <c r="K31" s="612" t="s">
        <v>552</v>
      </c>
      <c r="L31" s="612" t="s">
        <v>586</v>
      </c>
    </row>
    <row r="32" spans="2:14" s="57" customFormat="1" ht="15.75">
      <c r="B32" s="612"/>
      <c r="C32" s="612"/>
      <c r="D32" s="612"/>
      <c r="E32" s="612"/>
      <c r="F32" s="64" t="s">
        <v>587</v>
      </c>
      <c r="G32" s="64" t="s">
        <v>552</v>
      </c>
      <c r="H32" s="623"/>
      <c r="I32" s="625"/>
      <c r="J32" s="612"/>
      <c r="K32" s="612"/>
      <c r="L32" s="612"/>
    </row>
    <row r="33" spans="2:63" ht="20.65" customHeight="1">
      <c r="B33" s="69">
        <v>1</v>
      </c>
      <c r="C33" s="557" t="s">
        <v>1008</v>
      </c>
      <c r="D33" s="94" t="s">
        <v>588</v>
      </c>
      <c r="E33" s="108" t="s">
        <v>589</v>
      </c>
      <c r="F33" s="109">
        <v>5.0000000000000001E-3</v>
      </c>
      <c r="G33" s="110" t="s">
        <v>590</v>
      </c>
      <c r="H33" s="653"/>
      <c r="I33" s="654"/>
      <c r="J33" s="111"/>
      <c r="K33" s="111"/>
      <c r="L33" s="112" t="s">
        <v>591</v>
      </c>
    </row>
    <row r="34" spans="2:63" ht="20.65" customHeight="1">
      <c r="B34" s="69">
        <v>2</v>
      </c>
      <c r="C34" s="557" t="s">
        <v>1008</v>
      </c>
      <c r="D34" s="97" t="s">
        <v>592</v>
      </c>
      <c r="E34" s="113" t="s">
        <v>593</v>
      </c>
      <c r="F34" s="114">
        <v>1</v>
      </c>
      <c r="G34" s="115" t="s">
        <v>594</v>
      </c>
      <c r="H34" s="655"/>
      <c r="I34" s="656"/>
      <c r="J34" s="116"/>
      <c r="K34" s="116"/>
      <c r="L34" s="117" t="s">
        <v>595</v>
      </c>
    </row>
    <row r="35" spans="2:63" s="58" customFormat="1" ht="20.65" customHeight="1">
      <c r="B35" s="69">
        <v>3</v>
      </c>
      <c r="C35" s="557" t="s">
        <v>1008</v>
      </c>
      <c r="D35" s="93" t="s">
        <v>596</v>
      </c>
      <c r="E35" s="118" t="s">
        <v>244</v>
      </c>
      <c r="F35" s="114">
        <v>1</v>
      </c>
      <c r="G35" s="115" t="s">
        <v>597</v>
      </c>
      <c r="H35" s="655"/>
      <c r="I35" s="656"/>
      <c r="J35" s="116"/>
      <c r="K35" s="116"/>
      <c r="L35" s="117" t="s">
        <v>595</v>
      </c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19"/>
      <c r="BF35" s="119"/>
      <c r="BG35" s="119"/>
      <c r="BH35" s="119"/>
      <c r="BI35" s="119"/>
      <c r="BJ35" s="119"/>
      <c r="BK35" s="119"/>
    </row>
    <row r="36" spans="2:63" s="58" customFormat="1" ht="20.65" customHeight="1">
      <c r="B36" s="69">
        <v>4</v>
      </c>
      <c r="C36" s="557" t="s">
        <v>1008</v>
      </c>
      <c r="D36" s="120" t="s">
        <v>249</v>
      </c>
      <c r="E36" s="121" t="s">
        <v>250</v>
      </c>
      <c r="F36" s="122"/>
      <c r="G36" s="123"/>
      <c r="H36" s="66">
        <v>0.3</v>
      </c>
      <c r="I36" s="66">
        <v>0.6</v>
      </c>
      <c r="J36" s="66">
        <f>H36*I36</f>
        <v>0.18</v>
      </c>
      <c r="K36" s="96" t="s">
        <v>598</v>
      </c>
      <c r="L36" s="121" t="s">
        <v>599</v>
      </c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19"/>
      <c r="AX36" s="119"/>
      <c r="AY36" s="119"/>
      <c r="AZ36" s="119"/>
      <c r="BA36" s="119"/>
      <c r="BB36" s="119"/>
      <c r="BC36" s="119"/>
      <c r="BD36" s="119"/>
      <c r="BE36" s="119"/>
      <c r="BF36" s="119"/>
      <c r="BG36" s="119"/>
      <c r="BH36" s="119"/>
      <c r="BI36" s="119"/>
      <c r="BJ36" s="119"/>
      <c r="BK36" s="119"/>
    </row>
    <row r="37" spans="2:63" s="58" customFormat="1" ht="20.65" customHeight="1">
      <c r="B37" s="69">
        <v>5</v>
      </c>
      <c r="C37" s="557" t="s">
        <v>1008</v>
      </c>
      <c r="D37" s="120" t="s">
        <v>249</v>
      </c>
      <c r="E37" s="113" t="s">
        <v>600</v>
      </c>
      <c r="F37" s="122"/>
      <c r="G37" s="123"/>
      <c r="H37" s="66">
        <v>0.3</v>
      </c>
      <c r="I37" s="66">
        <v>0.25</v>
      </c>
      <c r="J37" s="66">
        <f>H37*I37</f>
        <v>7.4999999999999997E-2</v>
      </c>
      <c r="K37" s="124" t="s">
        <v>601</v>
      </c>
      <c r="L37" s="121" t="s">
        <v>599</v>
      </c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19"/>
      <c r="AX37" s="119"/>
      <c r="AY37" s="119"/>
      <c r="AZ37" s="119"/>
      <c r="BA37" s="119"/>
      <c r="BB37" s="119"/>
      <c r="BC37" s="119"/>
      <c r="BD37" s="119"/>
      <c r="BE37" s="119"/>
      <c r="BF37" s="119"/>
      <c r="BG37" s="119"/>
      <c r="BH37" s="119"/>
      <c r="BI37" s="119"/>
      <c r="BJ37" s="119"/>
      <c r="BK37" s="119"/>
    </row>
    <row r="38" spans="2:63" ht="15" customHeight="1">
      <c r="B38" s="69">
        <v>6</v>
      </c>
      <c r="C38" s="557" t="s">
        <v>1008</v>
      </c>
      <c r="D38" s="120" t="s">
        <v>249</v>
      </c>
      <c r="E38" s="68" t="s">
        <v>602</v>
      </c>
      <c r="F38" s="122"/>
      <c r="G38" s="123"/>
      <c r="H38" s="657"/>
      <c r="I38" s="658"/>
      <c r="J38" s="66">
        <v>40</v>
      </c>
      <c r="K38" s="96" t="s">
        <v>603</v>
      </c>
      <c r="L38" s="121" t="s">
        <v>604</v>
      </c>
    </row>
    <row r="39" spans="2:63">
      <c r="C39" s="125"/>
    </row>
    <row r="40" spans="2:63" ht="25.5" customHeight="1">
      <c r="B40" s="64" t="s">
        <v>421</v>
      </c>
      <c r="C40" s="126" t="s">
        <v>550</v>
      </c>
      <c r="D40" s="127" t="s">
        <v>422</v>
      </c>
      <c r="E40" s="127" t="s">
        <v>423</v>
      </c>
      <c r="F40" s="126" t="s">
        <v>210</v>
      </c>
      <c r="G40" s="127" t="s">
        <v>552</v>
      </c>
      <c r="H40" s="659" t="s">
        <v>586</v>
      </c>
      <c r="I40" s="659"/>
      <c r="J40" s="659"/>
      <c r="K40" s="659"/>
      <c r="L40" s="659"/>
      <c r="M40" s="659"/>
      <c r="N40" s="659"/>
    </row>
    <row r="41" spans="2:63" ht="20.45" customHeight="1">
      <c r="B41" s="128">
        <v>1</v>
      </c>
      <c r="C41" s="558" t="s">
        <v>1009</v>
      </c>
      <c r="D41" s="129" t="s">
        <v>605</v>
      </c>
      <c r="E41" s="130" t="s">
        <v>278</v>
      </c>
      <c r="F41" s="131">
        <v>0.53659999999999997</v>
      </c>
      <c r="G41" s="132" t="s">
        <v>281</v>
      </c>
      <c r="H41" s="647" t="s">
        <v>606</v>
      </c>
      <c r="I41" s="648"/>
      <c r="J41" s="648"/>
      <c r="K41" s="648"/>
      <c r="L41" s="648"/>
      <c r="M41" s="648"/>
      <c r="N41" s="649"/>
    </row>
    <row r="42" spans="2:63" ht="20.45" customHeight="1">
      <c r="B42" s="128">
        <v>2</v>
      </c>
      <c r="C42" s="558" t="s">
        <v>1009</v>
      </c>
      <c r="D42" s="129" t="s">
        <v>605</v>
      </c>
      <c r="E42" s="130" t="s">
        <v>278</v>
      </c>
      <c r="F42" s="133">
        <v>0.58560000000000001</v>
      </c>
      <c r="G42" s="132" t="s">
        <v>281</v>
      </c>
      <c r="H42" s="650" t="s">
        <v>607</v>
      </c>
      <c r="I42" s="651"/>
      <c r="J42" s="651"/>
      <c r="K42" s="651"/>
      <c r="L42" s="651"/>
      <c r="M42" s="651"/>
      <c r="N42" s="652"/>
    </row>
    <row r="43" spans="2:63" ht="20.45" customHeight="1">
      <c r="B43" s="134"/>
      <c r="C43" s="135"/>
      <c r="D43" s="136"/>
      <c r="E43" s="136"/>
      <c r="F43" s="80"/>
      <c r="G43" s="80"/>
      <c r="H43" s="137"/>
      <c r="I43" s="137"/>
      <c r="J43" s="137"/>
      <c r="K43" s="137"/>
      <c r="L43" s="137"/>
      <c r="M43" s="137"/>
      <c r="N43" s="137"/>
    </row>
    <row r="44" spans="2:63" ht="15.75">
      <c r="B44" s="621" t="s">
        <v>421</v>
      </c>
      <c r="C44" s="621" t="s">
        <v>550</v>
      </c>
      <c r="D44" s="621" t="s">
        <v>422</v>
      </c>
      <c r="E44" s="617" t="s">
        <v>608</v>
      </c>
      <c r="F44" s="617" t="s">
        <v>609</v>
      </c>
      <c r="G44" s="619" t="s">
        <v>202</v>
      </c>
      <c r="H44" s="620"/>
      <c r="I44" s="139" t="s">
        <v>610</v>
      </c>
    </row>
    <row r="45" spans="2:63" ht="15.75">
      <c r="B45" s="610"/>
      <c r="C45" s="610"/>
      <c r="D45" s="610"/>
      <c r="E45" s="610"/>
      <c r="F45" s="610"/>
      <c r="G45" s="140" t="s">
        <v>585</v>
      </c>
      <c r="H45" s="141" t="s">
        <v>552</v>
      </c>
      <c r="I45" s="141" t="s">
        <v>611</v>
      </c>
    </row>
    <row r="46" spans="2:63" ht="15" customHeight="1">
      <c r="B46" s="66">
        <v>1</v>
      </c>
      <c r="C46" s="559" t="s">
        <v>1010</v>
      </c>
      <c r="D46" s="73" t="str">
        <f>表1温室气体盘查表!C34</f>
        <v>铁矿石生产</v>
      </c>
      <c r="E46" s="142" t="s">
        <v>612</v>
      </c>
      <c r="F46" s="142" t="s">
        <v>613</v>
      </c>
      <c r="G46" s="143">
        <v>9.8847000000000004E-2</v>
      </c>
      <c r="H46" s="144" t="s">
        <v>223</v>
      </c>
      <c r="I46" s="95" t="s">
        <v>614</v>
      </c>
    </row>
    <row r="47" spans="2:63" ht="15" customHeight="1">
      <c r="B47" s="66">
        <v>2</v>
      </c>
      <c r="C47" s="559" t="s">
        <v>1010</v>
      </c>
      <c r="D47" s="73" t="str">
        <f>表1温室气体盘查表!C35</f>
        <v>生石灰生产</v>
      </c>
      <c r="E47" s="142" t="s">
        <v>615</v>
      </c>
      <c r="F47" s="142" t="s">
        <v>616</v>
      </c>
      <c r="G47" s="143">
        <v>1.18966991668996</v>
      </c>
      <c r="H47" s="144" t="s">
        <v>223</v>
      </c>
      <c r="I47" s="95" t="s">
        <v>614</v>
      </c>
    </row>
    <row r="48" spans="2:63" ht="15" customHeight="1">
      <c r="B48" s="66">
        <v>3</v>
      </c>
      <c r="C48" s="559" t="s">
        <v>1010</v>
      </c>
      <c r="D48" s="73" t="str">
        <f>表1温室气体盘查表!C36</f>
        <v>石灰石生产</v>
      </c>
      <c r="E48" s="142" t="s">
        <v>617</v>
      </c>
      <c r="F48" s="142" t="s">
        <v>616</v>
      </c>
      <c r="G48" s="143">
        <v>3.0298999999999999E-3</v>
      </c>
      <c r="H48" s="144" t="s">
        <v>223</v>
      </c>
      <c r="I48" s="95" t="s">
        <v>614</v>
      </c>
    </row>
    <row r="49" spans="2:9" ht="15" customHeight="1">
      <c r="B49" s="66">
        <v>4</v>
      </c>
      <c r="C49" s="559" t="s">
        <v>1010</v>
      </c>
      <c r="D49" s="73" t="str">
        <f>表1温室气体盘查表!C37</f>
        <v>白云石生产</v>
      </c>
      <c r="E49" s="142" t="s">
        <v>618</v>
      </c>
      <c r="F49" s="142" t="s">
        <v>616</v>
      </c>
      <c r="G49" s="143">
        <v>0.13033</v>
      </c>
      <c r="H49" s="144" t="s">
        <v>223</v>
      </c>
      <c r="I49" s="95" t="s">
        <v>614</v>
      </c>
    </row>
    <row r="50" spans="2:9" ht="15" customHeight="1">
      <c r="B50" s="66">
        <v>5</v>
      </c>
      <c r="C50" s="559" t="s">
        <v>1010</v>
      </c>
      <c r="D50" s="73" t="str">
        <f>表1温室气体盘查表!C39</f>
        <v>球团生产</v>
      </c>
      <c r="E50" s="142" t="s">
        <v>619</v>
      </c>
      <c r="F50" s="142" t="s">
        <v>613</v>
      </c>
      <c r="G50" s="143">
        <v>0.10446</v>
      </c>
      <c r="H50" s="144" t="s">
        <v>223</v>
      </c>
      <c r="I50" s="95" t="s">
        <v>614</v>
      </c>
    </row>
    <row r="51" spans="2:9" ht="15" customHeight="1">
      <c r="B51" s="66">
        <v>6</v>
      </c>
      <c r="C51" s="559" t="s">
        <v>1010</v>
      </c>
      <c r="D51" s="73" t="str">
        <f>表1温室气体盘查表!C40</f>
        <v>废钢生产</v>
      </c>
      <c r="E51" s="142" t="s">
        <v>620</v>
      </c>
      <c r="F51" s="142" t="s">
        <v>616</v>
      </c>
      <c r="G51" s="143">
        <v>7.4178999999999995E-2</v>
      </c>
      <c r="H51" s="144" t="s">
        <v>223</v>
      </c>
      <c r="I51" s="95" t="s">
        <v>614</v>
      </c>
    </row>
    <row r="52" spans="2:9" ht="15" customHeight="1">
      <c r="B52" s="66">
        <v>7</v>
      </c>
      <c r="C52" s="559" t="s">
        <v>1010</v>
      </c>
      <c r="D52" s="73" t="str">
        <f>表1温室气体盘查表!C41</f>
        <v>电极生产</v>
      </c>
      <c r="E52" s="142" t="s">
        <v>621</v>
      </c>
      <c r="F52" s="142" t="s">
        <v>613</v>
      </c>
      <c r="G52" s="143">
        <v>8.4370514439833499</v>
      </c>
      <c r="H52" s="144" t="s">
        <v>223</v>
      </c>
      <c r="I52" s="95" t="s">
        <v>614</v>
      </c>
    </row>
    <row r="53" spans="2:9" ht="15" customHeight="1">
      <c r="B53" s="66">
        <v>8</v>
      </c>
      <c r="C53" s="559" t="s">
        <v>1010</v>
      </c>
      <c r="D53" s="73" t="str">
        <f>表1温室气体盘查表!C42</f>
        <v>锰铁生产</v>
      </c>
      <c r="E53" s="142" t="s">
        <v>622</v>
      </c>
      <c r="F53" s="142" t="s">
        <v>613</v>
      </c>
      <c r="G53" s="143">
        <v>2.9771999999999998</v>
      </c>
      <c r="H53" s="144" t="s">
        <v>223</v>
      </c>
      <c r="I53" s="95" t="s">
        <v>614</v>
      </c>
    </row>
    <row r="54" spans="2:9" ht="15" customHeight="1">
      <c r="B54" s="66">
        <v>9</v>
      </c>
      <c r="C54" s="559" t="s">
        <v>1010</v>
      </c>
      <c r="D54" s="73" t="str">
        <f>表1温室气体盘查表!C43</f>
        <v>镍铁生产</v>
      </c>
      <c r="E54" s="142" t="s">
        <v>623</v>
      </c>
      <c r="F54" s="142" t="s">
        <v>613</v>
      </c>
      <c r="G54" s="143">
        <v>8.7546999999999997</v>
      </c>
      <c r="H54" s="144" t="s">
        <v>223</v>
      </c>
      <c r="I54" s="95" t="s">
        <v>614</v>
      </c>
    </row>
    <row r="55" spans="2:9" ht="15" customHeight="1">
      <c r="B55" s="66">
        <v>10</v>
      </c>
      <c r="C55" s="559" t="s">
        <v>1010</v>
      </c>
      <c r="D55" s="73" t="str">
        <f>表1温室气体盘查表!C44</f>
        <v>铬铁生产</v>
      </c>
      <c r="E55" s="142" t="s">
        <v>624</v>
      </c>
      <c r="F55" s="142" t="s">
        <v>613</v>
      </c>
      <c r="G55" s="143">
        <v>5.0921000000000003</v>
      </c>
      <c r="H55" s="144" t="s">
        <v>223</v>
      </c>
      <c r="I55" s="95" t="s">
        <v>614</v>
      </c>
    </row>
    <row r="56" spans="2:9" ht="15" customHeight="1">
      <c r="B56" s="66">
        <v>11</v>
      </c>
      <c r="C56" s="559" t="s">
        <v>1010</v>
      </c>
      <c r="D56" s="73" t="str">
        <f>表1温室气体盘查表!C45</f>
        <v>萤石生产</v>
      </c>
      <c r="E56" s="142" t="s">
        <v>625</v>
      </c>
      <c r="F56" s="142" t="s">
        <v>613</v>
      </c>
      <c r="G56" s="143">
        <v>0.21157999999999999</v>
      </c>
      <c r="H56" s="144" t="s">
        <v>223</v>
      </c>
      <c r="I56" s="95" t="s">
        <v>614</v>
      </c>
    </row>
    <row r="57" spans="2:9" ht="15" customHeight="1">
      <c r="B57" s="66">
        <v>12</v>
      </c>
      <c r="C57" s="559" t="s">
        <v>1010</v>
      </c>
      <c r="D57" s="73" t="str">
        <f>表1温室气体盘查表!C46</f>
        <v>硅铁生产</v>
      </c>
      <c r="E57" s="142" t="s">
        <v>626</v>
      </c>
      <c r="F57" s="142" t="s">
        <v>627</v>
      </c>
      <c r="G57" s="143">
        <v>10.145</v>
      </c>
      <c r="H57" s="144" t="s">
        <v>223</v>
      </c>
      <c r="I57" s="95" t="s">
        <v>614</v>
      </c>
    </row>
    <row r="58" spans="2:9" ht="15" customHeight="1">
      <c r="B58" s="66">
        <v>13</v>
      </c>
      <c r="C58" s="559" t="s">
        <v>1010</v>
      </c>
      <c r="D58" s="73" t="str">
        <f>表1温室气体盘查表!C47</f>
        <v>钼铁生产</v>
      </c>
      <c r="E58" s="145" t="s">
        <v>628</v>
      </c>
      <c r="F58" s="146"/>
      <c r="G58" s="147">
        <v>8.5</v>
      </c>
      <c r="H58" s="144" t="s">
        <v>223</v>
      </c>
      <c r="I58" s="90" t="s">
        <v>629</v>
      </c>
    </row>
    <row r="59" spans="2:9" ht="15" customHeight="1">
      <c r="B59" s="66">
        <v>14</v>
      </c>
      <c r="C59" s="559" t="s">
        <v>1010</v>
      </c>
      <c r="D59" s="73" t="str">
        <f>表1温室气体盘查表!C48</f>
        <v>铝铁生产</v>
      </c>
      <c r="E59" s="145" t="s">
        <v>630</v>
      </c>
      <c r="F59" s="142" t="s">
        <v>631</v>
      </c>
      <c r="G59" s="143">
        <v>5.7320082395446503</v>
      </c>
      <c r="H59" s="144" t="s">
        <v>223</v>
      </c>
      <c r="I59" s="95" t="s">
        <v>614</v>
      </c>
    </row>
    <row r="60" spans="2:9" ht="15" customHeight="1">
      <c r="B60" s="66">
        <v>15</v>
      </c>
      <c r="C60" s="559" t="s">
        <v>1010</v>
      </c>
      <c r="D60" s="73" t="str">
        <f>表1温室气体盘查表!C49</f>
        <v>铝生产</v>
      </c>
      <c r="E60" s="142" t="s">
        <v>632</v>
      </c>
      <c r="F60" s="142" t="s">
        <v>616</v>
      </c>
      <c r="G60" s="143">
        <v>22.290560810297599</v>
      </c>
      <c r="H60" s="144" t="s">
        <v>223</v>
      </c>
      <c r="I60" s="95" t="s">
        <v>614</v>
      </c>
    </row>
    <row r="61" spans="2:9" ht="15" customHeight="1">
      <c r="B61" s="66">
        <v>16</v>
      </c>
      <c r="C61" s="559" t="s">
        <v>1010</v>
      </c>
      <c r="D61" s="148" t="str">
        <f>表1温室气体盘查表!C50</f>
        <v>增碳剂生产</v>
      </c>
      <c r="E61" s="142" t="s">
        <v>633</v>
      </c>
      <c r="F61" s="142" t="s">
        <v>627</v>
      </c>
      <c r="G61" s="143">
        <v>1.66453351655996</v>
      </c>
      <c r="H61" s="144" t="s">
        <v>223</v>
      </c>
      <c r="I61" s="95" t="s">
        <v>634</v>
      </c>
    </row>
    <row r="62" spans="2:9" ht="15" customHeight="1">
      <c r="B62" s="66">
        <v>17</v>
      </c>
      <c r="C62" s="559" t="s">
        <v>1010</v>
      </c>
      <c r="D62" s="73" t="str">
        <f>表1温室气体盘查表!C51</f>
        <v>铁鳞生产</v>
      </c>
      <c r="E62" s="145" t="s">
        <v>635</v>
      </c>
      <c r="F62" s="142" t="s">
        <v>613</v>
      </c>
      <c r="G62" s="143">
        <v>3.5231056577475499E-3</v>
      </c>
      <c r="H62" s="144" t="s">
        <v>223</v>
      </c>
      <c r="I62" s="95" t="s">
        <v>614</v>
      </c>
    </row>
    <row r="63" spans="2:9" ht="15" customHeight="1">
      <c r="B63" s="66">
        <v>18</v>
      </c>
      <c r="C63" s="559" t="s">
        <v>1010</v>
      </c>
      <c r="D63" s="73" t="str">
        <f>表1温室气体盘查表!C52</f>
        <v>氨水生产</v>
      </c>
      <c r="E63" s="142" t="s">
        <v>636</v>
      </c>
      <c r="F63" s="142" t="s">
        <v>627</v>
      </c>
      <c r="G63" s="143">
        <v>5.4368447769783996</v>
      </c>
      <c r="H63" s="144" t="s">
        <v>223</v>
      </c>
      <c r="I63" s="95" t="s">
        <v>614</v>
      </c>
    </row>
    <row r="64" spans="2:9" ht="15" customHeight="1">
      <c r="B64" s="66">
        <v>19</v>
      </c>
      <c r="C64" s="559" t="s">
        <v>1010</v>
      </c>
      <c r="D64" s="73" t="str">
        <f>表1温室气体盘查表!C53</f>
        <v>碳化硅生产</v>
      </c>
      <c r="E64" s="142" t="s">
        <v>637</v>
      </c>
      <c r="F64" s="142" t="s">
        <v>613</v>
      </c>
      <c r="G64" s="143">
        <v>7.2790711257223997</v>
      </c>
      <c r="H64" s="144" t="s">
        <v>223</v>
      </c>
      <c r="I64" s="95" t="s">
        <v>614</v>
      </c>
    </row>
    <row r="65" spans="2:17" ht="15" customHeight="1">
      <c r="B65" s="66">
        <v>20</v>
      </c>
      <c r="C65" s="559" t="s">
        <v>1010</v>
      </c>
      <c r="D65" s="73" t="str">
        <f>表1温室气体盘查表!C54</f>
        <v>镁生产</v>
      </c>
      <c r="E65" s="142" t="s">
        <v>638</v>
      </c>
      <c r="F65" s="142" t="s">
        <v>613</v>
      </c>
      <c r="G65" s="143">
        <v>26.345188319021499</v>
      </c>
      <c r="H65" s="144" t="s">
        <v>223</v>
      </c>
      <c r="I65" s="95" t="s">
        <v>614</v>
      </c>
    </row>
    <row r="66" spans="2:17" ht="15" customHeight="1">
      <c r="B66" s="66">
        <v>21</v>
      </c>
      <c r="C66" s="559" t="s">
        <v>1010</v>
      </c>
      <c r="D66" s="73" t="s">
        <v>311</v>
      </c>
      <c r="E66" s="74" t="s">
        <v>639</v>
      </c>
      <c r="F66" s="146"/>
      <c r="G66" s="143">
        <v>3.4299999999999999E-4</v>
      </c>
      <c r="H66" s="144" t="s">
        <v>314</v>
      </c>
      <c r="I66" s="95" t="s">
        <v>640</v>
      </c>
    </row>
    <row r="67" spans="2:17" ht="15" customHeight="1">
      <c r="B67" s="66">
        <v>22</v>
      </c>
      <c r="C67" s="559" t="s">
        <v>1010</v>
      </c>
      <c r="D67" s="73" t="str">
        <f>表1温室气体盘查表!C56</f>
        <v>办公用品(纸张除外)制造</v>
      </c>
      <c r="E67" s="74" t="s">
        <v>641</v>
      </c>
      <c r="F67" s="146"/>
      <c r="G67" s="143">
        <v>2.6499999999999999E-4</v>
      </c>
      <c r="H67" s="144" t="s">
        <v>314</v>
      </c>
      <c r="I67" s="95" t="s">
        <v>640</v>
      </c>
    </row>
    <row r="68" spans="2:17" ht="15" customHeight="1">
      <c r="B68" s="66">
        <v>23</v>
      </c>
      <c r="C68" s="559" t="s">
        <v>1010</v>
      </c>
      <c r="D68" s="73" t="str">
        <f>表1温室气体盘查表!C57</f>
        <v>源水</v>
      </c>
      <c r="E68" s="74" t="s">
        <v>642</v>
      </c>
      <c r="F68" s="142" t="s">
        <v>616</v>
      </c>
      <c r="G68" s="143">
        <v>1.2784698043450801E-3</v>
      </c>
      <c r="H68" s="144" t="s">
        <v>223</v>
      </c>
      <c r="I68" s="95" t="s">
        <v>614</v>
      </c>
    </row>
    <row r="70" spans="2:17" ht="15" customHeight="1">
      <c r="B70" s="80"/>
      <c r="C70" s="149"/>
      <c r="D70" s="150"/>
      <c r="E70" s="151"/>
      <c r="F70" s="151"/>
      <c r="G70" s="151"/>
      <c r="H70" s="151"/>
      <c r="I70" s="151"/>
      <c r="J70" s="152"/>
      <c r="K70" s="151"/>
      <c r="L70" s="152"/>
      <c r="M70" s="152"/>
      <c r="N70" s="152"/>
      <c r="O70" s="152"/>
      <c r="P70" s="152"/>
      <c r="Q70" s="152"/>
    </row>
    <row r="71" spans="2:17" ht="15.75">
      <c r="B71" s="621" t="s">
        <v>421</v>
      </c>
      <c r="C71" s="621" t="s">
        <v>550</v>
      </c>
      <c r="D71" s="621" t="s">
        <v>422</v>
      </c>
      <c r="E71" s="617" t="s">
        <v>608</v>
      </c>
      <c r="F71" s="619" t="s">
        <v>202</v>
      </c>
      <c r="G71" s="620"/>
      <c r="H71" s="138" t="s">
        <v>610</v>
      </c>
    </row>
    <row r="72" spans="2:17" ht="15.75">
      <c r="B72" s="610"/>
      <c r="C72" s="610"/>
      <c r="D72" s="610"/>
      <c r="E72" s="610"/>
      <c r="F72" s="140" t="s">
        <v>585</v>
      </c>
      <c r="G72" s="141" t="s">
        <v>552</v>
      </c>
      <c r="H72" s="141" t="s">
        <v>611</v>
      </c>
    </row>
    <row r="73" spans="2:17" ht="15" customHeight="1">
      <c r="B73" s="66">
        <v>1</v>
      </c>
      <c r="C73" s="559" t="s">
        <v>1011</v>
      </c>
      <c r="D73" s="73" t="str">
        <f>表1温室气体盘查表!C58</f>
        <v>采购产品空调和暖空气加热设备和商业和工业制冷设备制造</v>
      </c>
      <c r="E73" s="142" t="s">
        <v>643</v>
      </c>
      <c r="F73" s="143">
        <f>0.108/1000</f>
        <v>1.08E-4</v>
      </c>
      <c r="G73" s="144" t="s">
        <v>314</v>
      </c>
      <c r="H73" s="95" t="s">
        <v>640</v>
      </c>
    </row>
    <row r="74" spans="2:17" ht="15" customHeight="1">
      <c r="B74" s="66">
        <v>2</v>
      </c>
      <c r="C74" s="559" t="s">
        <v>1011</v>
      </c>
      <c r="D74" s="73" t="str">
        <f>表1温室气体盘查表!C59</f>
        <v>电子计算机制造</v>
      </c>
      <c r="E74" s="142" t="s">
        <v>644</v>
      </c>
      <c r="F74" s="143">
        <f>0.058/1000</f>
        <v>5.8E-5</v>
      </c>
      <c r="G74" s="144" t="s">
        <v>314</v>
      </c>
      <c r="H74" s="95" t="s">
        <v>640</v>
      </c>
    </row>
    <row r="75" spans="2:17" ht="15" customHeight="1">
      <c r="B75" s="66">
        <v>3</v>
      </c>
      <c r="C75" s="559" t="s">
        <v>1011</v>
      </c>
      <c r="D75" s="73" t="str">
        <f>表1温室气体盘查表!C60</f>
        <v>焊接及焊接设备制造</v>
      </c>
      <c r="E75" s="142" t="s">
        <v>645</v>
      </c>
      <c r="F75" s="143">
        <f>0.249/1000</f>
        <v>2.4899999999999998E-4</v>
      </c>
      <c r="G75" s="144" t="s">
        <v>314</v>
      </c>
      <c r="H75" s="95" t="s">
        <v>640</v>
      </c>
    </row>
    <row r="76" spans="2:17" ht="15" customHeight="1">
      <c r="B76" s="66">
        <v>4</v>
      </c>
      <c r="C76" s="559" t="s">
        <v>1011</v>
      </c>
      <c r="D76" s="73" t="str">
        <f>表1温室气体盘查表!C61</f>
        <v>其他工业设备制造</v>
      </c>
      <c r="E76" s="142" t="s">
        <v>646</v>
      </c>
      <c r="F76" s="143">
        <f>0.185/1000</f>
        <v>1.85E-4</v>
      </c>
      <c r="G76" s="144" t="s">
        <v>314</v>
      </c>
      <c r="H76" s="95" t="s">
        <v>640</v>
      </c>
    </row>
    <row r="77" spans="2:17" ht="15" customHeight="1">
      <c r="B77" s="75">
        <v>5</v>
      </c>
      <c r="C77" s="559" t="s">
        <v>1011</v>
      </c>
      <c r="D77" s="153" t="str">
        <f>表1温室气体盘查表!C62</f>
        <v>测量和测试电力和电气信号的仪器制造</v>
      </c>
      <c r="E77" s="145" t="s">
        <v>647</v>
      </c>
      <c r="F77" s="147">
        <f>0.079/1000</f>
        <v>7.8999999999999996E-5</v>
      </c>
      <c r="G77" s="154" t="s">
        <v>314</v>
      </c>
      <c r="H77" s="90" t="s">
        <v>640</v>
      </c>
    </row>
    <row r="78" spans="2:17" ht="15" customHeight="1">
      <c r="B78" s="75">
        <v>6</v>
      </c>
      <c r="C78" s="559" t="s">
        <v>1011</v>
      </c>
      <c r="D78" s="153" t="str">
        <f>表1温室气体盘查表!C63</f>
        <v>计算机系统设计服务</v>
      </c>
      <c r="E78" s="145" t="s">
        <v>648</v>
      </c>
      <c r="F78" s="147">
        <f>0.089/1000</f>
        <v>8.8999999999999995E-5</v>
      </c>
      <c r="G78" s="154" t="s">
        <v>314</v>
      </c>
      <c r="H78" s="90" t="s">
        <v>640</v>
      </c>
    </row>
    <row r="79" spans="2:17" ht="15" customHeight="1">
      <c r="B79" s="75">
        <v>7</v>
      </c>
      <c r="C79" s="559" t="s">
        <v>1011</v>
      </c>
      <c r="D79" s="153" t="s">
        <v>327</v>
      </c>
      <c r="E79" s="145" t="s">
        <v>649</v>
      </c>
      <c r="F79" s="147">
        <f>0.209/1000</f>
        <v>2.0900000000000001E-4</v>
      </c>
      <c r="G79" s="154" t="s">
        <v>314</v>
      </c>
      <c r="H79" s="90" t="s">
        <v>640</v>
      </c>
    </row>
    <row r="80" spans="2:17" ht="15" customHeight="1">
      <c r="B80" s="75">
        <v>8</v>
      </c>
      <c r="C80" s="559" t="s">
        <v>1011</v>
      </c>
      <c r="D80" s="153" t="s">
        <v>328</v>
      </c>
      <c r="E80" s="145" t="s">
        <v>650</v>
      </c>
      <c r="F80" s="147">
        <f>0.223/1000</f>
        <v>2.23E-4</v>
      </c>
      <c r="G80" s="154" t="s">
        <v>314</v>
      </c>
      <c r="H80" s="90" t="s">
        <v>640</v>
      </c>
    </row>
    <row r="81" spans="2:17" ht="15" customHeight="1">
      <c r="B81" s="75">
        <v>9</v>
      </c>
      <c r="C81" s="559" t="s">
        <v>1011</v>
      </c>
      <c r="D81" s="153" t="s">
        <v>329</v>
      </c>
      <c r="E81" s="145" t="s">
        <v>651</v>
      </c>
      <c r="F81" s="147">
        <f>0.063/1000</f>
        <v>6.3E-5</v>
      </c>
      <c r="G81" s="154" t="s">
        <v>314</v>
      </c>
      <c r="H81" s="90" t="s">
        <v>640</v>
      </c>
    </row>
    <row r="82" spans="2:17" ht="15" customHeight="1">
      <c r="B82" s="66">
        <v>10</v>
      </c>
      <c r="C82" s="559" t="s">
        <v>1011</v>
      </c>
      <c r="D82" s="73" t="str">
        <f>表1温室气体盘查表!C67</f>
        <v>所有其他杂项电气设备及元件制造</v>
      </c>
      <c r="E82" s="142" t="s">
        <v>652</v>
      </c>
      <c r="F82" s="143">
        <f>0.128/1000</f>
        <v>1.2799999999999999E-4</v>
      </c>
      <c r="G82" s="144" t="s">
        <v>314</v>
      </c>
      <c r="H82" s="95" t="s">
        <v>640</v>
      </c>
    </row>
    <row r="83" spans="2:17" ht="15" customHeight="1">
      <c r="B83" s="66">
        <v>11</v>
      </c>
      <c r="C83" s="559" t="s">
        <v>1011</v>
      </c>
      <c r="D83" s="73" t="str">
        <f>表1温室气体盘查表!C68</f>
        <v>所有其他杂项制造</v>
      </c>
      <c r="E83" s="142" t="s">
        <v>653</v>
      </c>
      <c r="F83" s="143">
        <f>0.182/1000</f>
        <v>1.8200000000000001E-4</v>
      </c>
      <c r="G83" s="144" t="s">
        <v>314</v>
      </c>
      <c r="H83" s="95" t="s">
        <v>640</v>
      </c>
    </row>
    <row r="84" spans="2:17" ht="15" customHeight="1">
      <c r="B84" s="80"/>
      <c r="C84" s="149"/>
      <c r="D84" s="150"/>
      <c r="E84" s="151"/>
      <c r="F84" s="151"/>
      <c r="G84" s="151"/>
      <c r="H84" s="151"/>
      <c r="I84" s="151"/>
      <c r="J84" s="152"/>
      <c r="K84" s="151"/>
      <c r="L84" s="152"/>
      <c r="M84" s="152"/>
      <c r="N84" s="152"/>
      <c r="O84" s="152"/>
      <c r="P84" s="152"/>
      <c r="Q84" s="152"/>
    </row>
    <row r="85" spans="2:17" ht="15.75">
      <c r="B85" s="621" t="s">
        <v>421</v>
      </c>
      <c r="C85" s="621" t="s">
        <v>550</v>
      </c>
      <c r="D85" s="621" t="s">
        <v>422</v>
      </c>
      <c r="E85" s="621" t="s">
        <v>608</v>
      </c>
      <c r="F85" s="617" t="s">
        <v>609</v>
      </c>
      <c r="G85" s="619" t="s">
        <v>202</v>
      </c>
      <c r="H85" s="620"/>
      <c r="I85" s="141" t="s">
        <v>610</v>
      </c>
    </row>
    <row r="86" spans="2:17" ht="15.75">
      <c r="B86" s="610"/>
      <c r="C86" s="610"/>
      <c r="D86" s="610"/>
      <c r="E86" s="610"/>
      <c r="F86" s="610"/>
      <c r="G86" s="140" t="s">
        <v>585</v>
      </c>
      <c r="H86" s="141" t="s">
        <v>552</v>
      </c>
      <c r="I86" s="141" t="s">
        <v>611</v>
      </c>
    </row>
    <row r="87" spans="2:17" ht="36">
      <c r="B87" s="66">
        <v>1</v>
      </c>
      <c r="C87" s="341" t="s">
        <v>1012</v>
      </c>
      <c r="D87" s="73" t="str">
        <f>表1温室气体盘查表!C69</f>
        <v>液化石油气生产</v>
      </c>
      <c r="E87" s="145" t="s">
        <v>655</v>
      </c>
      <c r="F87" s="145" t="s">
        <v>616</v>
      </c>
      <c r="G87" s="147">
        <v>1.0062255640344899</v>
      </c>
      <c r="H87" s="144" t="s">
        <v>223</v>
      </c>
      <c r="I87" s="95" t="s">
        <v>614</v>
      </c>
    </row>
    <row r="88" spans="2:17" ht="36">
      <c r="B88" s="66">
        <v>1</v>
      </c>
      <c r="C88" s="341" t="s">
        <v>1012</v>
      </c>
      <c r="D88" s="73" t="str">
        <f>表1温室气体盘查表!C70</f>
        <v>洗精煤生产</v>
      </c>
      <c r="E88" s="142" t="s">
        <v>656</v>
      </c>
      <c r="F88" s="142" t="s">
        <v>627</v>
      </c>
      <c r="G88" s="143">
        <v>0.57555000000000001</v>
      </c>
      <c r="H88" s="144" t="s">
        <v>223</v>
      </c>
      <c r="I88" s="95" t="s">
        <v>614</v>
      </c>
    </row>
    <row r="89" spans="2:17" ht="36">
      <c r="B89" s="66">
        <v>2</v>
      </c>
      <c r="C89" s="341" t="s">
        <v>1012</v>
      </c>
      <c r="D89" s="73" t="str">
        <f>表1温室气体盘查表!C71</f>
        <v>柴油生产</v>
      </c>
      <c r="E89" s="142" t="s">
        <v>657</v>
      </c>
      <c r="F89" s="142" t="s">
        <v>616</v>
      </c>
      <c r="G89" s="143">
        <v>0.84211999999999998</v>
      </c>
      <c r="H89" s="144" t="s">
        <v>223</v>
      </c>
      <c r="I89" s="95" t="s">
        <v>614</v>
      </c>
    </row>
    <row r="90" spans="2:17" ht="36">
      <c r="B90" s="66">
        <v>3</v>
      </c>
      <c r="C90" s="341" t="s">
        <v>1012</v>
      </c>
      <c r="D90" s="73" t="str">
        <f>表1温室气体盘查表!C72</f>
        <v>汽油生产</v>
      </c>
      <c r="E90" s="142" t="s">
        <v>658</v>
      </c>
      <c r="F90" s="142" t="s">
        <v>616</v>
      </c>
      <c r="G90" s="143">
        <v>0.98733030522440801</v>
      </c>
      <c r="H90" s="144" t="s">
        <v>223</v>
      </c>
      <c r="I90" s="95" t="s">
        <v>614</v>
      </c>
    </row>
    <row r="91" spans="2:17" ht="36">
      <c r="B91" s="66">
        <v>4</v>
      </c>
      <c r="C91" s="341" t="s">
        <v>1012</v>
      </c>
      <c r="D91" s="73" t="str">
        <f>表1温室气体盘查表!C73</f>
        <v>焦炭生产</v>
      </c>
      <c r="E91" s="142" t="s">
        <v>659</v>
      </c>
      <c r="F91" s="142" t="s">
        <v>627</v>
      </c>
      <c r="G91" s="143">
        <v>1.2676000000000001</v>
      </c>
      <c r="H91" s="144" t="s">
        <v>223</v>
      </c>
      <c r="I91" s="95" t="s">
        <v>614</v>
      </c>
    </row>
    <row r="92" spans="2:17" ht="36">
      <c r="B92" s="66">
        <v>5</v>
      </c>
      <c r="C92" s="341" t="s">
        <v>1012</v>
      </c>
      <c r="D92" s="73" t="str">
        <f>表1温室气体盘查表!C74</f>
        <v>焦屑生产</v>
      </c>
      <c r="E92" s="142" t="s">
        <v>659</v>
      </c>
      <c r="F92" s="142" t="s">
        <v>627</v>
      </c>
      <c r="G92" s="143">
        <v>1.2676000000000001</v>
      </c>
      <c r="H92" s="144" t="s">
        <v>223</v>
      </c>
      <c r="I92" s="95" t="s">
        <v>614</v>
      </c>
    </row>
    <row r="93" spans="2:17" ht="36">
      <c r="B93" s="66">
        <v>6</v>
      </c>
      <c r="C93" s="341" t="s">
        <v>1012</v>
      </c>
      <c r="D93" s="73" t="str">
        <f>表1温室气体盘查表!C75</f>
        <v>烟煤生产</v>
      </c>
      <c r="E93" s="142" t="s">
        <v>656</v>
      </c>
      <c r="F93" s="142" t="s">
        <v>627</v>
      </c>
      <c r="G93" s="143">
        <v>0.57555000000000001</v>
      </c>
      <c r="H93" s="144" t="s">
        <v>223</v>
      </c>
      <c r="I93" s="95" t="s">
        <v>614</v>
      </c>
    </row>
    <row r="94" spans="2:17" ht="36">
      <c r="B94" s="66">
        <v>7</v>
      </c>
      <c r="C94" s="341" t="s">
        <v>1012</v>
      </c>
      <c r="D94" s="73" t="str">
        <f>表1温室气体盘查表!C76</f>
        <v>无烟煤生产</v>
      </c>
      <c r="E94" s="142" t="s">
        <v>656</v>
      </c>
      <c r="F94" s="142" t="s">
        <v>627</v>
      </c>
      <c r="G94" s="143">
        <v>0.57555000000000001</v>
      </c>
      <c r="H94" s="144" t="s">
        <v>223</v>
      </c>
      <c r="I94" s="95" t="s">
        <v>614</v>
      </c>
    </row>
    <row r="95" spans="2:17" ht="36">
      <c r="B95" s="66">
        <v>8</v>
      </c>
      <c r="C95" s="341" t="s">
        <v>1012</v>
      </c>
      <c r="D95" s="73" t="str">
        <f>表1温室气体盘查表!C77</f>
        <v>天然气生产</v>
      </c>
      <c r="E95" s="142" t="s">
        <v>660</v>
      </c>
      <c r="F95" s="142" t="s">
        <v>627</v>
      </c>
      <c r="G95" s="143">
        <v>6.19</v>
      </c>
      <c r="H95" s="155" t="s">
        <v>661</v>
      </c>
      <c r="I95" s="95" t="s">
        <v>614</v>
      </c>
    </row>
    <row r="96" spans="2:17" ht="36">
      <c r="B96" s="66">
        <v>9</v>
      </c>
      <c r="C96" s="341" t="s">
        <v>1012</v>
      </c>
      <c r="D96" s="73" t="str">
        <f>表1温室气体盘查表!C78</f>
        <v>外购电力上游排放</v>
      </c>
      <c r="E96" s="146"/>
      <c r="F96" s="142" t="s">
        <v>627</v>
      </c>
      <c r="G96" s="143">
        <f>0.6205-0.5366</f>
        <v>8.3900000000000099E-2</v>
      </c>
      <c r="H96" s="144" t="s">
        <v>281</v>
      </c>
      <c r="I96" s="95" t="s">
        <v>662</v>
      </c>
    </row>
    <row r="97" spans="2:14" ht="20.45" customHeight="1">
      <c r="B97" s="134"/>
      <c r="C97" s="135"/>
      <c r="D97" s="136"/>
      <c r="E97" s="136"/>
      <c r="F97" s="80"/>
      <c r="G97" s="80"/>
      <c r="H97" s="137"/>
      <c r="I97" s="137"/>
      <c r="J97" s="137"/>
      <c r="K97" s="137"/>
      <c r="L97" s="137"/>
      <c r="M97" s="137"/>
      <c r="N97" s="137"/>
    </row>
    <row r="98" spans="2:14" ht="15.75">
      <c r="B98" s="621" t="s">
        <v>421</v>
      </c>
      <c r="C98" s="621" t="s">
        <v>550</v>
      </c>
      <c r="D98" s="621" t="s">
        <v>422</v>
      </c>
      <c r="E98" s="621" t="s">
        <v>608</v>
      </c>
      <c r="F98" s="617" t="s">
        <v>609</v>
      </c>
      <c r="G98" s="619" t="s">
        <v>202</v>
      </c>
      <c r="H98" s="620"/>
      <c r="I98" s="141" t="s">
        <v>610</v>
      </c>
    </row>
    <row r="99" spans="2:14" ht="15.75">
      <c r="B99" s="610"/>
      <c r="C99" s="610"/>
      <c r="D99" s="610"/>
      <c r="E99" s="610"/>
      <c r="F99" s="610"/>
      <c r="G99" s="140" t="s">
        <v>585</v>
      </c>
      <c r="H99" s="141" t="s">
        <v>552</v>
      </c>
      <c r="I99" s="141" t="s">
        <v>611</v>
      </c>
    </row>
    <row r="100" spans="2:14" ht="48">
      <c r="B100" s="66">
        <v>1</v>
      </c>
      <c r="C100" s="142" t="s">
        <v>1013</v>
      </c>
      <c r="D100" s="156" t="s">
        <v>347</v>
      </c>
      <c r="E100" s="142" t="s">
        <v>663</v>
      </c>
      <c r="F100" s="142" t="s">
        <v>616</v>
      </c>
      <c r="G100" s="143">
        <v>5.1968558099999999E-5</v>
      </c>
      <c r="H100" s="96" t="s">
        <v>664</v>
      </c>
      <c r="I100" s="95" t="s">
        <v>614</v>
      </c>
    </row>
    <row r="101" spans="2:14" ht="48">
      <c r="B101" s="66">
        <v>2</v>
      </c>
      <c r="C101" s="142" t="s">
        <v>1013</v>
      </c>
      <c r="D101" s="156" t="s">
        <v>349</v>
      </c>
      <c r="E101" s="142" t="s">
        <v>665</v>
      </c>
      <c r="F101" s="142" t="s">
        <v>613</v>
      </c>
      <c r="G101" s="143">
        <v>1.5196287830000001E-4</v>
      </c>
      <c r="H101" s="96" t="s">
        <v>664</v>
      </c>
      <c r="I101" s="95" t="s">
        <v>614</v>
      </c>
    </row>
    <row r="102" spans="2:14" s="59" customFormat="1" ht="36">
      <c r="B102" s="157">
        <v>3</v>
      </c>
      <c r="C102" s="142" t="s">
        <v>1013</v>
      </c>
      <c r="D102" s="159" t="s">
        <v>350</v>
      </c>
      <c r="E102" s="158" t="s">
        <v>666</v>
      </c>
      <c r="F102" s="158" t="s">
        <v>627</v>
      </c>
      <c r="G102" s="160">
        <v>4.8531850728157997E-5</v>
      </c>
      <c r="H102" s="161" t="s">
        <v>664</v>
      </c>
      <c r="I102" s="162" t="s">
        <v>614</v>
      </c>
    </row>
    <row r="103" spans="2:14" ht="20.45" customHeight="1">
      <c r="B103" s="134"/>
      <c r="C103" s="135"/>
      <c r="D103" s="136"/>
      <c r="E103" s="136"/>
      <c r="F103" s="80"/>
      <c r="G103" s="80"/>
      <c r="H103" s="137"/>
      <c r="I103" s="137"/>
      <c r="J103" s="163"/>
      <c r="K103" s="137"/>
      <c r="L103" s="137"/>
      <c r="M103" s="137"/>
      <c r="N103" s="137"/>
    </row>
    <row r="104" spans="2:14" ht="15.75">
      <c r="B104" s="621" t="s">
        <v>421</v>
      </c>
      <c r="C104" s="621" t="s">
        <v>550</v>
      </c>
      <c r="D104" s="621" t="s">
        <v>422</v>
      </c>
      <c r="E104" s="621" t="s">
        <v>608</v>
      </c>
      <c r="F104" s="617" t="s">
        <v>609</v>
      </c>
      <c r="G104" s="619" t="s">
        <v>202</v>
      </c>
      <c r="H104" s="620"/>
      <c r="I104" s="138" t="s">
        <v>610</v>
      </c>
    </row>
    <row r="105" spans="2:14" ht="15.75">
      <c r="B105" s="610"/>
      <c r="C105" s="610"/>
      <c r="D105" s="610"/>
      <c r="E105" s="610"/>
      <c r="F105" s="610"/>
      <c r="G105" s="140" t="s">
        <v>585</v>
      </c>
      <c r="H105" s="141" t="s">
        <v>552</v>
      </c>
      <c r="I105" s="141" t="s">
        <v>611</v>
      </c>
    </row>
    <row r="106" spans="2:14" ht="48">
      <c r="B106" s="66">
        <v>1</v>
      </c>
      <c r="C106" s="341" t="s">
        <v>1014</v>
      </c>
      <c r="D106" s="156" t="s">
        <v>667</v>
      </c>
      <c r="E106" s="142" t="s">
        <v>668</v>
      </c>
      <c r="F106" s="142" t="s">
        <v>616</v>
      </c>
      <c r="G106" s="95">
        <v>0.37133429739544099</v>
      </c>
      <c r="H106" s="110" t="s">
        <v>223</v>
      </c>
      <c r="I106" s="95" t="s">
        <v>614</v>
      </c>
    </row>
    <row r="107" spans="2:14" ht="60">
      <c r="B107" s="66">
        <v>2</v>
      </c>
      <c r="C107" s="341" t="s">
        <v>1014</v>
      </c>
      <c r="D107" s="156" t="s">
        <v>354</v>
      </c>
      <c r="E107" s="142" t="s">
        <v>669</v>
      </c>
      <c r="F107" s="142" t="s">
        <v>616</v>
      </c>
      <c r="G107" s="95">
        <v>2.8490570223227398</v>
      </c>
      <c r="H107" s="110" t="s">
        <v>223</v>
      </c>
      <c r="I107" s="95" t="s">
        <v>614</v>
      </c>
    </row>
    <row r="108" spans="2:14" ht="60">
      <c r="B108" s="66">
        <v>3</v>
      </c>
      <c r="C108" s="341" t="s">
        <v>1014</v>
      </c>
      <c r="D108" s="156" t="s">
        <v>355</v>
      </c>
      <c r="E108" s="145" t="s">
        <v>669</v>
      </c>
      <c r="F108" s="142" t="s">
        <v>616</v>
      </c>
      <c r="G108" s="90">
        <v>2.8490570223227398</v>
      </c>
      <c r="H108" s="110" t="s">
        <v>223</v>
      </c>
      <c r="I108" s="95" t="s">
        <v>614</v>
      </c>
    </row>
    <row r="109" spans="2:14" ht="48">
      <c r="B109" s="66">
        <v>4</v>
      </c>
      <c r="C109" s="341" t="s">
        <v>1014</v>
      </c>
      <c r="D109" s="156" t="s">
        <v>274</v>
      </c>
      <c r="E109" s="142" t="s">
        <v>670</v>
      </c>
      <c r="F109" s="142" t="s">
        <v>616</v>
      </c>
      <c r="G109" s="95">
        <v>2.5237124650269598</v>
      </c>
      <c r="H109" s="110" t="s">
        <v>223</v>
      </c>
      <c r="I109" s="95" t="s">
        <v>614</v>
      </c>
    </row>
    <row r="110" spans="2:14" ht="20.45" customHeight="1">
      <c r="B110" s="134"/>
      <c r="C110" s="135"/>
      <c r="D110" s="136"/>
      <c r="E110" s="136"/>
      <c r="F110" s="80"/>
      <c r="G110" s="80"/>
      <c r="H110" s="137"/>
      <c r="I110" s="137"/>
      <c r="J110" s="137"/>
      <c r="K110" s="137"/>
      <c r="L110" s="137"/>
      <c r="M110" s="137"/>
      <c r="N110" s="137"/>
    </row>
    <row r="111" spans="2:14" ht="15.75">
      <c r="B111" s="621" t="s">
        <v>421</v>
      </c>
      <c r="C111" s="621" t="s">
        <v>550</v>
      </c>
      <c r="D111" s="621" t="s">
        <v>422</v>
      </c>
      <c r="E111" s="621" t="s">
        <v>608</v>
      </c>
      <c r="F111" s="617" t="s">
        <v>609</v>
      </c>
      <c r="G111" s="619" t="s">
        <v>202</v>
      </c>
      <c r="H111" s="620"/>
      <c r="I111" s="138" t="s">
        <v>610</v>
      </c>
    </row>
    <row r="112" spans="2:14" ht="15.75">
      <c r="B112" s="610"/>
      <c r="C112" s="610"/>
      <c r="D112" s="610"/>
      <c r="E112" s="610"/>
      <c r="F112" s="610"/>
      <c r="G112" s="140" t="s">
        <v>585</v>
      </c>
      <c r="H112" s="141" t="s">
        <v>552</v>
      </c>
      <c r="I112" s="141" t="s">
        <v>611</v>
      </c>
    </row>
    <row r="113" spans="2:14" ht="15" customHeight="1">
      <c r="B113" s="66">
        <v>1</v>
      </c>
      <c r="C113" s="142" t="s">
        <v>1015</v>
      </c>
      <c r="D113" s="156" t="s">
        <v>358</v>
      </c>
      <c r="E113" s="142" t="s">
        <v>671</v>
      </c>
      <c r="F113" s="146"/>
      <c r="G113" s="95">
        <v>8.4000000000000005E-2</v>
      </c>
      <c r="H113" s="96" t="s">
        <v>672</v>
      </c>
      <c r="I113" s="95" t="s">
        <v>673</v>
      </c>
    </row>
    <row r="114" spans="2:14" ht="15" customHeight="1">
      <c r="B114" s="66">
        <v>2</v>
      </c>
      <c r="C114" s="142" t="s">
        <v>1015</v>
      </c>
      <c r="D114" s="156" t="s">
        <v>350</v>
      </c>
      <c r="E114" s="142" t="s">
        <v>674</v>
      </c>
      <c r="F114" s="142" t="s">
        <v>616</v>
      </c>
      <c r="G114" s="95">
        <v>7.4873544302409098E-2</v>
      </c>
      <c r="H114" s="96" t="s">
        <v>672</v>
      </c>
      <c r="I114" s="95" t="s">
        <v>614</v>
      </c>
    </row>
    <row r="115" spans="2:14" ht="15" customHeight="1">
      <c r="B115" s="66">
        <v>3</v>
      </c>
      <c r="C115" s="142" t="s">
        <v>1015</v>
      </c>
      <c r="D115" s="73" t="s">
        <v>360</v>
      </c>
      <c r="E115" s="142" t="s">
        <v>675</v>
      </c>
      <c r="F115" s="142" t="s">
        <v>676</v>
      </c>
      <c r="G115" s="143">
        <f>53.5/10^3</f>
        <v>5.3499999999999999E-2</v>
      </c>
      <c r="H115" s="144" t="s">
        <v>362</v>
      </c>
      <c r="I115" s="95" t="s">
        <v>673</v>
      </c>
    </row>
    <row r="116" spans="2:14" ht="20.45" customHeight="1">
      <c r="B116" s="134"/>
      <c r="C116" s="135"/>
      <c r="D116" s="136"/>
      <c r="E116" s="136"/>
      <c r="F116" s="80"/>
      <c r="G116" s="80"/>
      <c r="H116" s="137"/>
      <c r="I116" s="137"/>
      <c r="J116" s="137"/>
      <c r="K116" s="137"/>
      <c r="L116" s="137"/>
      <c r="M116" s="137"/>
      <c r="N116" s="137"/>
    </row>
    <row r="117" spans="2:14" ht="15.75">
      <c r="B117" s="621" t="s">
        <v>421</v>
      </c>
      <c r="C117" s="621" t="s">
        <v>550</v>
      </c>
      <c r="D117" s="621" t="s">
        <v>422</v>
      </c>
      <c r="E117" s="621" t="s">
        <v>608</v>
      </c>
      <c r="F117" s="617" t="s">
        <v>609</v>
      </c>
      <c r="G117" s="619" t="s">
        <v>202</v>
      </c>
      <c r="H117" s="620"/>
      <c r="I117" s="138" t="s">
        <v>610</v>
      </c>
    </row>
    <row r="118" spans="2:14" ht="15.75">
      <c r="B118" s="610"/>
      <c r="C118" s="610"/>
      <c r="D118" s="610"/>
      <c r="E118" s="610"/>
      <c r="F118" s="610"/>
      <c r="G118" s="140" t="s">
        <v>585</v>
      </c>
      <c r="H118" s="141" t="s">
        <v>552</v>
      </c>
      <c r="I118" s="141" t="s">
        <v>611</v>
      </c>
    </row>
    <row r="119" spans="2:14" ht="15" customHeight="1">
      <c r="B119" s="66">
        <v>1</v>
      </c>
      <c r="C119" s="142" t="s">
        <v>1016</v>
      </c>
      <c r="D119" s="156" t="s">
        <v>364</v>
      </c>
      <c r="E119" s="142" t="s">
        <v>677</v>
      </c>
      <c r="F119" s="142" t="s">
        <v>616</v>
      </c>
      <c r="G119" s="95">
        <v>8.8000000000000005E-3</v>
      </c>
      <c r="H119" s="96" t="s">
        <v>672</v>
      </c>
      <c r="I119" s="95" t="s">
        <v>673</v>
      </c>
    </row>
    <row r="120" spans="2:14" ht="15" customHeight="1">
      <c r="B120" s="66">
        <v>2</v>
      </c>
      <c r="C120" s="142" t="s">
        <v>1016</v>
      </c>
      <c r="D120" s="156" t="s">
        <v>678</v>
      </c>
      <c r="E120" s="142" t="s">
        <v>679</v>
      </c>
      <c r="F120" s="142" t="s">
        <v>616</v>
      </c>
      <c r="G120" s="95">
        <v>2.7020260104150901E-2</v>
      </c>
      <c r="H120" s="96" t="s">
        <v>672</v>
      </c>
      <c r="I120" s="95" t="s">
        <v>614</v>
      </c>
    </row>
    <row r="121" spans="2:14" ht="15" customHeight="1">
      <c r="B121" s="66">
        <v>3</v>
      </c>
      <c r="C121" s="142" t="s">
        <v>1016</v>
      </c>
      <c r="D121" s="156" t="s">
        <v>366</v>
      </c>
      <c r="E121" s="142" t="s">
        <v>680</v>
      </c>
      <c r="F121" s="142" t="s">
        <v>616</v>
      </c>
      <c r="G121" s="95">
        <v>0.37142761569327498</v>
      </c>
      <c r="H121" s="96" t="s">
        <v>681</v>
      </c>
      <c r="I121" s="95" t="s">
        <v>614</v>
      </c>
    </row>
    <row r="122" spans="2:14" ht="15" customHeight="1">
      <c r="B122" s="66">
        <v>4</v>
      </c>
      <c r="C122" s="142" t="s">
        <v>1016</v>
      </c>
      <c r="D122" s="156" t="s">
        <v>368</v>
      </c>
      <c r="E122" s="142" t="s">
        <v>680</v>
      </c>
      <c r="F122" s="142" t="s">
        <v>616</v>
      </c>
      <c r="G122" s="95">
        <v>0.37142761569327498</v>
      </c>
      <c r="H122" s="96" t="s">
        <v>681</v>
      </c>
      <c r="I122" s="95" t="s">
        <v>614</v>
      </c>
    </row>
    <row r="124" spans="2:14" ht="15.75">
      <c r="B124" s="616" t="s">
        <v>421</v>
      </c>
      <c r="C124" s="616" t="s">
        <v>550</v>
      </c>
      <c r="D124" s="616" t="s">
        <v>422</v>
      </c>
      <c r="E124" s="621" t="s">
        <v>608</v>
      </c>
      <c r="F124" s="619" t="s">
        <v>202</v>
      </c>
      <c r="G124" s="620"/>
      <c r="H124" s="615" t="s">
        <v>682</v>
      </c>
      <c r="I124" s="616"/>
      <c r="J124" s="615" t="s">
        <v>24</v>
      </c>
    </row>
    <row r="125" spans="2:14" ht="15.75">
      <c r="B125" s="616"/>
      <c r="C125" s="616"/>
      <c r="D125" s="616"/>
      <c r="E125" s="610"/>
      <c r="F125" s="140" t="s">
        <v>585</v>
      </c>
      <c r="G125" s="141" t="s">
        <v>552</v>
      </c>
      <c r="H125" s="616"/>
      <c r="I125" s="616"/>
      <c r="J125" s="616"/>
    </row>
    <row r="126" spans="2:14" ht="15" customHeight="1">
      <c r="B126" s="66">
        <v>1</v>
      </c>
      <c r="C126" s="341" t="s">
        <v>1017</v>
      </c>
      <c r="D126" s="156" t="s">
        <v>372</v>
      </c>
      <c r="E126" s="146"/>
      <c r="F126" s="90">
        <v>0.75534228705514606</v>
      </c>
      <c r="G126" s="96" t="s">
        <v>594</v>
      </c>
      <c r="H126" s="643" t="s">
        <v>683</v>
      </c>
      <c r="I126" s="644"/>
      <c r="J126" s="164"/>
    </row>
    <row r="127" spans="2:14" ht="15" customHeight="1">
      <c r="B127" s="66">
        <v>2</v>
      </c>
      <c r="C127" s="341" t="s">
        <v>1017</v>
      </c>
      <c r="D127" s="156" t="s">
        <v>374</v>
      </c>
      <c r="E127" s="146"/>
      <c r="F127" s="90">
        <v>0.66726380218099701</v>
      </c>
      <c r="G127" s="96" t="s">
        <v>594</v>
      </c>
      <c r="H127" s="643" t="s">
        <v>684</v>
      </c>
      <c r="I127" s="644"/>
      <c r="J127" s="164"/>
    </row>
    <row r="128" spans="2:14" ht="15" customHeight="1">
      <c r="B128" s="66">
        <v>3</v>
      </c>
      <c r="C128" s="341" t="s">
        <v>1017</v>
      </c>
      <c r="D128" s="156" t="s">
        <v>375</v>
      </c>
      <c r="E128" s="146"/>
      <c r="F128" s="90">
        <v>9.5011763449958195E-2</v>
      </c>
      <c r="G128" s="96" t="s">
        <v>594</v>
      </c>
      <c r="H128" s="643" t="s">
        <v>685</v>
      </c>
      <c r="I128" s="644"/>
      <c r="J128" s="164"/>
    </row>
    <row r="129" spans="2:14" ht="231.75">
      <c r="B129" s="66">
        <v>4</v>
      </c>
      <c r="C129" s="341" t="s">
        <v>1017</v>
      </c>
      <c r="D129" s="156" t="s">
        <v>376</v>
      </c>
      <c r="E129" s="142" t="s">
        <v>686</v>
      </c>
      <c r="F129" s="90">
        <v>0.29021018284161199</v>
      </c>
      <c r="G129" s="96" t="s">
        <v>594</v>
      </c>
      <c r="H129" s="645"/>
      <c r="I129" s="646"/>
      <c r="J129" s="165" t="s">
        <v>687</v>
      </c>
    </row>
    <row r="130" spans="2:14">
      <c r="B130" s="80"/>
      <c r="C130" s="149"/>
      <c r="D130" s="166"/>
      <c r="E130" s="149"/>
      <c r="F130" s="167"/>
      <c r="G130" s="168"/>
      <c r="H130" s="169"/>
      <c r="I130" s="169"/>
      <c r="J130" s="170"/>
    </row>
    <row r="131" spans="2:14" ht="15" customHeight="1">
      <c r="B131" s="612" t="s">
        <v>421</v>
      </c>
      <c r="C131" s="612" t="s">
        <v>550</v>
      </c>
      <c r="D131" s="612" t="s">
        <v>422</v>
      </c>
      <c r="E131" s="612" t="s">
        <v>423</v>
      </c>
      <c r="F131" s="613" t="s">
        <v>551</v>
      </c>
      <c r="G131" s="612" t="s">
        <v>552</v>
      </c>
      <c r="H131" s="613" t="s">
        <v>553</v>
      </c>
      <c r="I131" s="613" t="s">
        <v>554</v>
      </c>
      <c r="J131" s="613"/>
      <c r="K131" s="613"/>
      <c r="L131" s="613" t="s">
        <v>555</v>
      </c>
      <c r="M131" s="613"/>
      <c r="N131" s="613"/>
    </row>
    <row r="132" spans="2:14" ht="15" customHeight="1">
      <c r="B132" s="612"/>
      <c r="C132" s="612"/>
      <c r="D132" s="612"/>
      <c r="E132" s="612"/>
      <c r="F132" s="613"/>
      <c r="G132" s="612"/>
      <c r="H132" s="613"/>
      <c r="I132" s="613" t="s">
        <v>556</v>
      </c>
      <c r="J132" s="613"/>
      <c r="K132" s="613"/>
      <c r="L132" s="614" t="s">
        <v>557</v>
      </c>
      <c r="M132" s="614"/>
      <c r="N132" s="614"/>
    </row>
    <row r="133" spans="2:14" ht="15.75">
      <c r="B133" s="612"/>
      <c r="C133" s="612"/>
      <c r="D133" s="612"/>
      <c r="E133" s="612"/>
      <c r="F133" s="64" t="s">
        <v>558</v>
      </c>
      <c r="G133" s="612"/>
      <c r="H133" s="64" t="s">
        <v>558</v>
      </c>
      <c r="I133" s="64" t="s">
        <v>202</v>
      </c>
      <c r="J133" s="64" t="s">
        <v>203</v>
      </c>
      <c r="K133" s="64" t="s">
        <v>204</v>
      </c>
      <c r="L133" s="64" t="s">
        <v>202</v>
      </c>
      <c r="M133" s="64" t="s">
        <v>203</v>
      </c>
      <c r="N133" s="64" t="s">
        <v>204</v>
      </c>
    </row>
    <row r="134" spans="2:14" ht="14.25">
      <c r="B134" s="66">
        <v>1</v>
      </c>
      <c r="C134" s="560" t="s">
        <v>1018</v>
      </c>
      <c r="D134" s="68" t="s">
        <v>378</v>
      </c>
      <c r="E134" s="68" t="s">
        <v>236</v>
      </c>
      <c r="F134" s="66">
        <v>173.85400000000001</v>
      </c>
      <c r="G134" s="69" t="s">
        <v>561</v>
      </c>
      <c r="H134" s="171">
        <v>0.99</v>
      </c>
      <c r="I134" s="66">
        <f>44400/10^6</f>
        <v>4.4400000000000002E-2</v>
      </c>
      <c r="J134" s="66">
        <f t="shared" ref="J134" si="4">1/10^6</f>
        <v>9.9999999999999995E-7</v>
      </c>
      <c r="K134" s="172">
        <f>0.1/10^6</f>
        <v>9.9999999999999995E-8</v>
      </c>
      <c r="L134" s="66">
        <f t="shared" ref="L134" si="5">F134*H134*I134</f>
        <v>7.6419264240000002</v>
      </c>
      <c r="M134" s="72">
        <f t="shared" ref="M134" si="6">F134*H134*J134</f>
        <v>1.7211546000000001E-4</v>
      </c>
      <c r="N134" s="66">
        <f t="shared" ref="N134" si="7">F134*H134*K134</f>
        <v>1.7211545999999999E-5</v>
      </c>
    </row>
    <row r="135" spans="2:14">
      <c r="B135" s="80"/>
      <c r="C135" s="81"/>
      <c r="D135" s="82"/>
      <c r="E135" s="82"/>
      <c r="F135" s="80"/>
      <c r="G135" s="83"/>
      <c r="H135" s="84"/>
      <c r="I135" s="80"/>
      <c r="J135" s="80"/>
      <c r="K135" s="85"/>
      <c r="L135" s="80"/>
      <c r="M135" s="86"/>
      <c r="N135" s="80"/>
    </row>
    <row r="136" spans="2:14" ht="15.75">
      <c r="B136" s="609" t="s">
        <v>421</v>
      </c>
      <c r="C136" s="609" t="s">
        <v>550</v>
      </c>
      <c r="D136" s="609" t="s">
        <v>422</v>
      </c>
      <c r="E136" s="609" t="s">
        <v>608</v>
      </c>
      <c r="F136" s="611" t="s">
        <v>609</v>
      </c>
      <c r="G136" s="607" t="s">
        <v>202</v>
      </c>
      <c r="H136" s="608"/>
      <c r="I136" s="173" t="s">
        <v>610</v>
      </c>
    </row>
    <row r="137" spans="2:14" ht="15.75">
      <c r="B137" s="610"/>
      <c r="C137" s="610"/>
      <c r="D137" s="610"/>
      <c r="E137" s="610"/>
      <c r="F137" s="610"/>
      <c r="G137" s="140" t="s">
        <v>585</v>
      </c>
      <c r="H137" s="141" t="s">
        <v>552</v>
      </c>
      <c r="I137" s="141" t="s">
        <v>611</v>
      </c>
    </row>
    <row r="138" spans="2:14" ht="48">
      <c r="B138" s="66">
        <v>1</v>
      </c>
      <c r="C138" s="561" t="s">
        <v>1019</v>
      </c>
      <c r="D138" s="156" t="str">
        <f>表1温室气体盘查表!C103</f>
        <v>产品报废</v>
      </c>
      <c r="E138" s="142" t="s">
        <v>688</v>
      </c>
      <c r="F138" s="142" t="s">
        <v>616</v>
      </c>
      <c r="G138" s="95">
        <v>6.2630124048458496E-3</v>
      </c>
      <c r="H138" s="96" t="s">
        <v>594</v>
      </c>
      <c r="I138" s="95" t="s">
        <v>614</v>
      </c>
    </row>
  </sheetData>
  <mergeCells count="101">
    <mergeCell ref="L2:N2"/>
    <mergeCell ref="I3:K3"/>
    <mergeCell ref="L3:N3"/>
    <mergeCell ref="H33:I33"/>
    <mergeCell ref="H34:I34"/>
    <mergeCell ref="H35:I35"/>
    <mergeCell ref="H38:I38"/>
    <mergeCell ref="H40:N40"/>
    <mergeCell ref="K31:K32"/>
    <mergeCell ref="L31:L32"/>
    <mergeCell ref="L131:N131"/>
    <mergeCell ref="I132:K132"/>
    <mergeCell ref="L132:N132"/>
    <mergeCell ref="H41:N41"/>
    <mergeCell ref="H42:N42"/>
    <mergeCell ref="G44:H44"/>
    <mergeCell ref="F71:G71"/>
    <mergeCell ref="G85:H85"/>
    <mergeCell ref="G98:H98"/>
    <mergeCell ref="G104:H104"/>
    <mergeCell ref="G111:H111"/>
    <mergeCell ref="G117:H117"/>
    <mergeCell ref="G136:H136"/>
    <mergeCell ref="B2:B4"/>
    <mergeCell ref="B15:B16"/>
    <mergeCell ref="B31:B32"/>
    <mergeCell ref="B44:B45"/>
    <mergeCell ref="B71:B72"/>
    <mergeCell ref="B85:B86"/>
    <mergeCell ref="B98:B99"/>
    <mergeCell ref="B104:B105"/>
    <mergeCell ref="B111:B112"/>
    <mergeCell ref="B117:B118"/>
    <mergeCell ref="B124:B125"/>
    <mergeCell ref="B131:B133"/>
    <mergeCell ref="B136:B137"/>
    <mergeCell ref="C2:C4"/>
    <mergeCell ref="C15:C16"/>
    <mergeCell ref="C31:C32"/>
    <mergeCell ref="C44:C45"/>
    <mergeCell ref="C71:C72"/>
    <mergeCell ref="C85:C86"/>
    <mergeCell ref="C98:C99"/>
    <mergeCell ref="C104:C105"/>
    <mergeCell ref="C111:C112"/>
    <mergeCell ref="C117:C118"/>
    <mergeCell ref="C124:C125"/>
    <mergeCell ref="C131:C133"/>
    <mergeCell ref="C136:C137"/>
    <mergeCell ref="D2:D4"/>
    <mergeCell ref="D15:D16"/>
    <mergeCell ref="D31:D32"/>
    <mergeCell ref="D44:D45"/>
    <mergeCell ref="D71:D72"/>
    <mergeCell ref="D85:D86"/>
    <mergeCell ref="D98:D99"/>
    <mergeCell ref="D104:D105"/>
    <mergeCell ref="D111:D112"/>
    <mergeCell ref="D117:D118"/>
    <mergeCell ref="D124:D125"/>
    <mergeCell ref="D131:D133"/>
    <mergeCell ref="D136:D137"/>
    <mergeCell ref="E117:E118"/>
    <mergeCell ref="E124:E125"/>
    <mergeCell ref="E131:E133"/>
    <mergeCell ref="E136:E137"/>
    <mergeCell ref="F2:F3"/>
    <mergeCell ref="F44:F45"/>
    <mergeCell ref="F85:F86"/>
    <mergeCell ref="F98:F99"/>
    <mergeCell ref="F104:F105"/>
    <mergeCell ref="F111:F112"/>
    <mergeCell ref="F117:F118"/>
    <mergeCell ref="F131:F132"/>
    <mergeCell ref="F136:F137"/>
    <mergeCell ref="E2:E4"/>
    <mergeCell ref="E15:E16"/>
    <mergeCell ref="E31:E32"/>
    <mergeCell ref="E44:E45"/>
    <mergeCell ref="E71:E72"/>
    <mergeCell ref="E85:E86"/>
    <mergeCell ref="E98:E99"/>
    <mergeCell ref="E104:E105"/>
    <mergeCell ref="E111:E112"/>
    <mergeCell ref="F124:G124"/>
    <mergeCell ref="G2:G4"/>
    <mergeCell ref="G15:G16"/>
    <mergeCell ref="G131:G133"/>
    <mergeCell ref="H2:H3"/>
    <mergeCell ref="H31:H32"/>
    <mergeCell ref="H131:H132"/>
    <mergeCell ref="I31:I32"/>
    <mergeCell ref="J31:J32"/>
    <mergeCell ref="J124:J125"/>
    <mergeCell ref="H124:I125"/>
    <mergeCell ref="H126:I126"/>
    <mergeCell ref="H127:I127"/>
    <mergeCell ref="H128:I128"/>
    <mergeCell ref="H129:I129"/>
    <mergeCell ref="I131:K131"/>
    <mergeCell ref="I2:K2"/>
  </mergeCells>
  <phoneticPr fontId="87" type="noConversion"/>
  <dataValidations count="6">
    <dataValidation type="list" allowBlank="1" showInputMessage="1" showErrorMessage="1" sqref="D29 D36:D38" xr:uid="{00000000-0002-0000-0700-000000000000}">
      <formula1>#REF!</formula1>
    </dataValidation>
    <dataValidation type="list" allowBlank="1" showInputMessage="1" showErrorMessage="1" sqref="G29" xr:uid="{00000000-0002-0000-0700-000001000000}">
      <formula1>"KJ/kg,KJ/M3"</formula1>
    </dataValidation>
    <dataValidation type="list" allowBlank="1" showInputMessage="1" showErrorMessage="1" sqref="I29 F36:F38" xr:uid="{00000000-0002-0000-0700-000002000000}">
      <formula1>"kgCO2/TJ"</formula1>
    </dataValidation>
    <dataValidation type="list" allowBlank="1" showInputMessage="1" showErrorMessage="1" sqref="K29" xr:uid="{00000000-0002-0000-0700-000003000000}">
      <formula1>"kgCO2/kg,kgCO2/M3"</formula1>
    </dataValidation>
    <dataValidation type="list" allowBlank="1" showInputMessage="1" showErrorMessage="1" sqref="E36" xr:uid="{00000000-0002-0000-0700-000004000000}">
      <formula1>$T$3:$T$30</formula1>
    </dataValidation>
    <dataValidation type="list" allowBlank="1" showInputMessage="1" showErrorMessage="1" sqref="K36:K37" xr:uid="{00000000-0002-0000-0700-000005000000}">
      <formula1>"kgCH4/kg,kgCH4/M3,kgCH4/kgBOD"</formula1>
    </dataValidation>
  </dataValidations>
  <pageMargins left="0.59055118110236204" right="0.55118110236220497" top="0.43307086614173201" bottom="0.90551181102362199" header="0.39370078740157499" footer="0.35433070866141703"/>
  <pageSetup paperSize="9" scale="79" fitToWidth="2" orientation="landscape"/>
  <headerFooter alignWithMargins="0">
    <oddFooter>&amp;L文件名稱：DMC溫室氣體盤查填表　&amp;C發行日期：2009-12-25
實施日期：2009-12-25</oddFooter>
  </headerFooter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N15"/>
  <sheetViews>
    <sheetView topLeftCell="B7" workbookViewId="0">
      <selection activeCell="N12" sqref="N12"/>
    </sheetView>
  </sheetViews>
  <sheetFormatPr defaultColWidth="8.75" defaultRowHeight="14.25"/>
  <cols>
    <col min="1" max="1" width="9" style="42"/>
    <col min="2" max="2" width="5" style="42" customWidth="1"/>
    <col min="3" max="3" width="18.625" style="42" customWidth="1"/>
    <col min="4" max="4" width="56.5" style="42" customWidth="1"/>
    <col min="5" max="5" width="9.75" style="42" customWidth="1"/>
    <col min="6" max="6" width="9" style="42"/>
    <col min="7" max="7" width="12" style="42" customWidth="1"/>
    <col min="8" max="8" width="9" style="42"/>
    <col min="9" max="9" width="20.5" style="42" bestFit="1" customWidth="1"/>
    <col min="10" max="10" width="9.75" style="42" bestFit="1" customWidth="1"/>
    <col min="11" max="11" width="22.75" style="42" bestFit="1" customWidth="1"/>
    <col min="12" max="12" width="10.5" style="42" bestFit="1" customWidth="1"/>
    <col min="13" max="13" width="9.75" style="42" bestFit="1" customWidth="1"/>
    <col min="14" max="14" width="12.75" style="42" bestFit="1" customWidth="1"/>
    <col min="15" max="32" width="9" style="42"/>
    <col min="33" max="16384" width="8.75" style="42"/>
  </cols>
  <sheetData>
    <row r="2" spans="2:14" ht="18.75">
      <c r="B2" s="660" t="s">
        <v>689</v>
      </c>
      <c r="C2" s="660"/>
      <c r="D2" s="661"/>
      <c r="E2" s="660"/>
      <c r="F2" s="660"/>
      <c r="G2" s="661"/>
    </row>
    <row r="3" spans="2:14" ht="27">
      <c r="B3" s="43" t="s">
        <v>690</v>
      </c>
      <c r="C3" s="44" t="s">
        <v>691</v>
      </c>
      <c r="D3" s="45" t="s">
        <v>692</v>
      </c>
      <c r="E3" s="44" t="s">
        <v>693</v>
      </c>
      <c r="F3" s="44" t="s">
        <v>694</v>
      </c>
      <c r="G3" s="45" t="s">
        <v>695</v>
      </c>
      <c r="I3" s="43" t="s">
        <v>690</v>
      </c>
      <c r="J3" s="44" t="s">
        <v>691</v>
      </c>
      <c r="K3" s="45" t="s">
        <v>692</v>
      </c>
      <c r="L3" s="44" t="s">
        <v>693</v>
      </c>
      <c r="M3" s="44" t="s">
        <v>694</v>
      </c>
      <c r="N3" s="45" t="s">
        <v>695</v>
      </c>
    </row>
    <row r="4" spans="2:14" ht="54">
      <c r="B4" s="46">
        <v>1</v>
      </c>
      <c r="C4" s="47" t="s">
        <v>696</v>
      </c>
      <c r="D4" s="48" t="s">
        <v>697</v>
      </c>
      <c r="E4" s="46" t="s">
        <v>698</v>
      </c>
      <c r="F4" s="47" t="s">
        <v>699</v>
      </c>
      <c r="G4" s="48" t="s">
        <v>700</v>
      </c>
      <c r="I4" s="48" t="s">
        <v>1197</v>
      </c>
      <c r="J4" s="48"/>
      <c r="K4" s="48"/>
      <c r="L4" s="48"/>
      <c r="M4" s="48"/>
      <c r="N4" s="48"/>
    </row>
    <row r="5" spans="2:14" ht="40.5">
      <c r="B5" s="46">
        <v>2</v>
      </c>
      <c r="C5" s="47" t="s">
        <v>701</v>
      </c>
      <c r="D5" s="48" t="s">
        <v>702</v>
      </c>
      <c r="E5" s="46" t="s">
        <v>698</v>
      </c>
      <c r="F5" s="47" t="s">
        <v>699</v>
      </c>
      <c r="G5" s="48" t="s">
        <v>703</v>
      </c>
      <c r="I5" s="48" t="s">
        <v>1191</v>
      </c>
      <c r="J5" s="48" t="s">
        <v>1192</v>
      </c>
      <c r="K5" s="48" t="s">
        <v>1193</v>
      </c>
      <c r="L5" s="48" t="s">
        <v>1194</v>
      </c>
      <c r="M5" s="48" t="s">
        <v>1195</v>
      </c>
      <c r="N5" s="48" t="s">
        <v>1196</v>
      </c>
    </row>
    <row r="6" spans="2:14" ht="27">
      <c r="B6" s="46">
        <v>3</v>
      </c>
      <c r="C6" s="47" t="s">
        <v>704</v>
      </c>
      <c r="D6" s="49" t="s">
        <v>705</v>
      </c>
      <c r="E6" s="46" t="s">
        <v>698</v>
      </c>
      <c r="F6" s="47" t="s">
        <v>699</v>
      </c>
      <c r="G6" s="48" t="s">
        <v>706</v>
      </c>
      <c r="I6" s="48" t="s">
        <v>864</v>
      </c>
      <c r="J6" s="48"/>
      <c r="K6" s="48"/>
      <c r="L6" s="48"/>
      <c r="M6" s="48"/>
      <c r="N6" s="48"/>
    </row>
    <row r="7" spans="2:14" ht="81">
      <c r="B7" s="46">
        <v>4</v>
      </c>
      <c r="C7" s="47" t="s">
        <v>707</v>
      </c>
      <c r="D7" s="49" t="s">
        <v>708</v>
      </c>
      <c r="E7" s="46" t="s">
        <v>698</v>
      </c>
      <c r="F7" s="47" t="s">
        <v>699</v>
      </c>
      <c r="G7" s="48" t="s">
        <v>709</v>
      </c>
    </row>
    <row r="8" spans="2:14">
      <c r="B8" s="50"/>
      <c r="C8" s="50"/>
      <c r="D8" s="51"/>
      <c r="E8" s="50"/>
      <c r="F8" s="50"/>
      <c r="G8" s="51"/>
    </row>
    <row r="9" spans="2:14" ht="18.75">
      <c r="B9" s="662" t="s">
        <v>710</v>
      </c>
      <c r="C9" s="662"/>
      <c r="D9" s="663"/>
      <c r="E9" s="662"/>
      <c r="F9" s="662"/>
      <c r="G9" s="663"/>
    </row>
    <row r="10" spans="2:14" ht="27">
      <c r="B10" s="43" t="s">
        <v>690</v>
      </c>
      <c r="C10" s="52" t="s">
        <v>691</v>
      </c>
      <c r="D10" s="53" t="s">
        <v>692</v>
      </c>
      <c r="E10" s="52" t="s">
        <v>693</v>
      </c>
      <c r="F10" s="52" t="s">
        <v>694</v>
      </c>
      <c r="G10" s="53" t="s">
        <v>695</v>
      </c>
      <c r="I10" s="43" t="s">
        <v>690</v>
      </c>
      <c r="J10" s="44" t="s">
        <v>691</v>
      </c>
      <c r="K10" s="45" t="s">
        <v>692</v>
      </c>
      <c r="L10" s="44" t="s">
        <v>693</v>
      </c>
      <c r="M10" s="44" t="s">
        <v>694</v>
      </c>
      <c r="N10" s="45" t="s">
        <v>695</v>
      </c>
    </row>
    <row r="11" spans="2:14" ht="60">
      <c r="B11" s="46">
        <v>1</v>
      </c>
      <c r="C11" s="54" t="s">
        <v>711</v>
      </c>
      <c r="D11" s="55" t="s">
        <v>712</v>
      </c>
      <c r="E11" s="54" t="s">
        <v>698</v>
      </c>
      <c r="F11" s="54" t="s">
        <v>713</v>
      </c>
      <c r="G11" s="55" t="s">
        <v>714</v>
      </c>
      <c r="I11" s="48" t="s">
        <v>1198</v>
      </c>
      <c r="J11" s="48"/>
      <c r="K11" s="48"/>
      <c r="L11" s="48"/>
      <c r="M11" s="48"/>
      <c r="N11" s="48"/>
    </row>
    <row r="12" spans="2:14" ht="48">
      <c r="B12" s="46">
        <v>2</v>
      </c>
      <c r="C12" s="54" t="s">
        <v>715</v>
      </c>
      <c r="D12" s="55" t="s">
        <v>716</v>
      </c>
      <c r="E12" s="54" t="s">
        <v>698</v>
      </c>
      <c r="F12" s="54" t="s">
        <v>713</v>
      </c>
      <c r="G12" s="55" t="s">
        <v>717</v>
      </c>
      <c r="I12" s="48" t="s">
        <v>1191</v>
      </c>
      <c r="J12" s="48" t="s">
        <v>1192</v>
      </c>
      <c r="K12" s="48" t="s">
        <v>1193</v>
      </c>
      <c r="L12" s="48" t="s">
        <v>1194</v>
      </c>
      <c r="M12" s="48" t="s">
        <v>1195</v>
      </c>
      <c r="N12" s="48" t="s">
        <v>1196</v>
      </c>
    </row>
    <row r="13" spans="2:14">
      <c r="I13" s="48" t="s">
        <v>864</v>
      </c>
      <c r="J13" s="48"/>
      <c r="K13" s="48"/>
      <c r="L13" s="48"/>
      <c r="M13" s="48"/>
      <c r="N13" s="48"/>
    </row>
    <row r="15" spans="2:14" ht="38.25"/>
  </sheetData>
  <mergeCells count="2">
    <mergeCell ref="B2:G2"/>
    <mergeCell ref="B9:G9"/>
  </mergeCells>
  <phoneticPr fontId="87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170"/>
  <sheetViews>
    <sheetView showGridLines="0" topLeftCell="A85" zoomScale="145" zoomScaleNormal="145" zoomScalePageLayoutView="85" workbookViewId="0">
      <selection activeCell="AP12" sqref="AP12"/>
    </sheetView>
  </sheetViews>
  <sheetFormatPr defaultColWidth="8.75" defaultRowHeight="15"/>
  <cols>
    <col min="1" max="1" width="3.375" style="21" customWidth="1"/>
    <col min="2" max="2" width="18.625" style="21" customWidth="1"/>
    <col min="3" max="3" width="8.5" style="22" customWidth="1"/>
    <col min="4" max="4" width="5.375" style="22" customWidth="1"/>
    <col min="5" max="5" width="11.375" style="21" customWidth="1"/>
    <col min="6" max="6" width="4.875" style="21" customWidth="1"/>
    <col min="7" max="7" width="12.375" style="21" hidden="1" customWidth="1"/>
    <col min="8" max="8" width="29.875" style="21" hidden="1" customWidth="1"/>
    <col min="9" max="9" width="6.625" style="21" hidden="1" customWidth="1"/>
    <col min="10" max="10" width="11.125" style="21" hidden="1" customWidth="1"/>
    <col min="11" max="11" width="13.5" style="21" hidden="1" customWidth="1"/>
    <col min="12" max="12" width="7.5" style="21" hidden="1" customWidth="1"/>
    <col min="13" max="13" width="9.75" style="21" hidden="1" customWidth="1"/>
    <col min="14" max="14" width="11.5" style="21" hidden="1" customWidth="1"/>
    <col min="15" max="15" width="8.125" style="21" hidden="1" customWidth="1"/>
    <col min="16" max="16" width="8.5" style="21" hidden="1" customWidth="1"/>
    <col min="17" max="17" width="10.375" style="21" hidden="1" customWidth="1"/>
    <col min="18" max="18" width="9.375" style="21" hidden="1" customWidth="1"/>
    <col min="19" max="19" width="10.125" style="21" hidden="1" customWidth="1"/>
    <col min="20" max="20" width="8.5" style="21" hidden="1" customWidth="1"/>
    <col min="21" max="21" width="10.375" style="21" hidden="1" customWidth="1"/>
    <col min="22" max="22" width="6.5" style="21" hidden="1" customWidth="1"/>
    <col min="23" max="23" width="14.625" style="21" hidden="1" customWidth="1"/>
    <col min="24" max="24" width="8.5" style="21" hidden="1" customWidth="1"/>
    <col min="25" max="25" width="10.375" style="21" hidden="1" customWidth="1"/>
    <col min="26" max="26" width="6.5" style="21" hidden="1" customWidth="1"/>
    <col min="27" max="27" width="8.5" style="21" hidden="1" customWidth="1"/>
    <col min="28" max="28" width="10.375" style="21" hidden="1" customWidth="1"/>
    <col min="29" max="29" width="6.5" style="21" hidden="1" customWidth="1"/>
    <col min="30" max="30" width="8.875" style="21"/>
    <col min="31" max="31" width="5" style="21"/>
    <col min="32" max="32" width="5.875" style="21" customWidth="1"/>
    <col min="33" max="33" width="5" style="21"/>
    <col min="34" max="34" width="4.5" style="21"/>
    <col min="35" max="35" width="6" style="21"/>
    <col min="36" max="36" width="3.75" style="21"/>
    <col min="37" max="37" width="8.875" style="21"/>
    <col min="38" max="63" width="9" style="21"/>
    <col min="64" max="16384" width="8.75" style="21"/>
  </cols>
  <sheetData>
    <row r="1" spans="1:37" ht="33.75" customHeight="1">
      <c r="A1" s="666" t="s">
        <v>718</v>
      </c>
      <c r="B1" s="667"/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  <c r="O1" s="667"/>
      <c r="P1" s="667"/>
      <c r="Q1" s="667"/>
      <c r="R1" s="667"/>
      <c r="S1" s="667"/>
      <c r="T1" s="667"/>
      <c r="U1" s="667"/>
      <c r="V1" s="667"/>
      <c r="W1" s="667"/>
      <c r="X1" s="667"/>
      <c r="Y1" s="667"/>
      <c r="Z1" s="667"/>
      <c r="AA1" s="667"/>
      <c r="AB1" s="667"/>
      <c r="AC1" s="667"/>
      <c r="AD1" s="667"/>
      <c r="AE1" s="667"/>
      <c r="AF1" s="667"/>
      <c r="AG1" s="667"/>
      <c r="AH1" s="667"/>
      <c r="AI1" s="667"/>
      <c r="AJ1" s="667"/>
      <c r="AK1" s="667"/>
    </row>
    <row r="2" spans="1:37" s="15" customFormat="1" ht="16.5" customHeight="1">
      <c r="A2" s="664" t="s">
        <v>719</v>
      </c>
      <c r="B2" s="664" t="s">
        <v>720</v>
      </c>
      <c r="C2" s="665" t="s">
        <v>721</v>
      </c>
      <c r="D2" s="665" t="s">
        <v>722</v>
      </c>
      <c r="E2" s="664" t="s">
        <v>723</v>
      </c>
      <c r="F2" s="664"/>
      <c r="G2" s="664" t="s">
        <v>724</v>
      </c>
      <c r="H2" s="664"/>
      <c r="I2" s="664"/>
      <c r="J2" s="664"/>
      <c r="K2" s="664"/>
      <c r="L2" s="664"/>
      <c r="M2" s="664"/>
      <c r="N2" s="664"/>
      <c r="O2" s="664"/>
      <c r="P2" s="664"/>
      <c r="Q2" s="664"/>
      <c r="R2" s="664"/>
      <c r="S2" s="664"/>
      <c r="T2" s="664"/>
      <c r="U2" s="664"/>
      <c r="V2" s="664"/>
      <c r="W2" s="664"/>
      <c r="X2" s="664"/>
      <c r="Y2" s="664"/>
      <c r="Z2" s="664"/>
      <c r="AA2" s="664"/>
      <c r="AB2" s="664"/>
      <c r="AC2" s="664"/>
      <c r="AD2" s="664" t="s">
        <v>725</v>
      </c>
      <c r="AE2" s="664"/>
      <c r="AF2" s="664"/>
      <c r="AG2" s="664"/>
      <c r="AH2" s="664"/>
      <c r="AI2" s="664"/>
      <c r="AJ2" s="664"/>
      <c r="AK2" s="664"/>
    </row>
    <row r="3" spans="1:37" s="15" customFormat="1" ht="15.75">
      <c r="A3" s="664"/>
      <c r="B3" s="664"/>
      <c r="C3" s="665"/>
      <c r="D3" s="665"/>
      <c r="E3" s="664"/>
      <c r="F3" s="664"/>
      <c r="G3" s="664" t="s">
        <v>202</v>
      </c>
      <c r="H3" s="664"/>
      <c r="I3" s="664"/>
      <c r="J3" s="664" t="s">
        <v>203</v>
      </c>
      <c r="K3" s="664"/>
      <c r="L3" s="664"/>
      <c r="M3" s="664" t="s">
        <v>204</v>
      </c>
      <c r="N3" s="664"/>
      <c r="O3" s="664"/>
      <c r="P3" s="664" t="s">
        <v>29</v>
      </c>
      <c r="Q3" s="664"/>
      <c r="R3" s="664"/>
      <c r="S3" s="664"/>
      <c r="T3" s="664" t="s">
        <v>30</v>
      </c>
      <c r="U3" s="664"/>
      <c r="V3" s="664"/>
      <c r="W3" s="664"/>
      <c r="X3" s="664" t="s">
        <v>205</v>
      </c>
      <c r="Y3" s="664"/>
      <c r="Z3" s="664"/>
      <c r="AA3" s="664" t="s">
        <v>206</v>
      </c>
      <c r="AB3" s="664"/>
      <c r="AC3" s="664"/>
      <c r="AD3" s="23" t="str">
        <f>G3</f>
        <v>CO2</v>
      </c>
      <c r="AE3" s="23" t="str">
        <f>J3</f>
        <v>CH4</v>
      </c>
      <c r="AF3" s="23" t="str">
        <f>M3</f>
        <v>N2O</v>
      </c>
      <c r="AG3" s="23" t="str">
        <f>P3</f>
        <v>HFCs</v>
      </c>
      <c r="AH3" s="23" t="str">
        <f>T3</f>
        <v>PFCs</v>
      </c>
      <c r="AI3" s="23" t="str">
        <f>X3</f>
        <v>SF6</v>
      </c>
      <c r="AJ3" s="23" t="str">
        <f>AA3</f>
        <v>NF3</v>
      </c>
      <c r="AK3" s="23" t="s">
        <v>726</v>
      </c>
    </row>
    <row r="4" spans="1:37" s="15" customFormat="1" ht="15.75">
      <c r="A4" s="664"/>
      <c r="B4" s="664"/>
      <c r="C4" s="665"/>
      <c r="D4" s="665"/>
      <c r="E4" s="23" t="s">
        <v>727</v>
      </c>
      <c r="F4" s="23" t="s">
        <v>728</v>
      </c>
      <c r="G4" s="23" t="s">
        <v>210</v>
      </c>
      <c r="H4" s="23" t="s">
        <v>728</v>
      </c>
      <c r="I4" s="23" t="s">
        <v>211</v>
      </c>
      <c r="J4" s="23" t="s">
        <v>210</v>
      </c>
      <c r="K4" s="23" t="s">
        <v>728</v>
      </c>
      <c r="L4" s="23" t="s">
        <v>211</v>
      </c>
      <c r="M4" s="23" t="s">
        <v>210</v>
      </c>
      <c r="N4" s="23" t="s">
        <v>728</v>
      </c>
      <c r="O4" s="23" t="s">
        <v>211</v>
      </c>
      <c r="P4" s="23" t="s">
        <v>210</v>
      </c>
      <c r="Q4" s="23" t="s">
        <v>728</v>
      </c>
      <c r="R4" s="23" t="s">
        <v>211</v>
      </c>
      <c r="S4" s="23" t="s">
        <v>729</v>
      </c>
      <c r="T4" s="23" t="s">
        <v>210</v>
      </c>
      <c r="U4" s="23" t="s">
        <v>728</v>
      </c>
      <c r="V4" s="23" t="s">
        <v>211</v>
      </c>
      <c r="W4" s="23" t="s">
        <v>729</v>
      </c>
      <c r="X4" s="23" t="s">
        <v>210</v>
      </c>
      <c r="Y4" s="23" t="s">
        <v>728</v>
      </c>
      <c r="Z4" s="23" t="s">
        <v>211</v>
      </c>
      <c r="AA4" s="23" t="s">
        <v>210</v>
      </c>
      <c r="AB4" s="23" t="s">
        <v>728</v>
      </c>
      <c r="AC4" s="23" t="s">
        <v>211</v>
      </c>
      <c r="AD4" s="664" t="s">
        <v>213</v>
      </c>
      <c r="AE4" s="664"/>
      <c r="AF4" s="664"/>
      <c r="AG4" s="664"/>
      <c r="AH4" s="664"/>
      <c r="AI4" s="664"/>
      <c r="AJ4" s="664"/>
      <c r="AK4" s="664"/>
    </row>
    <row r="5" spans="1:37" s="15" customFormat="1" ht="15.75">
      <c r="A5" s="24">
        <v>1</v>
      </c>
      <c r="B5" s="25" t="str">
        <f>表1温室气体盘查表!B5</f>
        <v>固定燃烧</v>
      </c>
      <c r="C5" s="26" t="str">
        <f>表1温室气体盘查表!C5</f>
        <v>天然气燃烧</v>
      </c>
      <c r="D5" s="27" t="str">
        <f>表1温室气体盘查表!E5</f>
        <v>范围一</v>
      </c>
      <c r="E5" s="28">
        <f>表1温室气体盘查表!F5</f>
        <v>1796.49</v>
      </c>
      <c r="F5" s="29" t="str">
        <f>表1温室气体盘查表!G5</f>
        <v>10000Nm3</v>
      </c>
      <c r="G5" s="30">
        <f>'附表2-EF'!K5*10</f>
        <v>9.9999999999999995E-7</v>
      </c>
      <c r="H5" s="29" t="s">
        <v>219</v>
      </c>
      <c r="I5" s="31">
        <f>'附表1-GWP TABLE'!E3</f>
        <v>1</v>
      </c>
      <c r="J5" s="32"/>
      <c r="K5" s="29"/>
      <c r="L5" s="31"/>
      <c r="M5" s="32"/>
      <c r="N5" s="29"/>
      <c r="O5" s="31"/>
      <c r="P5" s="33"/>
      <c r="Q5" s="34"/>
      <c r="R5" s="35"/>
      <c r="S5" s="34"/>
      <c r="T5" s="32"/>
      <c r="U5" s="29"/>
      <c r="V5" s="36"/>
      <c r="W5" s="29"/>
      <c r="X5" s="32"/>
      <c r="Y5" s="29"/>
      <c r="Z5" s="31"/>
      <c r="AA5" s="32"/>
      <c r="AB5" s="34"/>
      <c r="AC5" s="31"/>
      <c r="AD5" s="37">
        <f>表1温室气体盘查表!AE5</f>
        <v>38843.505734804101</v>
      </c>
      <c r="AE5" s="37">
        <f>表1温室气体盘查表!AF5</f>
        <v>19.317893226399899</v>
      </c>
      <c r="AF5" s="37">
        <f>表1温室气体盘查表!AG5</f>
        <v>18.9024546623913</v>
      </c>
      <c r="AG5" s="37">
        <f>表1温室气体盘查表!AH5</f>
        <v>0</v>
      </c>
      <c r="AH5" s="37">
        <f>表1温室气体盘查表!AI5</f>
        <v>0</v>
      </c>
      <c r="AI5" s="37">
        <f>表1温室气体盘查表!AJ5</f>
        <v>0</v>
      </c>
      <c r="AJ5" s="37">
        <f>表1温室气体盘查表!AK5</f>
        <v>0</v>
      </c>
      <c r="AK5" s="37">
        <f>表1温室气体盘查表!AL5</f>
        <v>38881.726082692898</v>
      </c>
    </row>
    <row r="6" spans="1:37" s="16" customFormat="1" ht="14.25">
      <c r="A6" s="24">
        <v>2</v>
      </c>
      <c r="B6" s="25" t="str">
        <f>表1温室气体盘查表!B6</f>
        <v>固定燃烧</v>
      </c>
      <c r="C6" s="26" t="str">
        <f>表1温室气体盘查表!C6</f>
        <v>液化石油气燃烧</v>
      </c>
      <c r="D6" s="27" t="str">
        <f>表1温室气体盘查表!E6</f>
        <v>范围一</v>
      </c>
      <c r="E6" s="28">
        <f>表1温室气体盘查表!F6</f>
        <v>9.39</v>
      </c>
      <c r="F6" s="29" t="str">
        <f>表1温室气体盘查表!G6</f>
        <v>t</v>
      </c>
      <c r="G6" s="30">
        <f>'附表2-EF'!K6*10</f>
        <v>9.9999999999999995E-7</v>
      </c>
      <c r="H6" s="29" t="s">
        <v>730</v>
      </c>
      <c r="I6" s="31">
        <f>'附表1-GWP TABLE'!E4</f>
        <v>27.9</v>
      </c>
      <c r="J6" s="32"/>
      <c r="K6" s="29"/>
      <c r="L6" s="31"/>
      <c r="M6" s="32"/>
      <c r="N6" s="29"/>
      <c r="O6" s="31"/>
      <c r="P6" s="33"/>
      <c r="Q6" s="34"/>
      <c r="R6" s="35"/>
      <c r="S6" s="34"/>
      <c r="T6" s="32"/>
      <c r="U6" s="29"/>
      <c r="V6" s="36"/>
      <c r="W6" s="29"/>
      <c r="X6" s="32"/>
      <c r="Y6" s="29"/>
      <c r="Z6" s="31"/>
      <c r="AA6" s="32"/>
      <c r="AB6" s="34"/>
      <c r="AC6" s="31"/>
      <c r="AD6" s="37">
        <f>表1温室气体盘查表!AE6</f>
        <v>29.13687892878</v>
      </c>
      <c r="AE6" s="37">
        <f>表1温室气体盘查表!AF6</f>
        <v>1.2883025707019999E-2</v>
      </c>
      <c r="AF6" s="37">
        <f>表1温室气体盘查表!AG6</f>
        <v>1.260597139074E-2</v>
      </c>
      <c r="AG6" s="37">
        <f>表1温室气体盘查表!AH6</f>
        <v>0</v>
      </c>
      <c r="AH6" s="37">
        <f>表1温室气体盘查表!AI6</f>
        <v>0</v>
      </c>
      <c r="AI6" s="37">
        <f>表1温室气体盘查表!AJ6</f>
        <v>0</v>
      </c>
      <c r="AJ6" s="37">
        <f>表1温室气体盘查表!AK6</f>
        <v>0</v>
      </c>
      <c r="AK6" s="37">
        <f>表1温室气体盘查表!AL6</f>
        <v>29.162367925877799</v>
      </c>
    </row>
    <row r="7" spans="1:37" s="15" customFormat="1" ht="15.75">
      <c r="A7" s="24">
        <v>3</v>
      </c>
      <c r="B7" s="25" t="str">
        <f>表1温室气体盘查表!B7</f>
        <v>固定燃烧</v>
      </c>
      <c r="C7" s="26" t="str">
        <f>表1温室气体盘查表!C7</f>
        <v>烟煤燃烧</v>
      </c>
      <c r="D7" s="27" t="str">
        <f>表1温室气体盘查表!E7</f>
        <v>范围一</v>
      </c>
      <c r="E7" s="28">
        <f>表1温室气体盘查表!F7</f>
        <v>399079.16</v>
      </c>
      <c r="F7" s="29" t="str">
        <f>表1温室气体盘查表!G7</f>
        <v>t</v>
      </c>
      <c r="G7" s="30">
        <f>'附表2-EF'!K7*10</f>
        <v>1.5E-5</v>
      </c>
      <c r="H7" s="29" t="s">
        <v>731</v>
      </c>
      <c r="I7" s="31">
        <f>'附表1-GWP TABLE'!E5</f>
        <v>273</v>
      </c>
      <c r="J7" s="32"/>
      <c r="K7" s="29"/>
      <c r="L7" s="31"/>
      <c r="M7" s="32"/>
      <c r="N7" s="29"/>
      <c r="O7" s="31"/>
      <c r="P7" s="33"/>
      <c r="Q7" s="34"/>
      <c r="R7" s="35"/>
      <c r="S7" s="34"/>
      <c r="T7" s="32"/>
      <c r="U7" s="29"/>
      <c r="V7" s="36"/>
      <c r="W7" s="29"/>
      <c r="X7" s="32"/>
      <c r="Y7" s="29"/>
      <c r="Z7" s="31"/>
      <c r="AA7" s="32"/>
      <c r="AB7" s="34"/>
      <c r="AC7" s="31"/>
      <c r="AD7" s="37">
        <f>表1温室气体盘查表!AE7</f>
        <v>921839.46146325802</v>
      </c>
      <c r="AE7" s="37">
        <f>表1温室气体盘查表!AF7</f>
        <v>261.641108594353</v>
      </c>
      <c r="AF7" s="37">
        <f>表1温室气体盘查表!AG7</f>
        <v>3840.2162713042098</v>
      </c>
      <c r="AG7" s="37">
        <f>表1温室气体盘查表!AH7</f>
        <v>0</v>
      </c>
      <c r="AH7" s="37">
        <f>表1温室气体盘查表!AI7</f>
        <v>0</v>
      </c>
      <c r="AI7" s="37">
        <f>表1温室气体盘查表!AJ7</f>
        <v>0</v>
      </c>
      <c r="AJ7" s="37">
        <f>表1温室气体盘查表!AK7</f>
        <v>0</v>
      </c>
      <c r="AK7" s="37">
        <f>表1温室气体盘查表!AL7</f>
        <v>925941.31884315598</v>
      </c>
    </row>
    <row r="8" spans="1:37" s="15" customFormat="1" ht="15.75">
      <c r="A8" s="24">
        <v>4</v>
      </c>
      <c r="B8" s="25" t="str">
        <f>表1温室气体盘查表!B8</f>
        <v>固定燃烧</v>
      </c>
      <c r="C8" s="26" t="str">
        <f>表1温室气体盘查表!C8</f>
        <v>无烟煤燃烧</v>
      </c>
      <c r="D8" s="27" t="str">
        <f>表1温室气体盘查表!E8</f>
        <v>范围一</v>
      </c>
      <c r="E8" s="28">
        <f>表1温室气体盘查表!F8</f>
        <v>260530.34</v>
      </c>
      <c r="F8" s="29" t="str">
        <f>表1温室气体盘查表!G8</f>
        <v>t</v>
      </c>
      <c r="G8" s="30">
        <f>'附表2-EF'!K8*10</f>
        <v>1.5E-5</v>
      </c>
      <c r="H8" s="29" t="s">
        <v>732</v>
      </c>
      <c r="I8" s="31">
        <f>'附表1-GWP TABLE'!E6</f>
        <v>0</v>
      </c>
      <c r="J8" s="32"/>
      <c r="K8" s="29"/>
      <c r="L8" s="31"/>
      <c r="M8" s="32"/>
      <c r="N8" s="29"/>
      <c r="O8" s="31"/>
      <c r="P8" s="33"/>
      <c r="Q8" s="34"/>
      <c r="R8" s="35"/>
      <c r="S8" s="34"/>
      <c r="T8" s="32"/>
      <c r="U8" s="29"/>
      <c r="V8" s="36"/>
      <c r="W8" s="29"/>
      <c r="X8" s="32"/>
      <c r="Y8" s="29"/>
      <c r="Z8" s="31"/>
      <c r="AA8" s="32"/>
      <c r="AB8" s="34"/>
      <c r="AC8" s="31"/>
      <c r="AD8" s="37">
        <f>表1温室气体盘查表!AE8</f>
        <v>634459.27419084695</v>
      </c>
      <c r="AE8" s="37">
        <f>表1温室气体盘查表!AF8</f>
        <v>180.07541963300699</v>
      </c>
      <c r="AF8" s="37">
        <f>表1温室气体盘查表!AG8</f>
        <v>2643.0424494521999</v>
      </c>
      <c r="AG8" s="37">
        <f>表1温室气体盘查表!AH8</f>
        <v>0</v>
      </c>
      <c r="AH8" s="37">
        <f>表1温室气体盘查表!AI8</f>
        <v>0</v>
      </c>
      <c r="AI8" s="37">
        <f>表1温室气体盘查表!AJ8</f>
        <v>0</v>
      </c>
      <c r="AJ8" s="37">
        <f>表1温室气体盘查表!AK8</f>
        <v>0</v>
      </c>
      <c r="AK8" s="37">
        <f>表1温室气体盘查表!AL8</f>
        <v>637282.392059932</v>
      </c>
    </row>
    <row r="9" spans="1:37" s="17" customFormat="1" ht="14.25">
      <c r="A9" s="24">
        <v>5</v>
      </c>
      <c r="B9" s="25" t="str">
        <f>表1温室气体盘查表!B9</f>
        <v>固定燃烧</v>
      </c>
      <c r="C9" s="26" t="str">
        <f>表1温室气体盘查表!C9</f>
        <v>洗精煤燃烧</v>
      </c>
      <c r="D9" s="27" t="str">
        <f>表1温室气体盘查表!E9</f>
        <v>范围一</v>
      </c>
      <c r="E9" s="28">
        <f>表1温室气体盘查表!F9</f>
        <v>1946577.05</v>
      </c>
      <c r="F9" s="29" t="str">
        <f>表1温室气体盘查表!G9</f>
        <v>t</v>
      </c>
      <c r="G9" s="30">
        <f>'附表2-EF'!K9*10</f>
        <v>1.5E-5</v>
      </c>
      <c r="H9" s="29" t="s">
        <v>733</v>
      </c>
      <c r="I9" s="31">
        <f>'附表1-GWP TABLE'!E7</f>
        <v>0</v>
      </c>
      <c r="J9" s="32"/>
      <c r="K9" s="29"/>
      <c r="L9" s="31"/>
      <c r="M9" s="32"/>
      <c r="N9" s="29"/>
      <c r="O9" s="31"/>
      <c r="P9" s="33"/>
      <c r="Q9" s="34"/>
      <c r="R9" s="35"/>
      <c r="S9" s="34"/>
      <c r="T9" s="32"/>
      <c r="U9" s="29"/>
      <c r="V9" s="36"/>
      <c r="W9" s="29"/>
      <c r="X9" s="32"/>
      <c r="Y9" s="29"/>
      <c r="Z9" s="31"/>
      <c r="AA9" s="32"/>
      <c r="AB9" s="34"/>
      <c r="AC9" s="31"/>
      <c r="AD9" s="37">
        <f>表1温室气体盘查表!AE9</f>
        <v>4802635.7291601999</v>
      </c>
      <c r="AE9" s="37">
        <f>表1温室气体盘查表!AF9</f>
        <v>1416.4221653654299</v>
      </c>
      <c r="AF9" s="37">
        <f>表1温室气体盘查表!AG9</f>
        <v>20789.422104557099</v>
      </c>
      <c r="AG9" s="37">
        <f>表1温室气体盘查表!AH9</f>
        <v>0</v>
      </c>
      <c r="AH9" s="37">
        <f>表1温室气体盘查表!AI9</f>
        <v>0</v>
      </c>
      <c r="AI9" s="37">
        <f>表1温室气体盘查表!AJ9</f>
        <v>0</v>
      </c>
      <c r="AJ9" s="37">
        <f>表1温室气体盘查表!AK9</f>
        <v>0</v>
      </c>
      <c r="AK9" s="37">
        <f>表1温室气体盘查表!AL9</f>
        <v>4824841.57343012</v>
      </c>
    </row>
    <row r="10" spans="1:37" s="15" customFormat="1" ht="15.75">
      <c r="A10" s="24">
        <v>6</v>
      </c>
      <c r="B10" s="25" t="str">
        <f>表1温室气体盘查表!B10</f>
        <v>固定燃烧</v>
      </c>
      <c r="C10" s="26" t="str">
        <f>表1温室气体盘查表!C10</f>
        <v>焦炭燃烧</v>
      </c>
      <c r="D10" s="27" t="str">
        <f>表1温室气体盘查表!E10</f>
        <v>范围一</v>
      </c>
      <c r="E10" s="28">
        <f>表1温室气体盘查表!F10</f>
        <v>145430.20000000001</v>
      </c>
      <c r="F10" s="29" t="str">
        <f>表1温室气体盘查表!G10</f>
        <v>t</v>
      </c>
      <c r="G10" s="30">
        <f>'附表2-EF'!K10*10</f>
        <v>1.5E-5</v>
      </c>
      <c r="H10" s="29" t="s">
        <v>734</v>
      </c>
      <c r="I10" s="31">
        <f>'附表1-GWP TABLE'!E8</f>
        <v>0</v>
      </c>
      <c r="J10" s="32"/>
      <c r="K10" s="29"/>
      <c r="L10" s="31"/>
      <c r="M10" s="32"/>
      <c r="N10" s="29"/>
      <c r="O10" s="31"/>
      <c r="P10" s="33"/>
      <c r="Q10" s="34"/>
      <c r="R10" s="35"/>
      <c r="S10" s="34"/>
      <c r="T10" s="32"/>
      <c r="U10" s="29"/>
      <c r="V10" s="36"/>
      <c r="W10" s="29"/>
      <c r="X10" s="32"/>
      <c r="Y10" s="29"/>
      <c r="Z10" s="31"/>
      <c r="AA10" s="32"/>
      <c r="AB10" s="34"/>
      <c r="AC10" s="31"/>
      <c r="AD10" s="37">
        <f>表1温室气体盘查表!AE10</f>
        <v>438053.14858040999</v>
      </c>
      <c r="AE10" s="37">
        <f>表1温室气体盘查表!AF10</f>
        <v>114.221335003677</v>
      </c>
      <c r="AF10" s="37">
        <f>表1温室气体盘查表!AG10</f>
        <v>1676.47443311848</v>
      </c>
      <c r="AG10" s="37">
        <f>表1温室气体盘查表!AH10</f>
        <v>0</v>
      </c>
      <c r="AH10" s="37">
        <f>表1温室气体盘查表!AI10</f>
        <v>0</v>
      </c>
      <c r="AI10" s="37">
        <f>表1温室气体盘查表!AJ10</f>
        <v>0</v>
      </c>
      <c r="AJ10" s="37">
        <f>表1温室气体盘查表!AK10</f>
        <v>0</v>
      </c>
      <c r="AK10" s="37">
        <f>表1温室气体盘查表!AL10</f>
        <v>439843.84434853197</v>
      </c>
    </row>
    <row r="11" spans="1:37" s="15" customFormat="1" ht="15.75">
      <c r="A11" s="24">
        <v>7</v>
      </c>
      <c r="B11" s="25" t="str">
        <f>表1温室气体盘查表!B11</f>
        <v>固定燃烧</v>
      </c>
      <c r="C11" s="26" t="str">
        <f>表1温室气体盘查表!C11</f>
        <v>焦屑燃烧</v>
      </c>
      <c r="D11" s="27" t="str">
        <f>表1温室气体盘查表!E11</f>
        <v>范围一</v>
      </c>
      <c r="E11" s="28">
        <f>表1温室气体盘查表!F11</f>
        <v>120570.5</v>
      </c>
      <c r="F11" s="29" t="str">
        <f>表1温室气体盘查表!G11</f>
        <v>t</v>
      </c>
      <c r="G11" s="30">
        <f>'附表2-EF'!K11*10</f>
        <v>9.9999999999999995E-7</v>
      </c>
      <c r="H11" s="29" t="s">
        <v>735</v>
      </c>
      <c r="I11" s="31">
        <f>'附表1-GWP TABLE'!E9</f>
        <v>0</v>
      </c>
      <c r="J11" s="32"/>
      <c r="K11" s="29"/>
      <c r="L11" s="31"/>
      <c r="M11" s="32"/>
      <c r="N11" s="29"/>
      <c r="O11" s="31"/>
      <c r="P11" s="33"/>
      <c r="Q11" s="34"/>
      <c r="R11" s="35"/>
      <c r="S11" s="34"/>
      <c r="T11" s="32"/>
      <c r="U11" s="29"/>
      <c r="V11" s="36"/>
      <c r="W11" s="29"/>
      <c r="X11" s="32"/>
      <c r="Y11" s="29"/>
      <c r="Z11" s="31"/>
      <c r="AA11" s="32"/>
      <c r="AB11" s="34"/>
      <c r="AC11" s="31"/>
      <c r="AD11" s="37">
        <f>表1温室气体盘查表!AE11</f>
        <v>363172.76020327501</v>
      </c>
      <c r="AE11" s="37">
        <f>表1温室气体盘查表!AF11</f>
        <v>94.696448688517506</v>
      </c>
      <c r="AF11" s="37">
        <f>表1温室气体盘查表!AG11</f>
        <v>1389.89948881534</v>
      </c>
      <c r="AG11" s="37">
        <f>表1温室气体盘查表!AH11</f>
        <v>0</v>
      </c>
      <c r="AH11" s="37">
        <f>表1温室气体盘查表!AI11</f>
        <v>0</v>
      </c>
      <c r="AI11" s="37">
        <f>表1温室气体盘查表!AJ11</f>
        <v>0</v>
      </c>
      <c r="AJ11" s="37">
        <f>表1温室气体盘查表!AK11</f>
        <v>0</v>
      </c>
      <c r="AK11" s="37">
        <f>表1温室气体盘查表!AL11</f>
        <v>364657.35614077898</v>
      </c>
    </row>
    <row r="12" spans="1:37" s="18" customFormat="1" ht="15.75">
      <c r="A12" s="24">
        <v>8</v>
      </c>
      <c r="B12" s="25" t="str">
        <f>表1温室气体盘查表!B12</f>
        <v>固定燃烧</v>
      </c>
      <c r="C12" s="26" t="str">
        <f>表1温室气体盘查表!C12</f>
        <v>焦炉煤气燃烧</v>
      </c>
      <c r="D12" s="27" t="str">
        <f>表1温室气体盘查表!E12</f>
        <v>范围一</v>
      </c>
      <c r="E12" s="28">
        <f>表1温室气体盘查表!F12</f>
        <v>-500.97</v>
      </c>
      <c r="F12" s="29" t="str">
        <f>表1温室气体盘查表!G12</f>
        <v>10000Nm3</v>
      </c>
      <c r="G12" s="30">
        <f>'附表2-EF'!K12*10</f>
        <v>3.8999999999999999E-5</v>
      </c>
      <c r="H12" s="29" t="s">
        <v>736</v>
      </c>
      <c r="I12" s="31">
        <f>'附表1-GWP TABLE'!E10</f>
        <v>0</v>
      </c>
      <c r="J12" s="32"/>
      <c r="K12" s="29"/>
      <c r="L12" s="31"/>
      <c r="M12" s="32"/>
      <c r="N12" s="29"/>
      <c r="O12" s="31"/>
      <c r="P12" s="33"/>
      <c r="Q12" s="34"/>
      <c r="R12" s="35"/>
      <c r="S12" s="34"/>
      <c r="T12" s="32"/>
      <c r="U12" s="29"/>
      <c r="V12" s="36"/>
      <c r="W12" s="29"/>
      <c r="X12" s="32"/>
      <c r="Y12" s="29"/>
      <c r="Z12" s="31"/>
      <c r="AA12" s="32"/>
      <c r="AB12" s="34"/>
      <c r="AC12" s="31"/>
      <c r="AD12" s="37">
        <f>表1温室气体盘查表!AE12</f>
        <v>-3828.3758806312799</v>
      </c>
      <c r="AE12" s="37">
        <f>表1温室气体盘查表!AF12</f>
        <v>-2.4056686276939798</v>
      </c>
      <c r="AF12" s="37">
        <f>表1温室气体盘查表!AG12</f>
        <v>-2.3539338184962602</v>
      </c>
      <c r="AG12" s="37">
        <f>表1温室气体盘查表!AH12</f>
        <v>0</v>
      </c>
      <c r="AH12" s="37">
        <f>表1温室气体盘查表!AI12</f>
        <v>0</v>
      </c>
      <c r="AI12" s="37">
        <f>表1温室气体盘查表!AJ12</f>
        <v>0</v>
      </c>
      <c r="AJ12" s="37">
        <f>表1温室气体盘查表!AK12</f>
        <v>0</v>
      </c>
      <c r="AK12" s="37">
        <f>表1温室气体盘查表!AL12</f>
        <v>-3833.1354830774699</v>
      </c>
    </row>
    <row r="13" spans="1:37" s="15" customFormat="1" ht="15.75">
      <c r="A13" s="24">
        <v>9</v>
      </c>
      <c r="B13" s="25" t="str">
        <f>表1温室气体盘查表!B13</f>
        <v>移动燃烧</v>
      </c>
      <c r="C13" s="26" t="str">
        <f>表1温室气体盘查表!C13</f>
        <v>0#柴油燃烧</v>
      </c>
      <c r="D13" s="27" t="str">
        <f>表1温室气体盘查表!E13</f>
        <v>范围一</v>
      </c>
      <c r="E13" s="28">
        <f>表1温室气体盘查表!F13</f>
        <v>1403.87</v>
      </c>
      <c r="F13" s="29" t="str">
        <f>表1温室气体盘查表!G13</f>
        <v>t</v>
      </c>
      <c r="G13" s="30">
        <f>'附表2-EF'!K13*10</f>
        <v>8.0000000000000007E-5</v>
      </c>
      <c r="H13" s="29" t="s">
        <v>737</v>
      </c>
      <c r="I13" s="31">
        <f>'附表1-GWP TABLE'!E11</f>
        <v>0</v>
      </c>
      <c r="J13" s="32"/>
      <c r="K13" s="29"/>
      <c r="L13" s="31"/>
      <c r="M13" s="32"/>
      <c r="N13" s="29"/>
      <c r="O13" s="31"/>
      <c r="P13" s="33"/>
      <c r="Q13" s="34"/>
      <c r="R13" s="35"/>
      <c r="S13" s="34"/>
      <c r="T13" s="32"/>
      <c r="U13" s="29"/>
      <c r="V13" s="36"/>
      <c r="W13" s="29"/>
      <c r="X13" s="32"/>
      <c r="Y13" s="29"/>
      <c r="Z13" s="31"/>
      <c r="AA13" s="32"/>
      <c r="AB13" s="34"/>
      <c r="AC13" s="31"/>
      <c r="AD13" s="37">
        <f>表1温室气体盘查表!AE13</f>
        <v>4348.2106727623204</v>
      </c>
      <c r="AE13" s="37">
        <f>表1温室气体盘查表!AF13</f>
        <v>6.38500409316151</v>
      </c>
      <c r="AF13" s="37">
        <f>表1温室气体盘查表!AG13</f>
        <v>62.476921771795404</v>
      </c>
      <c r="AG13" s="37">
        <f>表1温室气体盘查表!AH13</f>
        <v>0</v>
      </c>
      <c r="AH13" s="37">
        <f>表1温室气体盘查表!AI13</f>
        <v>0</v>
      </c>
      <c r="AI13" s="37">
        <f>表1温室气体盘查表!AJ13</f>
        <v>0</v>
      </c>
      <c r="AJ13" s="37">
        <f>表1温室气体盘查表!AK13</f>
        <v>0</v>
      </c>
      <c r="AK13" s="37">
        <f>表1温室气体盘查表!AL13</f>
        <v>4417.0725986272801</v>
      </c>
    </row>
    <row r="14" spans="1:37" s="18" customFormat="1" ht="15.75">
      <c r="A14" s="24">
        <v>10</v>
      </c>
      <c r="B14" s="25" t="str">
        <f>表1温室气体盘查表!B14</f>
        <v>移动燃烧</v>
      </c>
      <c r="C14" s="26" t="str">
        <f>表1温室气体盘查表!C14</f>
        <v>92#汽油燃烧</v>
      </c>
      <c r="D14" s="27" t="str">
        <f>表1温室气体盘查表!E14</f>
        <v>范围一</v>
      </c>
      <c r="E14" s="28">
        <f>表1温室气体盘查表!F14</f>
        <v>49.06</v>
      </c>
      <c r="F14" s="29" t="str">
        <f>表1温室气体盘查表!G14</f>
        <v>t</v>
      </c>
      <c r="G14" s="30">
        <f>'附表2-EF'!K14*10</f>
        <v>0</v>
      </c>
      <c r="H14" s="29" t="s">
        <v>738</v>
      </c>
      <c r="I14" s="31">
        <f>'附表1-GWP TABLE'!E12</f>
        <v>0</v>
      </c>
      <c r="J14" s="32"/>
      <c r="K14" s="29"/>
      <c r="L14" s="31"/>
      <c r="M14" s="32"/>
      <c r="N14" s="29"/>
      <c r="O14" s="31"/>
      <c r="P14" s="33"/>
      <c r="Q14" s="34"/>
      <c r="R14" s="35"/>
      <c r="S14" s="34"/>
      <c r="T14" s="32"/>
      <c r="U14" s="29"/>
      <c r="V14" s="36"/>
      <c r="W14" s="29"/>
      <c r="X14" s="32"/>
      <c r="Y14" s="29"/>
      <c r="Z14" s="31"/>
      <c r="AA14" s="32"/>
      <c r="AB14" s="34"/>
      <c r="AC14" s="31"/>
      <c r="AD14" s="37">
        <f>表1温室气体盘查表!AE14</f>
        <v>143.50324637879999</v>
      </c>
      <c r="AE14" s="37">
        <f>表1温室气体盘查表!AF14</f>
        <v>1.4443508564100001</v>
      </c>
      <c r="AF14" s="37">
        <f>表1温室气体盘查表!AG14</f>
        <v>4.5225265525439999</v>
      </c>
      <c r="AG14" s="37">
        <f>表1温室气体盘查表!AH14</f>
        <v>0</v>
      </c>
      <c r="AH14" s="37">
        <f>表1温室气体盘查表!AI14</f>
        <v>0</v>
      </c>
      <c r="AI14" s="37">
        <f>表1温室气体盘查表!AJ14</f>
        <v>0</v>
      </c>
      <c r="AJ14" s="37">
        <f>表1温室气体盘查表!AK14</f>
        <v>0</v>
      </c>
      <c r="AK14" s="37">
        <f>表1温室气体盘查表!AL14</f>
        <v>149.47012378775401</v>
      </c>
    </row>
    <row r="15" spans="1:37" s="18" customFormat="1" ht="16.5">
      <c r="A15" s="24">
        <v>11</v>
      </c>
      <c r="B15" s="25" t="str">
        <f>表1温室气体盘查表!B15</f>
        <v>逸散排放</v>
      </c>
      <c r="C15" s="26" t="str">
        <f>表1温室气体盘查表!C15</f>
        <v>制冷剂逸散（R32）</v>
      </c>
      <c r="D15" s="27" t="str">
        <f>表1温室气体盘查表!E15</f>
        <v>范围一</v>
      </c>
      <c r="E15" s="28">
        <f>表1温室气体盘查表!F15</f>
        <v>0.93</v>
      </c>
      <c r="F15" s="29" t="str">
        <f>表1温室气体盘查表!G15</f>
        <v>t</v>
      </c>
      <c r="G15" s="30">
        <f>'附表2-EF'!K15*10</f>
        <v>0</v>
      </c>
      <c r="H15" s="29" t="s">
        <v>739</v>
      </c>
      <c r="I15" s="31">
        <f>'附表1-GWP TABLE'!E13</f>
        <v>0</v>
      </c>
      <c r="J15" s="32"/>
      <c r="K15" s="29"/>
      <c r="L15" s="31"/>
      <c r="M15" s="32"/>
      <c r="N15" s="29"/>
      <c r="O15" s="31"/>
      <c r="P15" s="33"/>
      <c r="Q15" s="34"/>
      <c r="R15" s="35"/>
      <c r="S15" s="34"/>
      <c r="T15" s="32"/>
      <c r="U15" s="29"/>
      <c r="V15" s="36"/>
      <c r="W15" s="29"/>
      <c r="X15" s="32"/>
      <c r="Y15" s="29"/>
      <c r="Z15" s="31"/>
      <c r="AA15" s="32"/>
      <c r="AB15" s="34"/>
      <c r="AC15" s="31"/>
      <c r="AD15" s="37">
        <f>表1温室气体盘查表!AE15</f>
        <v>0</v>
      </c>
      <c r="AE15" s="37">
        <f>表1温室气体盘查表!AF15</f>
        <v>0</v>
      </c>
      <c r="AF15" s="37">
        <f>表1温室气体盘查表!AG15</f>
        <v>0</v>
      </c>
      <c r="AG15" s="37">
        <f>表1温室气体盘查表!AH15</f>
        <v>717.03</v>
      </c>
      <c r="AH15" s="37">
        <f>表1温室气体盘查表!AI15</f>
        <v>0</v>
      </c>
      <c r="AI15" s="37">
        <f>表1温室气体盘查表!AJ15</f>
        <v>0</v>
      </c>
      <c r="AJ15" s="37">
        <f>表1温室气体盘查表!AK15</f>
        <v>0</v>
      </c>
      <c r="AK15" s="37">
        <f>表1温室气体盘查表!AL15</f>
        <v>717.03</v>
      </c>
    </row>
    <row r="16" spans="1:37" s="19" customFormat="1" ht="14.25">
      <c r="A16" s="24">
        <v>12</v>
      </c>
      <c r="B16" s="25" t="str">
        <f>表1温室气体盘查表!B16</f>
        <v>逸散排放</v>
      </c>
      <c r="C16" s="26" t="str">
        <f>表1温室气体盘查表!C16</f>
        <v>CO2逸散</v>
      </c>
      <c r="D16" s="27" t="str">
        <f>表1温室气体盘查表!E16</f>
        <v>范围一</v>
      </c>
      <c r="E16" s="28">
        <f>表1温室气体盘查表!F16</f>
        <v>0.66</v>
      </c>
      <c r="F16" s="29" t="str">
        <f>表1温室气体盘查表!G16</f>
        <v>t</v>
      </c>
      <c r="G16" s="30">
        <f>'附表2-EF'!K16*10</f>
        <v>0</v>
      </c>
      <c r="H16" s="29" t="s">
        <v>740</v>
      </c>
      <c r="I16" s="31">
        <f>'附表1-GWP TABLE'!E14</f>
        <v>0</v>
      </c>
      <c r="J16" s="32"/>
      <c r="K16" s="29"/>
      <c r="L16" s="31"/>
      <c r="M16" s="32"/>
      <c r="N16" s="29"/>
      <c r="O16" s="31"/>
      <c r="P16" s="33"/>
      <c r="Q16" s="34"/>
      <c r="R16" s="35"/>
      <c r="S16" s="34"/>
      <c r="T16" s="32"/>
      <c r="U16" s="29"/>
      <c r="V16" s="36"/>
      <c r="W16" s="29"/>
      <c r="X16" s="32"/>
      <c r="Y16" s="29"/>
      <c r="Z16" s="31"/>
      <c r="AA16" s="32"/>
      <c r="AB16" s="34"/>
      <c r="AC16" s="31"/>
      <c r="AD16" s="37">
        <f>表1温室气体盘查表!AE16</f>
        <v>0.66</v>
      </c>
      <c r="AE16" s="37">
        <f>表1温室气体盘查表!AF16</f>
        <v>0</v>
      </c>
      <c r="AF16" s="37">
        <f>表1温室气体盘查表!AG16</f>
        <v>0</v>
      </c>
      <c r="AG16" s="37">
        <f>表1温室气体盘查表!AH16</f>
        <v>0</v>
      </c>
      <c r="AH16" s="37">
        <f>表1温室气体盘查表!AI16</f>
        <v>0</v>
      </c>
      <c r="AI16" s="37">
        <f>表1温室气体盘查表!AJ16</f>
        <v>0</v>
      </c>
      <c r="AJ16" s="37">
        <f>表1温室气体盘查表!AK16</f>
        <v>0</v>
      </c>
      <c r="AK16" s="37">
        <f>表1温室气体盘查表!AL16</f>
        <v>0.66</v>
      </c>
    </row>
    <row r="17" spans="1:37" s="19" customFormat="1" ht="14.25">
      <c r="A17" s="24">
        <v>13</v>
      </c>
      <c r="B17" s="25" t="str">
        <f>表1温室气体盘查表!B17</f>
        <v>逸散排放</v>
      </c>
      <c r="C17" s="26" t="str">
        <f>表1温室气体盘查表!C17</f>
        <v>CH4逸散</v>
      </c>
      <c r="D17" s="27" t="str">
        <f>表1温室气体盘查表!E17</f>
        <v>范围一</v>
      </c>
      <c r="E17" s="28">
        <f>表1温室气体盘查表!F17</f>
        <v>22.36</v>
      </c>
      <c r="F17" s="29" t="str">
        <f>表1温室气体盘查表!G17</f>
        <v>tBOD</v>
      </c>
      <c r="G17" s="30">
        <f>'附表2-EF'!K17*10</f>
        <v>0</v>
      </c>
      <c r="H17" s="29" t="s">
        <v>741</v>
      </c>
      <c r="I17" s="31">
        <f>'附表1-GWP TABLE'!E15</f>
        <v>0</v>
      </c>
      <c r="J17" s="32"/>
      <c r="K17" s="29"/>
      <c r="L17" s="31"/>
      <c r="M17" s="32"/>
      <c r="N17" s="29"/>
      <c r="O17" s="31"/>
      <c r="P17" s="33"/>
      <c r="Q17" s="34"/>
      <c r="R17" s="35"/>
      <c r="S17" s="34"/>
      <c r="T17" s="32"/>
      <c r="U17" s="29"/>
      <c r="V17" s="36"/>
      <c r="W17" s="29"/>
      <c r="X17" s="32"/>
      <c r="Y17" s="29"/>
      <c r="Z17" s="31"/>
      <c r="AA17" s="32"/>
      <c r="AB17" s="34"/>
      <c r="AC17" s="31"/>
      <c r="AD17" s="37">
        <f>表1温室气体盘查表!AE17</f>
        <v>0</v>
      </c>
      <c r="AE17" s="37">
        <f>表1温室气体盘查表!AF17</f>
        <v>112.29192</v>
      </c>
      <c r="AF17" s="37">
        <f>表1温室气体盘查表!AG17</f>
        <v>0</v>
      </c>
      <c r="AG17" s="37">
        <f>表1温室气体盘查表!AH17</f>
        <v>0</v>
      </c>
      <c r="AH17" s="37">
        <f>表1温室气体盘查表!AI17</f>
        <v>0</v>
      </c>
      <c r="AI17" s="37">
        <f>表1温室气体盘查表!AJ17</f>
        <v>0</v>
      </c>
      <c r="AJ17" s="37">
        <f>表1温室气体盘查表!AK17</f>
        <v>0</v>
      </c>
      <c r="AK17" s="37">
        <f>表1温室气体盘查表!AL17</f>
        <v>112.29192</v>
      </c>
    </row>
    <row r="18" spans="1:37" s="19" customFormat="1" ht="14.25">
      <c r="A18" s="24">
        <v>14</v>
      </c>
      <c r="B18" s="25" t="str">
        <f>表1温室气体盘查表!B18</f>
        <v>逸散排放</v>
      </c>
      <c r="C18" s="26" t="str">
        <f>表1温室气体盘查表!C18</f>
        <v>CH4逸散</v>
      </c>
      <c r="D18" s="27" t="str">
        <f>表1温室气体盘查表!E18</f>
        <v>范围一</v>
      </c>
      <c r="E18" s="28">
        <f>表1温室气体盘查表!F18</f>
        <v>174.71</v>
      </c>
      <c r="F18" s="29" t="str">
        <f>表1温室气体盘查表!G18</f>
        <v>tCOD</v>
      </c>
      <c r="G18" s="30">
        <f>'附表2-EF'!K18*10</f>
        <v>0</v>
      </c>
      <c r="H18" s="29" t="s">
        <v>742</v>
      </c>
      <c r="I18" s="31">
        <f>'附表1-GWP TABLE'!E16</f>
        <v>0</v>
      </c>
      <c r="J18" s="32"/>
      <c r="K18" s="29"/>
      <c r="L18" s="31"/>
      <c r="M18" s="32"/>
      <c r="N18" s="29"/>
      <c r="O18" s="31"/>
      <c r="P18" s="33"/>
      <c r="Q18" s="34"/>
      <c r="R18" s="35"/>
      <c r="S18" s="34"/>
      <c r="T18" s="32"/>
      <c r="U18" s="29"/>
      <c r="V18" s="36"/>
      <c r="W18" s="29"/>
      <c r="X18" s="32"/>
      <c r="Y18" s="29"/>
      <c r="Z18" s="31"/>
      <c r="AA18" s="32"/>
      <c r="AB18" s="34"/>
      <c r="AC18" s="31"/>
      <c r="AD18" s="37">
        <f>表1温室气体盘查表!AE18</f>
        <v>0</v>
      </c>
      <c r="AE18" s="37">
        <f>表1温室气体盘查表!AF18</f>
        <v>365.58067499999999</v>
      </c>
      <c r="AF18" s="37">
        <f>表1温室气体盘查表!AG18</f>
        <v>0</v>
      </c>
      <c r="AG18" s="37">
        <f>表1温室气体盘查表!AH18</f>
        <v>0</v>
      </c>
      <c r="AH18" s="37">
        <f>表1温室气体盘查表!AI18</f>
        <v>0</v>
      </c>
      <c r="AI18" s="37">
        <f>表1温室气体盘查表!AJ18</f>
        <v>0</v>
      </c>
      <c r="AJ18" s="37">
        <f>表1温室气体盘查表!AK18</f>
        <v>0</v>
      </c>
      <c r="AK18" s="37">
        <f>表1温室气体盘查表!AL18</f>
        <v>365.58067499999999</v>
      </c>
    </row>
    <row r="19" spans="1:37" s="19" customFormat="1" ht="14.25">
      <c r="A19" s="24">
        <v>15</v>
      </c>
      <c r="B19" s="25" t="str">
        <f>表1温室气体盘查表!B19</f>
        <v>逸散排放</v>
      </c>
      <c r="C19" s="26" t="str">
        <f>表1温室气体盘查表!C19</f>
        <v>SF6逸散</v>
      </c>
      <c r="D19" s="27" t="str">
        <f>表1温室气体盘查表!E19</f>
        <v>范围一</v>
      </c>
      <c r="E19" s="28">
        <f>表1温室气体盘查表!F19</f>
        <v>20.239999999999998</v>
      </c>
      <c r="F19" s="29" t="str">
        <f>表1温室气体盘查表!G19</f>
        <v>t</v>
      </c>
      <c r="G19" s="30">
        <f>'附表2-EF'!K19*10</f>
        <v>0</v>
      </c>
      <c r="H19" s="29" t="s">
        <v>743</v>
      </c>
      <c r="I19" s="31">
        <f>'附表1-GWP TABLE'!E17</f>
        <v>0</v>
      </c>
      <c r="J19" s="32"/>
      <c r="K19" s="29"/>
      <c r="L19" s="31"/>
      <c r="M19" s="32"/>
      <c r="N19" s="29"/>
      <c r="O19" s="31"/>
      <c r="P19" s="33"/>
      <c r="Q19" s="34"/>
      <c r="R19" s="35"/>
      <c r="S19" s="34"/>
      <c r="T19" s="32"/>
      <c r="U19" s="29"/>
      <c r="V19" s="36"/>
      <c r="W19" s="29"/>
      <c r="X19" s="32"/>
      <c r="Y19" s="29"/>
      <c r="Z19" s="31"/>
      <c r="AA19" s="32"/>
      <c r="AB19" s="34"/>
      <c r="AC19" s="31"/>
      <c r="AD19" s="37">
        <f>表1温室气体盘查表!AE19</f>
        <v>0</v>
      </c>
      <c r="AE19" s="37">
        <f>表1温室气体盘查表!AF19</f>
        <v>0</v>
      </c>
      <c r="AF19" s="37">
        <f>表1温室气体盘查表!AG19</f>
        <v>0</v>
      </c>
      <c r="AG19" s="37">
        <f>表1温室气体盘查表!AH19</f>
        <v>0</v>
      </c>
      <c r="AH19" s="37">
        <f>表1温室气体盘查表!AI19</f>
        <v>0</v>
      </c>
      <c r="AI19" s="37">
        <f>表1温室气体盘查表!AJ19</f>
        <v>2459.16</v>
      </c>
      <c r="AJ19" s="37">
        <f>表1温室气体盘查表!AK19</f>
        <v>0</v>
      </c>
      <c r="AK19" s="37">
        <f>表1温室气体盘查表!AL19</f>
        <v>2459.16</v>
      </c>
    </row>
    <row r="20" spans="1:37" s="19" customFormat="1" ht="14.25">
      <c r="A20" s="24">
        <v>16</v>
      </c>
      <c r="B20" s="25" t="str">
        <f>表1温室气体盘查表!B20</f>
        <v>制程排放</v>
      </c>
      <c r="C20" s="26" t="str">
        <f>表1温室气体盘查表!C20</f>
        <v>石灰石</v>
      </c>
      <c r="D20" s="27" t="str">
        <f>表1温室气体盘查表!E20</f>
        <v>范围一</v>
      </c>
      <c r="E20" s="28">
        <f>表1温室气体盘查表!F20</f>
        <v>19365.77</v>
      </c>
      <c r="F20" s="29" t="str">
        <f>表1温室气体盘查表!G20</f>
        <v>t</v>
      </c>
      <c r="G20" s="30">
        <f>'附表2-EF'!K20*10</f>
        <v>0</v>
      </c>
      <c r="H20" s="29" t="s">
        <v>744</v>
      </c>
      <c r="I20" s="31">
        <f>'附表1-GWP TABLE'!E18</f>
        <v>0</v>
      </c>
      <c r="J20" s="32"/>
      <c r="K20" s="29"/>
      <c r="L20" s="31"/>
      <c r="M20" s="32"/>
      <c r="N20" s="29"/>
      <c r="O20" s="31"/>
      <c r="P20" s="33"/>
      <c r="Q20" s="34"/>
      <c r="R20" s="35"/>
      <c r="S20" s="34"/>
      <c r="T20" s="32"/>
      <c r="U20" s="29"/>
      <c r="V20" s="36"/>
      <c r="W20" s="29"/>
      <c r="X20" s="32"/>
      <c r="Y20" s="29"/>
      <c r="Z20" s="31"/>
      <c r="AA20" s="32"/>
      <c r="AB20" s="34"/>
      <c r="AC20" s="31"/>
      <c r="AD20" s="37">
        <f>表1温室气体盘查表!AE20</f>
        <v>8520.9387999999999</v>
      </c>
      <c r="AE20" s="37">
        <f>表1温室气体盘查表!AF20</f>
        <v>0</v>
      </c>
      <c r="AF20" s="37">
        <f>表1温室气体盘查表!AG20</f>
        <v>0</v>
      </c>
      <c r="AG20" s="37">
        <f>表1温室气体盘查表!AH20</f>
        <v>0</v>
      </c>
      <c r="AH20" s="37">
        <f>表1温室气体盘查表!AI20</f>
        <v>0</v>
      </c>
      <c r="AI20" s="37">
        <f>表1温室气体盘查表!AJ20</f>
        <v>0</v>
      </c>
      <c r="AJ20" s="37">
        <f>表1温室气体盘查表!AK20</f>
        <v>0</v>
      </c>
      <c r="AK20" s="37">
        <f>表1温室气体盘查表!AL20</f>
        <v>8520.9387999999999</v>
      </c>
    </row>
    <row r="21" spans="1:37" s="19" customFormat="1" ht="14.25">
      <c r="A21" s="24">
        <v>17</v>
      </c>
      <c r="B21" s="25" t="str">
        <f>表1温室气体盘查表!B21</f>
        <v>制程排放</v>
      </c>
      <c r="C21" s="26" t="str">
        <f>表1温室气体盘查表!C21</f>
        <v>白云石</v>
      </c>
      <c r="D21" s="27" t="str">
        <f>表1温室气体盘查表!E21</f>
        <v>范围一</v>
      </c>
      <c r="E21" s="28">
        <f>表1温室气体盘查表!F21</f>
        <v>356289.39</v>
      </c>
      <c r="F21" s="29" t="str">
        <f>表1温室气体盘查表!G21</f>
        <v>t</v>
      </c>
      <c r="G21" s="30">
        <f>'附表2-EF'!K21*10</f>
        <v>0</v>
      </c>
      <c r="H21" s="29" t="s">
        <v>745</v>
      </c>
      <c r="I21" s="31">
        <f>'附表1-GWP TABLE'!E19</f>
        <v>0</v>
      </c>
      <c r="J21" s="32"/>
      <c r="K21" s="29"/>
      <c r="L21" s="31"/>
      <c r="M21" s="32"/>
      <c r="N21" s="29"/>
      <c r="O21" s="31"/>
      <c r="P21" s="33"/>
      <c r="Q21" s="34"/>
      <c r="R21" s="35"/>
      <c r="S21" s="34"/>
      <c r="T21" s="32"/>
      <c r="U21" s="29"/>
      <c r="V21" s="36"/>
      <c r="W21" s="29"/>
      <c r="X21" s="32"/>
      <c r="Y21" s="29"/>
      <c r="Z21" s="31"/>
      <c r="AA21" s="32"/>
      <c r="AB21" s="34"/>
      <c r="AC21" s="31"/>
      <c r="AD21" s="37">
        <f>表1温室气体盘查表!AE21</f>
        <v>169593.74963999999</v>
      </c>
      <c r="AE21" s="37">
        <f>表1温室气体盘查表!AF21</f>
        <v>0</v>
      </c>
      <c r="AF21" s="37">
        <f>表1温室气体盘查表!AG21</f>
        <v>0</v>
      </c>
      <c r="AG21" s="37">
        <f>表1温室气体盘查表!AH21</f>
        <v>0</v>
      </c>
      <c r="AH21" s="37">
        <f>表1温室气体盘查表!AI21</f>
        <v>0</v>
      </c>
      <c r="AI21" s="37">
        <f>表1温室气体盘查表!AJ21</f>
        <v>0</v>
      </c>
      <c r="AJ21" s="37">
        <f>表1温室气体盘查表!AK21</f>
        <v>0</v>
      </c>
      <c r="AK21" s="37">
        <f>表1温室气体盘查表!AL21</f>
        <v>169593.74963999999</v>
      </c>
    </row>
    <row r="22" spans="1:37" s="19" customFormat="1" ht="14.25">
      <c r="A22" s="24">
        <v>18</v>
      </c>
      <c r="B22" s="25" t="str">
        <f>表1温室气体盘查表!B22</f>
        <v>制程排放</v>
      </c>
      <c r="C22" s="26" t="str">
        <f>表1温室气体盘查表!C22</f>
        <v>电极</v>
      </c>
      <c r="D22" s="27" t="str">
        <f>表1温室气体盘查表!E22</f>
        <v>范围一</v>
      </c>
      <c r="E22" s="28">
        <f>表1温室气体盘查表!F22</f>
        <v>4763.07</v>
      </c>
      <c r="F22" s="29" t="str">
        <f>表1温室气体盘查表!G22</f>
        <v>t</v>
      </c>
      <c r="G22" s="30">
        <f>'附表2-EF'!K22*10</f>
        <v>0</v>
      </c>
      <c r="H22" s="29" t="s">
        <v>746</v>
      </c>
      <c r="I22" s="31">
        <f>'附表1-GWP TABLE'!E20</f>
        <v>0</v>
      </c>
      <c r="J22" s="32"/>
      <c r="K22" s="29"/>
      <c r="L22" s="31"/>
      <c r="M22" s="32"/>
      <c r="N22" s="29"/>
      <c r="O22" s="31"/>
      <c r="P22" s="33"/>
      <c r="Q22" s="34"/>
      <c r="R22" s="35"/>
      <c r="S22" s="34"/>
      <c r="T22" s="32"/>
      <c r="U22" s="29"/>
      <c r="V22" s="36"/>
      <c r="W22" s="29"/>
      <c r="X22" s="32"/>
      <c r="Y22" s="29"/>
      <c r="Z22" s="31"/>
      <c r="AA22" s="32"/>
      <c r="AB22" s="34"/>
      <c r="AC22" s="31"/>
      <c r="AD22" s="37">
        <f>表1温室气体盘查表!AE22</f>
        <v>17447.125410000001</v>
      </c>
      <c r="AE22" s="37">
        <f>表1温室气体盘查表!AF22</f>
        <v>0</v>
      </c>
      <c r="AF22" s="37">
        <f>表1温室气体盘查表!AG22</f>
        <v>0</v>
      </c>
      <c r="AG22" s="37">
        <f>表1温室气体盘查表!AH22</f>
        <v>0</v>
      </c>
      <c r="AH22" s="37">
        <f>表1温室气体盘查表!AI22</f>
        <v>0</v>
      </c>
      <c r="AI22" s="37">
        <f>表1温室气体盘查表!AJ22</f>
        <v>0</v>
      </c>
      <c r="AJ22" s="37">
        <f>表1温室气体盘查表!AK22</f>
        <v>0</v>
      </c>
      <c r="AK22" s="37">
        <f>表1温室气体盘查表!AL22</f>
        <v>17447.125410000001</v>
      </c>
    </row>
    <row r="23" spans="1:37" s="19" customFormat="1" ht="14.25">
      <c r="A23" s="24">
        <v>19</v>
      </c>
      <c r="B23" s="25" t="str">
        <f>表1温室气体盘查表!B23</f>
        <v>制程排放</v>
      </c>
      <c r="C23" s="26" t="str">
        <f>表1温室气体盘查表!C23</f>
        <v>废钢</v>
      </c>
      <c r="D23" s="27" t="str">
        <f>表1温室气体盘查表!E23</f>
        <v>范围一</v>
      </c>
      <c r="E23" s="28">
        <f>表1温室气体盘查表!F23</f>
        <v>1077722.6430978</v>
      </c>
      <c r="F23" s="29" t="str">
        <f>表1温室气体盘查表!G23</f>
        <v>t</v>
      </c>
      <c r="G23" s="30">
        <f>'附表2-EF'!K23*10</f>
        <v>0</v>
      </c>
      <c r="H23" s="29" t="s">
        <v>747</v>
      </c>
      <c r="I23" s="31">
        <f>'附表1-GWP TABLE'!E21</f>
        <v>0</v>
      </c>
      <c r="J23" s="32"/>
      <c r="K23" s="29"/>
      <c r="L23" s="31"/>
      <c r="M23" s="32"/>
      <c r="N23" s="29"/>
      <c r="O23" s="31"/>
      <c r="P23" s="33"/>
      <c r="Q23" s="34"/>
      <c r="R23" s="35"/>
      <c r="S23" s="34"/>
      <c r="T23" s="32"/>
      <c r="U23" s="29"/>
      <c r="V23" s="36"/>
      <c r="W23" s="29"/>
      <c r="X23" s="32"/>
      <c r="Y23" s="29"/>
      <c r="Z23" s="31"/>
      <c r="AA23" s="32"/>
      <c r="AB23" s="34"/>
      <c r="AC23" s="31"/>
      <c r="AD23" s="37">
        <f>表1温室气体盘查表!AE23</f>
        <v>39875.737794618602</v>
      </c>
      <c r="AE23" s="37">
        <f>表1温室气体盘查表!AF23</f>
        <v>0</v>
      </c>
      <c r="AF23" s="37">
        <f>表1温室气体盘查表!AG23</f>
        <v>0</v>
      </c>
      <c r="AG23" s="37">
        <f>表1温室气体盘查表!AH23</f>
        <v>0</v>
      </c>
      <c r="AH23" s="37">
        <f>表1温室气体盘查表!AI23</f>
        <v>0</v>
      </c>
      <c r="AI23" s="37">
        <f>表1温室气体盘查表!AJ23</f>
        <v>0</v>
      </c>
      <c r="AJ23" s="37">
        <f>表1温室气体盘查表!AK23</f>
        <v>0</v>
      </c>
      <c r="AK23" s="37">
        <f>表1温室气体盘查表!AL23</f>
        <v>39875.737794618602</v>
      </c>
    </row>
    <row r="24" spans="1:37" s="19" customFormat="1" ht="14.25">
      <c r="A24" s="24">
        <v>20</v>
      </c>
      <c r="B24" s="25" t="str">
        <f>表1温室气体盘查表!B24</f>
        <v>制程排放</v>
      </c>
      <c r="C24" s="26" t="str">
        <f>表1温室气体盘查表!C24</f>
        <v>锰铁</v>
      </c>
      <c r="D24" s="27" t="str">
        <f>表1温室气体盘查表!E24</f>
        <v>范围一</v>
      </c>
      <c r="E24" s="28">
        <f>表1温室气体盘查表!F24</f>
        <v>47687.64</v>
      </c>
      <c r="F24" s="29" t="str">
        <f>表1温室气体盘查表!G24</f>
        <v>t</v>
      </c>
      <c r="G24" s="30">
        <f>'附表2-EF'!K24*10</f>
        <v>0</v>
      </c>
      <c r="H24" s="29" t="s">
        <v>748</v>
      </c>
      <c r="I24" s="31">
        <f>'附表1-GWP TABLE'!E22</f>
        <v>0</v>
      </c>
      <c r="J24" s="32"/>
      <c r="K24" s="29"/>
      <c r="L24" s="31"/>
      <c r="M24" s="32"/>
      <c r="N24" s="29"/>
      <c r="O24" s="31"/>
      <c r="P24" s="33"/>
      <c r="Q24" s="34"/>
      <c r="R24" s="35"/>
      <c r="S24" s="34"/>
      <c r="T24" s="32"/>
      <c r="U24" s="29"/>
      <c r="V24" s="36"/>
      <c r="W24" s="29"/>
      <c r="X24" s="32"/>
      <c r="Y24" s="29"/>
      <c r="Z24" s="31"/>
      <c r="AA24" s="32"/>
      <c r="AB24" s="34"/>
      <c r="AC24" s="31"/>
      <c r="AD24" s="37">
        <f>表1温室气体盘查表!AE24</f>
        <v>13114.101000000001</v>
      </c>
      <c r="AE24" s="37">
        <f>表1温室气体盘查表!AF24</f>
        <v>0</v>
      </c>
      <c r="AF24" s="37">
        <f>表1温室气体盘查表!AG24</f>
        <v>0</v>
      </c>
      <c r="AG24" s="37">
        <f>表1温室气体盘查表!AH24</f>
        <v>0</v>
      </c>
      <c r="AH24" s="37">
        <f>表1温室气体盘查表!AI24</f>
        <v>0</v>
      </c>
      <c r="AI24" s="37">
        <f>表1温室气体盘查表!AJ24</f>
        <v>0</v>
      </c>
      <c r="AJ24" s="37">
        <f>表1温室气体盘查表!AK24</f>
        <v>0</v>
      </c>
      <c r="AK24" s="37">
        <f>表1温室气体盘查表!AL24</f>
        <v>13114.101000000001</v>
      </c>
    </row>
    <row r="25" spans="1:37" s="19" customFormat="1" ht="14.25">
      <c r="A25" s="24">
        <v>21</v>
      </c>
      <c r="B25" s="25" t="str">
        <f>表1温室气体盘查表!B25</f>
        <v>制程排放</v>
      </c>
      <c r="C25" s="26" t="str">
        <f>表1温室气体盘查表!C25</f>
        <v>镍铁</v>
      </c>
      <c r="D25" s="27" t="str">
        <f>表1温室气体盘查表!E25</f>
        <v>范围一</v>
      </c>
      <c r="E25" s="28">
        <f>表1温室气体盘查表!F25</f>
        <v>9445.11</v>
      </c>
      <c r="F25" s="29" t="str">
        <f>表1温室气体盘查表!G25</f>
        <v>t</v>
      </c>
      <c r="G25" s="30">
        <f>'附表2-EF'!K25*10</f>
        <v>0</v>
      </c>
      <c r="H25" s="29" t="s">
        <v>749</v>
      </c>
      <c r="I25" s="31">
        <f>'附表1-GWP TABLE'!E23</f>
        <v>0</v>
      </c>
      <c r="J25" s="32"/>
      <c r="K25" s="29"/>
      <c r="L25" s="31"/>
      <c r="M25" s="32"/>
      <c r="N25" s="29"/>
      <c r="O25" s="31"/>
      <c r="P25" s="33"/>
      <c r="Q25" s="34"/>
      <c r="R25" s="35"/>
      <c r="S25" s="34"/>
      <c r="T25" s="32"/>
      <c r="U25" s="29"/>
      <c r="V25" s="36"/>
      <c r="W25" s="29"/>
      <c r="X25" s="32"/>
      <c r="Y25" s="29"/>
      <c r="Z25" s="31"/>
      <c r="AA25" s="32"/>
      <c r="AB25" s="34"/>
      <c r="AC25" s="31"/>
      <c r="AD25" s="37">
        <f>表1温室气体盘查表!AE25</f>
        <v>349.46906999999999</v>
      </c>
      <c r="AE25" s="37">
        <f>表1温室气体盘查表!AF25</f>
        <v>0</v>
      </c>
      <c r="AF25" s="37">
        <f>表1温室气体盘查表!AG25</f>
        <v>0</v>
      </c>
      <c r="AG25" s="37">
        <f>表1温室气体盘查表!AH25</f>
        <v>0</v>
      </c>
      <c r="AH25" s="37">
        <f>表1温室气体盘查表!AI25</f>
        <v>0</v>
      </c>
      <c r="AI25" s="37">
        <f>表1温室气体盘查表!AJ25</f>
        <v>0</v>
      </c>
      <c r="AJ25" s="37">
        <f>表1温室气体盘查表!AK25</f>
        <v>0</v>
      </c>
      <c r="AK25" s="37">
        <f>表1温室气体盘查表!AL25</f>
        <v>349.46906999999999</v>
      </c>
    </row>
    <row r="26" spans="1:37" s="19" customFormat="1" ht="14.25">
      <c r="A26" s="24">
        <v>22</v>
      </c>
      <c r="B26" s="25" t="str">
        <f>表1温室气体盘查表!B26</f>
        <v>制程排放</v>
      </c>
      <c r="C26" s="26" t="str">
        <f>表1温室气体盘查表!C26</f>
        <v>铬铁</v>
      </c>
      <c r="D26" s="27" t="str">
        <f>表1温室气体盘查表!E26</f>
        <v>范围一</v>
      </c>
      <c r="E26" s="28">
        <f>表1温室气体盘查表!F26</f>
        <v>65858.929000000004</v>
      </c>
      <c r="F26" s="29" t="str">
        <f>表1温室气体盘查表!G26</f>
        <v>t</v>
      </c>
      <c r="G26" s="30">
        <f>'附表2-EF'!K26*10</f>
        <v>0</v>
      </c>
      <c r="H26" s="29" t="s">
        <v>750</v>
      </c>
      <c r="I26" s="31">
        <f>'附表1-GWP TABLE'!E24</f>
        <v>0</v>
      </c>
      <c r="J26" s="32"/>
      <c r="K26" s="29"/>
      <c r="L26" s="31"/>
      <c r="M26" s="32"/>
      <c r="N26" s="29"/>
      <c r="O26" s="31"/>
      <c r="P26" s="33"/>
      <c r="Q26" s="34"/>
      <c r="R26" s="35"/>
      <c r="S26" s="34"/>
      <c r="T26" s="32"/>
      <c r="U26" s="29"/>
      <c r="V26" s="36"/>
      <c r="W26" s="29"/>
      <c r="X26" s="32"/>
      <c r="Y26" s="29"/>
      <c r="Z26" s="31"/>
      <c r="AA26" s="32"/>
      <c r="AB26" s="34"/>
      <c r="AC26" s="31"/>
      <c r="AD26" s="37">
        <f>表1温室气体盘查表!AE26</f>
        <v>22918.907292</v>
      </c>
      <c r="AE26" s="37">
        <f>表1温室气体盘查表!AF26</f>
        <v>0</v>
      </c>
      <c r="AF26" s="37">
        <f>表1温室气体盘查表!AG26</f>
        <v>0</v>
      </c>
      <c r="AG26" s="37">
        <f>表1温室气体盘查表!AH26</f>
        <v>0</v>
      </c>
      <c r="AH26" s="37">
        <f>表1温室气体盘查表!AI26</f>
        <v>0</v>
      </c>
      <c r="AI26" s="37">
        <f>表1温室气体盘查表!AJ26</f>
        <v>0</v>
      </c>
      <c r="AJ26" s="37">
        <f>表1温室气体盘查表!AK26</f>
        <v>0</v>
      </c>
      <c r="AK26" s="37">
        <f>表1温室气体盘查表!AL26</f>
        <v>22918.907292</v>
      </c>
    </row>
    <row r="27" spans="1:37" s="19" customFormat="1" ht="14.25">
      <c r="A27" s="24">
        <v>23</v>
      </c>
      <c r="B27" s="25" t="str">
        <f>表1温室气体盘查表!B27</f>
        <v>制程排放</v>
      </c>
      <c r="C27" s="26" t="str">
        <f>表1温室气体盘查表!C27</f>
        <v>硅铁</v>
      </c>
      <c r="D27" s="27" t="str">
        <f>表1温室气体盘查表!E27</f>
        <v>范围一</v>
      </c>
      <c r="E27" s="28">
        <f>表1温室气体盘查表!F27</f>
        <v>10672.48</v>
      </c>
      <c r="F27" s="29" t="str">
        <f>表1温室气体盘查表!G27</f>
        <v>t</v>
      </c>
      <c r="G27" s="30">
        <f>'附表2-EF'!K27*10</f>
        <v>0</v>
      </c>
      <c r="H27" s="29" t="s">
        <v>751</v>
      </c>
      <c r="I27" s="31">
        <f>'附表1-GWP TABLE'!E25</f>
        <v>0</v>
      </c>
      <c r="J27" s="32"/>
      <c r="K27" s="29"/>
      <c r="L27" s="31"/>
      <c r="M27" s="32"/>
      <c r="N27" s="29"/>
      <c r="O27" s="31"/>
      <c r="P27" s="33"/>
      <c r="Q27" s="34"/>
      <c r="R27" s="35"/>
      <c r="S27" s="34"/>
      <c r="T27" s="32"/>
      <c r="U27" s="29"/>
      <c r="V27" s="36"/>
      <c r="W27" s="29"/>
      <c r="X27" s="32"/>
      <c r="Y27" s="29"/>
      <c r="Z27" s="31"/>
      <c r="AA27" s="32"/>
      <c r="AB27" s="34"/>
      <c r="AC27" s="31"/>
      <c r="AD27" s="37">
        <f>表1温室气体盘查表!AE27</f>
        <v>74.707359999999994</v>
      </c>
      <c r="AE27" s="37">
        <f>表1温室气体盘查表!AF27</f>
        <v>0</v>
      </c>
      <c r="AF27" s="37">
        <f>表1温室气体盘查表!AG27</f>
        <v>0</v>
      </c>
      <c r="AG27" s="37">
        <f>表1温室气体盘查表!AH27</f>
        <v>0</v>
      </c>
      <c r="AH27" s="37">
        <f>表1温室气体盘查表!AI27</f>
        <v>0</v>
      </c>
      <c r="AI27" s="37">
        <f>表1温室气体盘查表!AJ27</f>
        <v>0</v>
      </c>
      <c r="AJ27" s="37">
        <f>表1温室气体盘查表!AK27</f>
        <v>0</v>
      </c>
      <c r="AK27" s="37">
        <f>表1温室气体盘查表!AL27</f>
        <v>74.707359999999994</v>
      </c>
    </row>
    <row r="28" spans="1:37" s="16" customFormat="1" ht="14.25">
      <c r="A28" s="24">
        <v>24</v>
      </c>
      <c r="B28" s="25" t="str">
        <f>表1温室气体盘查表!B28</f>
        <v>制程排放</v>
      </c>
      <c r="C28" s="26" t="str">
        <f>表1温室气体盘查表!C28</f>
        <v>钼铁</v>
      </c>
      <c r="D28" s="27" t="str">
        <f>表1温室气体盘查表!E28</f>
        <v>范围一</v>
      </c>
      <c r="E28" s="28">
        <f>表1温室气体盘查表!F28</f>
        <v>7945.1639999999998</v>
      </c>
      <c r="F28" s="29" t="str">
        <f>表1温室气体盘查表!G28</f>
        <v>t</v>
      </c>
      <c r="G28" s="30">
        <f>'附表2-EF'!K28*10</f>
        <v>0</v>
      </c>
      <c r="H28" s="29" t="s">
        <v>752</v>
      </c>
      <c r="I28" s="31">
        <f>'附表1-GWP TABLE'!E26</f>
        <v>0</v>
      </c>
      <c r="J28" s="32"/>
      <c r="K28" s="29"/>
      <c r="L28" s="31"/>
      <c r="M28" s="32"/>
      <c r="N28" s="29"/>
      <c r="O28" s="31"/>
      <c r="P28" s="33"/>
      <c r="Q28" s="34"/>
      <c r="R28" s="35"/>
      <c r="S28" s="34"/>
      <c r="T28" s="32"/>
      <c r="U28" s="29"/>
      <c r="V28" s="36"/>
      <c r="W28" s="29"/>
      <c r="X28" s="32"/>
      <c r="Y28" s="29"/>
      <c r="Z28" s="31"/>
      <c r="AA28" s="32"/>
      <c r="AB28" s="34"/>
      <c r="AC28" s="31"/>
      <c r="AD28" s="37">
        <f>表1温室气体盘查表!AE28</f>
        <v>143.01295200000001</v>
      </c>
      <c r="AE28" s="37">
        <f>表1温室气体盘查表!AF28</f>
        <v>0</v>
      </c>
      <c r="AF28" s="37">
        <f>表1温室气体盘查表!AG28</f>
        <v>0</v>
      </c>
      <c r="AG28" s="37">
        <f>表1温室气体盘查表!AH28</f>
        <v>0</v>
      </c>
      <c r="AH28" s="37">
        <f>表1温室气体盘查表!AI28</f>
        <v>0</v>
      </c>
      <c r="AI28" s="37">
        <f>表1温室气体盘查表!AJ28</f>
        <v>0</v>
      </c>
      <c r="AJ28" s="37">
        <f>表1温室气体盘查表!AK28</f>
        <v>0</v>
      </c>
      <c r="AK28" s="37">
        <f>表1温室气体盘查表!AL28</f>
        <v>143.01295200000001</v>
      </c>
    </row>
    <row r="29" spans="1:37" s="16" customFormat="1" ht="14.25">
      <c r="A29" s="24">
        <v>25</v>
      </c>
      <c r="B29" s="25" t="str">
        <f>表1温室气体盘查表!B29</f>
        <v>制程排放</v>
      </c>
      <c r="C29" s="26" t="str">
        <f>表1温室气体盘查表!C29</f>
        <v>钢坯</v>
      </c>
      <c r="D29" s="27" t="str">
        <f>表1温室气体盘查表!E29</f>
        <v>范围一</v>
      </c>
      <c r="E29" s="28">
        <f>表1温室气体盘查表!F29</f>
        <v>-4332821.9400000004</v>
      </c>
      <c r="F29" s="29" t="str">
        <f>表1温室气体盘查表!G29</f>
        <v>t</v>
      </c>
      <c r="G29" s="30">
        <f>'附表2-EF'!K29*10</f>
        <v>0</v>
      </c>
      <c r="H29" s="29" t="s">
        <v>753</v>
      </c>
      <c r="I29" s="31">
        <f>'附表1-GWP TABLE'!E27</f>
        <v>0</v>
      </c>
      <c r="J29" s="32"/>
      <c r="K29" s="29"/>
      <c r="L29" s="31"/>
      <c r="M29" s="32"/>
      <c r="N29" s="29"/>
      <c r="O29" s="31"/>
      <c r="P29" s="33"/>
      <c r="Q29" s="34"/>
      <c r="R29" s="35"/>
      <c r="S29" s="34"/>
      <c r="T29" s="32"/>
      <c r="U29" s="29"/>
      <c r="V29" s="36"/>
      <c r="W29" s="29"/>
      <c r="X29" s="32"/>
      <c r="Y29" s="29"/>
      <c r="Z29" s="31"/>
      <c r="AA29" s="32"/>
      <c r="AB29" s="34"/>
      <c r="AC29" s="31"/>
      <c r="AD29" s="37">
        <f>表1温室气体盘查表!AE29</f>
        <v>-160314.41177999999</v>
      </c>
      <c r="AE29" s="37">
        <f>表1温室气体盘查表!AF29</f>
        <v>0</v>
      </c>
      <c r="AF29" s="37">
        <f>表1温室气体盘查表!AG29</f>
        <v>0</v>
      </c>
      <c r="AG29" s="37">
        <f>表1温室气体盘查表!AH29</f>
        <v>0</v>
      </c>
      <c r="AH29" s="37">
        <f>表1温室气体盘查表!AI29</f>
        <v>0</v>
      </c>
      <c r="AI29" s="37">
        <f>表1温室气体盘查表!AJ29</f>
        <v>0</v>
      </c>
      <c r="AJ29" s="37">
        <f>表1温室气体盘查表!AK29</f>
        <v>0</v>
      </c>
      <c r="AK29" s="37">
        <f>表1温室气体盘查表!AL29</f>
        <v>-160314.41177999999</v>
      </c>
    </row>
    <row r="30" spans="1:37" s="16" customFormat="1" ht="14.25">
      <c r="A30" s="24">
        <v>26</v>
      </c>
      <c r="B30" s="25" t="str">
        <f>表1温室气体盘查表!B30</f>
        <v>制程排放</v>
      </c>
      <c r="C30" s="26" t="str">
        <f>表1温室气体盘查表!C30</f>
        <v>粗苯</v>
      </c>
      <c r="D30" s="27" t="str">
        <f>表1温室气体盘查表!E30</f>
        <v>范围一</v>
      </c>
      <c r="E30" s="28">
        <f>表1温室气体盘查表!F30</f>
        <v>-19501.18</v>
      </c>
      <c r="F30" s="29" t="str">
        <f>表1温室气体盘查表!G30</f>
        <v>t</v>
      </c>
      <c r="G30" s="30">
        <f>'附表2-EF'!K30*10</f>
        <v>0</v>
      </c>
      <c r="H30" s="29" t="s">
        <v>754</v>
      </c>
      <c r="I30" s="31">
        <f>'附表1-GWP TABLE'!E28</f>
        <v>0</v>
      </c>
      <c r="J30" s="32"/>
      <c r="K30" s="29"/>
      <c r="L30" s="31"/>
      <c r="M30" s="32"/>
      <c r="N30" s="29"/>
      <c r="O30" s="31"/>
      <c r="P30" s="33"/>
      <c r="Q30" s="34"/>
      <c r="R30" s="35"/>
      <c r="S30" s="34"/>
      <c r="T30" s="32"/>
      <c r="U30" s="29"/>
      <c r="V30" s="36"/>
      <c r="W30" s="29"/>
      <c r="X30" s="32"/>
      <c r="Y30" s="29"/>
      <c r="Z30" s="31"/>
      <c r="AA30" s="32"/>
      <c r="AB30" s="34"/>
      <c r="AC30" s="31"/>
      <c r="AD30" s="37">
        <f>表1温室气体盘查表!AE30</f>
        <v>-65952.990760000001</v>
      </c>
      <c r="AE30" s="37">
        <f>表1温室气体盘查表!AF30</f>
        <v>0</v>
      </c>
      <c r="AF30" s="37">
        <f>表1温室气体盘查表!AG30</f>
        <v>0</v>
      </c>
      <c r="AG30" s="37">
        <f>表1温室气体盘查表!AH30</f>
        <v>0</v>
      </c>
      <c r="AH30" s="37">
        <f>表1温室气体盘查表!AI30</f>
        <v>0</v>
      </c>
      <c r="AI30" s="37">
        <f>表1温室气体盘查表!AJ30</f>
        <v>0</v>
      </c>
      <c r="AJ30" s="37">
        <f>表1温室气体盘查表!AK30</f>
        <v>0</v>
      </c>
      <c r="AK30" s="37">
        <f>表1温室气体盘查表!AL30</f>
        <v>-65952.990760000001</v>
      </c>
    </row>
    <row r="31" spans="1:37" s="16" customFormat="1" ht="14.25">
      <c r="A31" s="24">
        <v>27</v>
      </c>
      <c r="B31" s="25" t="str">
        <f>表1温室气体盘查表!B31</f>
        <v>制程排放</v>
      </c>
      <c r="C31" s="26" t="str">
        <f>表1温室气体盘查表!C31</f>
        <v>煤焦油</v>
      </c>
      <c r="D31" s="27" t="str">
        <f>表1温室气体盘查表!E31</f>
        <v>范围一</v>
      </c>
      <c r="E31" s="28">
        <f>表1温室气体盘查表!F31</f>
        <v>-59054.1</v>
      </c>
      <c r="F31" s="29" t="str">
        <f>表1温室气体盘查表!G31</f>
        <v>t</v>
      </c>
      <c r="G31" s="30">
        <f>'附表2-EF'!G31*10</f>
        <v>0</v>
      </c>
      <c r="H31" s="29" t="s">
        <v>755</v>
      </c>
      <c r="I31" s="31">
        <f>'附表1-GWP TABLE'!E29</f>
        <v>0</v>
      </c>
      <c r="J31" s="32"/>
      <c r="K31" s="29"/>
      <c r="L31" s="31"/>
      <c r="M31" s="32"/>
      <c r="N31" s="29"/>
      <c r="O31" s="31"/>
      <c r="P31" s="33"/>
      <c r="Q31" s="34"/>
      <c r="R31" s="35"/>
      <c r="S31" s="34"/>
      <c r="T31" s="32"/>
      <c r="U31" s="29"/>
      <c r="V31" s="36"/>
      <c r="W31" s="29"/>
      <c r="X31" s="32"/>
      <c r="Y31" s="29"/>
      <c r="Z31" s="31"/>
      <c r="AA31" s="32"/>
      <c r="AB31" s="34"/>
      <c r="AC31" s="31"/>
      <c r="AD31" s="37">
        <f>表1温室气体盘查表!AE31</f>
        <v>-159387.0159</v>
      </c>
      <c r="AE31" s="37">
        <f>表1温室气体盘查表!AF31</f>
        <v>0</v>
      </c>
      <c r="AF31" s="37">
        <f>表1温室气体盘查表!AG31</f>
        <v>0</v>
      </c>
      <c r="AG31" s="37">
        <f>表1温室气体盘查表!AH31</f>
        <v>0</v>
      </c>
      <c r="AH31" s="37">
        <f>表1温室气体盘查表!AI31</f>
        <v>0</v>
      </c>
      <c r="AI31" s="37">
        <f>表1温室气体盘查表!AJ31</f>
        <v>0</v>
      </c>
      <c r="AJ31" s="37">
        <f>表1温室气体盘查表!AK31</f>
        <v>0</v>
      </c>
      <c r="AK31" s="37">
        <f>表1温室气体盘查表!AL31</f>
        <v>-159387.0159</v>
      </c>
    </row>
    <row r="32" spans="1:37" s="16" customFormat="1" ht="16.5">
      <c r="A32" s="24">
        <v>28</v>
      </c>
      <c r="B32" s="25" t="str">
        <f>表1温室气体盘查表!B32</f>
        <v>输入能源间接温室气体排放</v>
      </c>
      <c r="C32" s="26" t="str">
        <f>表1温室气体盘查表!C32</f>
        <v>外购电力（基于位置）</v>
      </c>
      <c r="D32" s="27" t="str">
        <f>表1温室气体盘查表!E32</f>
        <v>范围二</v>
      </c>
      <c r="E32" s="28">
        <f>表1温室气体盘查表!F32</f>
        <v>1992878.77</v>
      </c>
      <c r="F32" s="29" t="str">
        <f>表1温室气体盘查表!G32</f>
        <v>MWh</v>
      </c>
      <c r="G32" s="30" t="e">
        <f>'附表2-EF'!G32*10</f>
        <v>#VALUE!</v>
      </c>
      <c r="H32" s="29" t="s">
        <v>756</v>
      </c>
      <c r="I32" s="31">
        <f>'附表1-GWP TABLE'!E30</f>
        <v>0</v>
      </c>
      <c r="J32" s="32"/>
      <c r="K32" s="29"/>
      <c r="L32" s="31"/>
      <c r="M32" s="32"/>
      <c r="N32" s="29"/>
      <c r="O32" s="31"/>
      <c r="P32" s="33"/>
      <c r="Q32" s="34"/>
      <c r="R32" s="35"/>
      <c r="S32" s="34"/>
      <c r="T32" s="32"/>
      <c r="U32" s="29"/>
      <c r="V32" s="36"/>
      <c r="W32" s="29"/>
      <c r="X32" s="32"/>
      <c r="Y32" s="29"/>
      <c r="Z32" s="31"/>
      <c r="AA32" s="32"/>
      <c r="AB32" s="34"/>
      <c r="AC32" s="31"/>
      <c r="AD32" s="37">
        <f>表1温室气体盘查表!AE32</f>
        <v>1069378.747982</v>
      </c>
      <c r="AE32" s="37">
        <f>表1温室气体盘查表!AF32</f>
        <v>0</v>
      </c>
      <c r="AF32" s="37">
        <f>表1温室气体盘查表!AG32</f>
        <v>0</v>
      </c>
      <c r="AG32" s="37">
        <f>表1温室气体盘查表!AH32</f>
        <v>0</v>
      </c>
      <c r="AH32" s="37">
        <f>表1温室气体盘查表!AI32</f>
        <v>0</v>
      </c>
      <c r="AI32" s="37">
        <f>表1温室气体盘查表!AJ32</f>
        <v>0</v>
      </c>
      <c r="AJ32" s="37">
        <f>表1温室气体盘查表!AK32</f>
        <v>0</v>
      </c>
      <c r="AK32" s="37">
        <f>表1温室气体盘查表!AL32</f>
        <v>1069378.747982</v>
      </c>
    </row>
    <row r="33" spans="1:37" s="16" customFormat="1" ht="18">
      <c r="A33" s="24">
        <v>29</v>
      </c>
      <c r="B33" s="25" t="str">
        <f>表1温室气体盘查表!B34</f>
        <v>外购商品和服务的上游排放</v>
      </c>
      <c r="C33" s="26" t="str">
        <f>表1温室气体盘查表!C34</f>
        <v>铁矿石生产</v>
      </c>
      <c r="D33" s="27" t="str">
        <f>表1温室气体盘查表!E34</f>
        <v>范围三 类别1</v>
      </c>
      <c r="E33" s="28">
        <f>表1温室气体盘查表!F34</f>
        <v>4538211.34</v>
      </c>
      <c r="F33" s="29" t="str">
        <f>表1温室气体盘查表!G34</f>
        <v>t</v>
      </c>
      <c r="G33" s="30" t="e">
        <f>'附表2-EF'!G34*10</f>
        <v>#VALUE!</v>
      </c>
      <c r="H33" s="29" t="s">
        <v>757</v>
      </c>
      <c r="I33" s="31">
        <f>'附表1-GWP TABLE'!E32</f>
        <v>0</v>
      </c>
      <c r="J33" s="32"/>
      <c r="K33" s="29"/>
      <c r="L33" s="31"/>
      <c r="M33" s="32"/>
      <c r="N33" s="29"/>
      <c r="O33" s="31"/>
      <c r="P33" s="33"/>
      <c r="Q33" s="34"/>
      <c r="R33" s="35"/>
      <c r="S33" s="34"/>
      <c r="T33" s="32"/>
      <c r="U33" s="29"/>
      <c r="V33" s="36"/>
      <c r="W33" s="29"/>
      <c r="X33" s="32"/>
      <c r="Y33" s="29"/>
      <c r="Z33" s="31"/>
      <c r="AA33" s="32"/>
      <c r="AB33" s="34"/>
      <c r="AC33" s="31"/>
      <c r="AD33" s="37">
        <f>表1温室气体盘查表!AE34</f>
        <v>448588.57632498001</v>
      </c>
      <c r="AE33" s="37">
        <f>表1温室气体盘查表!AF34</f>
        <v>0</v>
      </c>
      <c r="AF33" s="37">
        <f>表1温室气体盘查表!AG34</f>
        <v>0</v>
      </c>
      <c r="AG33" s="37">
        <f>表1温室气体盘查表!AH34</f>
        <v>0</v>
      </c>
      <c r="AH33" s="37">
        <f>表1温室气体盘查表!AI34</f>
        <v>0</v>
      </c>
      <c r="AI33" s="37">
        <f>表1温室气体盘查表!AJ34</f>
        <v>0</v>
      </c>
      <c r="AJ33" s="37">
        <f>表1温室气体盘查表!AK34</f>
        <v>0</v>
      </c>
      <c r="AK33" s="37">
        <f>表1温室气体盘查表!AL34</f>
        <v>448588.57632498001</v>
      </c>
    </row>
    <row r="34" spans="1:37" s="16" customFormat="1" ht="18">
      <c r="A34" s="24">
        <v>30</v>
      </c>
      <c r="B34" s="25" t="str">
        <f>表1温室气体盘查表!B35</f>
        <v>外购商品和服务的上游排放</v>
      </c>
      <c r="C34" s="26" t="str">
        <f>表1温室气体盘查表!C35</f>
        <v>生石灰生产</v>
      </c>
      <c r="D34" s="27" t="str">
        <f>表1温室气体盘查表!E35</f>
        <v>范围三 类别1</v>
      </c>
      <c r="E34" s="28">
        <f>表1温室气体盘查表!F35</f>
        <v>611514.48</v>
      </c>
      <c r="F34" s="29" t="str">
        <f>表1温室气体盘查表!G35</f>
        <v>t</v>
      </c>
      <c r="G34" s="30">
        <f>'附表2-EF'!G36*10</f>
        <v>0</v>
      </c>
      <c r="H34" s="29" t="s">
        <v>758</v>
      </c>
      <c r="I34" s="31">
        <f>'附表1-GWP TABLE'!E33</f>
        <v>0</v>
      </c>
      <c r="J34" s="32"/>
      <c r="K34" s="29"/>
      <c r="L34" s="31"/>
      <c r="M34" s="32"/>
      <c r="N34" s="29"/>
      <c r="O34" s="31"/>
      <c r="P34" s="33"/>
      <c r="Q34" s="34"/>
      <c r="R34" s="35"/>
      <c r="S34" s="34"/>
      <c r="T34" s="32"/>
      <c r="U34" s="29"/>
      <c r="V34" s="36"/>
      <c r="W34" s="29"/>
      <c r="X34" s="32"/>
      <c r="Y34" s="29"/>
      <c r="Z34" s="31"/>
      <c r="AA34" s="32"/>
      <c r="AB34" s="34"/>
      <c r="AC34" s="31"/>
      <c r="AD34" s="37">
        <f>表1温室气体盘查表!AE35</f>
        <v>727500.38047630398</v>
      </c>
      <c r="AE34" s="37">
        <f>表1温室气体盘查表!AF35</f>
        <v>0</v>
      </c>
      <c r="AF34" s="37">
        <f>表1温室气体盘查表!AG35</f>
        <v>0</v>
      </c>
      <c r="AG34" s="37">
        <f>表1温室气体盘查表!AH35</f>
        <v>0</v>
      </c>
      <c r="AH34" s="37">
        <f>表1温室气体盘查表!AI35</f>
        <v>0</v>
      </c>
      <c r="AI34" s="37">
        <f>表1温室气体盘查表!AJ35</f>
        <v>0</v>
      </c>
      <c r="AJ34" s="37">
        <f>表1温室气体盘查表!AK35</f>
        <v>0</v>
      </c>
      <c r="AK34" s="37">
        <f>表1温室气体盘查表!AL35</f>
        <v>727500.38047630398</v>
      </c>
    </row>
    <row r="35" spans="1:37" s="16" customFormat="1" ht="18">
      <c r="A35" s="24">
        <v>31</v>
      </c>
      <c r="B35" s="25" t="str">
        <f>表1温室气体盘查表!B36</f>
        <v>外购商品和服务的上游排放</v>
      </c>
      <c r="C35" s="26" t="str">
        <f>表1温室气体盘查表!C36</f>
        <v>石灰石生产</v>
      </c>
      <c r="D35" s="27" t="str">
        <f>表1温室气体盘查表!E36</f>
        <v>范围三 类别1</v>
      </c>
      <c r="E35" s="28">
        <f>表1温室气体盘查表!F36</f>
        <v>19365.77</v>
      </c>
      <c r="F35" s="29" t="str">
        <f>表1温室气体盘查表!G36</f>
        <v>t</v>
      </c>
      <c r="G35" s="30">
        <f>'附表2-EF'!G37*10</f>
        <v>0</v>
      </c>
      <c r="H35" s="29" t="s">
        <v>759</v>
      </c>
      <c r="I35" s="31">
        <f>'附表1-GWP TABLE'!E34</f>
        <v>0</v>
      </c>
      <c r="J35" s="32"/>
      <c r="K35" s="29"/>
      <c r="L35" s="31"/>
      <c r="M35" s="32"/>
      <c r="N35" s="29"/>
      <c r="O35" s="31"/>
      <c r="P35" s="33"/>
      <c r="Q35" s="34"/>
      <c r="R35" s="35"/>
      <c r="S35" s="34"/>
      <c r="T35" s="32"/>
      <c r="U35" s="29"/>
      <c r="V35" s="36"/>
      <c r="W35" s="29"/>
      <c r="X35" s="32"/>
      <c r="Y35" s="29"/>
      <c r="Z35" s="31"/>
      <c r="AA35" s="32"/>
      <c r="AB35" s="34"/>
      <c r="AC35" s="31"/>
      <c r="AD35" s="37">
        <f>表1温室气体盘查表!AE36</f>
        <v>58.676346522999999</v>
      </c>
      <c r="AE35" s="37">
        <f>表1温室气体盘查表!AF36</f>
        <v>0</v>
      </c>
      <c r="AF35" s="37">
        <f>表1温室气体盘查表!AG36</f>
        <v>0</v>
      </c>
      <c r="AG35" s="37">
        <f>表1温室气体盘查表!AH36</f>
        <v>0</v>
      </c>
      <c r="AH35" s="37">
        <f>表1温室气体盘查表!AI36</f>
        <v>0</v>
      </c>
      <c r="AI35" s="37">
        <f>表1温室气体盘查表!AJ36</f>
        <v>0</v>
      </c>
      <c r="AJ35" s="37">
        <f>表1温室气体盘查表!AK36</f>
        <v>0</v>
      </c>
      <c r="AK35" s="37">
        <f>表1温室气体盘查表!AL36</f>
        <v>58.676346522999999</v>
      </c>
    </row>
    <row r="36" spans="1:37" s="16" customFormat="1" ht="18">
      <c r="A36" s="24">
        <v>32</v>
      </c>
      <c r="B36" s="25" t="str">
        <f>表1温室气体盘查表!B37</f>
        <v>外购商品和服务的上游排放</v>
      </c>
      <c r="C36" s="26" t="str">
        <f>表1温室气体盘查表!C37</f>
        <v>白云石生产</v>
      </c>
      <c r="D36" s="27" t="str">
        <f>表1温室气体盘查表!E37</f>
        <v>范围三 类别1</v>
      </c>
      <c r="E36" s="28">
        <f>表1温室气体盘查表!F37</f>
        <v>356289.39</v>
      </c>
      <c r="F36" s="29" t="str">
        <f>表1温室气体盘查表!G37</f>
        <v>t</v>
      </c>
      <c r="G36" s="30">
        <f>'附表2-EF'!G38*10</f>
        <v>0</v>
      </c>
      <c r="H36" s="29" t="s">
        <v>760</v>
      </c>
      <c r="I36" s="31">
        <f>'附表1-GWP TABLE'!E35</f>
        <v>0</v>
      </c>
      <c r="J36" s="32"/>
      <c r="K36" s="29"/>
      <c r="L36" s="31"/>
      <c r="M36" s="32"/>
      <c r="N36" s="29"/>
      <c r="O36" s="31"/>
      <c r="P36" s="33"/>
      <c r="Q36" s="34"/>
      <c r="R36" s="35"/>
      <c r="S36" s="34"/>
      <c r="T36" s="32"/>
      <c r="U36" s="29"/>
      <c r="V36" s="36"/>
      <c r="W36" s="29"/>
      <c r="X36" s="32"/>
      <c r="Y36" s="29"/>
      <c r="Z36" s="31"/>
      <c r="AA36" s="32"/>
      <c r="AB36" s="34"/>
      <c r="AC36" s="31"/>
      <c r="AD36" s="37">
        <f>表1温室气体盘查表!AE37</f>
        <v>46435.196198700003</v>
      </c>
      <c r="AE36" s="37">
        <f>表1温室气体盘查表!AF37</f>
        <v>0</v>
      </c>
      <c r="AF36" s="37">
        <f>表1温室气体盘查表!AG37</f>
        <v>0</v>
      </c>
      <c r="AG36" s="37">
        <f>表1温室气体盘查表!AH37</f>
        <v>0</v>
      </c>
      <c r="AH36" s="37">
        <f>表1温室气体盘查表!AI37</f>
        <v>0</v>
      </c>
      <c r="AI36" s="37">
        <f>表1温室气体盘查表!AJ37</f>
        <v>0</v>
      </c>
      <c r="AJ36" s="37">
        <f>表1温室气体盘查表!AK37</f>
        <v>0</v>
      </c>
      <c r="AK36" s="37">
        <f>表1温室气体盘查表!AL37</f>
        <v>46435.196198700003</v>
      </c>
    </row>
    <row r="37" spans="1:37" s="16" customFormat="1" ht="18">
      <c r="A37" s="24">
        <v>33</v>
      </c>
      <c r="B37" s="25" t="str">
        <f>表1温室气体盘查表!B38</f>
        <v>外购商品和服务的上游排放</v>
      </c>
      <c r="C37" s="26" t="str">
        <f>表1温室气体盘查表!C38</f>
        <v>轻烧白云石生产</v>
      </c>
      <c r="D37" s="27" t="str">
        <f>表1温室气体盘查表!E38</f>
        <v>范围三 类别1</v>
      </c>
      <c r="E37" s="28">
        <f>表1温室气体盘查表!F38</f>
        <v>2786.84</v>
      </c>
      <c r="F37" s="29" t="str">
        <f>表1温室气体盘查表!G38</f>
        <v>t</v>
      </c>
      <c r="G37" s="30">
        <f>'附表2-EF'!K39*10</f>
        <v>0</v>
      </c>
      <c r="H37" s="29" t="s">
        <v>761</v>
      </c>
      <c r="I37" s="31">
        <f>'附表1-GWP TABLE'!E36</f>
        <v>0</v>
      </c>
      <c r="J37" s="32"/>
      <c r="K37" s="29"/>
      <c r="L37" s="31"/>
      <c r="M37" s="32"/>
      <c r="N37" s="29"/>
      <c r="O37" s="31"/>
      <c r="P37" s="33"/>
      <c r="Q37" s="34"/>
      <c r="R37" s="35"/>
      <c r="S37" s="34"/>
      <c r="T37" s="32"/>
      <c r="U37" s="29"/>
      <c r="V37" s="36"/>
      <c r="W37" s="29"/>
      <c r="X37" s="32"/>
      <c r="Y37" s="29"/>
      <c r="Z37" s="31"/>
      <c r="AA37" s="32"/>
      <c r="AB37" s="34"/>
      <c r="AC37" s="31"/>
      <c r="AD37" s="37">
        <f>表1温室气体盘查表!AE38</f>
        <v>363.20885720000001</v>
      </c>
      <c r="AE37" s="37">
        <f>表1温室气体盘查表!AF38</f>
        <v>0</v>
      </c>
      <c r="AF37" s="37">
        <f>表1温室气体盘查表!AG38</f>
        <v>0</v>
      </c>
      <c r="AG37" s="37">
        <f>表1温室气体盘查表!AH38</f>
        <v>0</v>
      </c>
      <c r="AH37" s="37">
        <f>表1温室气体盘查表!AI38</f>
        <v>0</v>
      </c>
      <c r="AI37" s="37">
        <f>表1温室气体盘查表!AJ38</f>
        <v>0</v>
      </c>
      <c r="AJ37" s="37">
        <f>表1温室气体盘查表!AK38</f>
        <v>0</v>
      </c>
      <c r="AK37" s="37">
        <f>表1温室气体盘查表!AL38</f>
        <v>363.20885720000001</v>
      </c>
    </row>
    <row r="38" spans="1:37" s="16" customFormat="1" ht="18">
      <c r="A38" s="24">
        <v>34</v>
      </c>
      <c r="B38" s="25" t="str">
        <f>表1温室气体盘查表!B39</f>
        <v>外购商品和服务的上游排放</v>
      </c>
      <c r="C38" s="26" t="str">
        <f>表1温室气体盘查表!C39</f>
        <v>球团生产</v>
      </c>
      <c r="D38" s="27" t="str">
        <f>表1温室气体盘查表!E39</f>
        <v>范围三 类别1</v>
      </c>
      <c r="E38" s="28">
        <f>表1温室气体盘查表!F39</f>
        <v>685439.89</v>
      </c>
      <c r="F38" s="29" t="str">
        <f>表1温室气体盘查表!G39</f>
        <v>t</v>
      </c>
      <c r="G38" s="30">
        <f>'附表2-EF'!K40*10</f>
        <v>0</v>
      </c>
      <c r="H38" s="29" t="s">
        <v>762</v>
      </c>
      <c r="I38" s="31">
        <f>'附表1-GWP TABLE'!E37</f>
        <v>0</v>
      </c>
      <c r="J38" s="32"/>
      <c r="K38" s="29"/>
      <c r="L38" s="31"/>
      <c r="M38" s="32"/>
      <c r="N38" s="29"/>
      <c r="O38" s="31"/>
      <c r="P38" s="33"/>
      <c r="Q38" s="34"/>
      <c r="R38" s="35"/>
      <c r="S38" s="34"/>
      <c r="T38" s="32"/>
      <c r="U38" s="29"/>
      <c r="V38" s="36"/>
      <c r="W38" s="29"/>
      <c r="X38" s="32"/>
      <c r="Y38" s="29"/>
      <c r="Z38" s="31"/>
      <c r="AA38" s="32"/>
      <c r="AB38" s="34"/>
      <c r="AC38" s="31"/>
      <c r="AD38" s="37">
        <f>表1温室气体盘查表!AE39</f>
        <v>71601.050909400001</v>
      </c>
      <c r="AE38" s="37">
        <f>表1温室气体盘查表!AF39</f>
        <v>0</v>
      </c>
      <c r="AF38" s="37">
        <f>表1温室气体盘查表!AG39</f>
        <v>0</v>
      </c>
      <c r="AG38" s="37">
        <f>表1温室气体盘查表!AH39</f>
        <v>0</v>
      </c>
      <c r="AH38" s="37">
        <f>表1温室气体盘查表!AI39</f>
        <v>0</v>
      </c>
      <c r="AI38" s="37">
        <f>表1温室气体盘查表!AJ39</f>
        <v>0</v>
      </c>
      <c r="AJ38" s="37">
        <f>表1温室气体盘查表!AK39</f>
        <v>0</v>
      </c>
      <c r="AK38" s="37">
        <f>表1温室气体盘查表!AL39</f>
        <v>71601.050909400001</v>
      </c>
    </row>
    <row r="39" spans="1:37" s="16" customFormat="1" ht="18">
      <c r="A39" s="24">
        <v>35</v>
      </c>
      <c r="B39" s="25" t="str">
        <f>表1温室气体盘查表!B40</f>
        <v>外购商品和服务的上游排放</v>
      </c>
      <c r="C39" s="26" t="str">
        <f>表1温室气体盘查表!C40</f>
        <v>废钢生产</v>
      </c>
      <c r="D39" s="27" t="str">
        <f>表1温室气体盘查表!E40</f>
        <v>范围三 类别1</v>
      </c>
      <c r="E39" s="28">
        <f>表1温室气体盘查表!F40</f>
        <v>1077722.6430978</v>
      </c>
      <c r="F39" s="29" t="str">
        <f>表1温室气体盘查表!G40</f>
        <v>t</v>
      </c>
      <c r="G39" s="30">
        <f>'附表2-EF'!K41*10</f>
        <v>0</v>
      </c>
      <c r="H39" s="29" t="s">
        <v>763</v>
      </c>
      <c r="I39" s="31">
        <f>'附表1-GWP TABLE'!E38</f>
        <v>0</v>
      </c>
      <c r="J39" s="32"/>
      <c r="K39" s="29"/>
      <c r="L39" s="31"/>
      <c r="M39" s="32"/>
      <c r="N39" s="29"/>
      <c r="O39" s="31"/>
      <c r="P39" s="33"/>
      <c r="Q39" s="34"/>
      <c r="R39" s="35"/>
      <c r="S39" s="34"/>
      <c r="T39" s="32"/>
      <c r="U39" s="29"/>
      <c r="V39" s="36"/>
      <c r="W39" s="29"/>
      <c r="X39" s="32"/>
      <c r="Y39" s="29"/>
      <c r="Z39" s="31"/>
      <c r="AA39" s="32"/>
      <c r="AB39" s="34"/>
      <c r="AC39" s="31"/>
      <c r="AD39" s="37">
        <f>表1温室气体盘查表!AE40</f>
        <v>79944.387942351706</v>
      </c>
      <c r="AE39" s="37">
        <f>表1温室气体盘查表!AF40</f>
        <v>0</v>
      </c>
      <c r="AF39" s="37">
        <f>表1温室气体盘查表!AG40</f>
        <v>0</v>
      </c>
      <c r="AG39" s="37">
        <f>表1温室气体盘查表!AH40</f>
        <v>0</v>
      </c>
      <c r="AH39" s="37">
        <f>表1温室气体盘查表!AI40</f>
        <v>0</v>
      </c>
      <c r="AI39" s="37">
        <f>表1温室气体盘查表!AJ40</f>
        <v>0</v>
      </c>
      <c r="AJ39" s="37">
        <f>表1温室气体盘查表!AK40</f>
        <v>0</v>
      </c>
      <c r="AK39" s="37">
        <f>表1温室气体盘查表!AL40</f>
        <v>79944.387942351706</v>
      </c>
    </row>
    <row r="40" spans="1:37" s="16" customFormat="1" ht="18">
      <c r="A40" s="24">
        <v>36</v>
      </c>
      <c r="B40" s="25" t="str">
        <f>表1温室气体盘查表!B41</f>
        <v>外购商品和服务的上游排放</v>
      </c>
      <c r="C40" s="26" t="str">
        <f>表1温室气体盘查表!C41</f>
        <v>电极生产</v>
      </c>
      <c r="D40" s="27" t="str">
        <f>表1温室气体盘查表!E41</f>
        <v>范围三 类别1</v>
      </c>
      <c r="E40" s="28">
        <f>表1温室气体盘查表!F41</f>
        <v>4473.46</v>
      </c>
      <c r="F40" s="29" t="str">
        <f>表1温室气体盘查表!G41</f>
        <v>t</v>
      </c>
      <c r="G40" s="30">
        <f>'附表2-EF'!K42*10</f>
        <v>0</v>
      </c>
      <c r="H40" s="29" t="s">
        <v>764</v>
      </c>
      <c r="I40" s="31">
        <f>'附表1-GWP TABLE'!E39</f>
        <v>0</v>
      </c>
      <c r="J40" s="32"/>
      <c r="K40" s="29"/>
      <c r="L40" s="31"/>
      <c r="M40" s="32"/>
      <c r="N40" s="29"/>
      <c r="O40" s="31"/>
      <c r="P40" s="33"/>
      <c r="Q40" s="34"/>
      <c r="R40" s="35"/>
      <c r="S40" s="34"/>
      <c r="T40" s="32"/>
      <c r="U40" s="29"/>
      <c r="V40" s="36"/>
      <c r="W40" s="29"/>
      <c r="X40" s="32"/>
      <c r="Y40" s="29"/>
      <c r="Z40" s="31"/>
      <c r="AA40" s="32"/>
      <c r="AB40" s="34"/>
      <c r="AC40" s="31"/>
      <c r="AD40" s="37">
        <f>表1温室气体盘查表!AE41</f>
        <v>37742.8121526018</v>
      </c>
      <c r="AE40" s="37">
        <f>表1温室气体盘查表!AF41</f>
        <v>0</v>
      </c>
      <c r="AF40" s="37">
        <f>表1温室气体盘查表!AG41</f>
        <v>0</v>
      </c>
      <c r="AG40" s="37">
        <f>表1温室气体盘查表!AH41</f>
        <v>0</v>
      </c>
      <c r="AH40" s="37">
        <f>表1温室气体盘查表!AI41</f>
        <v>0</v>
      </c>
      <c r="AI40" s="37">
        <f>表1温室气体盘查表!AJ41</f>
        <v>0</v>
      </c>
      <c r="AJ40" s="37">
        <f>表1温室气体盘查表!AK41</f>
        <v>0</v>
      </c>
      <c r="AK40" s="37">
        <f>表1温室气体盘查表!AL41</f>
        <v>37742.8121526018</v>
      </c>
    </row>
    <row r="41" spans="1:37" s="16" customFormat="1" ht="18">
      <c r="A41" s="24">
        <v>37</v>
      </c>
      <c r="B41" s="25" t="str">
        <f>表1温室气体盘查表!B42</f>
        <v>外购商品和服务的上游排放</v>
      </c>
      <c r="C41" s="26" t="str">
        <f>表1温室气体盘查表!C42</f>
        <v>锰铁生产</v>
      </c>
      <c r="D41" s="27" t="str">
        <f>表1温室气体盘查表!E42</f>
        <v>范围三 类别1</v>
      </c>
      <c r="E41" s="28">
        <f>表1温室气体盘查表!F42</f>
        <v>47651.68</v>
      </c>
      <c r="F41" s="29" t="str">
        <f>表1温室气体盘查表!G42</f>
        <v>t</v>
      </c>
      <c r="G41" s="30" t="e">
        <f>'附表2-EF'!#REF!*10</f>
        <v>#REF!</v>
      </c>
      <c r="H41" s="29" t="s">
        <v>765</v>
      </c>
      <c r="I41" s="31">
        <f>'附表1-GWP TABLE'!E40</f>
        <v>0</v>
      </c>
      <c r="J41" s="32"/>
      <c r="K41" s="29"/>
      <c r="L41" s="31"/>
      <c r="M41" s="32"/>
      <c r="N41" s="29"/>
      <c r="O41" s="31"/>
      <c r="P41" s="33"/>
      <c r="Q41" s="34"/>
      <c r="R41" s="35"/>
      <c r="S41" s="34"/>
      <c r="T41" s="32"/>
      <c r="U41" s="29"/>
      <c r="V41" s="36"/>
      <c r="W41" s="29"/>
      <c r="X41" s="32"/>
      <c r="Y41" s="29"/>
      <c r="Z41" s="31"/>
      <c r="AA41" s="32"/>
      <c r="AB41" s="34"/>
      <c r="AC41" s="31"/>
      <c r="AD41" s="37">
        <f>表1温室气体盘查表!AE42</f>
        <v>141868.58169600001</v>
      </c>
      <c r="AE41" s="37">
        <f>表1温室气体盘查表!AF42</f>
        <v>0</v>
      </c>
      <c r="AF41" s="37">
        <f>表1温室气体盘查表!AG42</f>
        <v>0</v>
      </c>
      <c r="AG41" s="37">
        <f>表1温室气体盘查表!AH42</f>
        <v>0</v>
      </c>
      <c r="AH41" s="37">
        <f>表1温室气体盘查表!AI42</f>
        <v>0</v>
      </c>
      <c r="AI41" s="37">
        <f>表1温室气体盘查表!AJ42</f>
        <v>0</v>
      </c>
      <c r="AJ41" s="37">
        <f>表1温室气体盘查表!AK42</f>
        <v>0</v>
      </c>
      <c r="AK41" s="37">
        <f>表1温室气体盘查表!AL42</f>
        <v>141868.58169600001</v>
      </c>
    </row>
    <row r="42" spans="1:37" s="16" customFormat="1" ht="18">
      <c r="A42" s="24">
        <v>38</v>
      </c>
      <c r="B42" s="25" t="str">
        <f>表1温室气体盘查表!B43</f>
        <v>外购商品和服务的上游排放</v>
      </c>
      <c r="C42" s="26" t="str">
        <f>表1温室气体盘查表!C43</f>
        <v>镍铁生产</v>
      </c>
      <c r="D42" s="27" t="str">
        <f>表1温室气体盘查表!E43</f>
        <v>范围三 类别1</v>
      </c>
      <c r="E42" s="28">
        <f>表1温室气体盘查表!F43</f>
        <v>9688.41</v>
      </c>
      <c r="F42" s="29" t="str">
        <f>表1温室气体盘查表!G43</f>
        <v>t</v>
      </c>
      <c r="G42" s="30" t="e">
        <f>'附表2-EF'!#REF!*10</f>
        <v>#REF!</v>
      </c>
      <c r="H42" s="29" t="s">
        <v>766</v>
      </c>
      <c r="I42" s="31">
        <f>'附表1-GWP TABLE'!E41</f>
        <v>0</v>
      </c>
      <c r="J42" s="32"/>
      <c r="K42" s="29"/>
      <c r="L42" s="31"/>
      <c r="M42" s="32"/>
      <c r="N42" s="29"/>
      <c r="O42" s="31"/>
      <c r="P42" s="33"/>
      <c r="Q42" s="34"/>
      <c r="R42" s="35"/>
      <c r="S42" s="34"/>
      <c r="T42" s="32"/>
      <c r="U42" s="29"/>
      <c r="V42" s="36"/>
      <c r="W42" s="29"/>
      <c r="X42" s="32"/>
      <c r="Y42" s="29"/>
      <c r="Z42" s="31"/>
      <c r="AA42" s="32"/>
      <c r="AB42" s="34"/>
      <c r="AC42" s="31"/>
      <c r="AD42" s="37">
        <f>表1温室气体盘查表!AE43</f>
        <v>84819.123026999994</v>
      </c>
      <c r="AE42" s="37">
        <f>表1温室气体盘查表!AF43</f>
        <v>0</v>
      </c>
      <c r="AF42" s="37">
        <f>表1温室气体盘查表!AG43</f>
        <v>0</v>
      </c>
      <c r="AG42" s="37">
        <f>表1温室气体盘查表!AH43</f>
        <v>0</v>
      </c>
      <c r="AH42" s="37">
        <f>表1温室气体盘查表!AI43</f>
        <v>0</v>
      </c>
      <c r="AI42" s="37">
        <f>表1温室气体盘查表!AJ43</f>
        <v>0</v>
      </c>
      <c r="AJ42" s="37">
        <f>表1温室气体盘查表!AK43</f>
        <v>0</v>
      </c>
      <c r="AK42" s="37">
        <f>表1温室气体盘查表!AL43</f>
        <v>84819.123026999994</v>
      </c>
    </row>
    <row r="43" spans="1:37" s="16" customFormat="1" ht="18">
      <c r="A43" s="24">
        <v>39</v>
      </c>
      <c r="B43" s="25" t="str">
        <f>表1温室气体盘查表!B44</f>
        <v>外购商品和服务的上游排放</v>
      </c>
      <c r="C43" s="26" t="str">
        <f>表1温室气体盘查表!C44</f>
        <v>铬铁生产</v>
      </c>
      <c r="D43" s="27" t="str">
        <f>表1温室气体盘查表!E44</f>
        <v>范围三 类别1</v>
      </c>
      <c r="E43" s="28">
        <f>表1温室气体盘查表!F44</f>
        <v>67771.929999999993</v>
      </c>
      <c r="F43" s="29" t="str">
        <f>表1温室气体盘查表!G44</f>
        <v>t</v>
      </c>
      <c r="G43" s="30">
        <f>'附表2-EF'!K43*10</f>
        <v>0</v>
      </c>
      <c r="H43" s="29" t="s">
        <v>767</v>
      </c>
      <c r="I43" s="31">
        <f>'附表1-GWP TABLE'!E42</f>
        <v>0</v>
      </c>
      <c r="J43" s="32"/>
      <c r="K43" s="29"/>
      <c r="L43" s="31"/>
      <c r="M43" s="32"/>
      <c r="N43" s="29"/>
      <c r="O43" s="31"/>
      <c r="P43" s="33"/>
      <c r="Q43" s="34"/>
      <c r="R43" s="35"/>
      <c r="S43" s="34"/>
      <c r="T43" s="32"/>
      <c r="U43" s="29"/>
      <c r="V43" s="36"/>
      <c r="W43" s="29"/>
      <c r="X43" s="32"/>
      <c r="Y43" s="29"/>
      <c r="Z43" s="31"/>
      <c r="AA43" s="32"/>
      <c r="AB43" s="34"/>
      <c r="AC43" s="31"/>
      <c r="AD43" s="37">
        <f>表1温室气体盘查表!AE44</f>
        <v>345101.44475299999</v>
      </c>
      <c r="AE43" s="37">
        <f>表1温室气体盘查表!AF44</f>
        <v>0</v>
      </c>
      <c r="AF43" s="37">
        <f>表1温室气体盘查表!AG44</f>
        <v>0</v>
      </c>
      <c r="AG43" s="37">
        <f>表1温室气体盘查表!AH44</f>
        <v>0</v>
      </c>
      <c r="AH43" s="37">
        <f>表1温室气体盘查表!AI44</f>
        <v>0</v>
      </c>
      <c r="AI43" s="37">
        <f>表1温室气体盘查表!AJ44</f>
        <v>0</v>
      </c>
      <c r="AJ43" s="37">
        <f>表1温室气体盘查表!AK44</f>
        <v>0</v>
      </c>
      <c r="AK43" s="37">
        <f>表1温室气体盘查表!AL44</f>
        <v>345101.44475299999</v>
      </c>
    </row>
    <row r="44" spans="1:37" s="16" customFormat="1" ht="18">
      <c r="A44" s="24">
        <v>40</v>
      </c>
      <c r="B44" s="25" t="str">
        <f>表1温室气体盘查表!B45</f>
        <v>外购商品和服务的上游排放</v>
      </c>
      <c r="C44" s="26" t="str">
        <f>表1温室气体盘查表!C45</f>
        <v>萤石生产</v>
      </c>
      <c r="D44" s="27" t="str">
        <f>表1温室气体盘查表!E45</f>
        <v>范围三 类别1</v>
      </c>
      <c r="E44" s="28">
        <f>表1温室气体盘查表!F45</f>
        <v>3237.84</v>
      </c>
      <c r="F44" s="29" t="str">
        <f>表1温室气体盘查表!G45</f>
        <v>t</v>
      </c>
      <c r="G44" s="30" t="e">
        <f>'附表2-EF'!#REF!*10</f>
        <v>#REF!</v>
      </c>
      <c r="H44" s="29" t="s">
        <v>768</v>
      </c>
      <c r="I44" s="31">
        <f>'附表1-GWP TABLE'!E43</f>
        <v>0</v>
      </c>
      <c r="J44" s="32"/>
      <c r="K44" s="29"/>
      <c r="L44" s="31"/>
      <c r="M44" s="32"/>
      <c r="N44" s="29"/>
      <c r="O44" s="31"/>
      <c r="P44" s="33"/>
      <c r="Q44" s="34"/>
      <c r="R44" s="35"/>
      <c r="S44" s="34"/>
      <c r="T44" s="32"/>
      <c r="U44" s="29"/>
      <c r="V44" s="36"/>
      <c r="W44" s="29"/>
      <c r="X44" s="32"/>
      <c r="Y44" s="29"/>
      <c r="Z44" s="31"/>
      <c r="AA44" s="32"/>
      <c r="AB44" s="34"/>
      <c r="AC44" s="31"/>
      <c r="AD44" s="37">
        <f>表1温室气体盘查表!AE45</f>
        <v>685.06218720000004</v>
      </c>
      <c r="AE44" s="37">
        <f>表1温室气体盘查表!AF45</f>
        <v>0</v>
      </c>
      <c r="AF44" s="37">
        <f>表1温室气体盘查表!AG45</f>
        <v>0</v>
      </c>
      <c r="AG44" s="37">
        <f>表1温室气体盘查表!AH45</f>
        <v>0</v>
      </c>
      <c r="AH44" s="37">
        <f>表1温室气体盘查表!AI45</f>
        <v>0</v>
      </c>
      <c r="AI44" s="37">
        <f>表1温室气体盘查表!AJ45</f>
        <v>0</v>
      </c>
      <c r="AJ44" s="37">
        <f>表1温室气体盘查表!AK45</f>
        <v>0</v>
      </c>
      <c r="AK44" s="37">
        <f>表1温室气体盘查表!AL45</f>
        <v>685.06218720000004</v>
      </c>
    </row>
    <row r="45" spans="1:37" s="16" customFormat="1" ht="18">
      <c r="A45" s="24">
        <v>41</v>
      </c>
      <c r="B45" s="25" t="str">
        <f>表1温室气体盘查表!B46</f>
        <v>外购商品和服务的上游排放</v>
      </c>
      <c r="C45" s="26" t="str">
        <f>表1温室气体盘查表!C46</f>
        <v>硅铁生产</v>
      </c>
      <c r="D45" s="27" t="str">
        <f>表1温室气体盘查表!E46</f>
        <v>范围三 类别1</v>
      </c>
      <c r="E45" s="28">
        <f>表1温室气体盘查表!F46</f>
        <v>10209.540000000001</v>
      </c>
      <c r="F45" s="29" t="str">
        <f>表1温室气体盘查表!G46</f>
        <v>t</v>
      </c>
      <c r="G45" s="30" t="e">
        <f>'附表2-EF'!#REF!*10</f>
        <v>#REF!</v>
      </c>
      <c r="H45" s="29" t="s">
        <v>769</v>
      </c>
      <c r="I45" s="31">
        <f>'附表1-GWP TABLE'!E44</f>
        <v>0</v>
      </c>
      <c r="J45" s="32"/>
      <c r="K45" s="29"/>
      <c r="L45" s="31"/>
      <c r="M45" s="32"/>
      <c r="N45" s="29"/>
      <c r="O45" s="31"/>
      <c r="P45" s="33"/>
      <c r="Q45" s="34"/>
      <c r="R45" s="35"/>
      <c r="S45" s="34"/>
      <c r="T45" s="32"/>
      <c r="U45" s="29"/>
      <c r="V45" s="36"/>
      <c r="W45" s="29"/>
      <c r="X45" s="32"/>
      <c r="Y45" s="29"/>
      <c r="Z45" s="31"/>
      <c r="AA45" s="32"/>
      <c r="AB45" s="34"/>
      <c r="AC45" s="31"/>
      <c r="AD45" s="37">
        <f>表1温室气体盘查表!AE46</f>
        <v>103575.7833</v>
      </c>
      <c r="AE45" s="37">
        <f>表1温室气体盘查表!AF46</f>
        <v>0</v>
      </c>
      <c r="AF45" s="37">
        <f>表1温室气体盘查表!AG46</f>
        <v>0</v>
      </c>
      <c r="AG45" s="37">
        <f>表1温室气体盘查表!AH46</f>
        <v>0</v>
      </c>
      <c r="AH45" s="37">
        <f>表1温室气体盘查表!AI46</f>
        <v>0</v>
      </c>
      <c r="AI45" s="37">
        <f>表1温室气体盘查表!AJ46</f>
        <v>0</v>
      </c>
      <c r="AJ45" s="37">
        <f>表1温室气体盘查表!AK46</f>
        <v>0</v>
      </c>
      <c r="AK45" s="37">
        <f>表1温室气体盘查表!AL46</f>
        <v>103575.7833</v>
      </c>
    </row>
    <row r="46" spans="1:37" s="16" customFormat="1" ht="18">
      <c r="A46" s="24">
        <v>42</v>
      </c>
      <c r="B46" s="25" t="str">
        <f>表1温室气体盘查表!B47</f>
        <v>外购商品和服务的上游排放</v>
      </c>
      <c r="C46" s="26" t="str">
        <f>表1温室气体盘查表!C47</f>
        <v>钼铁生产</v>
      </c>
      <c r="D46" s="27" t="str">
        <f>表1温室气体盘查表!E47</f>
        <v>范围三 类别1</v>
      </c>
      <c r="E46" s="28">
        <f>表1温室气体盘查表!F47</f>
        <v>7772.4</v>
      </c>
      <c r="F46" s="29" t="str">
        <f>表1温室气体盘查表!G47</f>
        <v>t</v>
      </c>
      <c r="G46" s="30" t="e">
        <f>'附表2-EF'!#REF!*10</f>
        <v>#REF!</v>
      </c>
      <c r="H46" s="29" t="s">
        <v>770</v>
      </c>
      <c r="I46" s="31">
        <f>'附表1-GWP TABLE'!E45</f>
        <v>0</v>
      </c>
      <c r="J46" s="32"/>
      <c r="K46" s="29"/>
      <c r="L46" s="31"/>
      <c r="M46" s="32"/>
      <c r="N46" s="29"/>
      <c r="O46" s="31"/>
      <c r="P46" s="33"/>
      <c r="Q46" s="34"/>
      <c r="R46" s="35"/>
      <c r="S46" s="34"/>
      <c r="T46" s="32"/>
      <c r="U46" s="29"/>
      <c r="V46" s="36"/>
      <c r="W46" s="29"/>
      <c r="X46" s="32"/>
      <c r="Y46" s="29"/>
      <c r="Z46" s="31"/>
      <c r="AA46" s="32"/>
      <c r="AB46" s="34"/>
      <c r="AC46" s="31"/>
      <c r="AD46" s="37">
        <f>表1温室气体盘查表!AE47</f>
        <v>66065.399999999994</v>
      </c>
      <c r="AE46" s="37">
        <f>表1温室气体盘查表!AF47</f>
        <v>0</v>
      </c>
      <c r="AF46" s="37">
        <f>表1温室气体盘查表!AG47</f>
        <v>0</v>
      </c>
      <c r="AG46" s="37">
        <f>表1温室气体盘查表!AH47</f>
        <v>0</v>
      </c>
      <c r="AH46" s="37">
        <f>表1温室气体盘查表!AI47</f>
        <v>0</v>
      </c>
      <c r="AI46" s="37">
        <f>表1温室气体盘查表!AJ47</f>
        <v>0</v>
      </c>
      <c r="AJ46" s="37">
        <f>表1温室气体盘查表!AK47</f>
        <v>0</v>
      </c>
      <c r="AK46" s="37">
        <f>表1温室气体盘查表!AL47</f>
        <v>66065.399999999994</v>
      </c>
    </row>
    <row r="47" spans="1:37" s="16" customFormat="1" ht="60.75" customHeight="1">
      <c r="A47" s="24">
        <v>43</v>
      </c>
      <c r="B47" s="25" t="str">
        <f>表1温室气体盘查表!B48</f>
        <v>外购商品和服务的上游排放</v>
      </c>
      <c r="C47" s="26" t="str">
        <f>表1温室气体盘查表!C48</f>
        <v>铝铁生产</v>
      </c>
      <c r="D47" s="27" t="str">
        <f>表1温室气体盘查表!E48</f>
        <v>范围三 类别1</v>
      </c>
      <c r="E47" s="28">
        <f>表1温室气体盘查表!F48</f>
        <v>11018.51</v>
      </c>
      <c r="F47" s="29" t="str">
        <f>表1温室气体盘查表!G48</f>
        <v>t</v>
      </c>
      <c r="G47" s="30" t="e">
        <f>'附表2-EF'!#REF!*10</f>
        <v>#REF!</v>
      </c>
      <c r="H47" s="29" t="s">
        <v>771</v>
      </c>
      <c r="I47" s="31">
        <f>'附表1-GWP TABLE'!E46</f>
        <v>0</v>
      </c>
      <c r="J47" s="32"/>
      <c r="K47" s="29"/>
      <c r="L47" s="31"/>
      <c r="M47" s="32"/>
      <c r="N47" s="29"/>
      <c r="O47" s="31"/>
      <c r="P47" s="33"/>
      <c r="Q47" s="34"/>
      <c r="R47" s="35"/>
      <c r="S47" s="34"/>
      <c r="T47" s="32"/>
      <c r="U47" s="29"/>
      <c r="V47" s="36"/>
      <c r="W47" s="29"/>
      <c r="X47" s="32"/>
      <c r="Y47" s="29"/>
      <c r="Z47" s="31"/>
      <c r="AA47" s="32"/>
      <c r="AB47" s="34"/>
      <c r="AC47" s="31"/>
      <c r="AD47" s="37">
        <f>表1温室气体盘查表!AE48</f>
        <v>63158.190107505099</v>
      </c>
      <c r="AE47" s="37">
        <f>表1温室气体盘查表!AF48</f>
        <v>0</v>
      </c>
      <c r="AF47" s="37">
        <f>表1温室气体盘查表!AG48</f>
        <v>0</v>
      </c>
      <c r="AG47" s="37">
        <f>表1温室气体盘查表!AH48</f>
        <v>0</v>
      </c>
      <c r="AH47" s="37">
        <f>表1温室气体盘查表!AI48</f>
        <v>0</v>
      </c>
      <c r="AI47" s="37">
        <f>表1温室气体盘查表!AJ48</f>
        <v>0</v>
      </c>
      <c r="AJ47" s="37">
        <f>表1温室气体盘查表!AK48</f>
        <v>0</v>
      </c>
      <c r="AK47" s="37">
        <f>表1温室气体盘查表!AL48</f>
        <v>63158.190107505099</v>
      </c>
    </row>
    <row r="48" spans="1:37" s="16" customFormat="1" ht="18">
      <c r="A48" s="24">
        <v>44</v>
      </c>
      <c r="B48" s="25" t="str">
        <f>表1温室气体盘查表!B49</f>
        <v>外购商品和服务的上游排放</v>
      </c>
      <c r="C48" s="26" t="str">
        <f>表1温室气体盘查表!C49</f>
        <v>铝生产</v>
      </c>
      <c r="D48" s="27" t="str">
        <f>表1温室气体盘查表!E49</f>
        <v>范围三 类别1</v>
      </c>
      <c r="E48" s="28">
        <f>表1温室气体盘查表!F49</f>
        <v>2841.66</v>
      </c>
      <c r="F48" s="29" t="str">
        <f>表1温室气体盘查表!G49</f>
        <v>t</v>
      </c>
      <c r="G48" s="30" t="e">
        <f>'附表2-EF'!#REF!*10</f>
        <v>#REF!</v>
      </c>
      <c r="H48" s="29" t="s">
        <v>772</v>
      </c>
      <c r="I48" s="31">
        <f>'附表1-GWP TABLE'!E47</f>
        <v>17400</v>
      </c>
      <c r="J48" s="32"/>
      <c r="K48" s="29"/>
      <c r="L48" s="31"/>
      <c r="M48" s="32"/>
      <c r="N48" s="29"/>
      <c r="O48" s="31"/>
      <c r="P48" s="33"/>
      <c r="Q48" s="34"/>
      <c r="R48" s="35"/>
      <c r="S48" s="34"/>
      <c r="T48" s="32"/>
      <c r="U48" s="29"/>
      <c r="V48" s="36"/>
      <c r="W48" s="29"/>
      <c r="X48" s="32"/>
      <c r="Y48" s="29"/>
      <c r="Z48" s="31"/>
      <c r="AA48" s="32"/>
      <c r="AB48" s="34"/>
      <c r="AC48" s="31"/>
      <c r="AD48" s="37">
        <f>表1温室气体盘查表!AE49</f>
        <v>63342.195032190299</v>
      </c>
      <c r="AE48" s="37">
        <f>表1温室气体盘查表!AF49</f>
        <v>0</v>
      </c>
      <c r="AF48" s="37">
        <f>表1温室气体盘查表!AG49</f>
        <v>0</v>
      </c>
      <c r="AG48" s="37">
        <f>表1温室气体盘查表!AH49</f>
        <v>0</v>
      </c>
      <c r="AH48" s="37">
        <f>表1温室气体盘查表!AI49</f>
        <v>0</v>
      </c>
      <c r="AI48" s="37">
        <f>表1温室气体盘查表!AJ49</f>
        <v>0</v>
      </c>
      <c r="AJ48" s="37">
        <f>表1温室气体盘查表!AK49</f>
        <v>0</v>
      </c>
      <c r="AK48" s="37">
        <f>表1温室气体盘查表!AL49</f>
        <v>63342.195032190299</v>
      </c>
    </row>
    <row r="49" spans="1:37" s="16" customFormat="1" ht="18">
      <c r="A49" s="24">
        <v>45</v>
      </c>
      <c r="B49" s="25" t="str">
        <f>表1温室气体盘查表!B50</f>
        <v>外购商品和服务的上游排放</v>
      </c>
      <c r="C49" s="26" t="str">
        <f>表1温室气体盘查表!C50</f>
        <v>增碳剂生产</v>
      </c>
      <c r="D49" s="27" t="str">
        <f>表1温室气体盘查表!E50</f>
        <v>范围三 类别1</v>
      </c>
      <c r="E49" s="28">
        <f>表1温室气体盘查表!F50</f>
        <v>10680.664000000001</v>
      </c>
      <c r="F49" s="29" t="str">
        <f>表1温室气体盘查表!G50</f>
        <v>t</v>
      </c>
      <c r="G49" s="30" t="e">
        <f>'附表2-EF'!#REF!*10</f>
        <v>#REF!</v>
      </c>
      <c r="H49" s="29" t="s">
        <v>773</v>
      </c>
      <c r="I49" s="31">
        <f>'附表1-GWP TABLE'!E48</f>
        <v>24300</v>
      </c>
      <c r="J49" s="32"/>
      <c r="K49" s="29"/>
      <c r="L49" s="31"/>
      <c r="M49" s="32"/>
      <c r="N49" s="29"/>
      <c r="O49" s="31"/>
      <c r="P49" s="33"/>
      <c r="Q49" s="34"/>
      <c r="R49" s="35"/>
      <c r="S49" s="34"/>
      <c r="T49" s="32"/>
      <c r="U49" s="29"/>
      <c r="V49" s="36"/>
      <c r="W49" s="29"/>
      <c r="X49" s="32"/>
      <c r="Y49" s="29"/>
      <c r="Z49" s="31"/>
      <c r="AA49" s="32"/>
      <c r="AB49" s="34"/>
      <c r="AC49" s="31"/>
      <c r="AD49" s="37">
        <f>表1温室气体盘查表!AE50</f>
        <v>17778.323207115402</v>
      </c>
      <c r="AE49" s="37">
        <f>表1温室气体盘查表!AF50</f>
        <v>0</v>
      </c>
      <c r="AF49" s="37">
        <f>表1温室气体盘查表!AG50</f>
        <v>0</v>
      </c>
      <c r="AG49" s="37">
        <f>表1温室气体盘查表!AH50</f>
        <v>0</v>
      </c>
      <c r="AH49" s="37">
        <f>表1温室气体盘查表!AI50</f>
        <v>0</v>
      </c>
      <c r="AI49" s="37">
        <f>表1温室气体盘查表!AJ50</f>
        <v>0</v>
      </c>
      <c r="AJ49" s="37">
        <f>表1温室气体盘查表!AK50</f>
        <v>0</v>
      </c>
      <c r="AK49" s="37">
        <f>表1温室气体盘查表!AL50</f>
        <v>17778.323207115402</v>
      </c>
    </row>
    <row r="50" spans="1:37" s="16" customFormat="1" ht="18">
      <c r="A50" s="24">
        <v>46</v>
      </c>
      <c r="B50" s="25" t="str">
        <f>表1温室气体盘查表!B51</f>
        <v>外购商品和服务的上游排放</v>
      </c>
      <c r="C50" s="26" t="str">
        <f>表1温室气体盘查表!C51</f>
        <v>铁鳞生产</v>
      </c>
      <c r="D50" s="27" t="str">
        <f>表1温室气体盘查表!E51</f>
        <v>范围三 类别1</v>
      </c>
      <c r="E50" s="28">
        <f>表1温室气体盘查表!F51</f>
        <v>172683.99</v>
      </c>
      <c r="F50" s="29" t="str">
        <f>表1温室气体盘查表!G51</f>
        <v>t</v>
      </c>
      <c r="G50" s="30" t="e">
        <f>'附表2-EF'!#REF!*10</f>
        <v>#REF!</v>
      </c>
      <c r="H50" s="29" t="s">
        <v>774</v>
      </c>
      <c r="I50" s="31">
        <f>'附表1-GWP TABLE'!E49</f>
        <v>0</v>
      </c>
      <c r="J50" s="32"/>
      <c r="K50" s="29"/>
      <c r="L50" s="31"/>
      <c r="M50" s="32"/>
      <c r="N50" s="29"/>
      <c r="O50" s="31"/>
      <c r="P50" s="33"/>
      <c r="Q50" s="34"/>
      <c r="R50" s="35"/>
      <c r="S50" s="34"/>
      <c r="T50" s="32"/>
      <c r="U50" s="29"/>
      <c r="V50" s="36"/>
      <c r="W50" s="29"/>
      <c r="X50" s="32"/>
      <c r="Y50" s="29"/>
      <c r="Z50" s="31"/>
      <c r="AA50" s="32"/>
      <c r="AB50" s="34"/>
      <c r="AC50" s="31"/>
      <c r="AD50" s="37">
        <f>表1温室气体盘查表!AE51</f>
        <v>608.38394217142104</v>
      </c>
      <c r="AE50" s="37">
        <f>表1温室气体盘查表!AF51</f>
        <v>0</v>
      </c>
      <c r="AF50" s="37">
        <f>表1温室气体盘查表!AG51</f>
        <v>0</v>
      </c>
      <c r="AG50" s="37">
        <f>表1温室气体盘查表!AH51</f>
        <v>0</v>
      </c>
      <c r="AH50" s="37">
        <f>表1温室气体盘查表!AI51</f>
        <v>0</v>
      </c>
      <c r="AI50" s="37">
        <f>表1温室气体盘查表!AJ51</f>
        <v>0</v>
      </c>
      <c r="AJ50" s="37">
        <f>表1温室气体盘查表!AK51</f>
        <v>0</v>
      </c>
      <c r="AK50" s="37">
        <f>表1温室气体盘查表!AL51</f>
        <v>608.38394217142104</v>
      </c>
    </row>
    <row r="51" spans="1:37" s="16" customFormat="1" ht="18">
      <c r="A51" s="24">
        <v>47</v>
      </c>
      <c r="B51" s="25" t="str">
        <f>表1温室气体盘查表!B52</f>
        <v>外购商品和服务的上游排放</v>
      </c>
      <c r="C51" s="26" t="str">
        <f>表1温室气体盘查表!C52</f>
        <v>氨水生产</v>
      </c>
      <c r="D51" s="27" t="str">
        <f>表1温室气体盘查表!E52</f>
        <v>范围三 类别1</v>
      </c>
      <c r="E51" s="28">
        <f>表1温室气体盘查表!F52</f>
        <v>4496.1400000000003</v>
      </c>
      <c r="F51" s="29" t="str">
        <f>表1温室气体盘查表!G52</f>
        <v>t</v>
      </c>
      <c r="G51" s="30" t="e">
        <f>'附表2-EF'!#REF!*10</f>
        <v>#REF!</v>
      </c>
      <c r="H51" s="29" t="s">
        <v>775</v>
      </c>
      <c r="I51" s="31">
        <f>'附表1-GWP TABLE'!E50</f>
        <v>0</v>
      </c>
      <c r="J51" s="32"/>
      <c r="K51" s="29"/>
      <c r="L51" s="31"/>
      <c r="M51" s="32"/>
      <c r="N51" s="29"/>
      <c r="O51" s="31"/>
      <c r="P51" s="33"/>
      <c r="Q51" s="34"/>
      <c r="R51" s="35"/>
      <c r="S51" s="34"/>
      <c r="T51" s="32"/>
      <c r="U51" s="29"/>
      <c r="V51" s="36"/>
      <c r="W51" s="29"/>
      <c r="X51" s="32"/>
      <c r="Y51" s="29"/>
      <c r="Z51" s="31"/>
      <c r="AA51" s="32"/>
      <c r="AB51" s="34"/>
      <c r="AC51" s="31"/>
      <c r="AD51" s="37">
        <f>表1温室气体盘查表!AE52</f>
        <v>24444.815275563698</v>
      </c>
      <c r="AE51" s="37">
        <f>表1温室气体盘查表!AF52</f>
        <v>0</v>
      </c>
      <c r="AF51" s="37">
        <f>表1温室气体盘查表!AG52</f>
        <v>0</v>
      </c>
      <c r="AG51" s="37">
        <f>表1温室气体盘查表!AH52</f>
        <v>0</v>
      </c>
      <c r="AH51" s="37">
        <f>表1温室气体盘查表!AI52</f>
        <v>0</v>
      </c>
      <c r="AI51" s="37">
        <f>表1温室气体盘查表!AJ52</f>
        <v>0</v>
      </c>
      <c r="AJ51" s="37">
        <f>表1温室气体盘查表!AK52</f>
        <v>0</v>
      </c>
      <c r="AK51" s="37">
        <f>表1温室气体盘查表!AL52</f>
        <v>24444.815275563698</v>
      </c>
    </row>
    <row r="52" spans="1:37" s="16" customFormat="1" ht="18">
      <c r="A52" s="24">
        <v>48</v>
      </c>
      <c r="B52" s="25" t="str">
        <f>表1温室气体盘查表!B53</f>
        <v>外购商品和服务的上游排放</v>
      </c>
      <c r="C52" s="26" t="str">
        <f>表1温室气体盘查表!C53</f>
        <v>碳化硅生产</v>
      </c>
      <c r="D52" s="27" t="str">
        <f>表1温室气体盘查表!E53</f>
        <v>范围三 类别1</v>
      </c>
      <c r="E52" s="28">
        <f>表1温室气体盘查表!F53</f>
        <v>6614.7979999999998</v>
      </c>
      <c r="F52" s="29" t="str">
        <f>表1温室气体盘查表!G53</f>
        <v>t</v>
      </c>
      <c r="G52" s="30" t="e">
        <f>'附表2-EF'!#REF!*10</f>
        <v>#REF!</v>
      </c>
      <c r="H52" s="29" t="s">
        <v>776</v>
      </c>
      <c r="I52" s="31">
        <f>'附表1-GWP TABLE'!E51</f>
        <v>0</v>
      </c>
      <c r="J52" s="32"/>
      <c r="K52" s="29"/>
      <c r="L52" s="31"/>
      <c r="M52" s="32"/>
      <c r="N52" s="29"/>
      <c r="O52" s="31"/>
      <c r="P52" s="33"/>
      <c r="Q52" s="34"/>
      <c r="R52" s="35"/>
      <c r="S52" s="34"/>
      <c r="T52" s="32"/>
      <c r="U52" s="29"/>
      <c r="V52" s="36"/>
      <c r="W52" s="29"/>
      <c r="X52" s="32"/>
      <c r="Y52" s="29"/>
      <c r="Z52" s="31"/>
      <c r="AA52" s="32"/>
      <c r="AB52" s="34"/>
      <c r="AC52" s="31"/>
      <c r="AD52" s="37">
        <f>表1温室气体盘查表!AE53</f>
        <v>48149.585124286299</v>
      </c>
      <c r="AE52" s="37">
        <f>表1温室气体盘查表!AF53</f>
        <v>0</v>
      </c>
      <c r="AF52" s="37">
        <f>表1温室气体盘查表!AG53</f>
        <v>0</v>
      </c>
      <c r="AG52" s="37">
        <f>表1温室气体盘查表!AH53</f>
        <v>0</v>
      </c>
      <c r="AH52" s="37">
        <f>表1温室气体盘查表!AI53</f>
        <v>0</v>
      </c>
      <c r="AI52" s="37">
        <f>表1温室气体盘查表!AJ53</f>
        <v>0</v>
      </c>
      <c r="AJ52" s="37">
        <f>表1温室气体盘查表!AK53</f>
        <v>0</v>
      </c>
      <c r="AK52" s="37">
        <f>表1温室气体盘查表!AL53</f>
        <v>48149.585124286299</v>
      </c>
    </row>
    <row r="53" spans="1:37" s="16" customFormat="1" ht="18">
      <c r="A53" s="24">
        <v>49</v>
      </c>
      <c r="B53" s="25" t="str">
        <f>表1温室气体盘查表!B54</f>
        <v>外购商品和服务的上游排放</v>
      </c>
      <c r="C53" s="26" t="str">
        <f>表1温室气体盘查表!C54</f>
        <v>镁生产</v>
      </c>
      <c r="D53" s="27" t="str">
        <f>表1温室气体盘查表!E54</f>
        <v>范围三 类别1</v>
      </c>
      <c r="E53" s="28">
        <f>表1温室气体盘查表!F54</f>
        <v>11710.709000000001</v>
      </c>
      <c r="F53" s="29" t="str">
        <f>表1温室气体盘查表!G54</f>
        <v>t</v>
      </c>
      <c r="G53" s="30" t="e">
        <f>'附表2-EF'!#REF!*10</f>
        <v>#REF!</v>
      </c>
      <c r="H53" s="29" t="s">
        <v>777</v>
      </c>
      <c r="I53" s="31">
        <f>'附表1-GWP TABLE'!E52</f>
        <v>0</v>
      </c>
      <c r="J53" s="32"/>
      <c r="K53" s="29"/>
      <c r="L53" s="31"/>
      <c r="M53" s="32"/>
      <c r="N53" s="29"/>
      <c r="O53" s="31"/>
      <c r="P53" s="33"/>
      <c r="Q53" s="34"/>
      <c r="R53" s="35"/>
      <c r="S53" s="34"/>
      <c r="T53" s="32"/>
      <c r="U53" s="29"/>
      <c r="V53" s="36"/>
      <c r="W53" s="29"/>
      <c r="X53" s="32"/>
      <c r="Y53" s="29"/>
      <c r="Z53" s="31"/>
      <c r="AA53" s="32"/>
      <c r="AB53" s="34"/>
      <c r="AC53" s="31"/>
      <c r="AD53" s="37">
        <f>表1温室气体盘查表!AE54</f>
        <v>308520.83395425999</v>
      </c>
      <c r="AE53" s="37">
        <f>表1温室气体盘查表!AF54</f>
        <v>0</v>
      </c>
      <c r="AF53" s="37">
        <f>表1温室气体盘查表!AG54</f>
        <v>0</v>
      </c>
      <c r="AG53" s="37">
        <f>表1温室气体盘查表!AH54</f>
        <v>0</v>
      </c>
      <c r="AH53" s="37">
        <f>表1温室气体盘查表!AI54</f>
        <v>0</v>
      </c>
      <c r="AI53" s="37">
        <f>表1温室气体盘查表!AJ54</f>
        <v>0</v>
      </c>
      <c r="AJ53" s="37">
        <f>表1温室气体盘查表!AK54</f>
        <v>0</v>
      </c>
      <c r="AK53" s="37">
        <f>表1温室气体盘查表!AL54</f>
        <v>308520.83395425999</v>
      </c>
    </row>
    <row r="54" spans="1:37" s="16" customFormat="1" ht="18">
      <c r="A54" s="24">
        <v>50</v>
      </c>
      <c r="B54" s="25" t="str">
        <f>表1温室气体盘查表!B55</f>
        <v>外购商品和服务的上游排放</v>
      </c>
      <c r="C54" s="26" t="str">
        <f>表1温室气体盘查表!C55</f>
        <v>所有其他纸制品加工制造</v>
      </c>
      <c r="D54" s="27" t="str">
        <f>表1温室气体盘查表!E55</f>
        <v>范围三 类别1</v>
      </c>
      <c r="E54" s="28">
        <f>表1温室气体盘查表!F55</f>
        <v>16162.17</v>
      </c>
      <c r="F54" s="29" t="str">
        <f>表1温室气体盘查表!G55</f>
        <v>$</v>
      </c>
      <c r="G54" s="30" t="e">
        <f>'附表2-EF'!#REF!*10</f>
        <v>#REF!</v>
      </c>
      <c r="H54" s="29" t="s">
        <v>778</v>
      </c>
      <c r="I54" s="31">
        <f>'附表1-GWP TABLE'!E53</f>
        <v>0</v>
      </c>
      <c r="J54" s="32"/>
      <c r="K54" s="29"/>
      <c r="L54" s="31"/>
      <c r="M54" s="32"/>
      <c r="N54" s="29"/>
      <c r="O54" s="31"/>
      <c r="P54" s="33"/>
      <c r="Q54" s="34"/>
      <c r="R54" s="35"/>
      <c r="S54" s="34"/>
      <c r="T54" s="32"/>
      <c r="U54" s="29"/>
      <c r="V54" s="36"/>
      <c r="W54" s="29"/>
      <c r="X54" s="32"/>
      <c r="Y54" s="29"/>
      <c r="Z54" s="31"/>
      <c r="AA54" s="32"/>
      <c r="AB54" s="34"/>
      <c r="AC54" s="31"/>
      <c r="AD54" s="37">
        <f>表1温室气体盘查表!AE55</f>
        <v>5.5436243100000002</v>
      </c>
      <c r="AE54" s="37">
        <f>表1温室气体盘查表!AF55</f>
        <v>0</v>
      </c>
      <c r="AF54" s="37">
        <f>表1温室气体盘查表!AG55</f>
        <v>0</v>
      </c>
      <c r="AG54" s="37">
        <f>表1温室气体盘查表!AH55</f>
        <v>0</v>
      </c>
      <c r="AH54" s="37">
        <f>表1温室气体盘查表!AI55</f>
        <v>0</v>
      </c>
      <c r="AI54" s="37">
        <f>表1温室气体盘查表!AJ55</f>
        <v>0</v>
      </c>
      <c r="AJ54" s="37">
        <f>表1温室气体盘查表!AK55</f>
        <v>0</v>
      </c>
      <c r="AK54" s="37">
        <f>表1温室气体盘查表!AL55</f>
        <v>5.5436243100000002</v>
      </c>
    </row>
    <row r="55" spans="1:37" s="16" customFormat="1" ht="18">
      <c r="A55" s="24">
        <v>51</v>
      </c>
      <c r="B55" s="25" t="str">
        <f>表1温室气体盘查表!B56</f>
        <v>外购商品和服务的上游排放</v>
      </c>
      <c r="C55" s="26" t="str">
        <f>表1温室气体盘查表!C56</f>
        <v>办公用品(纸张除外)制造</v>
      </c>
      <c r="D55" s="27" t="str">
        <f>表1温室气体盘查表!E56</f>
        <v>范围三 类别1</v>
      </c>
      <c r="E55" s="28">
        <f>表1温室气体盘查表!F56</f>
        <v>177487.76</v>
      </c>
      <c r="F55" s="29" t="str">
        <f>表1温室气体盘查表!G56</f>
        <v>$</v>
      </c>
      <c r="G55" s="30" t="e">
        <f>'附表2-EF'!#REF!*10</f>
        <v>#REF!</v>
      </c>
      <c r="H55" s="29" t="s">
        <v>779</v>
      </c>
      <c r="I55" s="31">
        <f>'附表1-GWP TABLE'!E54</f>
        <v>0</v>
      </c>
      <c r="J55" s="32"/>
      <c r="K55" s="29"/>
      <c r="L55" s="31"/>
      <c r="M55" s="32"/>
      <c r="N55" s="29"/>
      <c r="O55" s="31"/>
      <c r="P55" s="33"/>
      <c r="Q55" s="34"/>
      <c r="R55" s="35"/>
      <c r="S55" s="34"/>
      <c r="T55" s="32"/>
      <c r="U55" s="29"/>
      <c r="V55" s="36"/>
      <c r="W55" s="29"/>
      <c r="X55" s="32"/>
      <c r="Y55" s="29"/>
      <c r="Z55" s="31"/>
      <c r="AA55" s="32"/>
      <c r="AB55" s="34"/>
      <c r="AC55" s="31"/>
      <c r="AD55" s="37">
        <f>表1温室气体盘查表!AE56</f>
        <v>47.034256399999997</v>
      </c>
      <c r="AE55" s="37">
        <f>表1温室气体盘查表!AF56</f>
        <v>0</v>
      </c>
      <c r="AF55" s="37">
        <f>表1温室气体盘查表!AG56</f>
        <v>0</v>
      </c>
      <c r="AG55" s="37">
        <f>表1温室气体盘查表!AH56</f>
        <v>0</v>
      </c>
      <c r="AH55" s="37">
        <f>表1温室气体盘查表!AI56</f>
        <v>0</v>
      </c>
      <c r="AI55" s="37">
        <f>表1温室气体盘查表!AJ56</f>
        <v>0</v>
      </c>
      <c r="AJ55" s="37">
        <f>表1温室气体盘查表!AK56</f>
        <v>0</v>
      </c>
      <c r="AK55" s="37">
        <f>表1温室气体盘查表!AL56</f>
        <v>47.034256399999997</v>
      </c>
    </row>
    <row r="56" spans="1:37" s="16" customFormat="1" ht="18">
      <c r="A56" s="24">
        <v>52</v>
      </c>
      <c r="B56" s="25" t="str">
        <f>表1温室气体盘查表!B57</f>
        <v>外购商品和服务的上游排放</v>
      </c>
      <c r="C56" s="26" t="str">
        <f>表1温室气体盘查表!C57</f>
        <v>源水</v>
      </c>
      <c r="D56" s="27" t="str">
        <f>表1温室气体盘查表!E57</f>
        <v>范围三 类别1</v>
      </c>
      <c r="E56" s="28">
        <f>表1温室气体盘查表!F57</f>
        <v>23278634</v>
      </c>
      <c r="F56" s="29" t="str">
        <f>表1温室气体盘查表!G57</f>
        <v>t</v>
      </c>
      <c r="G56" s="30" t="e">
        <f>'附表2-EF'!#REF!*10</f>
        <v>#REF!</v>
      </c>
      <c r="H56" s="29" t="s">
        <v>780</v>
      </c>
      <c r="I56" s="31">
        <f>'附表1-GWP TABLE'!E55</f>
        <v>0</v>
      </c>
      <c r="J56" s="32"/>
      <c r="K56" s="29"/>
      <c r="L56" s="31"/>
      <c r="M56" s="32"/>
      <c r="N56" s="29"/>
      <c r="O56" s="31"/>
      <c r="P56" s="33"/>
      <c r="Q56" s="34"/>
      <c r="R56" s="35"/>
      <c r="S56" s="34"/>
      <c r="T56" s="32"/>
      <c r="U56" s="29"/>
      <c r="V56" s="36"/>
      <c r="W56" s="29"/>
      <c r="X56" s="32"/>
      <c r="Y56" s="29"/>
      <c r="Z56" s="31"/>
      <c r="AA56" s="32"/>
      <c r="AB56" s="34"/>
      <c r="AC56" s="31"/>
      <c r="AD56" s="37">
        <f>表1温室气体盘查表!AE57</f>
        <v>29761.0306554007</v>
      </c>
      <c r="AE56" s="37">
        <f>表1温室气体盘查表!AF57</f>
        <v>0</v>
      </c>
      <c r="AF56" s="37">
        <f>表1温室气体盘查表!AG57</f>
        <v>0</v>
      </c>
      <c r="AG56" s="37">
        <f>表1温室气体盘查表!AH57</f>
        <v>0</v>
      </c>
      <c r="AH56" s="37">
        <f>表1温室气体盘查表!AI57</f>
        <v>0</v>
      </c>
      <c r="AI56" s="37">
        <f>表1温室气体盘查表!AJ57</f>
        <v>0</v>
      </c>
      <c r="AJ56" s="37">
        <f>表1温室气体盘查表!AK57</f>
        <v>0</v>
      </c>
      <c r="AK56" s="37">
        <f>表1温室气体盘查表!AL57</f>
        <v>29761.0306554007</v>
      </c>
    </row>
    <row r="57" spans="1:37" s="16" customFormat="1" ht="33">
      <c r="A57" s="24">
        <v>53</v>
      </c>
      <c r="B57" s="25" t="str">
        <f>表1温室气体盘查表!B58</f>
        <v>资本货物</v>
      </c>
      <c r="C57" s="26" t="str">
        <f>表1温室气体盘查表!C58</f>
        <v>采购产品空调和暖空气加热设备和商业和工业制冷设备制造</v>
      </c>
      <c r="D57" s="27" t="str">
        <f>表1温室气体盘查表!E58</f>
        <v>范围三 类别2</v>
      </c>
      <c r="E57" s="28">
        <f>表1温室气体盘查表!F58</f>
        <v>137337.4</v>
      </c>
      <c r="F57" s="29" t="str">
        <f>表1温室气体盘查表!G58</f>
        <v>$</v>
      </c>
      <c r="G57" s="30" t="e">
        <f>'附表2-EF'!#REF!*10</f>
        <v>#REF!</v>
      </c>
      <c r="H57" s="29" t="s">
        <v>781</v>
      </c>
      <c r="I57" s="31">
        <f>'附表1-GWP TABLE'!E56</f>
        <v>0</v>
      </c>
      <c r="J57" s="32"/>
      <c r="K57" s="29"/>
      <c r="L57" s="31"/>
      <c r="M57" s="32"/>
      <c r="N57" s="29"/>
      <c r="O57" s="31"/>
      <c r="P57" s="33"/>
      <c r="Q57" s="34"/>
      <c r="R57" s="35"/>
      <c r="S57" s="34"/>
      <c r="T57" s="32"/>
      <c r="U57" s="29"/>
      <c r="V57" s="36"/>
      <c r="W57" s="29"/>
      <c r="X57" s="32"/>
      <c r="Y57" s="29"/>
      <c r="Z57" s="31"/>
      <c r="AA57" s="32"/>
      <c r="AB57" s="34"/>
      <c r="AC57" s="31"/>
      <c r="AD57" s="37">
        <f>表1温室气体盘查表!AE58</f>
        <v>14.8324392</v>
      </c>
      <c r="AE57" s="37">
        <f>表1温室气体盘查表!AF58</f>
        <v>0</v>
      </c>
      <c r="AF57" s="37">
        <f>表1温室气体盘查表!AG58</f>
        <v>0</v>
      </c>
      <c r="AG57" s="37">
        <f>表1温室气体盘查表!AH58</f>
        <v>0</v>
      </c>
      <c r="AH57" s="37">
        <f>表1温室气体盘查表!AI58</f>
        <v>0</v>
      </c>
      <c r="AI57" s="37">
        <f>表1温室气体盘查表!AJ58</f>
        <v>0</v>
      </c>
      <c r="AJ57" s="37">
        <f>表1温室气体盘查表!AK58</f>
        <v>0</v>
      </c>
      <c r="AK57" s="37">
        <f>表1温室气体盘查表!AL58</f>
        <v>14.8324392</v>
      </c>
    </row>
    <row r="58" spans="1:37" s="16" customFormat="1" ht="18">
      <c r="A58" s="24">
        <v>54</v>
      </c>
      <c r="B58" s="25" t="str">
        <f>表1温室气体盘查表!B59</f>
        <v>资本货物</v>
      </c>
      <c r="C58" s="26" t="str">
        <f>表1温室气体盘查表!C59</f>
        <v>电子计算机制造</v>
      </c>
      <c r="D58" s="27" t="str">
        <f>表1温室气体盘查表!E59</f>
        <v>范围三 类别2</v>
      </c>
      <c r="E58" s="28">
        <f>表1温室气体盘查表!F59</f>
        <v>65311.03</v>
      </c>
      <c r="F58" s="29" t="str">
        <f>表1温室气体盘查表!G59</f>
        <v>$</v>
      </c>
      <c r="G58" s="30" t="e">
        <f>'附表2-EF'!#REF!*10</f>
        <v>#REF!</v>
      </c>
      <c r="H58" s="29" t="s">
        <v>782</v>
      </c>
      <c r="I58" s="31">
        <f>'附表1-GWP TABLE'!E57</f>
        <v>0</v>
      </c>
      <c r="J58" s="32"/>
      <c r="K58" s="29"/>
      <c r="L58" s="31"/>
      <c r="M58" s="32"/>
      <c r="N58" s="29"/>
      <c r="O58" s="31"/>
      <c r="P58" s="33"/>
      <c r="Q58" s="34"/>
      <c r="R58" s="35"/>
      <c r="S58" s="34"/>
      <c r="T58" s="32"/>
      <c r="U58" s="29"/>
      <c r="V58" s="36"/>
      <c r="W58" s="29"/>
      <c r="X58" s="32"/>
      <c r="Y58" s="29"/>
      <c r="Z58" s="31"/>
      <c r="AA58" s="32"/>
      <c r="AB58" s="34"/>
      <c r="AC58" s="31"/>
      <c r="AD58" s="37">
        <f>表1温室气体盘查表!AE59</f>
        <v>3.7880397399999999</v>
      </c>
      <c r="AE58" s="37">
        <f>表1温室气体盘查表!AF59</f>
        <v>0</v>
      </c>
      <c r="AF58" s="37">
        <f>表1温室气体盘查表!AG59</f>
        <v>0</v>
      </c>
      <c r="AG58" s="37">
        <f>表1温室气体盘查表!AH59</f>
        <v>0</v>
      </c>
      <c r="AH58" s="37">
        <f>表1温室气体盘查表!AI59</f>
        <v>0</v>
      </c>
      <c r="AI58" s="37">
        <f>表1温室气体盘查表!AJ59</f>
        <v>0</v>
      </c>
      <c r="AJ58" s="37">
        <f>表1温室气体盘查表!AK59</f>
        <v>0</v>
      </c>
      <c r="AK58" s="37">
        <f>表1温室气体盘查表!AL59</f>
        <v>3.7880397399999999</v>
      </c>
    </row>
    <row r="59" spans="1:37" s="16" customFormat="1" ht="18">
      <c r="A59" s="24">
        <v>55</v>
      </c>
      <c r="B59" s="25" t="str">
        <f>表1温室气体盘查表!B60</f>
        <v>资本货物</v>
      </c>
      <c r="C59" s="26" t="str">
        <f>表1温室气体盘查表!C60</f>
        <v>焊接及焊接设备制造</v>
      </c>
      <c r="D59" s="27" t="str">
        <f>表1温室气体盘查表!E60</f>
        <v>范围三 类别2</v>
      </c>
      <c r="E59" s="28">
        <f>表1温室气体盘查表!F60</f>
        <v>869121.8</v>
      </c>
      <c r="F59" s="29" t="str">
        <f>表1温室气体盘查表!G60</f>
        <v>$</v>
      </c>
      <c r="G59" s="30" t="e">
        <f>'附表2-EF'!#REF!*10</f>
        <v>#REF!</v>
      </c>
      <c r="H59" s="29" t="s">
        <v>783</v>
      </c>
      <c r="I59" s="31">
        <f>'附表1-GWP TABLE'!E58</f>
        <v>0</v>
      </c>
      <c r="J59" s="32"/>
      <c r="K59" s="29"/>
      <c r="L59" s="31"/>
      <c r="M59" s="32"/>
      <c r="N59" s="29"/>
      <c r="O59" s="31"/>
      <c r="P59" s="33"/>
      <c r="Q59" s="34"/>
      <c r="R59" s="35"/>
      <c r="S59" s="34"/>
      <c r="T59" s="32"/>
      <c r="U59" s="29"/>
      <c r="V59" s="36"/>
      <c r="W59" s="29"/>
      <c r="X59" s="32"/>
      <c r="Y59" s="29"/>
      <c r="Z59" s="31"/>
      <c r="AA59" s="32"/>
      <c r="AB59" s="34"/>
      <c r="AC59" s="31"/>
      <c r="AD59" s="37">
        <f>表1温室气体盘查表!AE60</f>
        <v>216.41132820000001</v>
      </c>
      <c r="AE59" s="37">
        <f>表1温室气体盘查表!AF60</f>
        <v>0</v>
      </c>
      <c r="AF59" s="37">
        <f>表1温室气体盘查表!AG60</f>
        <v>0</v>
      </c>
      <c r="AG59" s="37">
        <f>表1温室气体盘查表!AH60</f>
        <v>0</v>
      </c>
      <c r="AH59" s="37">
        <f>表1温室气体盘查表!AI60</f>
        <v>0</v>
      </c>
      <c r="AI59" s="37">
        <f>表1温室气体盘查表!AJ60</f>
        <v>0</v>
      </c>
      <c r="AJ59" s="37">
        <f>表1温室气体盘查表!AK60</f>
        <v>0</v>
      </c>
      <c r="AK59" s="37">
        <f>表1温室气体盘查表!AL60</f>
        <v>216.41132820000001</v>
      </c>
    </row>
    <row r="60" spans="1:37" s="16" customFormat="1" ht="18">
      <c r="A60" s="24">
        <v>56</v>
      </c>
      <c r="B60" s="25" t="str">
        <f>表1温室气体盘查表!B61</f>
        <v>资本货物</v>
      </c>
      <c r="C60" s="26" t="str">
        <f>表1温室气体盘查表!C61</f>
        <v>其他工业设备制造</v>
      </c>
      <c r="D60" s="27" t="str">
        <f>表1温室气体盘查表!E61</f>
        <v>范围三 类别2</v>
      </c>
      <c r="E60" s="28">
        <f>表1温室气体盘查表!F61</f>
        <v>6234953.4299999997</v>
      </c>
      <c r="F60" s="29" t="str">
        <f>表1温室气体盘查表!G61</f>
        <v>$</v>
      </c>
      <c r="G60" s="30" t="e">
        <f>'附表2-EF'!#REF!*10</f>
        <v>#REF!</v>
      </c>
      <c r="H60" s="29" t="s">
        <v>784</v>
      </c>
      <c r="I60" s="31">
        <f>'附表1-GWP TABLE'!E59</f>
        <v>0</v>
      </c>
      <c r="J60" s="32"/>
      <c r="K60" s="29"/>
      <c r="L60" s="31"/>
      <c r="M60" s="32"/>
      <c r="N60" s="29"/>
      <c r="O60" s="31"/>
      <c r="P60" s="33"/>
      <c r="Q60" s="34"/>
      <c r="R60" s="35"/>
      <c r="S60" s="34"/>
      <c r="T60" s="32"/>
      <c r="U60" s="29"/>
      <c r="V60" s="36"/>
      <c r="W60" s="29"/>
      <c r="X60" s="32"/>
      <c r="Y60" s="29"/>
      <c r="Z60" s="31"/>
      <c r="AA60" s="32"/>
      <c r="AB60" s="34"/>
      <c r="AC60" s="31"/>
      <c r="AD60" s="37">
        <f>表1温室气体盘查表!AE61</f>
        <v>1153.4663845499999</v>
      </c>
      <c r="AE60" s="37">
        <f>表1温室气体盘查表!AF61</f>
        <v>0</v>
      </c>
      <c r="AF60" s="37">
        <f>表1温室气体盘查表!AG61</f>
        <v>0</v>
      </c>
      <c r="AG60" s="37">
        <f>表1温室气体盘查表!AH61</f>
        <v>0</v>
      </c>
      <c r="AH60" s="37">
        <f>表1温室气体盘查表!AI61</f>
        <v>0</v>
      </c>
      <c r="AI60" s="37">
        <f>表1温室气体盘查表!AJ61</f>
        <v>0</v>
      </c>
      <c r="AJ60" s="37">
        <f>表1温室气体盘查表!AK61</f>
        <v>0</v>
      </c>
      <c r="AK60" s="37">
        <f>表1温室气体盘查表!AL61</f>
        <v>1153.4663845499999</v>
      </c>
    </row>
    <row r="61" spans="1:37" s="16" customFormat="1" ht="24.75">
      <c r="A61" s="24">
        <v>57</v>
      </c>
      <c r="B61" s="25" t="str">
        <f>表1温室气体盘查表!B62</f>
        <v>资本货物</v>
      </c>
      <c r="C61" s="26" t="str">
        <f>表1温室气体盘查表!C62</f>
        <v>测量和测试电力和电气信号的仪器制造</v>
      </c>
      <c r="D61" s="27" t="str">
        <f>表1温室气体盘查表!E62</f>
        <v>范围三 类别2</v>
      </c>
      <c r="E61" s="28">
        <f>表1温室气体盘查表!F62</f>
        <v>560965.85</v>
      </c>
      <c r="F61" s="29" t="str">
        <f>表1温室气体盘查表!G62</f>
        <v>$</v>
      </c>
      <c r="G61" s="30" t="e">
        <f>'附表2-EF'!#REF!*10</f>
        <v>#REF!</v>
      </c>
      <c r="H61" s="29" t="s">
        <v>785</v>
      </c>
      <c r="I61" s="31">
        <f>'附表1-GWP TABLE'!E60</f>
        <v>0</v>
      </c>
      <c r="J61" s="32"/>
      <c r="K61" s="29"/>
      <c r="L61" s="31"/>
      <c r="M61" s="32"/>
      <c r="N61" s="29"/>
      <c r="O61" s="31"/>
      <c r="P61" s="33"/>
      <c r="Q61" s="34"/>
      <c r="R61" s="35"/>
      <c r="S61" s="34"/>
      <c r="T61" s="32"/>
      <c r="U61" s="29"/>
      <c r="V61" s="36"/>
      <c r="W61" s="29"/>
      <c r="X61" s="32"/>
      <c r="Y61" s="29"/>
      <c r="Z61" s="31"/>
      <c r="AA61" s="32"/>
      <c r="AB61" s="34"/>
      <c r="AC61" s="31"/>
      <c r="AD61" s="37">
        <f>表1温室气体盘查表!AE62</f>
        <v>44.316302149999999</v>
      </c>
      <c r="AE61" s="37">
        <f>表1温室气体盘查表!AF62</f>
        <v>0</v>
      </c>
      <c r="AF61" s="37">
        <f>表1温室气体盘查表!AG62</f>
        <v>0</v>
      </c>
      <c r="AG61" s="37">
        <f>表1温室气体盘查表!AH62</f>
        <v>0</v>
      </c>
      <c r="AH61" s="37">
        <f>表1温室气体盘查表!AI62</f>
        <v>0</v>
      </c>
      <c r="AI61" s="37">
        <f>表1温室气体盘查表!AJ62</f>
        <v>0</v>
      </c>
      <c r="AJ61" s="37">
        <f>表1温室气体盘查表!AK62</f>
        <v>0</v>
      </c>
      <c r="AK61" s="37">
        <f>表1温室气体盘查表!AL62</f>
        <v>44.316302149999999</v>
      </c>
    </row>
    <row r="62" spans="1:37" s="16" customFormat="1" ht="18">
      <c r="A62" s="24">
        <v>58</v>
      </c>
      <c r="B62" s="25" t="str">
        <f>表1温室气体盘查表!B63</f>
        <v>资本货物</v>
      </c>
      <c r="C62" s="26" t="str">
        <f>表1温室气体盘查表!C63</f>
        <v>计算机系统设计服务</v>
      </c>
      <c r="D62" s="27" t="str">
        <f>表1温室气体盘查表!E63</f>
        <v>范围三 类别2</v>
      </c>
      <c r="E62" s="28">
        <f>表1温室气体盘查表!F63</f>
        <v>631698.52</v>
      </c>
      <c r="F62" s="29" t="str">
        <f>表1温室气体盘查表!G63</f>
        <v>$</v>
      </c>
      <c r="G62" s="30" t="e">
        <f>'附表2-EF'!#REF!*10</f>
        <v>#REF!</v>
      </c>
      <c r="H62" s="29" t="s">
        <v>786</v>
      </c>
      <c r="I62" s="31">
        <f>'附表1-GWP TABLE'!E61</f>
        <v>0</v>
      </c>
      <c r="J62" s="32"/>
      <c r="K62" s="29"/>
      <c r="L62" s="31"/>
      <c r="M62" s="32"/>
      <c r="N62" s="29"/>
      <c r="O62" s="31"/>
      <c r="P62" s="33"/>
      <c r="Q62" s="34"/>
      <c r="R62" s="35"/>
      <c r="S62" s="34"/>
      <c r="T62" s="32"/>
      <c r="U62" s="29"/>
      <c r="V62" s="36"/>
      <c r="W62" s="29"/>
      <c r="X62" s="32"/>
      <c r="Y62" s="29"/>
      <c r="Z62" s="31"/>
      <c r="AA62" s="32"/>
      <c r="AB62" s="34"/>
      <c r="AC62" s="31"/>
      <c r="AD62" s="37">
        <f>表1温室气体盘查表!AE63</f>
        <v>56.221168280000001</v>
      </c>
      <c r="AE62" s="37">
        <f>表1温室气体盘查表!AF63</f>
        <v>0</v>
      </c>
      <c r="AF62" s="37">
        <f>表1温室气体盘查表!AG63</f>
        <v>0</v>
      </c>
      <c r="AG62" s="37">
        <f>表1温室气体盘查表!AH63</f>
        <v>0</v>
      </c>
      <c r="AH62" s="37">
        <f>表1温室气体盘查表!AI63</f>
        <v>0</v>
      </c>
      <c r="AI62" s="37">
        <f>表1温室气体盘查表!AJ63</f>
        <v>0</v>
      </c>
      <c r="AJ62" s="37">
        <f>表1温室气体盘查表!AK63</f>
        <v>0</v>
      </c>
      <c r="AK62" s="37">
        <f>表1温室气体盘查表!AL63</f>
        <v>56.221168280000001</v>
      </c>
    </row>
    <row r="63" spans="1:37" s="16" customFormat="1" ht="18">
      <c r="A63" s="24">
        <v>59</v>
      </c>
      <c r="B63" s="25" t="str">
        <f>表1温室气体盘查表!B64</f>
        <v>资本货物</v>
      </c>
      <c r="C63" s="26" t="str">
        <f>表1温室气体盘查表!C64</f>
        <v>机械动力传动设备制造</v>
      </c>
      <c r="D63" s="27" t="str">
        <f>表1温室气体盘查表!E64</f>
        <v>范围三 类别2</v>
      </c>
      <c r="E63" s="28">
        <f>表1温室气体盘查表!F64</f>
        <v>168918.91</v>
      </c>
      <c r="F63" s="29" t="str">
        <f>表1温室气体盘查表!G64</f>
        <v>$</v>
      </c>
      <c r="G63" s="30" t="e">
        <f>'附表2-EF'!#REF!*10</f>
        <v>#REF!</v>
      </c>
      <c r="H63" s="29" t="s">
        <v>787</v>
      </c>
      <c r="I63" s="31">
        <f>'附表1-GWP TABLE'!E62</f>
        <v>0</v>
      </c>
      <c r="J63" s="32"/>
      <c r="K63" s="29"/>
      <c r="L63" s="31"/>
      <c r="M63" s="32"/>
      <c r="N63" s="29"/>
      <c r="O63" s="31"/>
      <c r="P63" s="33"/>
      <c r="Q63" s="34"/>
      <c r="R63" s="35"/>
      <c r="S63" s="34"/>
      <c r="T63" s="32"/>
      <c r="U63" s="29"/>
      <c r="V63" s="36"/>
      <c r="W63" s="29"/>
      <c r="X63" s="32"/>
      <c r="Y63" s="29"/>
      <c r="Z63" s="31"/>
      <c r="AA63" s="32"/>
      <c r="AB63" s="34"/>
      <c r="AC63" s="31"/>
      <c r="AD63" s="37">
        <f>表1温室气体盘查表!AE64</f>
        <v>35.30405219</v>
      </c>
      <c r="AE63" s="37">
        <f>表1温室气体盘查表!AF64</f>
        <v>0</v>
      </c>
      <c r="AF63" s="37">
        <f>表1温室气体盘查表!AG64</f>
        <v>0</v>
      </c>
      <c r="AG63" s="37">
        <f>表1温室气体盘查表!AH64</f>
        <v>0</v>
      </c>
      <c r="AH63" s="37">
        <f>表1温室气体盘查表!AI64</f>
        <v>0</v>
      </c>
      <c r="AI63" s="37">
        <f>表1温室气体盘查表!AJ64</f>
        <v>0</v>
      </c>
      <c r="AJ63" s="37">
        <f>表1温室气体盘查表!AK64</f>
        <v>0</v>
      </c>
      <c r="AK63" s="37">
        <f>表1温室气体盘查表!AL64</f>
        <v>35.30405219</v>
      </c>
    </row>
    <row r="64" spans="1:37" s="16" customFormat="1" ht="18">
      <c r="A64" s="24">
        <v>60</v>
      </c>
      <c r="B64" s="25" t="str">
        <f>表1温室气体盘查表!B65</f>
        <v>资本货物</v>
      </c>
      <c r="C64" s="26" t="str">
        <f>表1温室气体盘查表!C65</f>
        <v>测量、分配及其他泵类设备制造</v>
      </c>
      <c r="D64" s="27" t="str">
        <f>表1温室气体盘查表!E65</f>
        <v>范围三 类别2</v>
      </c>
      <c r="E64" s="28">
        <f>表1温室气体盘查表!F65</f>
        <v>1937496.95</v>
      </c>
      <c r="F64" s="29" t="str">
        <f>表1温室气体盘查表!G65</f>
        <v>$</v>
      </c>
      <c r="G64" s="30" t="e">
        <f>'附表2-EF'!#REF!*10</f>
        <v>#REF!</v>
      </c>
      <c r="H64" s="29" t="s">
        <v>788</v>
      </c>
      <c r="I64" s="31">
        <f>'附表1-GWP TABLE'!E63</f>
        <v>0</v>
      </c>
      <c r="J64" s="32"/>
      <c r="K64" s="29"/>
      <c r="L64" s="31"/>
      <c r="M64" s="32"/>
      <c r="N64" s="29"/>
      <c r="O64" s="31"/>
      <c r="P64" s="33"/>
      <c r="Q64" s="34"/>
      <c r="R64" s="35"/>
      <c r="S64" s="34"/>
      <c r="T64" s="32"/>
      <c r="U64" s="29"/>
      <c r="V64" s="36"/>
      <c r="W64" s="29"/>
      <c r="X64" s="32"/>
      <c r="Y64" s="29"/>
      <c r="Z64" s="31"/>
      <c r="AA64" s="32"/>
      <c r="AB64" s="34"/>
      <c r="AC64" s="31"/>
      <c r="AD64" s="37">
        <f>表1温室气体盘查表!AE65</f>
        <v>432.06181985000001</v>
      </c>
      <c r="AE64" s="37">
        <f>表1温室气体盘查表!AF65</f>
        <v>0</v>
      </c>
      <c r="AF64" s="37">
        <f>表1温室气体盘查表!AG65</f>
        <v>0</v>
      </c>
      <c r="AG64" s="37">
        <f>表1温室气体盘查表!AH65</f>
        <v>0</v>
      </c>
      <c r="AH64" s="37">
        <f>表1温室气体盘查表!AI65</f>
        <v>0</v>
      </c>
      <c r="AI64" s="37">
        <f>表1温室气体盘查表!AJ65</f>
        <v>0</v>
      </c>
      <c r="AJ64" s="37">
        <f>表1温室气体盘查表!AK65</f>
        <v>0</v>
      </c>
      <c r="AK64" s="37">
        <f>表1温室气体盘查表!AL65</f>
        <v>432.06181985000001</v>
      </c>
    </row>
    <row r="65" spans="1:37" s="16" customFormat="1" ht="33">
      <c r="A65" s="24">
        <v>61</v>
      </c>
      <c r="B65" s="25" t="str">
        <f>表1温室气体盘查表!B66</f>
        <v>资本货物</v>
      </c>
      <c r="C65" s="26" t="str">
        <f>表1温室气体盘查表!C66</f>
        <v>用于测量、显示和控制工业过程变量的仪器及相关产品制造</v>
      </c>
      <c r="D65" s="27" t="str">
        <f>表1温室气体盘查表!E66</f>
        <v>范围三 类别2</v>
      </c>
      <c r="E65" s="28">
        <f>表1温室气体盘查表!F66</f>
        <v>177532.58</v>
      </c>
      <c r="F65" s="29" t="str">
        <f>表1温室气体盘查表!G66</f>
        <v>$</v>
      </c>
      <c r="G65" s="30" t="e">
        <f>'附表2-EF'!#REF!*10</f>
        <v>#REF!</v>
      </c>
      <c r="H65" s="29" t="s">
        <v>789</v>
      </c>
      <c r="I65" s="31">
        <f>'附表1-GWP TABLE'!E64</f>
        <v>0</v>
      </c>
      <c r="J65" s="32"/>
      <c r="K65" s="29"/>
      <c r="L65" s="31"/>
      <c r="M65" s="32"/>
      <c r="N65" s="29"/>
      <c r="O65" s="31"/>
      <c r="P65" s="33"/>
      <c r="Q65" s="34"/>
      <c r="R65" s="35"/>
      <c r="S65" s="34"/>
      <c r="T65" s="32"/>
      <c r="U65" s="29"/>
      <c r="V65" s="36"/>
      <c r="W65" s="29"/>
      <c r="X65" s="32"/>
      <c r="Y65" s="29"/>
      <c r="Z65" s="31"/>
      <c r="AA65" s="32"/>
      <c r="AB65" s="34"/>
      <c r="AC65" s="31"/>
      <c r="AD65" s="37">
        <f>表1温室气体盘查表!AE66</f>
        <v>11.18455254</v>
      </c>
      <c r="AE65" s="37">
        <f>表1温室气体盘查表!AF66</f>
        <v>0</v>
      </c>
      <c r="AF65" s="37">
        <f>表1温室气体盘查表!AG66</f>
        <v>0</v>
      </c>
      <c r="AG65" s="37">
        <f>表1温室气体盘查表!AH66</f>
        <v>0</v>
      </c>
      <c r="AH65" s="37">
        <f>表1温室气体盘查表!AI66</f>
        <v>0</v>
      </c>
      <c r="AI65" s="37">
        <f>表1温室气体盘查表!AJ66</f>
        <v>0</v>
      </c>
      <c r="AJ65" s="37">
        <f>表1温室气体盘查表!AK66</f>
        <v>0</v>
      </c>
      <c r="AK65" s="37">
        <f>表1温室气体盘查表!AL66</f>
        <v>11.18455254</v>
      </c>
    </row>
    <row r="66" spans="1:37" s="16" customFormat="1" ht="18">
      <c r="A66" s="24">
        <v>62</v>
      </c>
      <c r="B66" s="25" t="str">
        <f>表1温室气体盘查表!B67</f>
        <v>资本货物</v>
      </c>
      <c r="C66" s="26" t="str">
        <f>表1温室气体盘查表!C67</f>
        <v>所有其他杂项电气设备及元件制造</v>
      </c>
      <c r="D66" s="27" t="str">
        <f>表1温室气体盘查表!E67</f>
        <v>范围三 类别2</v>
      </c>
      <c r="E66" s="28">
        <f>表1温室气体盘查表!F67</f>
        <v>4336501.5599999996</v>
      </c>
      <c r="F66" s="29" t="str">
        <f>表1温室气体盘查表!G67</f>
        <v>$</v>
      </c>
      <c r="G66" s="30" t="e">
        <f>'附表2-EF'!#REF!*10</f>
        <v>#REF!</v>
      </c>
      <c r="H66" s="29" t="s">
        <v>790</v>
      </c>
      <c r="I66" s="31">
        <f>'附表1-GWP TABLE'!E65</f>
        <v>0</v>
      </c>
      <c r="J66" s="32"/>
      <c r="K66" s="29"/>
      <c r="L66" s="31"/>
      <c r="M66" s="32"/>
      <c r="N66" s="29"/>
      <c r="O66" s="31"/>
      <c r="P66" s="33"/>
      <c r="Q66" s="34"/>
      <c r="R66" s="35"/>
      <c r="S66" s="34"/>
      <c r="T66" s="32"/>
      <c r="U66" s="29"/>
      <c r="V66" s="36"/>
      <c r="W66" s="29"/>
      <c r="X66" s="32"/>
      <c r="Y66" s="29"/>
      <c r="Z66" s="31"/>
      <c r="AA66" s="32"/>
      <c r="AB66" s="34"/>
      <c r="AC66" s="31"/>
      <c r="AD66" s="37">
        <f>表1温室气体盘查表!AE67</f>
        <v>555.07219968000004</v>
      </c>
      <c r="AE66" s="37">
        <f>表1温室气体盘查表!AF67</f>
        <v>0</v>
      </c>
      <c r="AF66" s="37">
        <f>表1温室气体盘查表!AG67</f>
        <v>0</v>
      </c>
      <c r="AG66" s="37">
        <f>表1温室气体盘查表!AH67</f>
        <v>0</v>
      </c>
      <c r="AH66" s="37">
        <f>表1温室气体盘查表!AI67</f>
        <v>0</v>
      </c>
      <c r="AI66" s="37">
        <f>表1温室气体盘查表!AJ67</f>
        <v>0</v>
      </c>
      <c r="AJ66" s="37">
        <f>表1温室气体盘查表!AK67</f>
        <v>0</v>
      </c>
      <c r="AK66" s="37">
        <f>表1温室气体盘查表!AL67</f>
        <v>555.07219968000004</v>
      </c>
    </row>
    <row r="67" spans="1:37" s="16" customFormat="1" ht="18">
      <c r="A67" s="24">
        <v>63</v>
      </c>
      <c r="B67" s="25" t="str">
        <f>表1温室气体盘查表!B68</f>
        <v>资本货物</v>
      </c>
      <c r="C67" s="26" t="str">
        <f>表1温室气体盘查表!C68</f>
        <v>所有其他杂项制造</v>
      </c>
      <c r="D67" s="27" t="str">
        <f>表1温室气体盘查表!E68</f>
        <v>范围三 类别2</v>
      </c>
      <c r="E67" s="28">
        <f>表1温室气体盘查表!F68</f>
        <v>270792923.38999999</v>
      </c>
      <c r="F67" s="29" t="str">
        <f>表1温室气体盘查表!G68</f>
        <v>$</v>
      </c>
      <c r="G67" s="30" t="e">
        <f>'附表2-EF'!#REF!*10</f>
        <v>#REF!</v>
      </c>
      <c r="H67" s="29" t="s">
        <v>791</v>
      </c>
      <c r="I67" s="31">
        <f>'附表1-GWP TABLE'!E66</f>
        <v>0</v>
      </c>
      <c r="J67" s="32"/>
      <c r="K67" s="29"/>
      <c r="L67" s="31"/>
      <c r="M67" s="32"/>
      <c r="N67" s="29"/>
      <c r="O67" s="31"/>
      <c r="P67" s="33"/>
      <c r="Q67" s="34"/>
      <c r="R67" s="35"/>
      <c r="S67" s="34"/>
      <c r="T67" s="32"/>
      <c r="U67" s="29"/>
      <c r="V67" s="36"/>
      <c r="W67" s="29"/>
      <c r="X67" s="32"/>
      <c r="Y67" s="29"/>
      <c r="Z67" s="31"/>
      <c r="AA67" s="32"/>
      <c r="AB67" s="34"/>
      <c r="AC67" s="31"/>
      <c r="AD67" s="37">
        <f>表1温室气体盘查表!AE68</f>
        <v>49284.312056980001</v>
      </c>
      <c r="AE67" s="37">
        <f>表1温室气体盘查表!AF68</f>
        <v>0</v>
      </c>
      <c r="AF67" s="37">
        <f>表1温室气体盘查表!AG68</f>
        <v>0</v>
      </c>
      <c r="AG67" s="37">
        <f>表1温室气体盘查表!AH68</f>
        <v>0</v>
      </c>
      <c r="AH67" s="37">
        <f>表1温室气体盘查表!AI68</f>
        <v>0</v>
      </c>
      <c r="AI67" s="37">
        <f>表1温室气体盘查表!AJ68</f>
        <v>0</v>
      </c>
      <c r="AJ67" s="37">
        <f>表1温室气体盘查表!AK68</f>
        <v>0</v>
      </c>
      <c r="AK67" s="37">
        <f>表1温室气体盘查表!AL68</f>
        <v>49284.312056980001</v>
      </c>
    </row>
    <row r="68" spans="1:37" s="16" customFormat="1" ht="18">
      <c r="A68" s="24">
        <v>64</v>
      </c>
      <c r="B68" s="25" t="str">
        <f>表1温室气体盘查表!B69</f>
        <v>范围一、二相关燃料和能源相关的活动产生的排放</v>
      </c>
      <c r="C68" s="26" t="str">
        <f>表1温室气体盘查表!C69</f>
        <v>液化石油气生产</v>
      </c>
      <c r="D68" s="27" t="str">
        <f>表1温室气体盘查表!E69</f>
        <v>范围三 类别3</v>
      </c>
      <c r="E68" s="28">
        <f>表1温室气体盘查表!F69</f>
        <v>9.39</v>
      </c>
      <c r="F68" s="29" t="str">
        <f>表1温室气体盘查表!G69</f>
        <v>t</v>
      </c>
      <c r="G68" s="30" t="e">
        <f>'附表2-EF'!#REF!*10</f>
        <v>#REF!</v>
      </c>
      <c r="H68" s="29" t="s">
        <v>792</v>
      </c>
      <c r="I68" s="31">
        <f>'附表1-GWP TABLE'!E67</f>
        <v>0</v>
      </c>
      <c r="J68" s="32"/>
      <c r="K68" s="29"/>
      <c r="L68" s="31"/>
      <c r="M68" s="32"/>
      <c r="N68" s="29"/>
      <c r="O68" s="31"/>
      <c r="P68" s="33"/>
      <c r="Q68" s="34"/>
      <c r="R68" s="35"/>
      <c r="S68" s="34"/>
      <c r="T68" s="32"/>
      <c r="U68" s="29"/>
      <c r="V68" s="36"/>
      <c r="W68" s="29"/>
      <c r="X68" s="32"/>
      <c r="Y68" s="29"/>
      <c r="Z68" s="31"/>
      <c r="AA68" s="32"/>
      <c r="AB68" s="34"/>
      <c r="AC68" s="31"/>
      <c r="AD68" s="37">
        <f>表1温室气体盘查表!AE69</f>
        <v>9.4484580462838608</v>
      </c>
      <c r="AE68" s="37">
        <f>表1温室气体盘查表!AF69</f>
        <v>0</v>
      </c>
      <c r="AF68" s="37">
        <f>表1温室气体盘查表!AG69</f>
        <v>0</v>
      </c>
      <c r="AG68" s="37">
        <f>表1温室气体盘查表!AH69</f>
        <v>0</v>
      </c>
      <c r="AH68" s="37">
        <f>表1温室气体盘查表!AI69</f>
        <v>0</v>
      </c>
      <c r="AI68" s="37">
        <f>表1温室气体盘查表!AJ69</f>
        <v>0</v>
      </c>
      <c r="AJ68" s="37">
        <f>表1温室气体盘查表!AK69</f>
        <v>0</v>
      </c>
      <c r="AK68" s="37">
        <f>表1温室气体盘查表!AL69</f>
        <v>9.4484580462838608</v>
      </c>
    </row>
    <row r="69" spans="1:37" s="16" customFormat="1" ht="18">
      <c r="A69" s="24">
        <v>65</v>
      </c>
      <c r="B69" s="25" t="str">
        <f>表1温室气体盘查表!B70</f>
        <v>范围一、二相关燃料和能源相关的活动产生的排放</v>
      </c>
      <c r="C69" s="26" t="str">
        <f>表1温室气体盘查表!C70</f>
        <v>洗精煤生产</v>
      </c>
      <c r="D69" s="27" t="str">
        <f>表1温室气体盘查表!E70</f>
        <v>范围三 类别3</v>
      </c>
      <c r="E69" s="28">
        <f>表1温室气体盘查表!F70</f>
        <v>1946577.05</v>
      </c>
      <c r="F69" s="29" t="str">
        <f>表1温室气体盘查表!G70</f>
        <v>t</v>
      </c>
      <c r="G69" s="30">
        <f>'附表2-EF'!K69*10</f>
        <v>0</v>
      </c>
      <c r="H69" s="29" t="s">
        <v>793</v>
      </c>
      <c r="I69" s="31">
        <f>'附表1-GWP TABLE'!E68</f>
        <v>0</v>
      </c>
      <c r="J69" s="32"/>
      <c r="K69" s="29"/>
      <c r="L69" s="31"/>
      <c r="M69" s="32"/>
      <c r="N69" s="29"/>
      <c r="O69" s="31"/>
      <c r="P69" s="33"/>
      <c r="Q69" s="34"/>
      <c r="R69" s="35"/>
      <c r="S69" s="34"/>
      <c r="T69" s="32"/>
      <c r="U69" s="29"/>
      <c r="V69" s="36"/>
      <c r="W69" s="29"/>
      <c r="X69" s="32"/>
      <c r="Y69" s="29"/>
      <c r="Z69" s="31"/>
      <c r="AA69" s="32"/>
      <c r="AB69" s="34"/>
      <c r="AC69" s="31"/>
      <c r="AD69" s="37">
        <f>表1温室气体盘查表!AE70</f>
        <v>1120352.4211275</v>
      </c>
      <c r="AE69" s="37">
        <f>表1温室气体盘查表!AF70</f>
        <v>0</v>
      </c>
      <c r="AF69" s="37">
        <f>表1温室气体盘查表!AG70</f>
        <v>0</v>
      </c>
      <c r="AG69" s="37">
        <f>表1温室气体盘查表!AH70</f>
        <v>0</v>
      </c>
      <c r="AH69" s="37">
        <f>表1温室气体盘查表!AI70</f>
        <v>0</v>
      </c>
      <c r="AI69" s="37">
        <f>表1温室气体盘查表!AJ70</f>
        <v>0</v>
      </c>
      <c r="AJ69" s="37">
        <f>表1温室气体盘查表!AK70</f>
        <v>0</v>
      </c>
      <c r="AK69" s="37">
        <f>表1温室气体盘查表!AL70</f>
        <v>1120352.4211275</v>
      </c>
    </row>
    <row r="70" spans="1:37" s="16" customFormat="1" ht="18">
      <c r="A70" s="24">
        <v>66</v>
      </c>
      <c r="B70" s="25" t="str">
        <f>表1温室气体盘查表!B71</f>
        <v>范围一、二相关燃料和能源相关的活动产生的排放</v>
      </c>
      <c r="C70" s="26" t="str">
        <f>表1温室气体盘查表!C71</f>
        <v>柴油生产</v>
      </c>
      <c r="D70" s="27" t="str">
        <f>表1温室气体盘查表!E71</f>
        <v>范围三 类别3</v>
      </c>
      <c r="E70" s="28">
        <f>表1温室气体盘查表!F71</f>
        <v>1403.87</v>
      </c>
      <c r="F70" s="29" t="str">
        <f>表1温室气体盘查表!G71</f>
        <v>t</v>
      </c>
      <c r="G70" s="30">
        <f>'附表2-EF'!K70*10</f>
        <v>0</v>
      </c>
      <c r="H70" s="29" t="s">
        <v>794</v>
      </c>
      <c r="I70" s="31">
        <f>'附表1-GWP TABLE'!E69</f>
        <v>0</v>
      </c>
      <c r="J70" s="32"/>
      <c r="K70" s="29"/>
      <c r="L70" s="31"/>
      <c r="M70" s="32"/>
      <c r="N70" s="29"/>
      <c r="O70" s="31"/>
      <c r="P70" s="33"/>
      <c r="Q70" s="34"/>
      <c r="R70" s="35"/>
      <c r="S70" s="34"/>
      <c r="T70" s="32"/>
      <c r="U70" s="29"/>
      <c r="V70" s="36"/>
      <c r="W70" s="29"/>
      <c r="X70" s="32"/>
      <c r="Y70" s="29"/>
      <c r="Z70" s="31"/>
      <c r="AA70" s="32"/>
      <c r="AB70" s="34"/>
      <c r="AC70" s="31"/>
      <c r="AD70" s="37">
        <f>表1温室气体盘查表!AE71</f>
        <v>1182.2270043999999</v>
      </c>
      <c r="AE70" s="37">
        <f>表1温室气体盘查表!AF71</f>
        <v>0</v>
      </c>
      <c r="AF70" s="37">
        <f>表1温室气体盘查表!AG71</f>
        <v>0</v>
      </c>
      <c r="AG70" s="37">
        <f>表1温室气体盘查表!AH71</f>
        <v>0</v>
      </c>
      <c r="AH70" s="37">
        <f>表1温室气体盘查表!AI71</f>
        <v>0</v>
      </c>
      <c r="AI70" s="37">
        <f>表1温室气体盘查表!AJ71</f>
        <v>0</v>
      </c>
      <c r="AJ70" s="37">
        <f>表1温室气体盘查表!AK71</f>
        <v>0</v>
      </c>
      <c r="AK70" s="37">
        <f>表1温室气体盘查表!AL71</f>
        <v>1182.2270043999999</v>
      </c>
    </row>
    <row r="71" spans="1:37" s="16" customFormat="1" ht="18">
      <c r="A71" s="24">
        <v>67</v>
      </c>
      <c r="B71" s="25" t="str">
        <f>表1温室气体盘查表!B72</f>
        <v>范围一、二相关燃料和能源相关的活动产生的排放</v>
      </c>
      <c r="C71" s="26" t="str">
        <f>表1温室气体盘查表!C72</f>
        <v>汽油生产</v>
      </c>
      <c r="D71" s="27" t="str">
        <f>表1温室气体盘查表!E72</f>
        <v>范围三 类别3</v>
      </c>
      <c r="E71" s="28">
        <f>表1温室气体盘查表!F72</f>
        <v>49.06</v>
      </c>
      <c r="F71" s="29" t="str">
        <f>表1温室气体盘查表!G72</f>
        <v>t</v>
      </c>
      <c r="G71" s="30" t="e">
        <f>'附表2-EF'!#REF!*10</f>
        <v>#REF!</v>
      </c>
      <c r="H71" s="29" t="s">
        <v>795</v>
      </c>
      <c r="I71" s="31">
        <f>'附表1-GWP TABLE'!E70</f>
        <v>0</v>
      </c>
      <c r="J71" s="32"/>
      <c r="K71" s="29"/>
      <c r="L71" s="31"/>
      <c r="M71" s="32"/>
      <c r="N71" s="29"/>
      <c r="O71" s="31"/>
      <c r="P71" s="33"/>
      <c r="Q71" s="34"/>
      <c r="R71" s="35"/>
      <c r="S71" s="34"/>
      <c r="T71" s="32"/>
      <c r="U71" s="29"/>
      <c r="V71" s="36"/>
      <c r="W71" s="29"/>
      <c r="X71" s="32"/>
      <c r="Y71" s="29"/>
      <c r="Z71" s="31"/>
      <c r="AA71" s="32"/>
      <c r="AB71" s="34"/>
      <c r="AC71" s="31"/>
      <c r="AD71" s="37">
        <f>表1温室气体盘查表!AE72</f>
        <v>48.438424774309503</v>
      </c>
      <c r="AE71" s="37">
        <f>表1温室气体盘查表!AF72</f>
        <v>0</v>
      </c>
      <c r="AF71" s="37">
        <f>表1温室气体盘查表!AG72</f>
        <v>0</v>
      </c>
      <c r="AG71" s="37">
        <f>表1温室气体盘查表!AH72</f>
        <v>0</v>
      </c>
      <c r="AH71" s="37">
        <f>表1温室气体盘查表!AI72</f>
        <v>0</v>
      </c>
      <c r="AI71" s="37">
        <f>表1温室气体盘查表!AJ72</f>
        <v>0</v>
      </c>
      <c r="AJ71" s="37">
        <f>表1温室气体盘查表!AK72</f>
        <v>0</v>
      </c>
      <c r="AK71" s="37">
        <f>表1温室气体盘查表!AL72</f>
        <v>48.438424774309503</v>
      </c>
    </row>
    <row r="72" spans="1:37" s="16" customFormat="1" ht="18">
      <c r="A72" s="24">
        <v>68</v>
      </c>
      <c r="B72" s="25" t="str">
        <f>表1温室气体盘查表!B73</f>
        <v>范围一、二相关燃料和能源相关的活动产生的排放</v>
      </c>
      <c r="C72" s="26" t="str">
        <f>表1温室气体盘查表!C73</f>
        <v>焦炭生产</v>
      </c>
      <c r="D72" s="27" t="str">
        <f>表1温室气体盘查表!E73</f>
        <v>范围三 类别3</v>
      </c>
      <c r="E72" s="28">
        <f>表1温室气体盘查表!F73</f>
        <v>145430.20000000001</v>
      </c>
      <c r="F72" s="29" t="str">
        <f>表1温室气体盘查表!G73</f>
        <v>t</v>
      </c>
      <c r="G72" s="30" t="e">
        <f>'附表2-EF'!#REF!*10</f>
        <v>#REF!</v>
      </c>
      <c r="H72" s="29" t="s">
        <v>796</v>
      </c>
      <c r="I72" s="31">
        <f>'附表1-GWP TABLE'!E71</f>
        <v>0</v>
      </c>
      <c r="J72" s="32"/>
      <c r="K72" s="29"/>
      <c r="L72" s="31"/>
      <c r="M72" s="32"/>
      <c r="N72" s="29"/>
      <c r="O72" s="31"/>
      <c r="P72" s="33"/>
      <c r="Q72" s="34"/>
      <c r="R72" s="35"/>
      <c r="S72" s="34"/>
      <c r="T72" s="32"/>
      <c r="U72" s="29"/>
      <c r="V72" s="36"/>
      <c r="W72" s="29"/>
      <c r="X72" s="32"/>
      <c r="Y72" s="29"/>
      <c r="Z72" s="31"/>
      <c r="AA72" s="32"/>
      <c r="AB72" s="34"/>
      <c r="AC72" s="31"/>
      <c r="AD72" s="37">
        <f>表1温室气体盘查表!AE73</f>
        <v>184347.32152</v>
      </c>
      <c r="AE72" s="37">
        <f>表1温室气体盘查表!AF73</f>
        <v>0</v>
      </c>
      <c r="AF72" s="37">
        <f>表1温室气体盘查表!AG73</f>
        <v>0</v>
      </c>
      <c r="AG72" s="37">
        <f>表1温室气体盘查表!AH73</f>
        <v>0</v>
      </c>
      <c r="AH72" s="37">
        <f>表1温室气体盘查表!AI73</f>
        <v>0</v>
      </c>
      <c r="AI72" s="37">
        <f>表1温室气体盘查表!AJ73</f>
        <v>0</v>
      </c>
      <c r="AJ72" s="37">
        <f>表1温室气体盘查表!AK73</f>
        <v>0</v>
      </c>
      <c r="AK72" s="37">
        <f>表1温室气体盘查表!AL73</f>
        <v>184347.32152</v>
      </c>
    </row>
    <row r="73" spans="1:37" s="16" customFormat="1" ht="18">
      <c r="A73" s="24">
        <v>69</v>
      </c>
      <c r="B73" s="25" t="str">
        <f>表1温室气体盘查表!B74</f>
        <v>范围一、二相关燃料和能源相关的活动产生的排放</v>
      </c>
      <c r="C73" s="26" t="str">
        <f>表1温室气体盘查表!C74</f>
        <v>焦屑生产</v>
      </c>
      <c r="D73" s="27" t="str">
        <f>表1温室气体盘查表!E74</f>
        <v>范围三 类别3</v>
      </c>
      <c r="E73" s="28">
        <f>表1温室气体盘查表!F74</f>
        <v>120570.5</v>
      </c>
      <c r="F73" s="29" t="str">
        <f>表1温室气体盘查表!G74</f>
        <v>t</v>
      </c>
      <c r="G73" s="30" t="e">
        <f>'附表2-EF'!#REF!*10</f>
        <v>#REF!</v>
      </c>
      <c r="H73" s="29" t="s">
        <v>797</v>
      </c>
      <c r="I73" s="31">
        <f>'附表1-GWP TABLE'!E72</f>
        <v>0</v>
      </c>
      <c r="J73" s="32"/>
      <c r="K73" s="29"/>
      <c r="L73" s="31"/>
      <c r="M73" s="32"/>
      <c r="N73" s="29"/>
      <c r="O73" s="31"/>
      <c r="P73" s="33"/>
      <c r="Q73" s="34"/>
      <c r="R73" s="35"/>
      <c r="S73" s="34"/>
      <c r="T73" s="32"/>
      <c r="U73" s="29"/>
      <c r="V73" s="36"/>
      <c r="W73" s="29"/>
      <c r="X73" s="32"/>
      <c r="Y73" s="29"/>
      <c r="Z73" s="31"/>
      <c r="AA73" s="32"/>
      <c r="AB73" s="34"/>
      <c r="AC73" s="31"/>
      <c r="AD73" s="37">
        <f>表1温室气体盘查表!AE74</f>
        <v>152835.16579999999</v>
      </c>
      <c r="AE73" s="37">
        <f>表1温室气体盘查表!AF74</f>
        <v>0</v>
      </c>
      <c r="AF73" s="37">
        <f>表1温室气体盘查表!AG74</f>
        <v>0</v>
      </c>
      <c r="AG73" s="37">
        <f>表1温室气体盘查表!AH74</f>
        <v>0</v>
      </c>
      <c r="AH73" s="37">
        <f>表1温室气体盘查表!AI74</f>
        <v>0</v>
      </c>
      <c r="AI73" s="37">
        <f>表1温室气体盘查表!AJ74</f>
        <v>0</v>
      </c>
      <c r="AJ73" s="37">
        <f>表1温室气体盘查表!AK74</f>
        <v>0</v>
      </c>
      <c r="AK73" s="37">
        <f>表1温室气体盘查表!AL74</f>
        <v>152835.16579999999</v>
      </c>
    </row>
    <row r="74" spans="1:37" s="16" customFormat="1" ht="18">
      <c r="A74" s="24">
        <v>70</v>
      </c>
      <c r="B74" s="25" t="str">
        <f>表1温室气体盘查表!B75</f>
        <v>范围一、二相关燃料和能源相关的活动产生的排放</v>
      </c>
      <c r="C74" s="26" t="str">
        <f>表1温室气体盘查表!C75</f>
        <v>烟煤生产</v>
      </c>
      <c r="D74" s="27" t="str">
        <f>表1温室气体盘查表!E75</f>
        <v>范围三 类别3</v>
      </c>
      <c r="E74" s="28">
        <f>表1温室气体盘查表!F75</f>
        <v>399079.16</v>
      </c>
      <c r="F74" s="29" t="str">
        <f>表1温室气体盘查表!G75</f>
        <v>t</v>
      </c>
      <c r="G74" s="30" t="e">
        <f>'附表2-EF'!#REF!*10</f>
        <v>#REF!</v>
      </c>
      <c r="H74" s="29" t="s">
        <v>798</v>
      </c>
      <c r="I74" s="31">
        <f>'附表1-GWP TABLE'!E73</f>
        <v>0</v>
      </c>
      <c r="J74" s="32"/>
      <c r="K74" s="29"/>
      <c r="L74" s="31"/>
      <c r="M74" s="32"/>
      <c r="N74" s="29"/>
      <c r="O74" s="31"/>
      <c r="P74" s="33"/>
      <c r="Q74" s="34"/>
      <c r="R74" s="35"/>
      <c r="S74" s="34"/>
      <c r="T74" s="32"/>
      <c r="U74" s="29"/>
      <c r="V74" s="36"/>
      <c r="W74" s="29"/>
      <c r="X74" s="32"/>
      <c r="Y74" s="29"/>
      <c r="Z74" s="31"/>
      <c r="AA74" s="32"/>
      <c r="AB74" s="34"/>
      <c r="AC74" s="31"/>
      <c r="AD74" s="37">
        <f>表1温室气体盘查表!AE75</f>
        <v>229690.010538</v>
      </c>
      <c r="AE74" s="37">
        <f>表1温室气体盘查表!AF75</f>
        <v>0</v>
      </c>
      <c r="AF74" s="37">
        <f>表1温室气体盘查表!AG75</f>
        <v>0</v>
      </c>
      <c r="AG74" s="37">
        <f>表1温室气体盘查表!AH75</f>
        <v>0</v>
      </c>
      <c r="AH74" s="37">
        <f>表1温室气体盘查表!AI75</f>
        <v>0</v>
      </c>
      <c r="AI74" s="37">
        <f>表1温室气体盘查表!AJ75</f>
        <v>0</v>
      </c>
      <c r="AJ74" s="37">
        <f>表1温室气体盘查表!AK75</f>
        <v>0</v>
      </c>
      <c r="AK74" s="37">
        <f>表1温室气体盘查表!AL75</f>
        <v>229690.010538</v>
      </c>
    </row>
    <row r="75" spans="1:37" s="16" customFormat="1" ht="18">
      <c r="A75" s="24">
        <v>71</v>
      </c>
      <c r="B75" s="25" t="str">
        <f>表1温室气体盘查表!B76</f>
        <v>范围一、二相关燃料和能源相关的活动产生的排放</v>
      </c>
      <c r="C75" s="26" t="str">
        <f>表1温室气体盘查表!C76</f>
        <v>无烟煤生产</v>
      </c>
      <c r="D75" s="27" t="str">
        <f>表1温室气体盘查表!E76</f>
        <v>范围三 类别3</v>
      </c>
      <c r="E75" s="28">
        <f>表1温室气体盘查表!F76</f>
        <v>260530.34</v>
      </c>
      <c r="F75" s="29" t="str">
        <f>表1温室气体盘查表!G76</f>
        <v>t</v>
      </c>
      <c r="G75" s="30" t="e">
        <f>'附表2-EF'!#REF!*10</f>
        <v>#REF!</v>
      </c>
      <c r="H75" s="29" t="s">
        <v>799</v>
      </c>
      <c r="I75" s="31">
        <f>'附表1-GWP TABLE'!E74</f>
        <v>0</v>
      </c>
      <c r="J75" s="32"/>
      <c r="K75" s="29"/>
      <c r="L75" s="31"/>
      <c r="M75" s="32"/>
      <c r="N75" s="29"/>
      <c r="O75" s="31"/>
      <c r="P75" s="33"/>
      <c r="Q75" s="34"/>
      <c r="R75" s="35"/>
      <c r="S75" s="34"/>
      <c r="T75" s="32"/>
      <c r="U75" s="29"/>
      <c r="V75" s="36"/>
      <c r="W75" s="29"/>
      <c r="X75" s="32"/>
      <c r="Y75" s="29"/>
      <c r="Z75" s="31"/>
      <c r="AA75" s="32"/>
      <c r="AB75" s="34"/>
      <c r="AC75" s="31"/>
      <c r="AD75" s="37">
        <f>表1温室气体盘查表!AE76</f>
        <v>149948.23718699999</v>
      </c>
      <c r="AE75" s="37">
        <f>表1温室气体盘查表!AF76</f>
        <v>0</v>
      </c>
      <c r="AF75" s="37">
        <f>表1温室气体盘查表!AG76</f>
        <v>0</v>
      </c>
      <c r="AG75" s="37">
        <f>表1温室气体盘查表!AH76</f>
        <v>0</v>
      </c>
      <c r="AH75" s="37">
        <f>表1温室气体盘查表!AI76</f>
        <v>0</v>
      </c>
      <c r="AI75" s="37">
        <f>表1温室气体盘查表!AJ76</f>
        <v>0</v>
      </c>
      <c r="AJ75" s="37">
        <f>表1温室气体盘查表!AK76</f>
        <v>0</v>
      </c>
      <c r="AK75" s="37">
        <f>表1温室气体盘查表!AL76</f>
        <v>149948.23718699999</v>
      </c>
    </row>
    <row r="76" spans="1:37" s="16" customFormat="1" ht="18">
      <c r="A76" s="24">
        <v>72</v>
      </c>
      <c r="B76" s="25" t="str">
        <f>表1温室气体盘查表!B77</f>
        <v>范围一、二相关燃料和能源相关的活动产生的排放</v>
      </c>
      <c r="C76" s="26" t="str">
        <f>表1温室气体盘查表!C77</f>
        <v>天然气生产</v>
      </c>
      <c r="D76" s="27" t="str">
        <f>表1温室气体盘查表!E77</f>
        <v>范围三 类别3</v>
      </c>
      <c r="E76" s="28">
        <f>表1温室气体盘查表!F77</f>
        <v>1796.49</v>
      </c>
      <c r="F76" s="29" t="str">
        <f>表1温室气体盘查表!G77</f>
        <v>10000Nm3</v>
      </c>
      <c r="G76" s="30" t="e">
        <f>'附表2-EF'!#REF!*10</f>
        <v>#REF!</v>
      </c>
      <c r="H76" s="29" t="s">
        <v>800</v>
      </c>
      <c r="I76" s="31">
        <f>'附表1-GWP TABLE'!E75</f>
        <v>0</v>
      </c>
      <c r="J76" s="32"/>
      <c r="K76" s="29"/>
      <c r="L76" s="31"/>
      <c r="M76" s="32"/>
      <c r="N76" s="29"/>
      <c r="O76" s="31"/>
      <c r="P76" s="33"/>
      <c r="Q76" s="34"/>
      <c r="R76" s="35"/>
      <c r="S76" s="34"/>
      <c r="T76" s="32"/>
      <c r="U76" s="29"/>
      <c r="V76" s="36"/>
      <c r="W76" s="29"/>
      <c r="X76" s="32"/>
      <c r="Y76" s="29"/>
      <c r="Z76" s="31"/>
      <c r="AA76" s="32"/>
      <c r="AB76" s="34"/>
      <c r="AC76" s="31"/>
      <c r="AD76" s="37">
        <f>表1温室气体盘查表!AE77</f>
        <v>11120.2731</v>
      </c>
      <c r="AE76" s="37">
        <f>表1温室气体盘查表!AF77</f>
        <v>0</v>
      </c>
      <c r="AF76" s="37">
        <f>表1温室气体盘查表!AG77</f>
        <v>0</v>
      </c>
      <c r="AG76" s="37">
        <f>表1温室气体盘查表!AH77</f>
        <v>0</v>
      </c>
      <c r="AH76" s="37">
        <f>表1温室气体盘查表!AI77</f>
        <v>0</v>
      </c>
      <c r="AI76" s="37">
        <f>表1温室气体盘查表!AJ77</f>
        <v>0</v>
      </c>
      <c r="AJ76" s="37">
        <f>表1温室气体盘查表!AK77</f>
        <v>0</v>
      </c>
      <c r="AK76" s="37">
        <f>表1温室气体盘查表!AL77</f>
        <v>11120.2731</v>
      </c>
    </row>
    <row r="77" spans="1:37" s="16" customFormat="1" ht="18">
      <c r="A77" s="24">
        <v>73</v>
      </c>
      <c r="B77" s="25" t="str">
        <f>表1温室气体盘查表!B78</f>
        <v>范围一、二相关燃料和能源相关的活动产生的排放</v>
      </c>
      <c r="C77" s="26" t="str">
        <f>表1温室气体盘查表!C78</f>
        <v>外购电力上游排放</v>
      </c>
      <c r="D77" s="27" t="str">
        <f>表1温室气体盘查表!E78</f>
        <v>范围三 类别3</v>
      </c>
      <c r="E77" s="28">
        <f>表1温室气体盘查表!F78</f>
        <v>1992878.77</v>
      </c>
      <c r="F77" s="29" t="str">
        <f>表1温室气体盘查表!G78</f>
        <v>MWh</v>
      </c>
      <c r="G77" s="30" t="e">
        <f>'附表2-EF'!#REF!*10</f>
        <v>#REF!</v>
      </c>
      <c r="H77" s="29" t="s">
        <v>801</v>
      </c>
      <c r="I77" s="31">
        <f>'附表1-GWP TABLE'!E76</f>
        <v>0</v>
      </c>
      <c r="J77" s="32"/>
      <c r="K77" s="29"/>
      <c r="L77" s="31"/>
      <c r="M77" s="32"/>
      <c r="N77" s="29"/>
      <c r="O77" s="31"/>
      <c r="P77" s="33"/>
      <c r="Q77" s="34"/>
      <c r="R77" s="35"/>
      <c r="S77" s="34"/>
      <c r="T77" s="32"/>
      <c r="U77" s="29"/>
      <c r="V77" s="36"/>
      <c r="W77" s="29"/>
      <c r="X77" s="32"/>
      <c r="Y77" s="29"/>
      <c r="Z77" s="31"/>
      <c r="AA77" s="32"/>
      <c r="AB77" s="34"/>
      <c r="AC77" s="31"/>
      <c r="AD77" s="37">
        <f>表1温室气体盘查表!AE78</f>
        <v>167202.52880299999</v>
      </c>
      <c r="AE77" s="37">
        <f>表1温室气体盘查表!AF78</f>
        <v>0</v>
      </c>
      <c r="AF77" s="37">
        <f>表1温室气体盘查表!AG78</f>
        <v>0</v>
      </c>
      <c r="AG77" s="37">
        <f>表1温室气体盘查表!AH78</f>
        <v>0</v>
      </c>
      <c r="AH77" s="37">
        <f>表1温室气体盘查表!AI78</f>
        <v>0</v>
      </c>
      <c r="AI77" s="37">
        <f>表1温室气体盘查表!AJ78</f>
        <v>0</v>
      </c>
      <c r="AJ77" s="37">
        <f>表1温室气体盘查表!AK78</f>
        <v>0</v>
      </c>
      <c r="AK77" s="37">
        <f>表1温室气体盘查表!AL78</f>
        <v>167202.52880299999</v>
      </c>
    </row>
    <row r="78" spans="1:37" s="16" customFormat="1" ht="18">
      <c r="A78" s="24">
        <v>74</v>
      </c>
      <c r="B78" s="25" t="str">
        <f>表1温室气体盘查表!B79</f>
        <v>上游运输配送产生的排放</v>
      </c>
      <c r="C78" s="26" t="str">
        <f>表1温室气体盘查表!C79</f>
        <v>船运</v>
      </c>
      <c r="D78" s="27" t="str">
        <f>表1温室气体盘查表!E79</f>
        <v>范围三 类别4</v>
      </c>
      <c r="E78" s="28">
        <f>表1温室气体盘查表!F79</f>
        <v>4937773501.3000002</v>
      </c>
      <c r="F78" s="29" t="str">
        <f>表1温室气体盘查表!G79</f>
        <v>tkm</v>
      </c>
      <c r="G78" s="30" t="e">
        <f>'附表2-EF'!#REF!*10</f>
        <v>#REF!</v>
      </c>
      <c r="H78" s="29" t="s">
        <v>802</v>
      </c>
      <c r="I78" s="31">
        <f>'附表1-GWP TABLE'!E77</f>
        <v>0</v>
      </c>
      <c r="J78" s="32"/>
      <c r="K78" s="29"/>
      <c r="L78" s="31"/>
      <c r="M78" s="32"/>
      <c r="N78" s="29"/>
      <c r="O78" s="31"/>
      <c r="P78" s="33"/>
      <c r="Q78" s="34"/>
      <c r="R78" s="35"/>
      <c r="S78" s="34"/>
      <c r="T78" s="32"/>
      <c r="U78" s="29"/>
      <c r="V78" s="36"/>
      <c r="W78" s="29"/>
      <c r="X78" s="32"/>
      <c r="Y78" s="29"/>
      <c r="Z78" s="31"/>
      <c r="AA78" s="32"/>
      <c r="AB78" s="34"/>
      <c r="AC78" s="31"/>
      <c r="AD78" s="37">
        <f>表1温室气体盘查表!AE79</f>
        <v>256608.96908694899</v>
      </c>
      <c r="AE78" s="37">
        <f>表1温室气体盘查表!AF79</f>
        <v>0</v>
      </c>
      <c r="AF78" s="37">
        <f>表1温室气体盘查表!AG79</f>
        <v>0</v>
      </c>
      <c r="AG78" s="37">
        <f>表1温室气体盘查表!AH79</f>
        <v>0</v>
      </c>
      <c r="AH78" s="37">
        <f>表1温室气体盘查表!AI79</f>
        <v>0</v>
      </c>
      <c r="AI78" s="37">
        <f>表1温室气体盘查表!AJ79</f>
        <v>0</v>
      </c>
      <c r="AJ78" s="37">
        <f>表1温室气体盘查表!AK79</f>
        <v>0</v>
      </c>
      <c r="AK78" s="37">
        <f>表1温室气体盘查表!AL79</f>
        <v>256608.96908694899</v>
      </c>
    </row>
    <row r="79" spans="1:37" s="16" customFormat="1" ht="18">
      <c r="A79" s="24">
        <v>75</v>
      </c>
      <c r="B79" s="25" t="str">
        <f>表1温室气体盘查表!B80</f>
        <v>上游运输配送产生的排放</v>
      </c>
      <c r="C79" s="26" t="str">
        <f>表1温室气体盘查表!C80</f>
        <v>汽运</v>
      </c>
      <c r="D79" s="27" t="str">
        <f>表1温室气体盘查表!E80</f>
        <v>范围三 类别4</v>
      </c>
      <c r="E79" s="28">
        <f>表1温室气体盘查表!F80</f>
        <v>303695957.77999997</v>
      </c>
      <c r="F79" s="29" t="str">
        <f>表1温室气体盘查表!G80</f>
        <v>tkm</v>
      </c>
      <c r="G79" s="30" t="e">
        <f>'附表2-EF'!#REF!*10</f>
        <v>#REF!</v>
      </c>
      <c r="H79" s="29" t="s">
        <v>803</v>
      </c>
      <c r="I79" s="31">
        <f>'附表1-GWP TABLE'!E78</f>
        <v>0</v>
      </c>
      <c r="J79" s="32"/>
      <c r="K79" s="29"/>
      <c r="L79" s="31"/>
      <c r="M79" s="32"/>
      <c r="N79" s="29"/>
      <c r="O79" s="31"/>
      <c r="P79" s="33"/>
      <c r="Q79" s="34"/>
      <c r="R79" s="35"/>
      <c r="S79" s="34"/>
      <c r="T79" s="32"/>
      <c r="U79" s="29"/>
      <c r="V79" s="36"/>
      <c r="W79" s="29"/>
      <c r="X79" s="32"/>
      <c r="Y79" s="29"/>
      <c r="Z79" s="31"/>
      <c r="AA79" s="32"/>
      <c r="AB79" s="34"/>
      <c r="AC79" s="31"/>
      <c r="AD79" s="37">
        <f>表1温室气体盘查表!AE80</f>
        <v>46150.511872324103</v>
      </c>
      <c r="AE79" s="37">
        <f>表1温室气体盘查表!AF80</f>
        <v>0</v>
      </c>
      <c r="AF79" s="37">
        <f>表1温室气体盘查表!AG80</f>
        <v>0</v>
      </c>
      <c r="AG79" s="37">
        <f>表1温室气体盘查表!AH80</f>
        <v>0</v>
      </c>
      <c r="AH79" s="37">
        <f>表1温室气体盘查表!AI80</f>
        <v>0</v>
      </c>
      <c r="AI79" s="37">
        <f>表1温室气体盘查表!AJ80</f>
        <v>0</v>
      </c>
      <c r="AJ79" s="37">
        <f>表1温室气体盘查表!AK80</f>
        <v>0</v>
      </c>
      <c r="AK79" s="37">
        <f>表1温室气体盘查表!AL80</f>
        <v>46150.511872324103</v>
      </c>
    </row>
    <row r="80" spans="1:37" s="16" customFormat="1" ht="18">
      <c r="A80" s="24">
        <v>76</v>
      </c>
      <c r="B80" s="25" t="str">
        <f>表1温室气体盘查表!B81</f>
        <v>上游运输配送产生的排放</v>
      </c>
      <c r="C80" s="26" t="str">
        <f>表1温室气体盘查表!C81</f>
        <v>铁路运输</v>
      </c>
      <c r="D80" s="27" t="str">
        <f>表1温室气体盘查表!E81</f>
        <v>范围三 类别4</v>
      </c>
      <c r="E80" s="28">
        <f>表1温室气体盘查表!F81</f>
        <v>1226509412.23</v>
      </c>
      <c r="F80" s="29" t="str">
        <f>表1温室气体盘查表!G81</f>
        <v>tkm</v>
      </c>
      <c r="G80" s="30" t="e">
        <f>'附表2-EF'!#REF!*10</f>
        <v>#REF!</v>
      </c>
      <c r="H80" s="29" t="s">
        <v>804</v>
      </c>
      <c r="I80" s="31">
        <f>'附表1-GWP TABLE'!E79</f>
        <v>0</v>
      </c>
      <c r="J80" s="32"/>
      <c r="K80" s="29"/>
      <c r="L80" s="31"/>
      <c r="M80" s="32"/>
      <c r="N80" s="29"/>
      <c r="O80" s="31"/>
      <c r="P80" s="33"/>
      <c r="Q80" s="34"/>
      <c r="R80" s="35"/>
      <c r="S80" s="34"/>
      <c r="T80" s="32"/>
      <c r="U80" s="29"/>
      <c r="V80" s="36"/>
      <c r="W80" s="29"/>
      <c r="X80" s="32"/>
      <c r="Y80" s="29"/>
      <c r="Z80" s="31"/>
      <c r="AA80" s="32"/>
      <c r="AB80" s="34"/>
      <c r="AC80" s="31"/>
      <c r="AD80" s="37">
        <f>表1温室气体盘查表!AE81</f>
        <v>59524.771711027199</v>
      </c>
      <c r="AE80" s="37">
        <f>表1温室气体盘查表!AF81</f>
        <v>0</v>
      </c>
      <c r="AF80" s="37">
        <f>表1温室气体盘查表!AG81</f>
        <v>0</v>
      </c>
      <c r="AG80" s="37">
        <f>表1温室气体盘查表!AH81</f>
        <v>0</v>
      </c>
      <c r="AH80" s="37">
        <f>表1温室气体盘查表!AI81</f>
        <v>0</v>
      </c>
      <c r="AI80" s="37">
        <f>表1温室气体盘查表!AJ81</f>
        <v>0</v>
      </c>
      <c r="AJ80" s="37">
        <f>表1温室气体盘查表!AK81</f>
        <v>0</v>
      </c>
      <c r="AK80" s="37">
        <f>表1温室气体盘查表!AL81</f>
        <v>59524.771711027199</v>
      </c>
    </row>
    <row r="81" spans="1:37" s="16" customFormat="1" ht="18">
      <c r="A81" s="24">
        <v>77</v>
      </c>
      <c r="B81" s="25" t="str">
        <f>表1温室气体盘查表!B82</f>
        <v>运营中产生的废物排放</v>
      </c>
      <c r="C81" s="26" t="str">
        <f>表1温室气体盘查表!C82</f>
        <v>生活垃圾和厨余垃圾</v>
      </c>
      <c r="D81" s="27" t="str">
        <f>表1温室气体盘查表!E82</f>
        <v>范围三 类别5</v>
      </c>
      <c r="E81" s="28">
        <f>表1温室气体盘查表!F82</f>
        <v>2610.16</v>
      </c>
      <c r="F81" s="29" t="str">
        <f>表1温室气体盘查表!G82</f>
        <v>t</v>
      </c>
      <c r="G81" s="30" t="e">
        <f>'附表2-EF'!#REF!*10</f>
        <v>#REF!</v>
      </c>
      <c r="H81" s="29" t="s">
        <v>805</v>
      </c>
      <c r="I81" s="31">
        <f>'附表1-GWP TABLE'!E80</f>
        <v>0</v>
      </c>
      <c r="J81" s="32"/>
      <c r="K81" s="29"/>
      <c r="L81" s="31"/>
      <c r="M81" s="32"/>
      <c r="N81" s="29"/>
      <c r="O81" s="31"/>
      <c r="P81" s="33"/>
      <c r="Q81" s="34"/>
      <c r="R81" s="35"/>
      <c r="S81" s="34"/>
      <c r="T81" s="32"/>
      <c r="U81" s="29"/>
      <c r="V81" s="36"/>
      <c r="W81" s="29"/>
      <c r="X81" s="32"/>
      <c r="Y81" s="29"/>
      <c r="Z81" s="31"/>
      <c r="AA81" s="32"/>
      <c r="AB81" s="34"/>
      <c r="AC81" s="31"/>
      <c r="AD81" s="37">
        <f>表1温室气体盘查表!AE82</f>
        <v>969.24192968968396</v>
      </c>
      <c r="AE81" s="37">
        <f>表1温室气体盘查表!AF82</f>
        <v>0</v>
      </c>
      <c r="AF81" s="37">
        <f>表1温室气体盘查表!AG82</f>
        <v>0</v>
      </c>
      <c r="AG81" s="37">
        <f>表1温室气体盘查表!AH82</f>
        <v>0</v>
      </c>
      <c r="AH81" s="37">
        <f>表1温室气体盘查表!AI82</f>
        <v>0</v>
      </c>
      <c r="AI81" s="37">
        <f>表1温室气体盘查表!AJ82</f>
        <v>0</v>
      </c>
      <c r="AJ81" s="37">
        <f>表1温室气体盘查表!AK82</f>
        <v>0</v>
      </c>
      <c r="AK81" s="37">
        <f>表1温室气体盘查表!AL82</f>
        <v>969.24192968968396</v>
      </c>
    </row>
    <row r="82" spans="1:37" s="16" customFormat="1" ht="18">
      <c r="A82" s="24">
        <v>78</v>
      </c>
      <c r="B82" s="25" t="str">
        <f>表1温室气体盘查表!B83</f>
        <v>运营中产生的废物排放</v>
      </c>
      <c r="C82" s="26" t="str">
        <f>表1温室气体盘查表!C83</f>
        <v>废油</v>
      </c>
      <c r="D82" s="27" t="str">
        <f>表1温室气体盘查表!E83</f>
        <v>范围三 类别5</v>
      </c>
      <c r="E82" s="28">
        <f>表1温室气体盘查表!F83</f>
        <v>36.75</v>
      </c>
      <c r="F82" s="29" t="str">
        <f>表1温室气体盘查表!G83</f>
        <v>t</v>
      </c>
      <c r="G82" s="30" t="e">
        <f>'附表2-EF'!#REF!*10</f>
        <v>#REF!</v>
      </c>
      <c r="H82" s="29" t="s">
        <v>806</v>
      </c>
      <c r="I82" s="31">
        <f>'附表1-GWP TABLE'!E81</f>
        <v>0</v>
      </c>
      <c r="J82" s="32"/>
      <c r="K82" s="29"/>
      <c r="L82" s="31"/>
      <c r="M82" s="32"/>
      <c r="N82" s="29"/>
      <c r="O82" s="31"/>
      <c r="P82" s="33"/>
      <c r="Q82" s="34"/>
      <c r="R82" s="35"/>
      <c r="S82" s="34"/>
      <c r="T82" s="32"/>
      <c r="U82" s="29"/>
      <c r="V82" s="36"/>
      <c r="W82" s="29"/>
      <c r="X82" s="32"/>
      <c r="Y82" s="29"/>
      <c r="Z82" s="31"/>
      <c r="AA82" s="32"/>
      <c r="AB82" s="34"/>
      <c r="AC82" s="31"/>
      <c r="AD82" s="37">
        <f>表1温室气体盘查表!AE83</f>
        <v>104.70284557036101</v>
      </c>
      <c r="AE82" s="37">
        <f>表1温室气体盘查表!AF83</f>
        <v>0</v>
      </c>
      <c r="AF82" s="37">
        <f>表1温室气体盘查表!AG83</f>
        <v>0</v>
      </c>
      <c r="AG82" s="37">
        <f>表1温室气体盘查表!AH83</f>
        <v>0</v>
      </c>
      <c r="AH82" s="37">
        <f>表1温室气体盘查表!AI83</f>
        <v>0</v>
      </c>
      <c r="AI82" s="37">
        <f>表1温室气体盘查表!AJ83</f>
        <v>0</v>
      </c>
      <c r="AJ82" s="37">
        <f>表1温室气体盘查表!AK83</f>
        <v>0</v>
      </c>
      <c r="AK82" s="37">
        <f>表1温室气体盘查表!AL83</f>
        <v>104.70284557036101</v>
      </c>
    </row>
    <row r="83" spans="1:37" s="16" customFormat="1" ht="18">
      <c r="A83" s="24">
        <v>79</v>
      </c>
      <c r="B83" s="25" t="str">
        <f>表1温室气体盘查表!B84</f>
        <v>运营中产生的废物排放</v>
      </c>
      <c r="C83" s="26" t="str">
        <f>表1温室气体盘查表!C84</f>
        <v>废油水</v>
      </c>
      <c r="D83" s="27" t="str">
        <f>表1温室气体盘查表!E84</f>
        <v>范围三 类别5</v>
      </c>
      <c r="E83" s="28">
        <f>表1温室气体盘查表!F84</f>
        <v>229.5</v>
      </c>
      <c r="F83" s="29" t="str">
        <f>表1温室气体盘查表!G84</f>
        <v>t</v>
      </c>
      <c r="G83" s="30" t="e">
        <f>'附表2-EF'!#REF!*10</f>
        <v>#REF!</v>
      </c>
      <c r="H83" s="29" t="s">
        <v>807</v>
      </c>
      <c r="I83" s="31">
        <f>'附表1-GWP TABLE'!E82</f>
        <v>0</v>
      </c>
      <c r="J83" s="32"/>
      <c r="K83" s="29"/>
      <c r="L83" s="31"/>
      <c r="M83" s="32"/>
      <c r="N83" s="29"/>
      <c r="O83" s="31"/>
      <c r="P83" s="33"/>
      <c r="Q83" s="34"/>
      <c r="R83" s="35"/>
      <c r="S83" s="34"/>
      <c r="T83" s="32"/>
      <c r="U83" s="29"/>
      <c r="V83" s="36"/>
      <c r="W83" s="29"/>
      <c r="X83" s="32"/>
      <c r="Y83" s="29"/>
      <c r="Z83" s="31"/>
      <c r="AA83" s="32"/>
      <c r="AB83" s="34"/>
      <c r="AC83" s="31"/>
      <c r="AD83" s="37">
        <f>表1温室气体盘查表!AE84</f>
        <v>653.85858662306896</v>
      </c>
      <c r="AE83" s="37">
        <f>表1温室气体盘查表!AF84</f>
        <v>0</v>
      </c>
      <c r="AF83" s="37">
        <f>表1温室气体盘查表!AG84</f>
        <v>0</v>
      </c>
      <c r="AG83" s="37">
        <f>表1温室气体盘查表!AH84</f>
        <v>0</v>
      </c>
      <c r="AH83" s="37">
        <f>表1温室气体盘查表!AI84</f>
        <v>0</v>
      </c>
      <c r="AI83" s="37">
        <f>表1温室气体盘查表!AJ84</f>
        <v>0</v>
      </c>
      <c r="AJ83" s="37">
        <f>表1温室气体盘查表!AK84</f>
        <v>0</v>
      </c>
      <c r="AK83" s="37">
        <f>表1温室气体盘查表!AL84</f>
        <v>653.85858662306896</v>
      </c>
    </row>
    <row r="84" spans="1:37" s="20" customFormat="1" ht="14.65" customHeight="1">
      <c r="A84" s="24">
        <v>80</v>
      </c>
      <c r="B84" s="25" t="str">
        <f>表1温室气体盘查表!B85</f>
        <v>运营中产生的废物排放</v>
      </c>
      <c r="C84" s="26" t="str">
        <f>表1温室气体盘查表!C85</f>
        <v>煤焦油</v>
      </c>
      <c r="D84" s="27" t="str">
        <f>表1温室气体盘查表!E85</f>
        <v>范围三 类别5</v>
      </c>
      <c r="E84" s="28">
        <f>表1温室气体盘查表!F85</f>
        <v>57478.34</v>
      </c>
      <c r="F84" s="29" t="str">
        <f>表1温室气体盘查表!G85</f>
        <v>t</v>
      </c>
      <c r="G84" s="30">
        <f>'附表2-EF'!K84*10</f>
        <v>0</v>
      </c>
      <c r="H84" s="29" t="s">
        <v>808</v>
      </c>
      <c r="I84" s="31">
        <f>'附表1-GWP TABLE'!E83</f>
        <v>0</v>
      </c>
      <c r="J84" s="32"/>
      <c r="K84" s="29"/>
      <c r="L84" s="31"/>
      <c r="M84" s="32"/>
      <c r="N84" s="29"/>
      <c r="O84" s="31"/>
      <c r="P84" s="33"/>
      <c r="Q84" s="34"/>
      <c r="R84" s="35"/>
      <c r="S84" s="34"/>
      <c r="T84" s="32"/>
      <c r="U84" s="29"/>
      <c r="V84" s="36"/>
      <c r="W84" s="29"/>
      <c r="X84" s="32"/>
      <c r="Y84" s="29"/>
      <c r="Z84" s="31"/>
      <c r="AA84" s="32"/>
      <c r="AB84" s="34"/>
      <c r="AC84" s="31"/>
      <c r="AD84" s="37">
        <f>表1温室气体盘查表!AE85</f>
        <v>145058.803127058</v>
      </c>
      <c r="AE84" s="37">
        <f>表1温室气体盘查表!AF85</f>
        <v>0</v>
      </c>
      <c r="AF84" s="37">
        <f>表1温室气体盘查表!AG85</f>
        <v>0</v>
      </c>
      <c r="AG84" s="37">
        <f>表1温室气体盘查表!AH85</f>
        <v>0</v>
      </c>
      <c r="AH84" s="37">
        <f>表1温室气体盘查表!AI85</f>
        <v>0</v>
      </c>
      <c r="AI84" s="37">
        <f>表1温室气体盘查表!AJ85</f>
        <v>0</v>
      </c>
      <c r="AJ84" s="37">
        <f>表1温室气体盘查表!AK85</f>
        <v>0</v>
      </c>
      <c r="AK84" s="37">
        <f>表1温室气体盘查表!AL85</f>
        <v>145058.803127058</v>
      </c>
    </row>
    <row r="85" spans="1:37" s="20" customFormat="1" ht="15.4" customHeight="1">
      <c r="A85" s="24">
        <v>81</v>
      </c>
      <c r="B85" s="25" t="str">
        <f>表1温室气体盘查表!B86</f>
        <v>运营中产生的废物排放</v>
      </c>
      <c r="C85" s="26" t="str">
        <f>表1温室气体盘查表!C86</f>
        <v>废弃物运输</v>
      </c>
      <c r="D85" s="27" t="str">
        <f>表1温室气体盘查表!E86</f>
        <v>范围三 类别5</v>
      </c>
      <c r="E85" s="28">
        <f>表1温室气体盘查表!F86</f>
        <v>5589690.04</v>
      </c>
      <c r="F85" s="29" t="str">
        <f>表1温室气体盘查表!G86</f>
        <v>tkm</v>
      </c>
      <c r="G85" s="30" t="e">
        <f>'附表2-EF'!#REF!*10</f>
        <v>#REF!</v>
      </c>
      <c r="H85" s="29" t="s">
        <v>809</v>
      </c>
      <c r="I85" s="31">
        <f>'附表1-GWP TABLE'!E84</f>
        <v>0</v>
      </c>
      <c r="J85" s="32"/>
      <c r="K85" s="29"/>
      <c r="L85" s="31"/>
      <c r="M85" s="32"/>
      <c r="N85" s="29"/>
      <c r="O85" s="31"/>
      <c r="P85" s="33"/>
      <c r="Q85" s="34"/>
      <c r="R85" s="35"/>
      <c r="S85" s="34"/>
      <c r="T85" s="32"/>
      <c r="U85" s="29"/>
      <c r="V85" s="36"/>
      <c r="W85" s="29"/>
      <c r="X85" s="32"/>
      <c r="Y85" s="29"/>
      <c r="Z85" s="31"/>
      <c r="AA85" s="32"/>
      <c r="AB85" s="34"/>
      <c r="AC85" s="31"/>
      <c r="AD85" s="37">
        <f>表1温室气体盘查表!AE86</f>
        <v>849.425387283242</v>
      </c>
      <c r="AE85" s="37">
        <f>表1温室气体盘查表!AF86</f>
        <v>0</v>
      </c>
      <c r="AF85" s="37">
        <f>表1温室气体盘查表!AG86</f>
        <v>0</v>
      </c>
      <c r="AG85" s="37">
        <f>表1温室气体盘查表!AH86</f>
        <v>0</v>
      </c>
      <c r="AH85" s="37">
        <f>表1温室气体盘查表!AI86</f>
        <v>0</v>
      </c>
      <c r="AI85" s="37">
        <f>表1温室气体盘查表!AJ86</f>
        <v>0</v>
      </c>
      <c r="AJ85" s="37">
        <f>表1温室气体盘查表!AK86</f>
        <v>0</v>
      </c>
      <c r="AK85" s="37">
        <f>表1温室气体盘查表!AL86</f>
        <v>849.425387283242</v>
      </c>
    </row>
    <row r="86" spans="1:37" s="20" customFormat="1" ht="18">
      <c r="A86" s="24">
        <v>82</v>
      </c>
      <c r="B86" s="25" t="str">
        <f>表1温室气体盘查表!B87</f>
        <v>商务旅行产生的排放</v>
      </c>
      <c r="C86" s="26" t="str">
        <f>表1温室气体盘查表!C87</f>
        <v>航运</v>
      </c>
      <c r="D86" s="27" t="str">
        <f>表1温室气体盘查表!E87</f>
        <v>范围三 类别6</v>
      </c>
      <c r="E86" s="28">
        <f>表1温室气体盘查表!F87</f>
        <v>3901916.53</v>
      </c>
      <c r="F86" s="29" t="str">
        <f>表1温室气体盘查表!G87</f>
        <v>passenger*km</v>
      </c>
      <c r="G86" s="30" t="e">
        <f>'附表2-EF'!#REF!*10</f>
        <v>#REF!</v>
      </c>
      <c r="H86" s="29" t="s">
        <v>810</v>
      </c>
      <c r="I86" s="31">
        <f>'附表1-GWP TABLE'!E85</f>
        <v>0</v>
      </c>
      <c r="J86" s="32"/>
      <c r="K86" s="29"/>
      <c r="L86" s="31"/>
      <c r="M86" s="32"/>
      <c r="N86" s="29"/>
      <c r="O86" s="31"/>
      <c r="P86" s="33"/>
      <c r="Q86" s="34"/>
      <c r="R86" s="35"/>
      <c r="S86" s="34"/>
      <c r="T86" s="32"/>
      <c r="U86" s="29"/>
      <c r="V86" s="36"/>
      <c r="W86" s="29"/>
      <c r="X86" s="32"/>
      <c r="Y86" s="29"/>
      <c r="Z86" s="31"/>
      <c r="AA86" s="32"/>
      <c r="AB86" s="34"/>
      <c r="AC86" s="31"/>
      <c r="AD86" s="37">
        <f>表1温室气体盘查表!AE87</f>
        <v>327.76098852000001</v>
      </c>
      <c r="AE86" s="37">
        <f>表1温室气体盘查表!AF87</f>
        <v>0</v>
      </c>
      <c r="AF86" s="37">
        <f>表1温室气体盘查表!AG87</f>
        <v>0</v>
      </c>
      <c r="AG86" s="37">
        <f>表1温室气体盘查表!AH87</f>
        <v>0</v>
      </c>
      <c r="AH86" s="37">
        <f>表1温室气体盘查表!AI87</f>
        <v>0</v>
      </c>
      <c r="AI86" s="37">
        <f>表1温室气体盘查表!AJ87</f>
        <v>0</v>
      </c>
      <c r="AJ86" s="37">
        <f>表1温室气体盘查表!AK87</f>
        <v>0</v>
      </c>
      <c r="AK86" s="37">
        <f>表1温室气体盘查表!AL87</f>
        <v>327.76098852000001</v>
      </c>
    </row>
    <row r="87" spans="1:37" s="20" customFormat="1" ht="18">
      <c r="A87" s="24">
        <v>83</v>
      </c>
      <c r="B87" s="25" t="str">
        <f>表1温室气体盘查表!B88</f>
        <v>商务旅行产生的排放</v>
      </c>
      <c r="C87" s="26" t="str">
        <f>表1温室气体盘查表!C88</f>
        <v>铁路运输</v>
      </c>
      <c r="D87" s="27" t="str">
        <f>表1温室气体盘查表!E88</f>
        <v>范围三 类别6</v>
      </c>
      <c r="E87" s="28">
        <f>表1温室气体盘查表!F88</f>
        <v>8277796.5300000003</v>
      </c>
      <c r="F87" s="29" t="str">
        <f>表1温室气体盘查表!G88</f>
        <v>passenger*km</v>
      </c>
      <c r="G87" s="30" t="e">
        <f>'附表2-EF'!#REF!*10</f>
        <v>#REF!</v>
      </c>
      <c r="H87" s="29" t="s">
        <v>811</v>
      </c>
      <c r="I87" s="31">
        <f>'附表1-GWP TABLE'!E86</f>
        <v>0</v>
      </c>
      <c r="J87" s="32"/>
      <c r="K87" s="29"/>
      <c r="L87" s="31"/>
      <c r="M87" s="32"/>
      <c r="N87" s="29"/>
      <c r="O87" s="31"/>
      <c r="P87" s="33"/>
      <c r="Q87" s="34"/>
      <c r="R87" s="35"/>
      <c r="S87" s="34"/>
      <c r="T87" s="32"/>
      <c r="U87" s="29"/>
      <c r="V87" s="36"/>
      <c r="W87" s="29"/>
      <c r="X87" s="32"/>
      <c r="Y87" s="29"/>
      <c r="Z87" s="31"/>
      <c r="AA87" s="32"/>
      <c r="AB87" s="34"/>
      <c r="AC87" s="31"/>
      <c r="AD87" s="37">
        <f>表1温室气体盘查表!AE88</f>
        <v>619.78796521528295</v>
      </c>
      <c r="AE87" s="37">
        <f>表1温室气体盘查表!AF88</f>
        <v>0</v>
      </c>
      <c r="AF87" s="37">
        <f>表1温室气体盘查表!AG88</f>
        <v>0</v>
      </c>
      <c r="AG87" s="37">
        <f>表1温室气体盘查表!AH88</f>
        <v>0</v>
      </c>
      <c r="AH87" s="37">
        <f>表1温室气体盘查表!AI88</f>
        <v>0</v>
      </c>
      <c r="AI87" s="37">
        <f>表1温室气体盘查表!AJ88</f>
        <v>0</v>
      </c>
      <c r="AJ87" s="37">
        <f>表1温室气体盘查表!AK88</f>
        <v>0</v>
      </c>
      <c r="AK87" s="37">
        <f>表1温室气体盘查表!AL88</f>
        <v>619.78796521528295</v>
      </c>
    </row>
    <row r="88" spans="1:37" ht="18" customHeight="1">
      <c r="A88" s="24">
        <v>84</v>
      </c>
      <c r="B88" s="25" t="str">
        <f>表1温室气体盘查表!B89</f>
        <v>商务旅行产生的排放</v>
      </c>
      <c r="C88" s="26" t="str">
        <f>表1温室气体盘查表!C89</f>
        <v>员工差旅住宿</v>
      </c>
      <c r="D88" s="27" t="str">
        <f>表1温室气体盘查表!E89</f>
        <v>范围三 类别6</v>
      </c>
      <c r="E88" s="28">
        <f>表1温室气体盘查表!F89</f>
        <v>13507</v>
      </c>
      <c r="F88" s="29" t="str">
        <f>表1温室气体盘查表!G89</f>
        <v>总间*晚</v>
      </c>
      <c r="G88" s="30" t="e">
        <f>'附表2-EF'!#REF!*10</f>
        <v>#REF!</v>
      </c>
      <c r="H88" s="29" t="s">
        <v>812</v>
      </c>
      <c r="I88" s="31">
        <f>'附表1-GWP TABLE'!E87</f>
        <v>0</v>
      </c>
      <c r="J88" s="32"/>
      <c r="K88" s="29"/>
      <c r="L88" s="31"/>
      <c r="M88" s="32"/>
      <c r="N88" s="29"/>
      <c r="O88" s="31"/>
      <c r="P88" s="33"/>
      <c r="Q88" s="34"/>
      <c r="R88" s="35"/>
      <c r="S88" s="34"/>
      <c r="T88" s="32"/>
      <c r="U88" s="29"/>
      <c r="V88" s="36"/>
      <c r="W88" s="29"/>
      <c r="X88" s="32"/>
      <c r="Y88" s="29"/>
      <c r="Z88" s="31"/>
      <c r="AA88" s="32"/>
      <c r="AB88" s="34"/>
      <c r="AC88" s="31"/>
      <c r="AD88" s="37">
        <f>表1温室气体盘查表!AE89</f>
        <v>722.62450000000001</v>
      </c>
      <c r="AE88" s="37">
        <f>表1温室气体盘查表!AF89</f>
        <v>0</v>
      </c>
      <c r="AF88" s="37">
        <f>表1温室气体盘查表!AG89</f>
        <v>0</v>
      </c>
      <c r="AG88" s="37">
        <f>表1温室气体盘查表!AH89</f>
        <v>0</v>
      </c>
      <c r="AH88" s="37">
        <f>表1温室气体盘查表!AI89</f>
        <v>0</v>
      </c>
      <c r="AI88" s="37">
        <f>表1温室气体盘查表!AJ89</f>
        <v>0</v>
      </c>
      <c r="AJ88" s="37">
        <f>表1温室气体盘查表!AK89</f>
        <v>0</v>
      </c>
      <c r="AK88" s="37">
        <f>表1温室气体盘查表!AL89</f>
        <v>722.62450000000001</v>
      </c>
    </row>
    <row r="89" spans="1:37" ht="18" customHeight="1">
      <c r="A89" s="24">
        <v>85</v>
      </c>
      <c r="B89" s="25" t="str">
        <f>表1温室气体盘查表!B90</f>
        <v>员工通勤产生的排放</v>
      </c>
      <c r="C89" s="26" t="str">
        <f>表1温室气体盘查表!C90</f>
        <v>通勤车</v>
      </c>
      <c r="D89" s="27" t="str">
        <f>表1温室气体盘查表!E90</f>
        <v>范围三 类别7</v>
      </c>
      <c r="E89" s="28">
        <f>表1温室气体盘查表!F90</f>
        <v>12637097</v>
      </c>
      <c r="F89" s="29" t="str">
        <f>表1温室气体盘查表!G90</f>
        <v>passenger*km</v>
      </c>
      <c r="G89" s="30" t="e">
        <f>'附表2-EF'!#REF!*10</f>
        <v>#REF!</v>
      </c>
      <c r="H89" s="29" t="s">
        <v>813</v>
      </c>
      <c r="I89" s="31">
        <f>'附表1-GWP TABLE'!E88</f>
        <v>0</v>
      </c>
      <c r="J89" s="32"/>
      <c r="K89" s="29"/>
      <c r="L89" s="31"/>
      <c r="M89" s="32"/>
      <c r="N89" s="29"/>
      <c r="O89" s="31"/>
      <c r="P89" s="33"/>
      <c r="Q89" s="34"/>
      <c r="R89" s="35"/>
      <c r="S89" s="34"/>
      <c r="T89" s="32"/>
      <c r="U89" s="29"/>
      <c r="V89" s="36"/>
      <c r="W89" s="29"/>
      <c r="X89" s="32"/>
      <c r="Y89" s="29"/>
      <c r="Z89" s="31"/>
      <c r="AA89" s="32"/>
      <c r="AB89" s="34"/>
      <c r="AC89" s="31"/>
      <c r="AD89" s="37">
        <f>表1温室气体盘查表!AE90</f>
        <v>111.2064536</v>
      </c>
      <c r="AE89" s="37">
        <f>表1温室气体盘查表!AF90</f>
        <v>0</v>
      </c>
      <c r="AF89" s="37">
        <f>表1温室气体盘查表!AG90</f>
        <v>0</v>
      </c>
      <c r="AG89" s="37">
        <f>表1温室气体盘查表!AH90</f>
        <v>0</v>
      </c>
      <c r="AH89" s="37">
        <f>表1温室气体盘查表!AI90</f>
        <v>0</v>
      </c>
      <c r="AI89" s="37">
        <f>表1温室气体盘查表!AJ90</f>
        <v>0</v>
      </c>
      <c r="AJ89" s="37">
        <f>表1温室气体盘查表!AK90</f>
        <v>0</v>
      </c>
      <c r="AK89" s="37">
        <f>表1温室气体盘查表!AL90</f>
        <v>111.2064536</v>
      </c>
    </row>
    <row r="90" spans="1:37" ht="18" customHeight="1">
      <c r="A90" s="24">
        <v>86</v>
      </c>
      <c r="B90" s="25" t="str">
        <f>表1温室气体盘查表!B91</f>
        <v>员工通勤产生的排放</v>
      </c>
      <c r="C90" s="26" t="str">
        <f>表1温室气体盘查表!C91</f>
        <v>电动车</v>
      </c>
      <c r="D90" s="27" t="str">
        <f>表1温室气体盘查表!E91</f>
        <v>范围三 类别7</v>
      </c>
      <c r="E90" s="28">
        <f>表1温室气体盘查表!F91</f>
        <v>17561466</v>
      </c>
      <c r="F90" s="29" t="str">
        <f>表1温室气体盘查表!G91</f>
        <v>passenger*km</v>
      </c>
      <c r="G90" s="30" t="e">
        <f>'附表2-EF'!#REF!*10</f>
        <v>#REF!</v>
      </c>
      <c r="H90" s="29" t="s">
        <v>814</v>
      </c>
      <c r="I90" s="31">
        <f>'附表1-GWP TABLE'!E89</f>
        <v>0</v>
      </c>
      <c r="J90" s="32"/>
      <c r="K90" s="29"/>
      <c r="L90" s="31"/>
      <c r="M90" s="32"/>
      <c r="N90" s="29"/>
      <c r="O90" s="31"/>
      <c r="P90" s="33"/>
      <c r="Q90" s="34"/>
      <c r="R90" s="35"/>
      <c r="S90" s="34"/>
      <c r="T90" s="32"/>
      <c r="U90" s="29"/>
      <c r="V90" s="36"/>
      <c r="W90" s="29"/>
      <c r="X90" s="32"/>
      <c r="Y90" s="29"/>
      <c r="Z90" s="31"/>
      <c r="AA90" s="32"/>
      <c r="AB90" s="34"/>
      <c r="AC90" s="31"/>
      <c r="AD90" s="37">
        <f>表1温室气体盘查表!AE91</f>
        <v>474.51537913020297</v>
      </c>
      <c r="AE90" s="37">
        <f>表1温室气体盘查表!AF91</f>
        <v>0</v>
      </c>
      <c r="AF90" s="37">
        <f>表1温室气体盘查表!AG91</f>
        <v>0</v>
      </c>
      <c r="AG90" s="37">
        <f>表1温室气体盘查表!AH91</f>
        <v>0</v>
      </c>
      <c r="AH90" s="37">
        <f>表1温室气体盘查表!AI91</f>
        <v>0</v>
      </c>
      <c r="AI90" s="37">
        <f>表1温室气体盘查表!AJ91</f>
        <v>0</v>
      </c>
      <c r="AJ90" s="37">
        <f>表1温室气体盘查表!AK91</f>
        <v>0</v>
      </c>
      <c r="AK90" s="37">
        <f>表1温室气体盘查表!AL91</f>
        <v>474.51537913020297</v>
      </c>
    </row>
    <row r="91" spans="1:37" ht="18" customHeight="1">
      <c r="A91" s="24">
        <v>87</v>
      </c>
      <c r="B91" s="25" t="str">
        <f>表1温室气体盘查表!B92</f>
        <v>员工通勤产生的排放</v>
      </c>
      <c r="C91" s="26" t="str">
        <f>表1温室气体盘查表!C92</f>
        <v>自驾油车</v>
      </c>
      <c r="D91" s="27" t="str">
        <f>表1温室气体盘查表!E92</f>
        <v>范围三 类别7</v>
      </c>
      <c r="E91" s="28">
        <f>表1温室气体盘查表!F92</f>
        <v>31405120</v>
      </c>
      <c r="F91" s="29" t="str">
        <f>表1温室气体盘查表!G92</f>
        <v>km</v>
      </c>
      <c r="G91" s="30" t="e">
        <f>'附表2-EF'!#REF!*10</f>
        <v>#REF!</v>
      </c>
      <c r="H91" s="29" t="s">
        <v>815</v>
      </c>
      <c r="I91" s="31">
        <f>'附表1-GWP TABLE'!E90</f>
        <v>0</v>
      </c>
      <c r="J91" s="32"/>
      <c r="K91" s="29"/>
      <c r="L91" s="31"/>
      <c r="M91" s="32"/>
      <c r="N91" s="29"/>
      <c r="O91" s="31"/>
      <c r="P91" s="33"/>
      <c r="Q91" s="34"/>
      <c r="R91" s="35"/>
      <c r="S91" s="34"/>
      <c r="T91" s="32"/>
      <c r="U91" s="29"/>
      <c r="V91" s="36"/>
      <c r="W91" s="29"/>
      <c r="X91" s="32"/>
      <c r="Y91" s="29"/>
      <c r="Z91" s="31"/>
      <c r="AA91" s="32"/>
      <c r="AB91" s="34"/>
      <c r="AC91" s="31"/>
      <c r="AD91" s="37">
        <f>表1温室气体盘查表!AE92</f>
        <v>11664.728842161199</v>
      </c>
      <c r="AE91" s="37">
        <f>表1温室气体盘查表!AF92</f>
        <v>0</v>
      </c>
      <c r="AF91" s="37">
        <f>表1温室气体盘查表!AG92</f>
        <v>0</v>
      </c>
      <c r="AG91" s="37">
        <f>表1温室气体盘查表!AH92</f>
        <v>0</v>
      </c>
      <c r="AH91" s="37">
        <f>表1温室气体盘查表!AI92</f>
        <v>0</v>
      </c>
      <c r="AI91" s="37">
        <f>表1温室气体盘查表!AJ92</f>
        <v>0</v>
      </c>
      <c r="AJ91" s="37">
        <f>表1温室气体盘查表!AK92</f>
        <v>0</v>
      </c>
      <c r="AK91" s="37">
        <f>表1温室气体盘查表!AL92</f>
        <v>11664.728842161199</v>
      </c>
    </row>
    <row r="92" spans="1:37" ht="18" customHeight="1">
      <c r="A92" s="24">
        <v>88</v>
      </c>
      <c r="B92" s="25" t="str">
        <f>表1温室气体盘查表!B93</f>
        <v>员工通勤产生的排放</v>
      </c>
      <c r="C92" s="26" t="str">
        <f>表1温室气体盘查表!C93</f>
        <v>自驾电车</v>
      </c>
      <c r="D92" s="27" t="str">
        <f>表1温室气体盘查表!E93</f>
        <v>范围三 类别7</v>
      </c>
      <c r="E92" s="28">
        <f>表1温室气体盘查表!F93</f>
        <v>2886500</v>
      </c>
      <c r="F92" s="29" t="str">
        <f>表1温室气体盘查表!G93</f>
        <v>km</v>
      </c>
      <c r="G92" s="30" t="e">
        <f>'附表2-EF'!#REF!*10</f>
        <v>#REF!</v>
      </c>
      <c r="H92" s="29" t="s">
        <v>816</v>
      </c>
      <c r="I92" s="31">
        <f>'附表1-GWP TABLE'!E91</f>
        <v>0</v>
      </c>
      <c r="J92" s="32"/>
      <c r="K92" s="29"/>
      <c r="L92" s="31"/>
      <c r="M92" s="32"/>
      <c r="N92" s="29"/>
      <c r="O92" s="31"/>
      <c r="P92" s="33"/>
      <c r="Q92" s="34"/>
      <c r="R92" s="35"/>
      <c r="S92" s="34"/>
      <c r="T92" s="32"/>
      <c r="U92" s="29"/>
      <c r="V92" s="36"/>
      <c r="W92" s="29"/>
      <c r="X92" s="32"/>
      <c r="Y92" s="29"/>
      <c r="Z92" s="31"/>
      <c r="AA92" s="32"/>
      <c r="AB92" s="34"/>
      <c r="AC92" s="31"/>
      <c r="AD92" s="37">
        <f>表1温室气体盘查表!AE93</f>
        <v>1072.1258126986399</v>
      </c>
      <c r="AE92" s="37">
        <f>表1温室气体盘查表!AF93</f>
        <v>0</v>
      </c>
      <c r="AF92" s="37">
        <f>表1温室气体盘查表!AG93</f>
        <v>0</v>
      </c>
      <c r="AG92" s="37">
        <f>表1温室气体盘查表!AH93</f>
        <v>0</v>
      </c>
      <c r="AH92" s="37">
        <f>表1温室气体盘查表!AI93</f>
        <v>0</v>
      </c>
      <c r="AI92" s="37">
        <f>表1温室气体盘查表!AJ93</f>
        <v>0</v>
      </c>
      <c r="AJ92" s="37">
        <f>表1温室气体盘查表!AK93</f>
        <v>0</v>
      </c>
      <c r="AK92" s="37">
        <f>表1温室气体盘查表!AL93</f>
        <v>1072.1258126986399</v>
      </c>
    </row>
    <row r="93" spans="1:37" ht="18" customHeight="1">
      <c r="A93" s="24">
        <v>89</v>
      </c>
      <c r="B93" s="25" t="str">
        <f>表1温室气体盘查表!B94</f>
        <v>下游运输配送产生的排放</v>
      </c>
      <c r="C93" s="26" t="str">
        <f>表1温室气体盘查表!C94</f>
        <v>船运</v>
      </c>
      <c r="D93" s="27" t="str">
        <f>表1温室气体盘查表!E94</f>
        <v>范围三 类别9</v>
      </c>
      <c r="E93" s="28">
        <f>表1温室气体盘查表!F94</f>
        <v>1029048283.74</v>
      </c>
      <c r="F93" s="29" t="str">
        <f>表1温室气体盘查表!G94</f>
        <v>tkm</v>
      </c>
      <c r="G93" s="30" t="e">
        <f>'附表2-EF'!#REF!*10</f>
        <v>#REF!</v>
      </c>
      <c r="H93" s="29" t="s">
        <v>817</v>
      </c>
      <c r="I93" s="31">
        <f>'附表1-GWP TABLE'!E92</f>
        <v>0</v>
      </c>
      <c r="J93" s="32"/>
      <c r="K93" s="29"/>
      <c r="L93" s="31"/>
      <c r="M93" s="32"/>
      <c r="N93" s="29"/>
      <c r="O93" s="31"/>
      <c r="P93" s="33"/>
      <c r="Q93" s="34"/>
      <c r="R93" s="35"/>
      <c r="S93" s="34"/>
      <c r="T93" s="32"/>
      <c r="U93" s="29"/>
      <c r="V93" s="36"/>
      <c r="W93" s="29"/>
      <c r="X93" s="32"/>
      <c r="Y93" s="29"/>
      <c r="Z93" s="31"/>
      <c r="AA93" s="32"/>
      <c r="AB93" s="34"/>
      <c r="AC93" s="31"/>
      <c r="AD93" s="37">
        <f>表1温室气体盘查表!AE94</f>
        <v>53478.1555212475</v>
      </c>
      <c r="AE93" s="37">
        <f>表1温室气体盘查表!AF94</f>
        <v>0</v>
      </c>
      <c r="AF93" s="37">
        <f>表1温室气体盘查表!AG94</f>
        <v>0</v>
      </c>
      <c r="AG93" s="37">
        <f>表1温室气体盘查表!AH94</f>
        <v>0</v>
      </c>
      <c r="AH93" s="37">
        <f>表1温室气体盘查表!AI94</f>
        <v>0</v>
      </c>
      <c r="AI93" s="37">
        <f>表1温室气体盘查表!AJ94</f>
        <v>0</v>
      </c>
      <c r="AJ93" s="37">
        <f>表1温室气体盘查表!AK94</f>
        <v>0</v>
      </c>
      <c r="AK93" s="37">
        <f>表1温室气体盘查表!AL94</f>
        <v>53478.1555212475</v>
      </c>
    </row>
    <row r="94" spans="1:37" ht="18" customHeight="1">
      <c r="A94" s="24">
        <v>90</v>
      </c>
      <c r="B94" s="25" t="str">
        <f>表1温室气体盘查表!B95</f>
        <v>下游运输配送产生的排放</v>
      </c>
      <c r="C94" s="26" t="str">
        <f>表1温室气体盘查表!C95</f>
        <v>汽运</v>
      </c>
      <c r="D94" s="27" t="str">
        <f>表1温室气体盘查表!E95</f>
        <v>范围三 类别9</v>
      </c>
      <c r="E94" s="28">
        <f>表1温室气体盘查表!F95</f>
        <v>1369080976.6600001</v>
      </c>
      <c r="F94" s="29" t="str">
        <f>表1温室气体盘查表!G95</f>
        <v>tkm</v>
      </c>
      <c r="G94" s="30" t="e">
        <f>'附表2-EF'!#REF!*10</f>
        <v>#REF!</v>
      </c>
      <c r="H94" s="29" t="s">
        <v>818</v>
      </c>
      <c r="I94" s="31">
        <f>'附表1-GWP TABLE'!E93</f>
        <v>0</v>
      </c>
      <c r="J94" s="32"/>
      <c r="K94" s="29"/>
      <c r="L94" s="31"/>
      <c r="M94" s="32"/>
      <c r="N94" s="29"/>
      <c r="O94" s="31"/>
      <c r="P94" s="33"/>
      <c r="Q94" s="34"/>
      <c r="R94" s="35"/>
      <c r="S94" s="34"/>
      <c r="T94" s="32"/>
      <c r="U94" s="29"/>
      <c r="V94" s="36"/>
      <c r="W94" s="29"/>
      <c r="X94" s="32"/>
      <c r="Y94" s="29"/>
      <c r="Z94" s="31"/>
      <c r="AA94" s="32"/>
      <c r="AB94" s="34"/>
      <c r="AC94" s="31"/>
      <c r="AD94" s="37">
        <f>表1温室气体盘查表!AE95</f>
        <v>208049.48583902899</v>
      </c>
      <c r="AE94" s="37">
        <f>表1温室气体盘查表!AF95</f>
        <v>0</v>
      </c>
      <c r="AF94" s="37">
        <f>表1温室气体盘查表!AG95</f>
        <v>0</v>
      </c>
      <c r="AG94" s="37">
        <f>表1温室气体盘查表!AH95</f>
        <v>0</v>
      </c>
      <c r="AH94" s="37">
        <f>表1温室气体盘查表!AI95</f>
        <v>0</v>
      </c>
      <c r="AI94" s="37">
        <f>表1温室气体盘查表!AJ95</f>
        <v>0</v>
      </c>
      <c r="AJ94" s="37">
        <f>表1温室气体盘查表!AK95</f>
        <v>0</v>
      </c>
      <c r="AK94" s="37">
        <f>表1温室气体盘查表!AL95</f>
        <v>208049.48583902899</v>
      </c>
    </row>
    <row r="95" spans="1:37" ht="18" customHeight="1">
      <c r="A95" s="24">
        <v>91</v>
      </c>
      <c r="B95" s="25" t="str">
        <f>表1温室气体盘查表!B96</f>
        <v>下游运输配送产生的排放</v>
      </c>
      <c r="C95" s="26" t="str">
        <f>表1温室气体盘查表!C96</f>
        <v>铁路运输</v>
      </c>
      <c r="D95" s="27" t="str">
        <f>表1温室气体盘查表!E96</f>
        <v>范围三 类别9</v>
      </c>
      <c r="E95" s="28">
        <f>表1温室气体盘查表!F96</f>
        <v>228437028.19</v>
      </c>
      <c r="F95" s="29" t="str">
        <f>表1温室气体盘查表!G96</f>
        <v>tkm</v>
      </c>
      <c r="G95" s="30" t="e">
        <f>'附表2-EF'!#REF!*10</f>
        <v>#REF!</v>
      </c>
      <c r="H95" s="29" t="s">
        <v>819</v>
      </c>
      <c r="I95" s="31">
        <f>'附表1-GWP TABLE'!E94</f>
        <v>0</v>
      </c>
      <c r="J95" s="32"/>
      <c r="K95" s="29"/>
      <c r="L95" s="31"/>
      <c r="M95" s="32"/>
      <c r="N95" s="29"/>
      <c r="O95" s="31"/>
      <c r="P95" s="33"/>
      <c r="Q95" s="34"/>
      <c r="R95" s="35"/>
      <c r="S95" s="34"/>
      <c r="T95" s="32"/>
      <c r="U95" s="29"/>
      <c r="V95" s="36"/>
      <c r="W95" s="29"/>
      <c r="X95" s="32"/>
      <c r="Y95" s="29"/>
      <c r="Z95" s="31"/>
      <c r="AA95" s="32"/>
      <c r="AB95" s="34"/>
      <c r="AC95" s="31"/>
      <c r="AD95" s="37">
        <f>表1温室气体盘查表!AE96</f>
        <v>11086.4717529011</v>
      </c>
      <c r="AE95" s="37">
        <f>表1温室气体盘查表!AF96</f>
        <v>0</v>
      </c>
      <c r="AF95" s="37">
        <f>表1温室气体盘查表!AG96</f>
        <v>0</v>
      </c>
      <c r="AG95" s="37">
        <f>表1温室气体盘查表!AH96</f>
        <v>0</v>
      </c>
      <c r="AH95" s="37">
        <f>表1温室气体盘查表!AI96</f>
        <v>0</v>
      </c>
      <c r="AI95" s="37">
        <f>表1温室气体盘查表!AJ96</f>
        <v>0</v>
      </c>
      <c r="AJ95" s="37">
        <f>表1温室气体盘查表!AK96</f>
        <v>0</v>
      </c>
      <c r="AK95" s="37">
        <f>表1温室气体盘查表!AL96</f>
        <v>11086.4717529011</v>
      </c>
    </row>
    <row r="96" spans="1:37" ht="18" customHeight="1">
      <c r="A96" s="24">
        <v>92</v>
      </c>
      <c r="B96" s="25" t="str">
        <f>表1温室气体盘查表!B97</f>
        <v>下游运输配送产生的排放</v>
      </c>
      <c r="C96" s="26" t="str">
        <f>表1温室气体盘查表!C97</f>
        <v>汽运-副产品</v>
      </c>
      <c r="D96" s="27" t="str">
        <f>表1温室气体盘查表!E97</f>
        <v>范围三 类别9</v>
      </c>
      <c r="E96" s="28">
        <f>表1温室气体盘查表!F97</f>
        <v>12973524</v>
      </c>
      <c r="F96" s="29" t="str">
        <f>表1温室气体盘查表!G97</f>
        <v>tkm</v>
      </c>
      <c r="G96" s="30" t="e">
        <f>'附表2-EF'!#REF!*10</f>
        <v>#REF!</v>
      </c>
      <c r="H96" s="29" t="s">
        <v>820</v>
      </c>
      <c r="I96" s="31">
        <f>'附表1-GWP TABLE'!E95</f>
        <v>0</v>
      </c>
      <c r="J96" s="32"/>
      <c r="K96" s="29"/>
      <c r="L96" s="31"/>
      <c r="M96" s="32"/>
      <c r="N96" s="29"/>
      <c r="O96" s="31"/>
      <c r="P96" s="33"/>
      <c r="Q96" s="34"/>
      <c r="R96" s="35"/>
      <c r="S96" s="34"/>
      <c r="T96" s="32"/>
      <c r="U96" s="29"/>
      <c r="V96" s="36"/>
      <c r="W96" s="29"/>
      <c r="X96" s="32"/>
      <c r="Y96" s="29"/>
      <c r="Z96" s="31"/>
      <c r="AA96" s="32"/>
      <c r="AB96" s="34"/>
      <c r="AC96" s="31"/>
      <c r="AD96" s="37">
        <f>表1温室气体盘查表!AE97</f>
        <v>1971.49404873413</v>
      </c>
      <c r="AE96" s="37">
        <f>表1温室气体盘查表!AF97</f>
        <v>0</v>
      </c>
      <c r="AF96" s="37">
        <f>表1温室气体盘查表!AG97</f>
        <v>0</v>
      </c>
      <c r="AG96" s="37">
        <f>表1温室气体盘查表!AH97</f>
        <v>0</v>
      </c>
      <c r="AH96" s="37">
        <f>表1温室气体盘查表!AI97</f>
        <v>0</v>
      </c>
      <c r="AI96" s="37">
        <f>表1温室气体盘查表!AJ97</f>
        <v>0</v>
      </c>
      <c r="AJ96" s="37">
        <f>表1温室气体盘查表!AK97</f>
        <v>0</v>
      </c>
      <c r="AK96" s="37">
        <f>表1温室气体盘查表!AL97</f>
        <v>1971.49404873413</v>
      </c>
    </row>
    <row r="97" spans="1:37" ht="18" customHeight="1">
      <c r="A97" s="24">
        <v>93</v>
      </c>
      <c r="B97" s="25" t="str">
        <f>表1温室气体盘查表!B98</f>
        <v>外销产品加工产生的排放</v>
      </c>
      <c r="C97" s="26" t="str">
        <f>表1温室气体盘查表!C98</f>
        <v>锻材加工</v>
      </c>
      <c r="D97" s="27" t="str">
        <f>表1温室气体盘查表!E98</f>
        <v>范围三 类别10</v>
      </c>
      <c r="E97" s="28">
        <f>表1温室气体盘查表!F98</f>
        <v>149966</v>
      </c>
      <c r="F97" s="29" t="str">
        <f>表1温室气体盘查表!G98</f>
        <v>t</v>
      </c>
      <c r="G97" s="30">
        <f>'附表2-EF'!K97*10</f>
        <v>0</v>
      </c>
      <c r="H97" s="29" t="s">
        <v>821</v>
      </c>
      <c r="I97" s="31">
        <f>'附表1-GWP TABLE'!E96</f>
        <v>0</v>
      </c>
      <c r="J97" s="32"/>
      <c r="K97" s="29"/>
      <c r="L97" s="31"/>
      <c r="M97" s="32"/>
      <c r="N97" s="29"/>
      <c r="O97" s="31"/>
      <c r="P97" s="33"/>
      <c r="Q97" s="34"/>
      <c r="R97" s="35"/>
      <c r="S97" s="34"/>
      <c r="T97" s="32"/>
      <c r="U97" s="29"/>
      <c r="V97" s="36"/>
      <c r="W97" s="29"/>
      <c r="X97" s="32"/>
      <c r="Y97" s="29"/>
      <c r="Z97" s="31"/>
      <c r="AA97" s="32"/>
      <c r="AB97" s="34"/>
      <c r="AC97" s="31"/>
      <c r="AD97" s="37">
        <f>表1温室气体盘查表!AE98</f>
        <v>113275.661420512</v>
      </c>
      <c r="AE97" s="37">
        <f>表1温室气体盘查表!AF98</f>
        <v>0</v>
      </c>
      <c r="AF97" s="37">
        <f>表1温室气体盘查表!AG98</f>
        <v>0</v>
      </c>
      <c r="AG97" s="37">
        <f>表1温室气体盘查表!AH98</f>
        <v>0</v>
      </c>
      <c r="AH97" s="37">
        <f>表1温室气体盘查表!AI98</f>
        <v>0</v>
      </c>
      <c r="AI97" s="37">
        <f>表1温室气体盘查表!AJ98</f>
        <v>0</v>
      </c>
      <c r="AJ97" s="37">
        <f>表1温室气体盘查表!AK98</f>
        <v>0</v>
      </c>
      <c r="AK97" s="37">
        <f>表1温室气体盘查表!AL98</f>
        <v>113275.661420512</v>
      </c>
    </row>
    <row r="98" spans="1:37" ht="18" customHeight="1">
      <c r="A98" s="24">
        <v>94</v>
      </c>
      <c r="B98" s="25" t="str">
        <f>表1温室气体盘查表!B99</f>
        <v>外销产品加工产生的排放</v>
      </c>
      <c r="C98" s="26" t="str">
        <f>表1温室气体盘查表!C99</f>
        <v>棒材加工</v>
      </c>
      <c r="D98" s="27" t="str">
        <f>表1温室气体盘查表!E99</f>
        <v>范围三 类别10</v>
      </c>
      <c r="E98" s="28">
        <f>表1温室气体盘查表!F99</f>
        <v>2033971</v>
      </c>
      <c r="F98" s="29" t="str">
        <f>表1温室气体盘查表!G99</f>
        <v>t</v>
      </c>
      <c r="G98" s="30" t="e">
        <f>'附表2-EF'!#REF!*10</f>
        <v>#REF!</v>
      </c>
      <c r="H98" s="29" t="s">
        <v>822</v>
      </c>
      <c r="I98" s="31">
        <f>'附表1-GWP TABLE'!E97</f>
        <v>0</v>
      </c>
      <c r="J98" s="32"/>
      <c r="K98" s="29"/>
      <c r="L98" s="31"/>
      <c r="M98" s="32"/>
      <c r="N98" s="29"/>
      <c r="O98" s="31"/>
      <c r="P98" s="33"/>
      <c r="Q98" s="34"/>
      <c r="R98" s="35"/>
      <c r="S98" s="34"/>
      <c r="T98" s="32"/>
      <c r="U98" s="29"/>
      <c r="V98" s="36"/>
      <c r="W98" s="29"/>
      <c r="X98" s="32"/>
      <c r="Y98" s="29"/>
      <c r="Z98" s="31"/>
      <c r="AA98" s="32"/>
      <c r="AB98" s="34"/>
      <c r="AC98" s="31"/>
      <c r="AD98" s="37">
        <f>表1温室气体盘查表!AE99</f>
        <v>1357195.22298588</v>
      </c>
      <c r="AE98" s="37">
        <f>表1温室气体盘查表!AF99</f>
        <v>0</v>
      </c>
      <c r="AF98" s="37">
        <f>表1温室气体盘查表!AG99</f>
        <v>0</v>
      </c>
      <c r="AG98" s="37">
        <f>表1温室气体盘查表!AH99</f>
        <v>0</v>
      </c>
      <c r="AH98" s="37">
        <f>表1温室气体盘查表!AI99</f>
        <v>0</v>
      </c>
      <c r="AI98" s="37">
        <f>表1温室气体盘查表!AJ99</f>
        <v>0</v>
      </c>
      <c r="AJ98" s="37">
        <f>表1温室气体盘查表!AK99</f>
        <v>0</v>
      </c>
      <c r="AK98" s="37">
        <f>表1温室气体盘查表!AL99</f>
        <v>1357195.22298588</v>
      </c>
    </row>
    <row r="99" spans="1:37" ht="18" customHeight="1">
      <c r="A99" s="24">
        <v>95</v>
      </c>
      <c r="B99" s="25" t="str">
        <f>表1温室气体盘查表!B100</f>
        <v>外销产品加工产生的排放</v>
      </c>
      <c r="C99" s="26" t="str">
        <f>表1温室气体盘查表!C100</f>
        <v>钢管加工</v>
      </c>
      <c r="D99" s="27" t="str">
        <f>表1温室气体盘查表!E100</f>
        <v>范围三 类别10</v>
      </c>
      <c r="E99" s="28">
        <f>表1温室气体盘查表!F100</f>
        <v>760435.74</v>
      </c>
      <c r="F99" s="29" t="str">
        <f>表1温室气体盘查表!G100</f>
        <v>t</v>
      </c>
      <c r="G99" s="30" t="e">
        <f>'附表2-EF'!#REF!*10</f>
        <v>#REF!</v>
      </c>
      <c r="H99" s="29" t="s">
        <v>823</v>
      </c>
      <c r="I99" s="31">
        <f>'附表1-GWP TABLE'!E98</f>
        <v>0</v>
      </c>
      <c r="J99" s="32"/>
      <c r="K99" s="29"/>
      <c r="L99" s="31"/>
      <c r="M99" s="32"/>
      <c r="N99" s="29"/>
      <c r="O99" s="31"/>
      <c r="P99" s="33"/>
      <c r="Q99" s="34"/>
      <c r="R99" s="35"/>
      <c r="S99" s="34"/>
      <c r="T99" s="32"/>
      <c r="U99" s="29"/>
      <c r="V99" s="36"/>
      <c r="W99" s="29"/>
      <c r="X99" s="32"/>
      <c r="Y99" s="29"/>
      <c r="Z99" s="31"/>
      <c r="AA99" s="32"/>
      <c r="AB99" s="34"/>
      <c r="AC99" s="31"/>
      <c r="AD99" s="37">
        <f>表1温室气体盘查表!AE100</f>
        <v>72250.340647773904</v>
      </c>
      <c r="AE99" s="37">
        <f>表1温室气体盘查表!AF100</f>
        <v>0</v>
      </c>
      <c r="AF99" s="37">
        <f>表1温室气体盘查表!AG100</f>
        <v>0</v>
      </c>
      <c r="AG99" s="37">
        <f>表1温室气体盘查表!AH100</f>
        <v>0</v>
      </c>
      <c r="AH99" s="37">
        <f>表1温室气体盘查表!AI100</f>
        <v>0</v>
      </c>
      <c r="AI99" s="37">
        <f>表1温室气体盘查表!AJ100</f>
        <v>0</v>
      </c>
      <c r="AJ99" s="37">
        <f>表1温室气体盘查表!AK100</f>
        <v>0</v>
      </c>
      <c r="AK99" s="37">
        <f>表1温室气体盘查表!AL100</f>
        <v>72250.340647773904</v>
      </c>
    </row>
    <row r="100" spans="1:37" ht="18" customHeight="1">
      <c r="A100" s="24">
        <v>96</v>
      </c>
      <c r="B100" s="25" t="str">
        <f>表1温室气体盘查表!B101</f>
        <v>外销产品加工产生的排放</v>
      </c>
      <c r="C100" s="26" t="str">
        <f>表1温室气体盘查表!C101</f>
        <v>钢坯加工</v>
      </c>
      <c r="D100" s="27" t="str">
        <f>表1温室气体盘查表!E101</f>
        <v>范围三 类别10</v>
      </c>
      <c r="E100" s="28">
        <f>表1温室气体盘查表!F101</f>
        <v>702589.87</v>
      </c>
      <c r="F100" s="29" t="str">
        <f>表1温室气体盘查表!G101</f>
        <v>t</v>
      </c>
      <c r="G100" s="30" t="e">
        <f>'附表2-EF'!#REF!*10</f>
        <v>#REF!</v>
      </c>
      <c r="H100" s="29" t="s">
        <v>824</v>
      </c>
      <c r="I100" s="31">
        <f>'附表1-GWP TABLE'!E99</f>
        <v>0</v>
      </c>
      <c r="J100" s="32"/>
      <c r="K100" s="29"/>
      <c r="L100" s="31"/>
      <c r="M100" s="32"/>
      <c r="N100" s="29"/>
      <c r="O100" s="31"/>
      <c r="P100" s="33"/>
      <c r="Q100" s="34"/>
      <c r="R100" s="35"/>
      <c r="S100" s="34"/>
      <c r="T100" s="32"/>
      <c r="U100" s="29"/>
      <c r="V100" s="36"/>
      <c r="W100" s="29"/>
      <c r="X100" s="32"/>
      <c r="Y100" s="29"/>
      <c r="Z100" s="31"/>
      <c r="AA100" s="32"/>
      <c r="AB100" s="34"/>
      <c r="AC100" s="31"/>
      <c r="AD100" s="37">
        <f>表1温室气体盘查表!AE101</f>
        <v>203898.734635364</v>
      </c>
      <c r="AE100" s="37">
        <f>表1温室气体盘查表!AF101</f>
        <v>0</v>
      </c>
      <c r="AF100" s="37">
        <f>表1温室气体盘查表!AG101</f>
        <v>0</v>
      </c>
      <c r="AG100" s="37">
        <f>表1温室气体盘查表!AH101</f>
        <v>0</v>
      </c>
      <c r="AH100" s="37">
        <f>表1温室气体盘查表!AI101</f>
        <v>0</v>
      </c>
      <c r="AI100" s="37">
        <f>表1温室气体盘查表!AJ101</f>
        <v>0</v>
      </c>
      <c r="AJ100" s="37">
        <f>表1温室气体盘查表!AK101</f>
        <v>0</v>
      </c>
      <c r="AK100" s="37">
        <f>表1温室气体盘查表!AL101</f>
        <v>203898.734635364</v>
      </c>
    </row>
    <row r="101" spans="1:37" ht="18" customHeight="1">
      <c r="A101" s="24">
        <v>97</v>
      </c>
      <c r="B101" s="25" t="str">
        <f>表1温室气体盘查表!B102</f>
        <v>外销产品使用产生的排放</v>
      </c>
      <c r="C101" s="26" t="str">
        <f>表1温室气体盘查表!C102</f>
        <v>外售焦炉煤气燃烧</v>
      </c>
      <c r="D101" s="27" t="str">
        <f>表1温室气体盘查表!E102</f>
        <v>范围三 类别11</v>
      </c>
      <c r="E101" s="28">
        <f>表1温室气体盘查表!F102</f>
        <v>500.97</v>
      </c>
      <c r="F101" s="29" t="str">
        <f>表1温室气体盘查表!G102</f>
        <v>10000Nm3</v>
      </c>
      <c r="G101" s="30"/>
      <c r="H101" s="29"/>
      <c r="I101" s="31"/>
      <c r="J101" s="32"/>
      <c r="K101" s="29"/>
      <c r="L101" s="31"/>
      <c r="M101" s="32"/>
      <c r="N101" s="29"/>
      <c r="O101" s="31"/>
      <c r="P101" s="33"/>
      <c r="Q101" s="34"/>
      <c r="R101" s="35"/>
      <c r="S101" s="34"/>
      <c r="T101" s="32"/>
      <c r="U101" s="29"/>
      <c r="V101" s="36"/>
      <c r="W101" s="29"/>
      <c r="X101" s="32"/>
      <c r="Y101" s="29"/>
      <c r="Z101" s="31"/>
      <c r="AA101" s="32"/>
      <c r="AB101" s="34"/>
      <c r="AC101" s="31"/>
      <c r="AD101" s="37">
        <f>表1温室气体盘查表!AE102</f>
        <v>3828.3758806312799</v>
      </c>
      <c r="AE101" s="37">
        <f>表1温室气体盘查表!AF102</f>
        <v>2.4056686276939798</v>
      </c>
      <c r="AF101" s="37">
        <f>表1温室气体盘查表!AG102</f>
        <v>2.3539338184962602</v>
      </c>
      <c r="AG101" s="37">
        <f>表1温室气体盘查表!AH102</f>
        <v>0</v>
      </c>
      <c r="AH101" s="37">
        <f>表1温室气体盘查表!AI102</f>
        <v>0</v>
      </c>
      <c r="AI101" s="37">
        <f>表1温室气体盘查表!AJ102</f>
        <v>0</v>
      </c>
      <c r="AJ101" s="37">
        <f>表1温室气体盘查表!AK102</f>
        <v>0</v>
      </c>
      <c r="AK101" s="37">
        <f>表1温室气体盘查表!AL102</f>
        <v>3833.1354830774699</v>
      </c>
    </row>
    <row r="102" spans="1:37" ht="18" customHeight="1">
      <c r="A102" s="24">
        <v>98</v>
      </c>
      <c r="B102" s="25" t="str">
        <f>表1温室气体盘查表!B103</f>
        <v>外售产品报废产生的排放</v>
      </c>
      <c r="C102" s="26" t="str">
        <f>表1温室气体盘查表!C103</f>
        <v>产品报废</v>
      </c>
      <c r="D102" s="27" t="str">
        <f>表1温室气体盘查表!E103</f>
        <v>范围三 类别12</v>
      </c>
      <c r="E102" s="28">
        <f>表1温室气体盘查表!F103</f>
        <v>598329.80000000005</v>
      </c>
      <c r="F102" s="29" t="str">
        <f>表1温室气体盘查表!G103</f>
        <v>t</v>
      </c>
      <c r="G102" s="30" t="e">
        <f>'附表2-EF'!#REF!*10</f>
        <v>#REF!</v>
      </c>
      <c r="H102" s="29" t="s">
        <v>825</v>
      </c>
      <c r="I102" s="31">
        <f>'附表1-GWP TABLE'!E100</f>
        <v>0</v>
      </c>
      <c r="J102" s="32"/>
      <c r="K102" s="29"/>
      <c r="L102" s="31"/>
      <c r="M102" s="32"/>
      <c r="N102" s="29"/>
      <c r="O102" s="31"/>
      <c r="P102" s="33"/>
      <c r="Q102" s="34"/>
      <c r="R102" s="35"/>
      <c r="S102" s="34"/>
      <c r="T102" s="32"/>
      <c r="U102" s="29"/>
      <c r="V102" s="36"/>
      <c r="W102" s="29"/>
      <c r="X102" s="32"/>
      <c r="Y102" s="29"/>
      <c r="Z102" s="31"/>
      <c r="AA102" s="32"/>
      <c r="AB102" s="34"/>
      <c r="AC102" s="31"/>
      <c r="AD102" s="37">
        <f>表1温室气体盘查表!AE103</f>
        <v>3747.3469595889401</v>
      </c>
      <c r="AE102" s="37">
        <f>表1温室气体盘查表!AF103</f>
        <v>0</v>
      </c>
      <c r="AF102" s="37">
        <f>表1温室气体盘查表!AG103</f>
        <v>0</v>
      </c>
      <c r="AG102" s="37">
        <f>表1温室气体盘查表!AH103</f>
        <v>0</v>
      </c>
      <c r="AH102" s="37">
        <f>表1温室气体盘查表!AI103</f>
        <v>0</v>
      </c>
      <c r="AI102" s="37">
        <f>表1温室气体盘查表!AJ103</f>
        <v>0</v>
      </c>
      <c r="AJ102" s="37">
        <f>表1温室气体盘查表!AK103</f>
        <v>0</v>
      </c>
      <c r="AK102" s="37">
        <f>表1温室气体盘查表!AL103</f>
        <v>3747.3469595889401</v>
      </c>
    </row>
    <row r="103" spans="1:37" ht="18" customHeight="1">
      <c r="A103" s="38"/>
      <c r="B103" s="38"/>
      <c r="C103" s="38"/>
      <c r="D103" s="39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40">
        <f>SUM(AD5:AD102)</f>
        <v>15487862.0789469</v>
      </c>
      <c r="AE103" s="40">
        <f t="shared" ref="AE103:AK103" si="0">SUM(AE5:AE102)</f>
        <v>2572.0892034866602</v>
      </c>
      <c r="AF103" s="40">
        <f t="shared" si="0"/>
        <v>30424.969256205499</v>
      </c>
      <c r="AG103" s="40">
        <f t="shared" si="0"/>
        <v>717.03</v>
      </c>
      <c r="AH103" s="40">
        <f t="shared" si="0"/>
        <v>0</v>
      </c>
      <c r="AI103" s="40">
        <f t="shared" si="0"/>
        <v>2459.16</v>
      </c>
      <c r="AJ103" s="40">
        <f t="shared" si="0"/>
        <v>0</v>
      </c>
      <c r="AK103" s="41">
        <f t="shared" si="0"/>
        <v>15524035.3274066</v>
      </c>
    </row>
    <row r="104" spans="1:37" ht="18" customHeight="1">
      <c r="C104" s="21"/>
    </row>
    <row r="105" spans="1:37" ht="18" customHeight="1">
      <c r="C105" s="21"/>
    </row>
    <row r="106" spans="1:37" ht="18" customHeight="1">
      <c r="C106" s="21"/>
    </row>
    <row r="107" spans="1:37" ht="18" customHeight="1">
      <c r="C107" s="21"/>
    </row>
    <row r="108" spans="1:37" ht="18" customHeight="1">
      <c r="C108" s="21"/>
    </row>
    <row r="109" spans="1:37" ht="18" customHeight="1">
      <c r="C109" s="21"/>
    </row>
    <row r="110" spans="1:37" ht="18" customHeight="1">
      <c r="C110" s="21"/>
    </row>
    <row r="111" spans="1:37" ht="18" customHeight="1">
      <c r="C111" s="21"/>
    </row>
    <row r="112" spans="1:37" ht="18" customHeight="1">
      <c r="C112" s="21"/>
    </row>
    <row r="113" spans="3:3" ht="18" customHeight="1">
      <c r="C113" s="21"/>
    </row>
    <row r="114" spans="3:3" ht="18" customHeight="1">
      <c r="C114" s="21"/>
    </row>
    <row r="115" spans="3:3" ht="18" customHeight="1">
      <c r="C115" s="21"/>
    </row>
    <row r="116" spans="3:3" ht="18" customHeight="1">
      <c r="C116" s="21"/>
    </row>
    <row r="117" spans="3:3" ht="18" customHeight="1">
      <c r="C117" s="21"/>
    </row>
    <row r="118" spans="3:3" ht="18" customHeight="1">
      <c r="C118" s="21"/>
    </row>
    <row r="119" spans="3:3" ht="18" customHeight="1">
      <c r="C119" s="21"/>
    </row>
    <row r="120" spans="3:3" ht="18" customHeight="1">
      <c r="C120" s="21"/>
    </row>
    <row r="121" spans="3:3" ht="18" customHeight="1">
      <c r="C121" s="21"/>
    </row>
    <row r="122" spans="3:3" ht="18" customHeight="1">
      <c r="C122" s="21"/>
    </row>
    <row r="123" spans="3:3" ht="18" customHeight="1">
      <c r="C123" s="21"/>
    </row>
    <row r="124" spans="3:3" ht="18" customHeight="1">
      <c r="C124" s="21"/>
    </row>
    <row r="125" spans="3:3" ht="18" customHeight="1">
      <c r="C125" s="21"/>
    </row>
    <row r="126" spans="3:3" ht="18" customHeight="1">
      <c r="C126" s="21"/>
    </row>
    <row r="127" spans="3:3" ht="18" customHeight="1">
      <c r="C127" s="21"/>
    </row>
    <row r="128" spans="3:3">
      <c r="C128" s="21"/>
    </row>
    <row r="129" spans="3:3">
      <c r="C129" s="21"/>
    </row>
    <row r="130" spans="3:3">
      <c r="C130" s="21"/>
    </row>
    <row r="131" spans="3:3">
      <c r="C131" s="21"/>
    </row>
    <row r="132" spans="3:3">
      <c r="C132" s="21"/>
    </row>
    <row r="133" spans="3:3">
      <c r="C133" s="21"/>
    </row>
    <row r="134" spans="3:3">
      <c r="C134" s="21"/>
    </row>
    <row r="135" spans="3:3">
      <c r="C135" s="21"/>
    </row>
    <row r="136" spans="3:3">
      <c r="C136" s="21"/>
    </row>
    <row r="137" spans="3:3">
      <c r="C137" s="21"/>
    </row>
    <row r="138" spans="3:3">
      <c r="C138" s="21"/>
    </row>
    <row r="139" spans="3:3">
      <c r="C139" s="21"/>
    </row>
    <row r="140" spans="3:3">
      <c r="C140" s="21"/>
    </row>
    <row r="141" spans="3:3">
      <c r="C141" s="21"/>
    </row>
    <row r="142" spans="3:3">
      <c r="C142" s="21"/>
    </row>
    <row r="143" spans="3:3">
      <c r="C143" s="21"/>
    </row>
    <row r="144" spans="3:3">
      <c r="C144" s="21"/>
    </row>
    <row r="145" spans="3:3">
      <c r="C145" s="21"/>
    </row>
    <row r="146" spans="3:3">
      <c r="C146" s="21"/>
    </row>
    <row r="147" spans="3:3">
      <c r="C147" s="21"/>
    </row>
    <row r="148" spans="3:3">
      <c r="C148" s="21"/>
    </row>
    <row r="149" spans="3:3">
      <c r="C149" s="21"/>
    </row>
    <row r="150" spans="3:3">
      <c r="C150" s="21"/>
    </row>
    <row r="151" spans="3:3">
      <c r="C151" s="21"/>
    </row>
    <row r="152" spans="3:3">
      <c r="C152" s="21"/>
    </row>
    <row r="153" spans="3:3">
      <c r="C153" s="21"/>
    </row>
    <row r="154" spans="3:3">
      <c r="C154" s="21"/>
    </row>
    <row r="155" spans="3:3">
      <c r="C155" s="21"/>
    </row>
    <row r="156" spans="3:3">
      <c r="C156" s="21"/>
    </row>
    <row r="157" spans="3:3">
      <c r="C157" s="21"/>
    </row>
    <row r="158" spans="3:3">
      <c r="C158" s="21"/>
    </row>
    <row r="159" spans="3:3">
      <c r="C159" s="21"/>
    </row>
    <row r="160" spans="3:3">
      <c r="C160" s="21"/>
    </row>
    <row r="161" spans="3:3">
      <c r="C161" s="21"/>
    </row>
    <row r="162" spans="3:3">
      <c r="C162" s="21"/>
    </row>
    <row r="163" spans="3:3">
      <c r="C163" s="21"/>
    </row>
    <row r="164" spans="3:3">
      <c r="C164" s="21"/>
    </row>
    <row r="165" spans="3:3">
      <c r="C165" s="21"/>
    </row>
    <row r="166" spans="3:3">
      <c r="C166" s="21"/>
    </row>
    <row r="167" spans="3:3">
      <c r="C167" s="21"/>
    </row>
    <row r="168" spans="3:3">
      <c r="C168" s="21"/>
    </row>
    <row r="169" spans="3:3">
      <c r="C169" s="21"/>
    </row>
    <row r="170" spans="3:3">
      <c r="C170" s="21"/>
    </row>
  </sheetData>
  <mergeCells count="16">
    <mergeCell ref="A1:AK1"/>
    <mergeCell ref="G2:AC2"/>
    <mergeCell ref="AD2:AK2"/>
    <mergeCell ref="G3:I3"/>
    <mergeCell ref="J3:L3"/>
    <mergeCell ref="M3:O3"/>
    <mergeCell ref="P3:S3"/>
    <mergeCell ref="T3:W3"/>
    <mergeCell ref="X3:Z3"/>
    <mergeCell ref="AA3:AC3"/>
    <mergeCell ref="AD4:AK4"/>
    <mergeCell ref="A2:A4"/>
    <mergeCell ref="B2:B4"/>
    <mergeCell ref="C2:C4"/>
    <mergeCell ref="D2:D4"/>
    <mergeCell ref="E2:F3"/>
  </mergeCells>
  <phoneticPr fontId="87" type="noConversion"/>
  <printOptions horizontalCentered="1"/>
  <pageMargins left="0" right="0" top="0.70866141732283505" bottom="0.511811023622047" header="0.39370078740157499" footer="0.35433070866141703"/>
  <pageSetup paperSize="9" scale="64" fitToWidth="3" orientation="landscape"/>
  <headerFooter alignWithMargins="0">
    <oddFooter>&amp;L文件名称：温室气体盘查表V1.0_20111226</oddFooter>
  </headerFooter>
  <colBreaks count="1" manualBreakCount="1">
    <brk id="29" max="53" man="1"/>
  </colBreaks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170"/>
  <sheetViews>
    <sheetView showGridLines="0" topLeftCell="A85" zoomScale="145" zoomScaleNormal="145" zoomScalePageLayoutView="85" workbookViewId="0">
      <selection activeCell="B103" sqref="B103"/>
    </sheetView>
  </sheetViews>
  <sheetFormatPr defaultColWidth="8.75" defaultRowHeight="15"/>
  <cols>
    <col min="1" max="1" width="3.375" style="21" customWidth="1"/>
    <col min="2" max="2" width="18.625" style="21" customWidth="1"/>
    <col min="3" max="3" width="8.5" style="22" customWidth="1"/>
    <col min="4" max="4" width="5.375" style="22" customWidth="1"/>
    <col min="5" max="5" width="11.375" style="21" customWidth="1"/>
    <col min="6" max="6" width="4.875" style="21" customWidth="1"/>
    <col min="7" max="7" width="12.375" style="21" hidden="1" customWidth="1"/>
    <col min="8" max="8" width="29.875" style="21" hidden="1" customWidth="1"/>
    <col min="9" max="9" width="6.625" style="21" hidden="1" customWidth="1"/>
    <col min="10" max="10" width="11.125" style="21" hidden="1" customWidth="1"/>
    <col min="11" max="11" width="13.5" style="21" hidden="1" customWidth="1"/>
    <col min="12" max="12" width="7.5" style="21" hidden="1" customWidth="1"/>
    <col min="13" max="13" width="9.75" style="21" hidden="1" customWidth="1"/>
    <col min="14" max="14" width="11.5" style="21" hidden="1" customWidth="1"/>
    <col min="15" max="15" width="8.125" style="21" hidden="1" customWidth="1"/>
    <col min="16" max="16" width="8.5" style="21" hidden="1" customWidth="1"/>
    <col min="17" max="17" width="10.375" style="21" hidden="1" customWidth="1"/>
    <col min="18" max="18" width="9.375" style="21" hidden="1" customWidth="1"/>
    <col min="19" max="19" width="10.125" style="21" hidden="1" customWidth="1"/>
    <col min="20" max="20" width="8.5" style="21" hidden="1" customWidth="1"/>
    <col min="21" max="21" width="10.375" style="21" hidden="1" customWidth="1"/>
    <col min="22" max="22" width="6.5" style="21" hidden="1" customWidth="1"/>
    <col min="23" max="23" width="14.625" style="21" hidden="1" customWidth="1"/>
    <col min="24" max="24" width="8.5" style="21" hidden="1" customWidth="1"/>
    <col min="25" max="25" width="10.375" style="21" hidden="1" customWidth="1"/>
    <col min="26" max="26" width="6.5" style="21" hidden="1" customWidth="1"/>
    <col min="27" max="27" width="8.5" style="21" hidden="1" customWidth="1"/>
    <col min="28" max="28" width="10.375" style="21" hidden="1" customWidth="1"/>
    <col min="29" max="29" width="6.5" style="21" hidden="1" customWidth="1"/>
    <col min="30" max="31" width="8.75" style="21"/>
    <col min="32" max="32" width="5.875" style="21" customWidth="1"/>
    <col min="33" max="16384" width="8.75" style="21"/>
  </cols>
  <sheetData>
    <row r="1" spans="1:37" ht="33.75" customHeight="1">
      <c r="A1" s="666" t="s">
        <v>718</v>
      </c>
      <c r="B1" s="667"/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  <c r="O1" s="667"/>
      <c r="P1" s="667"/>
      <c r="Q1" s="667"/>
      <c r="R1" s="667"/>
      <c r="S1" s="667"/>
      <c r="T1" s="667"/>
      <c r="U1" s="667"/>
      <c r="V1" s="667"/>
      <c r="W1" s="667"/>
      <c r="X1" s="667"/>
      <c r="Y1" s="667"/>
      <c r="Z1" s="667"/>
      <c r="AA1" s="667"/>
      <c r="AB1" s="667"/>
      <c r="AC1" s="667"/>
      <c r="AD1" s="667"/>
      <c r="AE1" s="667"/>
      <c r="AF1" s="667"/>
      <c r="AG1" s="667"/>
      <c r="AH1" s="667"/>
      <c r="AI1" s="667"/>
      <c r="AJ1" s="667"/>
      <c r="AK1" s="667"/>
    </row>
    <row r="2" spans="1:37" s="15" customFormat="1" ht="16.5" customHeight="1">
      <c r="A2" s="664" t="s">
        <v>719</v>
      </c>
      <c r="B2" s="664" t="s">
        <v>720</v>
      </c>
      <c r="C2" s="665" t="s">
        <v>721</v>
      </c>
      <c r="D2" s="665" t="s">
        <v>722</v>
      </c>
      <c r="E2" s="664" t="s">
        <v>723</v>
      </c>
      <c r="F2" s="664"/>
      <c r="G2" s="664" t="s">
        <v>724</v>
      </c>
      <c r="H2" s="664"/>
      <c r="I2" s="664"/>
      <c r="J2" s="664"/>
      <c r="K2" s="664"/>
      <c r="L2" s="664"/>
      <c r="M2" s="664"/>
      <c r="N2" s="664"/>
      <c r="O2" s="664"/>
      <c r="P2" s="664"/>
      <c r="Q2" s="664"/>
      <c r="R2" s="664"/>
      <c r="S2" s="664"/>
      <c r="T2" s="664"/>
      <c r="U2" s="664"/>
      <c r="V2" s="664"/>
      <c r="W2" s="664"/>
      <c r="X2" s="664"/>
      <c r="Y2" s="664"/>
      <c r="Z2" s="664"/>
      <c r="AA2" s="664"/>
      <c r="AB2" s="664"/>
      <c r="AC2" s="664"/>
      <c r="AD2" s="664" t="s">
        <v>725</v>
      </c>
      <c r="AE2" s="664"/>
      <c r="AF2" s="664"/>
      <c r="AG2" s="664"/>
      <c r="AH2" s="664"/>
      <c r="AI2" s="664"/>
      <c r="AJ2" s="664"/>
      <c r="AK2" s="664"/>
    </row>
    <row r="3" spans="1:37" s="15" customFormat="1" ht="15.75">
      <c r="A3" s="664"/>
      <c r="B3" s="664"/>
      <c r="C3" s="665"/>
      <c r="D3" s="665"/>
      <c r="E3" s="664"/>
      <c r="F3" s="664"/>
      <c r="G3" s="664" t="s">
        <v>202</v>
      </c>
      <c r="H3" s="664"/>
      <c r="I3" s="664"/>
      <c r="J3" s="664" t="s">
        <v>203</v>
      </c>
      <c r="K3" s="664"/>
      <c r="L3" s="664"/>
      <c r="M3" s="664" t="s">
        <v>204</v>
      </c>
      <c r="N3" s="664"/>
      <c r="O3" s="664"/>
      <c r="P3" s="664" t="s">
        <v>29</v>
      </c>
      <c r="Q3" s="664"/>
      <c r="R3" s="664"/>
      <c r="S3" s="664"/>
      <c r="T3" s="664" t="s">
        <v>30</v>
      </c>
      <c r="U3" s="664"/>
      <c r="V3" s="664"/>
      <c r="W3" s="664"/>
      <c r="X3" s="664" t="s">
        <v>205</v>
      </c>
      <c r="Y3" s="664"/>
      <c r="Z3" s="664"/>
      <c r="AA3" s="664" t="s">
        <v>206</v>
      </c>
      <c r="AB3" s="664"/>
      <c r="AC3" s="664"/>
      <c r="AD3" s="23" t="str">
        <f>G3</f>
        <v>CO2</v>
      </c>
      <c r="AE3" s="23" t="str">
        <f>J3</f>
        <v>CH4</v>
      </c>
      <c r="AF3" s="23" t="str">
        <f>M3</f>
        <v>N2O</v>
      </c>
      <c r="AG3" s="23" t="str">
        <f>P3</f>
        <v>HFCs</v>
      </c>
      <c r="AH3" s="23" t="str">
        <f>T3</f>
        <v>PFCs</v>
      </c>
      <c r="AI3" s="23" t="str">
        <f>X3</f>
        <v>SF6</v>
      </c>
      <c r="AJ3" s="23" t="str">
        <f>AA3</f>
        <v>NF3</v>
      </c>
      <c r="AK3" s="23" t="s">
        <v>726</v>
      </c>
    </row>
    <row r="4" spans="1:37" s="15" customFormat="1" ht="15.75">
      <c r="A4" s="664"/>
      <c r="B4" s="664"/>
      <c r="C4" s="665"/>
      <c r="D4" s="665"/>
      <c r="E4" s="23" t="s">
        <v>727</v>
      </c>
      <c r="F4" s="23" t="s">
        <v>728</v>
      </c>
      <c r="G4" s="23" t="s">
        <v>210</v>
      </c>
      <c r="H4" s="23" t="s">
        <v>728</v>
      </c>
      <c r="I4" s="23" t="s">
        <v>211</v>
      </c>
      <c r="J4" s="23" t="s">
        <v>210</v>
      </c>
      <c r="K4" s="23" t="s">
        <v>728</v>
      </c>
      <c r="L4" s="23" t="s">
        <v>211</v>
      </c>
      <c r="M4" s="23" t="s">
        <v>210</v>
      </c>
      <c r="N4" s="23" t="s">
        <v>728</v>
      </c>
      <c r="O4" s="23" t="s">
        <v>211</v>
      </c>
      <c r="P4" s="23" t="s">
        <v>210</v>
      </c>
      <c r="Q4" s="23" t="s">
        <v>728</v>
      </c>
      <c r="R4" s="23" t="s">
        <v>211</v>
      </c>
      <c r="S4" s="23" t="s">
        <v>729</v>
      </c>
      <c r="T4" s="23" t="s">
        <v>210</v>
      </c>
      <c r="U4" s="23" t="s">
        <v>728</v>
      </c>
      <c r="V4" s="23" t="s">
        <v>211</v>
      </c>
      <c r="W4" s="23" t="s">
        <v>729</v>
      </c>
      <c r="X4" s="23" t="s">
        <v>210</v>
      </c>
      <c r="Y4" s="23" t="s">
        <v>728</v>
      </c>
      <c r="Z4" s="23" t="s">
        <v>211</v>
      </c>
      <c r="AA4" s="23" t="s">
        <v>210</v>
      </c>
      <c r="AB4" s="23" t="s">
        <v>728</v>
      </c>
      <c r="AC4" s="23" t="s">
        <v>211</v>
      </c>
      <c r="AD4" s="664" t="s">
        <v>213</v>
      </c>
      <c r="AE4" s="664"/>
      <c r="AF4" s="664"/>
      <c r="AG4" s="664"/>
      <c r="AH4" s="664"/>
      <c r="AI4" s="664"/>
      <c r="AJ4" s="664"/>
      <c r="AK4" s="664"/>
    </row>
    <row r="5" spans="1:37" s="15" customFormat="1" ht="15.75">
      <c r="A5" s="24">
        <v>1</v>
      </c>
      <c r="B5" s="25" t="str">
        <f>表1温室气体盘查表!B5</f>
        <v>固定燃烧</v>
      </c>
      <c r="C5" s="26" t="str">
        <f>表1温室气体盘查表!C5</f>
        <v>天然气燃烧</v>
      </c>
      <c r="D5" s="27" t="str">
        <f>表1温室气体盘查表!E5</f>
        <v>范围一</v>
      </c>
      <c r="E5" s="28">
        <f>表1温室气体盘查表!F5</f>
        <v>1796.49</v>
      </c>
      <c r="F5" s="29" t="str">
        <f>表1温室气体盘查表!G5</f>
        <v>10000Nm3</v>
      </c>
      <c r="G5" s="30">
        <f>'附表2-EF'!K5*10</f>
        <v>9.9999999999999995E-7</v>
      </c>
      <c r="H5" s="29" t="s">
        <v>219</v>
      </c>
      <c r="I5" s="31">
        <f>'附表1-GWP TABLE'!E3</f>
        <v>1</v>
      </c>
      <c r="J5" s="32"/>
      <c r="K5" s="29"/>
      <c r="L5" s="31"/>
      <c r="M5" s="32"/>
      <c r="N5" s="29"/>
      <c r="O5" s="31"/>
      <c r="P5" s="33"/>
      <c r="Q5" s="34"/>
      <c r="R5" s="35"/>
      <c r="S5" s="34"/>
      <c r="T5" s="32"/>
      <c r="U5" s="29"/>
      <c r="V5" s="36"/>
      <c r="W5" s="29"/>
      <c r="X5" s="32"/>
      <c r="Y5" s="29"/>
      <c r="Z5" s="31"/>
      <c r="AA5" s="32"/>
      <c r="AB5" s="34"/>
      <c r="AC5" s="31"/>
      <c r="AD5" s="37">
        <f>表1温室气体盘查表!AE5</f>
        <v>38843.505734804101</v>
      </c>
      <c r="AE5" s="37">
        <f>表1温室气体盘查表!AF5</f>
        <v>19.317893226399899</v>
      </c>
      <c r="AF5" s="37">
        <f>表1温室气体盘查表!AG5</f>
        <v>18.9024546623913</v>
      </c>
      <c r="AG5" s="37">
        <f>表1温室气体盘查表!AH5</f>
        <v>0</v>
      </c>
      <c r="AH5" s="37">
        <f>表1温室气体盘查表!AI5</f>
        <v>0</v>
      </c>
      <c r="AI5" s="37">
        <f>表1温室气体盘查表!AJ5</f>
        <v>0</v>
      </c>
      <c r="AJ5" s="37">
        <f>表1温室气体盘查表!AK5</f>
        <v>0</v>
      </c>
      <c r="AK5" s="37">
        <f>表1温室气体盘查表!AL5</f>
        <v>38881.726082692898</v>
      </c>
    </row>
    <row r="6" spans="1:37" s="16" customFormat="1" ht="14.25">
      <c r="A6" s="24">
        <v>2</v>
      </c>
      <c r="B6" s="25" t="str">
        <f>表1温室气体盘查表!B6</f>
        <v>固定燃烧</v>
      </c>
      <c r="C6" s="26" t="str">
        <f>表1温室气体盘查表!C6</f>
        <v>液化石油气燃烧</v>
      </c>
      <c r="D6" s="27" t="str">
        <f>表1温室气体盘查表!E6</f>
        <v>范围一</v>
      </c>
      <c r="E6" s="28">
        <f>表1温室气体盘查表!F6</f>
        <v>9.39</v>
      </c>
      <c r="F6" s="29" t="str">
        <f>表1温室气体盘查表!G6</f>
        <v>t</v>
      </c>
      <c r="G6" s="30">
        <f>'附表2-EF'!K6*10</f>
        <v>9.9999999999999995E-7</v>
      </c>
      <c r="H6" s="29" t="s">
        <v>730</v>
      </c>
      <c r="I6" s="31">
        <f>'附表1-GWP TABLE'!E4</f>
        <v>27.9</v>
      </c>
      <c r="J6" s="32"/>
      <c r="K6" s="29"/>
      <c r="L6" s="31"/>
      <c r="M6" s="32"/>
      <c r="N6" s="29"/>
      <c r="O6" s="31"/>
      <c r="P6" s="33"/>
      <c r="Q6" s="34"/>
      <c r="R6" s="35"/>
      <c r="S6" s="34"/>
      <c r="T6" s="32"/>
      <c r="U6" s="29"/>
      <c r="V6" s="36"/>
      <c r="W6" s="29"/>
      <c r="X6" s="32"/>
      <c r="Y6" s="29"/>
      <c r="Z6" s="31"/>
      <c r="AA6" s="32"/>
      <c r="AB6" s="34"/>
      <c r="AC6" s="31"/>
      <c r="AD6" s="37">
        <f>表1温室气体盘查表!AE6</f>
        <v>29.13687892878</v>
      </c>
      <c r="AE6" s="37">
        <f>表1温室气体盘查表!AF6</f>
        <v>1.2883025707019999E-2</v>
      </c>
      <c r="AF6" s="37">
        <f>表1温室气体盘查表!AG6</f>
        <v>1.260597139074E-2</v>
      </c>
      <c r="AG6" s="37">
        <f>表1温室气体盘查表!AH6</f>
        <v>0</v>
      </c>
      <c r="AH6" s="37">
        <f>表1温室气体盘查表!AI6</f>
        <v>0</v>
      </c>
      <c r="AI6" s="37">
        <f>表1温室气体盘查表!AJ6</f>
        <v>0</v>
      </c>
      <c r="AJ6" s="37">
        <f>表1温室气体盘查表!AK6</f>
        <v>0</v>
      </c>
      <c r="AK6" s="37">
        <f>表1温室气体盘查表!AL6</f>
        <v>29.162367925877799</v>
      </c>
    </row>
    <row r="7" spans="1:37" s="15" customFormat="1" ht="15.75">
      <c r="A7" s="24">
        <v>3</v>
      </c>
      <c r="B7" s="25" t="str">
        <f>表1温室气体盘查表!B7</f>
        <v>固定燃烧</v>
      </c>
      <c r="C7" s="26" t="str">
        <f>表1温室气体盘查表!C7</f>
        <v>烟煤燃烧</v>
      </c>
      <c r="D7" s="27" t="str">
        <f>表1温室气体盘查表!E7</f>
        <v>范围一</v>
      </c>
      <c r="E7" s="28">
        <f>表1温室气体盘查表!F7</f>
        <v>399079.16</v>
      </c>
      <c r="F7" s="29" t="str">
        <f>表1温室气体盘查表!G7</f>
        <v>t</v>
      </c>
      <c r="G7" s="30">
        <f>'附表2-EF'!K7*10</f>
        <v>1.5E-5</v>
      </c>
      <c r="H7" s="29" t="s">
        <v>731</v>
      </c>
      <c r="I7" s="31">
        <f>'附表1-GWP TABLE'!E5</f>
        <v>273</v>
      </c>
      <c r="J7" s="32"/>
      <c r="K7" s="29"/>
      <c r="L7" s="31"/>
      <c r="M7" s="32"/>
      <c r="N7" s="29"/>
      <c r="O7" s="31"/>
      <c r="P7" s="33"/>
      <c r="Q7" s="34"/>
      <c r="R7" s="35"/>
      <c r="S7" s="34"/>
      <c r="T7" s="32"/>
      <c r="U7" s="29"/>
      <c r="V7" s="36"/>
      <c r="W7" s="29"/>
      <c r="X7" s="32"/>
      <c r="Y7" s="29"/>
      <c r="Z7" s="31"/>
      <c r="AA7" s="32"/>
      <c r="AB7" s="34"/>
      <c r="AC7" s="31"/>
      <c r="AD7" s="37">
        <f>表1温室气体盘查表!AE7</f>
        <v>921839.46146325802</v>
      </c>
      <c r="AE7" s="37">
        <f>表1温室气体盘查表!AF7</f>
        <v>261.641108594353</v>
      </c>
      <c r="AF7" s="37">
        <f>表1温室气体盘查表!AG7</f>
        <v>3840.2162713042098</v>
      </c>
      <c r="AG7" s="37">
        <f>表1温室气体盘查表!AH7</f>
        <v>0</v>
      </c>
      <c r="AH7" s="37">
        <f>表1温室气体盘查表!AI7</f>
        <v>0</v>
      </c>
      <c r="AI7" s="37">
        <f>表1温室气体盘查表!AJ7</f>
        <v>0</v>
      </c>
      <c r="AJ7" s="37">
        <f>表1温室气体盘查表!AK7</f>
        <v>0</v>
      </c>
      <c r="AK7" s="37">
        <f>表1温室气体盘查表!AL7</f>
        <v>925941.31884315598</v>
      </c>
    </row>
    <row r="8" spans="1:37" s="15" customFormat="1" ht="15.75">
      <c r="A8" s="24">
        <v>4</v>
      </c>
      <c r="B8" s="25" t="str">
        <f>表1温室气体盘查表!B8</f>
        <v>固定燃烧</v>
      </c>
      <c r="C8" s="26" t="str">
        <f>表1温室气体盘查表!C8</f>
        <v>无烟煤燃烧</v>
      </c>
      <c r="D8" s="27" t="str">
        <f>表1温室气体盘查表!E8</f>
        <v>范围一</v>
      </c>
      <c r="E8" s="28">
        <f>表1温室气体盘查表!F8</f>
        <v>260530.34</v>
      </c>
      <c r="F8" s="29" t="str">
        <f>表1温室气体盘查表!G8</f>
        <v>t</v>
      </c>
      <c r="G8" s="30">
        <f>'附表2-EF'!K8*10</f>
        <v>1.5E-5</v>
      </c>
      <c r="H8" s="29" t="s">
        <v>732</v>
      </c>
      <c r="I8" s="31">
        <f>'附表1-GWP TABLE'!E6</f>
        <v>0</v>
      </c>
      <c r="J8" s="32"/>
      <c r="K8" s="29"/>
      <c r="L8" s="31"/>
      <c r="M8" s="32"/>
      <c r="N8" s="29"/>
      <c r="O8" s="31"/>
      <c r="P8" s="33"/>
      <c r="Q8" s="34"/>
      <c r="R8" s="35"/>
      <c r="S8" s="34"/>
      <c r="T8" s="32"/>
      <c r="U8" s="29"/>
      <c r="V8" s="36"/>
      <c r="W8" s="29"/>
      <c r="X8" s="32"/>
      <c r="Y8" s="29"/>
      <c r="Z8" s="31"/>
      <c r="AA8" s="32"/>
      <c r="AB8" s="34"/>
      <c r="AC8" s="31"/>
      <c r="AD8" s="37">
        <f>表1温室气体盘查表!AE8</f>
        <v>634459.27419084695</v>
      </c>
      <c r="AE8" s="37">
        <f>表1温室气体盘查表!AF8</f>
        <v>180.07541963300699</v>
      </c>
      <c r="AF8" s="37">
        <f>表1温室气体盘查表!AG8</f>
        <v>2643.0424494521999</v>
      </c>
      <c r="AG8" s="37">
        <f>表1温室气体盘查表!AH8</f>
        <v>0</v>
      </c>
      <c r="AH8" s="37">
        <f>表1温室气体盘查表!AI8</f>
        <v>0</v>
      </c>
      <c r="AI8" s="37">
        <f>表1温室气体盘查表!AJ8</f>
        <v>0</v>
      </c>
      <c r="AJ8" s="37">
        <f>表1温室气体盘查表!AK8</f>
        <v>0</v>
      </c>
      <c r="AK8" s="37">
        <f>表1温室气体盘查表!AL8</f>
        <v>637282.392059932</v>
      </c>
    </row>
    <row r="9" spans="1:37" s="17" customFormat="1" ht="14.25">
      <c r="A9" s="24">
        <v>5</v>
      </c>
      <c r="B9" s="25" t="str">
        <f>表1温室气体盘查表!B9</f>
        <v>固定燃烧</v>
      </c>
      <c r="C9" s="26" t="str">
        <f>表1温室气体盘查表!C9</f>
        <v>洗精煤燃烧</v>
      </c>
      <c r="D9" s="27" t="str">
        <f>表1温室气体盘查表!E9</f>
        <v>范围一</v>
      </c>
      <c r="E9" s="28">
        <f>表1温室气体盘查表!F9</f>
        <v>1946577.05</v>
      </c>
      <c r="F9" s="29" t="str">
        <f>表1温室气体盘查表!G9</f>
        <v>t</v>
      </c>
      <c r="G9" s="30">
        <f>'附表2-EF'!K9*10</f>
        <v>1.5E-5</v>
      </c>
      <c r="H9" s="29" t="s">
        <v>733</v>
      </c>
      <c r="I9" s="31">
        <f>'附表1-GWP TABLE'!E7</f>
        <v>0</v>
      </c>
      <c r="J9" s="32"/>
      <c r="K9" s="29"/>
      <c r="L9" s="31"/>
      <c r="M9" s="32"/>
      <c r="N9" s="29"/>
      <c r="O9" s="31"/>
      <c r="P9" s="33"/>
      <c r="Q9" s="34"/>
      <c r="R9" s="35"/>
      <c r="S9" s="34"/>
      <c r="T9" s="32"/>
      <c r="U9" s="29"/>
      <c r="V9" s="36"/>
      <c r="W9" s="29"/>
      <c r="X9" s="32"/>
      <c r="Y9" s="29"/>
      <c r="Z9" s="31"/>
      <c r="AA9" s="32"/>
      <c r="AB9" s="34"/>
      <c r="AC9" s="31"/>
      <c r="AD9" s="37">
        <f>表1温室气体盘查表!AE9</f>
        <v>4802635.7291601999</v>
      </c>
      <c r="AE9" s="37">
        <f>表1温室气体盘查表!AF9</f>
        <v>1416.4221653654299</v>
      </c>
      <c r="AF9" s="37">
        <f>表1温室气体盘查表!AG9</f>
        <v>20789.422104557099</v>
      </c>
      <c r="AG9" s="37">
        <f>表1温室气体盘查表!AH9</f>
        <v>0</v>
      </c>
      <c r="AH9" s="37">
        <f>表1温室气体盘查表!AI9</f>
        <v>0</v>
      </c>
      <c r="AI9" s="37">
        <f>表1温室气体盘查表!AJ9</f>
        <v>0</v>
      </c>
      <c r="AJ9" s="37">
        <f>表1温室气体盘查表!AK9</f>
        <v>0</v>
      </c>
      <c r="AK9" s="37">
        <f>表1温室气体盘查表!AL9</f>
        <v>4824841.57343012</v>
      </c>
    </row>
    <row r="10" spans="1:37" s="15" customFormat="1" ht="15.75">
      <c r="A10" s="24">
        <v>6</v>
      </c>
      <c r="B10" s="25" t="str">
        <f>表1温室气体盘查表!B10</f>
        <v>固定燃烧</v>
      </c>
      <c r="C10" s="26" t="str">
        <f>表1温室气体盘查表!C10</f>
        <v>焦炭燃烧</v>
      </c>
      <c r="D10" s="27" t="str">
        <f>表1温室气体盘查表!E10</f>
        <v>范围一</v>
      </c>
      <c r="E10" s="28">
        <f>表1温室气体盘查表!F10</f>
        <v>145430.20000000001</v>
      </c>
      <c r="F10" s="29" t="str">
        <f>表1温室气体盘查表!G10</f>
        <v>t</v>
      </c>
      <c r="G10" s="30">
        <f>'附表2-EF'!K10*10</f>
        <v>1.5E-5</v>
      </c>
      <c r="H10" s="29" t="s">
        <v>734</v>
      </c>
      <c r="I10" s="31">
        <f>'附表1-GWP TABLE'!E8</f>
        <v>0</v>
      </c>
      <c r="J10" s="32"/>
      <c r="K10" s="29"/>
      <c r="L10" s="31"/>
      <c r="M10" s="32"/>
      <c r="N10" s="29"/>
      <c r="O10" s="31"/>
      <c r="P10" s="33"/>
      <c r="Q10" s="34"/>
      <c r="R10" s="35"/>
      <c r="S10" s="34"/>
      <c r="T10" s="32"/>
      <c r="U10" s="29"/>
      <c r="V10" s="36"/>
      <c r="W10" s="29"/>
      <c r="X10" s="32"/>
      <c r="Y10" s="29"/>
      <c r="Z10" s="31"/>
      <c r="AA10" s="32"/>
      <c r="AB10" s="34"/>
      <c r="AC10" s="31"/>
      <c r="AD10" s="37">
        <f>表1温室气体盘查表!AE10</f>
        <v>438053.14858040999</v>
      </c>
      <c r="AE10" s="37">
        <f>表1温室气体盘查表!AF10</f>
        <v>114.221335003677</v>
      </c>
      <c r="AF10" s="37">
        <f>表1温室气体盘查表!AG10</f>
        <v>1676.47443311848</v>
      </c>
      <c r="AG10" s="37">
        <f>表1温室气体盘查表!AH10</f>
        <v>0</v>
      </c>
      <c r="AH10" s="37">
        <f>表1温室气体盘查表!AI10</f>
        <v>0</v>
      </c>
      <c r="AI10" s="37">
        <f>表1温室气体盘查表!AJ10</f>
        <v>0</v>
      </c>
      <c r="AJ10" s="37">
        <f>表1温室气体盘查表!AK10</f>
        <v>0</v>
      </c>
      <c r="AK10" s="37">
        <f>表1温室气体盘查表!AL10</f>
        <v>439843.84434853197</v>
      </c>
    </row>
    <row r="11" spans="1:37" s="15" customFormat="1" ht="15.75">
      <c r="A11" s="24">
        <v>7</v>
      </c>
      <c r="B11" s="25" t="str">
        <f>表1温室气体盘查表!B11</f>
        <v>固定燃烧</v>
      </c>
      <c r="C11" s="26" t="str">
        <f>表1温室气体盘查表!C11</f>
        <v>焦屑燃烧</v>
      </c>
      <c r="D11" s="27" t="str">
        <f>表1温室气体盘查表!E11</f>
        <v>范围一</v>
      </c>
      <c r="E11" s="28">
        <f>表1温室气体盘查表!F11</f>
        <v>120570.5</v>
      </c>
      <c r="F11" s="29" t="str">
        <f>表1温室气体盘查表!G11</f>
        <v>t</v>
      </c>
      <c r="G11" s="30">
        <f>'附表2-EF'!K11*10</f>
        <v>9.9999999999999995E-7</v>
      </c>
      <c r="H11" s="29" t="s">
        <v>735</v>
      </c>
      <c r="I11" s="31">
        <f>'附表1-GWP TABLE'!E9</f>
        <v>0</v>
      </c>
      <c r="J11" s="32"/>
      <c r="K11" s="29"/>
      <c r="L11" s="31"/>
      <c r="M11" s="32"/>
      <c r="N11" s="29"/>
      <c r="O11" s="31"/>
      <c r="P11" s="33"/>
      <c r="Q11" s="34"/>
      <c r="R11" s="35"/>
      <c r="S11" s="34"/>
      <c r="T11" s="32"/>
      <c r="U11" s="29"/>
      <c r="V11" s="36"/>
      <c r="W11" s="29"/>
      <c r="X11" s="32"/>
      <c r="Y11" s="29"/>
      <c r="Z11" s="31"/>
      <c r="AA11" s="32"/>
      <c r="AB11" s="34"/>
      <c r="AC11" s="31"/>
      <c r="AD11" s="37">
        <f>表1温室气体盘查表!AE11</f>
        <v>363172.76020327501</v>
      </c>
      <c r="AE11" s="37">
        <f>表1温室气体盘查表!AF11</f>
        <v>94.696448688517506</v>
      </c>
      <c r="AF11" s="37">
        <f>表1温室气体盘查表!AG11</f>
        <v>1389.89948881534</v>
      </c>
      <c r="AG11" s="37">
        <f>表1温室气体盘查表!AH11</f>
        <v>0</v>
      </c>
      <c r="AH11" s="37">
        <f>表1温室气体盘查表!AI11</f>
        <v>0</v>
      </c>
      <c r="AI11" s="37">
        <f>表1温室气体盘查表!AJ11</f>
        <v>0</v>
      </c>
      <c r="AJ11" s="37">
        <f>表1温室气体盘查表!AK11</f>
        <v>0</v>
      </c>
      <c r="AK11" s="37">
        <f>表1温室气体盘查表!AL11</f>
        <v>364657.35614077898</v>
      </c>
    </row>
    <row r="12" spans="1:37" s="18" customFormat="1" ht="15.75">
      <c r="A12" s="24">
        <v>8</v>
      </c>
      <c r="B12" s="25" t="str">
        <f>表1温室气体盘查表!B12</f>
        <v>固定燃烧</v>
      </c>
      <c r="C12" s="26" t="str">
        <f>表1温室气体盘查表!C12</f>
        <v>焦炉煤气燃烧</v>
      </c>
      <c r="D12" s="27" t="str">
        <f>表1温室气体盘查表!E12</f>
        <v>范围一</v>
      </c>
      <c r="E12" s="28">
        <f>表1温室气体盘查表!F12</f>
        <v>-500.97</v>
      </c>
      <c r="F12" s="29" t="str">
        <f>表1温室气体盘查表!G12</f>
        <v>10000Nm3</v>
      </c>
      <c r="G12" s="30">
        <f>'附表2-EF'!K12*10</f>
        <v>3.8999999999999999E-5</v>
      </c>
      <c r="H12" s="29" t="s">
        <v>736</v>
      </c>
      <c r="I12" s="31">
        <f>'附表1-GWP TABLE'!E10</f>
        <v>0</v>
      </c>
      <c r="J12" s="32"/>
      <c r="K12" s="29"/>
      <c r="L12" s="31"/>
      <c r="M12" s="32"/>
      <c r="N12" s="29"/>
      <c r="O12" s="31"/>
      <c r="P12" s="33"/>
      <c r="Q12" s="34"/>
      <c r="R12" s="35"/>
      <c r="S12" s="34"/>
      <c r="T12" s="32"/>
      <c r="U12" s="29"/>
      <c r="V12" s="36"/>
      <c r="W12" s="29"/>
      <c r="X12" s="32"/>
      <c r="Y12" s="29"/>
      <c r="Z12" s="31"/>
      <c r="AA12" s="32"/>
      <c r="AB12" s="34"/>
      <c r="AC12" s="31"/>
      <c r="AD12" s="37">
        <f>表1温室气体盘查表!AE12</f>
        <v>-3828.3758806312799</v>
      </c>
      <c r="AE12" s="37">
        <f>表1温室气体盘查表!AF12</f>
        <v>-2.4056686276939798</v>
      </c>
      <c r="AF12" s="37">
        <f>表1温室气体盘查表!AG12</f>
        <v>-2.3539338184962602</v>
      </c>
      <c r="AG12" s="37">
        <f>表1温室气体盘查表!AH12</f>
        <v>0</v>
      </c>
      <c r="AH12" s="37">
        <f>表1温室气体盘查表!AI12</f>
        <v>0</v>
      </c>
      <c r="AI12" s="37">
        <f>表1温室气体盘查表!AJ12</f>
        <v>0</v>
      </c>
      <c r="AJ12" s="37">
        <f>表1温室气体盘查表!AK12</f>
        <v>0</v>
      </c>
      <c r="AK12" s="37">
        <f>表1温室气体盘查表!AL12</f>
        <v>-3833.1354830774699</v>
      </c>
    </row>
    <row r="13" spans="1:37" s="15" customFormat="1" ht="15.75">
      <c r="A13" s="24">
        <v>9</v>
      </c>
      <c r="B13" s="25" t="str">
        <f>表1温室气体盘查表!B13</f>
        <v>移动燃烧</v>
      </c>
      <c r="C13" s="26" t="str">
        <f>表1温室气体盘查表!C13</f>
        <v>0#柴油燃烧</v>
      </c>
      <c r="D13" s="27" t="str">
        <f>表1温室气体盘查表!E13</f>
        <v>范围一</v>
      </c>
      <c r="E13" s="28">
        <f>表1温室气体盘查表!F13</f>
        <v>1403.87</v>
      </c>
      <c r="F13" s="29" t="str">
        <f>表1温室气体盘查表!G13</f>
        <v>t</v>
      </c>
      <c r="G13" s="30">
        <f>'附表2-EF'!K13*10</f>
        <v>8.0000000000000007E-5</v>
      </c>
      <c r="H13" s="29" t="s">
        <v>737</v>
      </c>
      <c r="I13" s="31">
        <f>'附表1-GWP TABLE'!E11</f>
        <v>0</v>
      </c>
      <c r="J13" s="32"/>
      <c r="K13" s="29"/>
      <c r="L13" s="31"/>
      <c r="M13" s="32"/>
      <c r="N13" s="29"/>
      <c r="O13" s="31"/>
      <c r="P13" s="33"/>
      <c r="Q13" s="34"/>
      <c r="R13" s="35"/>
      <c r="S13" s="34"/>
      <c r="T13" s="32"/>
      <c r="U13" s="29"/>
      <c r="V13" s="36"/>
      <c r="W13" s="29"/>
      <c r="X13" s="32"/>
      <c r="Y13" s="29"/>
      <c r="Z13" s="31"/>
      <c r="AA13" s="32"/>
      <c r="AB13" s="34"/>
      <c r="AC13" s="31"/>
      <c r="AD13" s="37">
        <f>表1温室气体盘查表!AE13</f>
        <v>4348.2106727623204</v>
      </c>
      <c r="AE13" s="37">
        <f>表1温室气体盘查表!AF13</f>
        <v>6.38500409316151</v>
      </c>
      <c r="AF13" s="37">
        <f>表1温室气体盘查表!AG13</f>
        <v>62.476921771795404</v>
      </c>
      <c r="AG13" s="37">
        <f>表1温室气体盘查表!AH13</f>
        <v>0</v>
      </c>
      <c r="AH13" s="37">
        <f>表1温室气体盘查表!AI13</f>
        <v>0</v>
      </c>
      <c r="AI13" s="37">
        <f>表1温室气体盘查表!AJ13</f>
        <v>0</v>
      </c>
      <c r="AJ13" s="37">
        <f>表1温室气体盘查表!AK13</f>
        <v>0</v>
      </c>
      <c r="AK13" s="37">
        <f>表1温室气体盘查表!AL13</f>
        <v>4417.0725986272801</v>
      </c>
    </row>
    <row r="14" spans="1:37" s="18" customFormat="1" ht="15.75">
      <c r="A14" s="24">
        <v>10</v>
      </c>
      <c r="B14" s="25" t="str">
        <f>表1温室气体盘查表!B14</f>
        <v>移动燃烧</v>
      </c>
      <c r="C14" s="26" t="str">
        <f>表1温室气体盘查表!C14</f>
        <v>92#汽油燃烧</v>
      </c>
      <c r="D14" s="27" t="str">
        <f>表1温室气体盘查表!E14</f>
        <v>范围一</v>
      </c>
      <c r="E14" s="28">
        <f>表1温室气体盘查表!F14</f>
        <v>49.06</v>
      </c>
      <c r="F14" s="29" t="str">
        <f>表1温室气体盘查表!G14</f>
        <v>t</v>
      </c>
      <c r="G14" s="30">
        <f>'附表2-EF'!K14*10</f>
        <v>0</v>
      </c>
      <c r="H14" s="29" t="s">
        <v>738</v>
      </c>
      <c r="I14" s="31">
        <f>'附表1-GWP TABLE'!E12</f>
        <v>0</v>
      </c>
      <c r="J14" s="32"/>
      <c r="K14" s="29"/>
      <c r="L14" s="31"/>
      <c r="M14" s="32"/>
      <c r="N14" s="29"/>
      <c r="O14" s="31"/>
      <c r="P14" s="33"/>
      <c r="Q14" s="34"/>
      <c r="R14" s="35"/>
      <c r="S14" s="34"/>
      <c r="T14" s="32"/>
      <c r="U14" s="29"/>
      <c r="V14" s="36"/>
      <c r="W14" s="29"/>
      <c r="X14" s="32"/>
      <c r="Y14" s="29"/>
      <c r="Z14" s="31"/>
      <c r="AA14" s="32"/>
      <c r="AB14" s="34"/>
      <c r="AC14" s="31"/>
      <c r="AD14" s="37">
        <f>表1温室气体盘查表!AE14</f>
        <v>143.50324637879999</v>
      </c>
      <c r="AE14" s="37">
        <f>表1温室气体盘查表!AF14</f>
        <v>1.4443508564100001</v>
      </c>
      <c r="AF14" s="37">
        <f>表1温室气体盘查表!AG14</f>
        <v>4.5225265525439999</v>
      </c>
      <c r="AG14" s="37">
        <f>表1温室气体盘查表!AH14</f>
        <v>0</v>
      </c>
      <c r="AH14" s="37">
        <f>表1温室气体盘查表!AI14</f>
        <v>0</v>
      </c>
      <c r="AI14" s="37">
        <f>表1温室气体盘查表!AJ14</f>
        <v>0</v>
      </c>
      <c r="AJ14" s="37">
        <f>表1温室气体盘查表!AK14</f>
        <v>0</v>
      </c>
      <c r="AK14" s="37">
        <f>表1温室气体盘查表!AL14</f>
        <v>149.47012378775401</v>
      </c>
    </row>
    <row r="15" spans="1:37" s="18" customFormat="1" ht="16.5">
      <c r="A15" s="24">
        <v>11</v>
      </c>
      <c r="B15" s="25" t="str">
        <f>表1温室气体盘查表!B15</f>
        <v>逸散排放</v>
      </c>
      <c r="C15" s="26" t="str">
        <f>表1温室气体盘查表!C15</f>
        <v>制冷剂逸散（R32）</v>
      </c>
      <c r="D15" s="27" t="str">
        <f>表1温室气体盘查表!E15</f>
        <v>范围一</v>
      </c>
      <c r="E15" s="28">
        <f>表1温室气体盘查表!F15</f>
        <v>0.93</v>
      </c>
      <c r="F15" s="29" t="str">
        <f>表1温室气体盘查表!G15</f>
        <v>t</v>
      </c>
      <c r="G15" s="30">
        <f>'附表2-EF'!K15*10</f>
        <v>0</v>
      </c>
      <c r="H15" s="29" t="s">
        <v>739</v>
      </c>
      <c r="I15" s="31">
        <f>'附表1-GWP TABLE'!E13</f>
        <v>0</v>
      </c>
      <c r="J15" s="32"/>
      <c r="K15" s="29"/>
      <c r="L15" s="31"/>
      <c r="M15" s="32"/>
      <c r="N15" s="29"/>
      <c r="O15" s="31"/>
      <c r="P15" s="33"/>
      <c r="Q15" s="34"/>
      <c r="R15" s="35"/>
      <c r="S15" s="34"/>
      <c r="T15" s="32"/>
      <c r="U15" s="29"/>
      <c r="V15" s="36"/>
      <c r="W15" s="29"/>
      <c r="X15" s="32"/>
      <c r="Y15" s="29"/>
      <c r="Z15" s="31"/>
      <c r="AA15" s="32"/>
      <c r="AB15" s="34"/>
      <c r="AC15" s="31"/>
      <c r="AD15" s="37">
        <f>表1温室气体盘查表!AE15</f>
        <v>0</v>
      </c>
      <c r="AE15" s="37">
        <f>表1温室气体盘查表!AF15</f>
        <v>0</v>
      </c>
      <c r="AF15" s="37">
        <f>表1温室气体盘查表!AG15</f>
        <v>0</v>
      </c>
      <c r="AG15" s="37">
        <f>表1温室气体盘查表!AH15</f>
        <v>717.03</v>
      </c>
      <c r="AH15" s="37">
        <f>表1温室气体盘查表!AI15</f>
        <v>0</v>
      </c>
      <c r="AI15" s="37">
        <f>表1温室气体盘查表!AJ15</f>
        <v>0</v>
      </c>
      <c r="AJ15" s="37">
        <f>表1温室气体盘查表!AK15</f>
        <v>0</v>
      </c>
      <c r="AK15" s="37">
        <f>表1温室气体盘查表!AL15</f>
        <v>717.03</v>
      </c>
    </row>
    <row r="16" spans="1:37" s="19" customFormat="1" ht="14.25">
      <c r="A16" s="24">
        <v>12</v>
      </c>
      <c r="B16" s="25" t="str">
        <f>表1温室气体盘查表!B16</f>
        <v>逸散排放</v>
      </c>
      <c r="C16" s="26" t="str">
        <f>表1温室气体盘查表!C16</f>
        <v>CO2逸散</v>
      </c>
      <c r="D16" s="27" t="str">
        <f>表1温室气体盘查表!E16</f>
        <v>范围一</v>
      </c>
      <c r="E16" s="28">
        <f>表1温室气体盘查表!F16</f>
        <v>0.66</v>
      </c>
      <c r="F16" s="29" t="str">
        <f>表1温室气体盘查表!G16</f>
        <v>t</v>
      </c>
      <c r="G16" s="30">
        <f>'附表2-EF'!K16*10</f>
        <v>0</v>
      </c>
      <c r="H16" s="29" t="s">
        <v>740</v>
      </c>
      <c r="I16" s="31">
        <f>'附表1-GWP TABLE'!E14</f>
        <v>0</v>
      </c>
      <c r="J16" s="32"/>
      <c r="K16" s="29"/>
      <c r="L16" s="31"/>
      <c r="M16" s="32"/>
      <c r="N16" s="29"/>
      <c r="O16" s="31"/>
      <c r="P16" s="33"/>
      <c r="Q16" s="34"/>
      <c r="R16" s="35"/>
      <c r="S16" s="34"/>
      <c r="T16" s="32"/>
      <c r="U16" s="29"/>
      <c r="V16" s="36"/>
      <c r="W16" s="29"/>
      <c r="X16" s="32"/>
      <c r="Y16" s="29"/>
      <c r="Z16" s="31"/>
      <c r="AA16" s="32"/>
      <c r="AB16" s="34"/>
      <c r="AC16" s="31"/>
      <c r="AD16" s="37">
        <f>表1温室气体盘查表!AE16</f>
        <v>0.66</v>
      </c>
      <c r="AE16" s="37">
        <f>表1温室气体盘查表!AF16</f>
        <v>0</v>
      </c>
      <c r="AF16" s="37">
        <f>表1温室气体盘查表!AG16</f>
        <v>0</v>
      </c>
      <c r="AG16" s="37">
        <f>表1温室气体盘查表!AH16</f>
        <v>0</v>
      </c>
      <c r="AH16" s="37">
        <f>表1温室气体盘查表!AI16</f>
        <v>0</v>
      </c>
      <c r="AI16" s="37">
        <f>表1温室气体盘查表!AJ16</f>
        <v>0</v>
      </c>
      <c r="AJ16" s="37">
        <f>表1温室气体盘查表!AK16</f>
        <v>0</v>
      </c>
      <c r="AK16" s="37">
        <f>表1温室气体盘查表!AL16</f>
        <v>0.66</v>
      </c>
    </row>
    <row r="17" spans="1:37" s="19" customFormat="1" ht="14.25">
      <c r="A17" s="24">
        <v>13</v>
      </c>
      <c r="B17" s="25" t="str">
        <f>表1温室气体盘查表!B17</f>
        <v>逸散排放</v>
      </c>
      <c r="C17" s="26" t="str">
        <f>表1温室气体盘查表!C17</f>
        <v>CH4逸散</v>
      </c>
      <c r="D17" s="27" t="str">
        <f>表1温室气体盘查表!E17</f>
        <v>范围一</v>
      </c>
      <c r="E17" s="28">
        <f>表1温室气体盘查表!F17</f>
        <v>22.36</v>
      </c>
      <c r="F17" s="29" t="str">
        <f>表1温室气体盘查表!G17</f>
        <v>tBOD</v>
      </c>
      <c r="G17" s="30">
        <f>'附表2-EF'!K17*10</f>
        <v>0</v>
      </c>
      <c r="H17" s="29" t="s">
        <v>741</v>
      </c>
      <c r="I17" s="31">
        <f>'附表1-GWP TABLE'!E15</f>
        <v>0</v>
      </c>
      <c r="J17" s="32"/>
      <c r="K17" s="29"/>
      <c r="L17" s="31"/>
      <c r="M17" s="32"/>
      <c r="N17" s="29"/>
      <c r="O17" s="31"/>
      <c r="P17" s="33"/>
      <c r="Q17" s="34"/>
      <c r="R17" s="35"/>
      <c r="S17" s="34"/>
      <c r="T17" s="32"/>
      <c r="U17" s="29"/>
      <c r="V17" s="36"/>
      <c r="W17" s="29"/>
      <c r="X17" s="32"/>
      <c r="Y17" s="29"/>
      <c r="Z17" s="31"/>
      <c r="AA17" s="32"/>
      <c r="AB17" s="34"/>
      <c r="AC17" s="31"/>
      <c r="AD17" s="37">
        <f>表1温室气体盘查表!AE17</f>
        <v>0</v>
      </c>
      <c r="AE17" s="37">
        <f>表1温室气体盘查表!AF17</f>
        <v>112.29192</v>
      </c>
      <c r="AF17" s="37">
        <f>表1温室气体盘查表!AG17</f>
        <v>0</v>
      </c>
      <c r="AG17" s="37">
        <f>表1温室气体盘查表!AH17</f>
        <v>0</v>
      </c>
      <c r="AH17" s="37">
        <f>表1温室气体盘查表!AI17</f>
        <v>0</v>
      </c>
      <c r="AI17" s="37">
        <f>表1温室气体盘查表!AJ17</f>
        <v>0</v>
      </c>
      <c r="AJ17" s="37">
        <f>表1温室气体盘查表!AK17</f>
        <v>0</v>
      </c>
      <c r="AK17" s="37">
        <f>表1温室气体盘查表!AL17</f>
        <v>112.29192</v>
      </c>
    </row>
    <row r="18" spans="1:37" s="19" customFormat="1" ht="14.25">
      <c r="A18" s="24">
        <v>14</v>
      </c>
      <c r="B18" s="25" t="str">
        <f>表1温室气体盘查表!B18</f>
        <v>逸散排放</v>
      </c>
      <c r="C18" s="26" t="str">
        <f>表1温室气体盘查表!C18</f>
        <v>CH4逸散</v>
      </c>
      <c r="D18" s="27" t="str">
        <f>表1温室气体盘查表!E18</f>
        <v>范围一</v>
      </c>
      <c r="E18" s="28">
        <f>表1温室气体盘查表!F18</f>
        <v>174.71</v>
      </c>
      <c r="F18" s="29" t="str">
        <f>表1温室气体盘查表!G18</f>
        <v>tCOD</v>
      </c>
      <c r="G18" s="30">
        <f>'附表2-EF'!K18*10</f>
        <v>0</v>
      </c>
      <c r="H18" s="29" t="s">
        <v>742</v>
      </c>
      <c r="I18" s="31">
        <f>'附表1-GWP TABLE'!E16</f>
        <v>0</v>
      </c>
      <c r="J18" s="32"/>
      <c r="K18" s="29"/>
      <c r="L18" s="31"/>
      <c r="M18" s="32"/>
      <c r="N18" s="29"/>
      <c r="O18" s="31"/>
      <c r="P18" s="33"/>
      <c r="Q18" s="34"/>
      <c r="R18" s="35"/>
      <c r="S18" s="34"/>
      <c r="T18" s="32"/>
      <c r="U18" s="29"/>
      <c r="V18" s="36"/>
      <c r="W18" s="29"/>
      <c r="X18" s="32"/>
      <c r="Y18" s="29"/>
      <c r="Z18" s="31"/>
      <c r="AA18" s="32"/>
      <c r="AB18" s="34"/>
      <c r="AC18" s="31"/>
      <c r="AD18" s="37">
        <f>表1温室气体盘查表!AE18</f>
        <v>0</v>
      </c>
      <c r="AE18" s="37">
        <f>表1温室气体盘查表!AF18</f>
        <v>365.58067499999999</v>
      </c>
      <c r="AF18" s="37">
        <f>表1温室气体盘查表!AG18</f>
        <v>0</v>
      </c>
      <c r="AG18" s="37">
        <f>表1温室气体盘查表!AH18</f>
        <v>0</v>
      </c>
      <c r="AH18" s="37">
        <f>表1温室气体盘查表!AI18</f>
        <v>0</v>
      </c>
      <c r="AI18" s="37">
        <f>表1温室气体盘查表!AJ18</f>
        <v>0</v>
      </c>
      <c r="AJ18" s="37">
        <f>表1温室气体盘查表!AK18</f>
        <v>0</v>
      </c>
      <c r="AK18" s="37">
        <f>表1温室气体盘查表!AL18</f>
        <v>365.58067499999999</v>
      </c>
    </row>
    <row r="19" spans="1:37" s="19" customFormat="1" ht="14.25">
      <c r="A19" s="24">
        <v>15</v>
      </c>
      <c r="B19" s="25" t="str">
        <f>表1温室气体盘查表!B19</f>
        <v>逸散排放</v>
      </c>
      <c r="C19" s="26" t="str">
        <f>表1温室气体盘查表!C19</f>
        <v>SF6逸散</v>
      </c>
      <c r="D19" s="27" t="str">
        <f>表1温室气体盘查表!E19</f>
        <v>范围一</v>
      </c>
      <c r="E19" s="28">
        <f>表1温室气体盘查表!F19</f>
        <v>20.239999999999998</v>
      </c>
      <c r="F19" s="29" t="str">
        <f>表1温室气体盘查表!G19</f>
        <v>t</v>
      </c>
      <c r="G19" s="30">
        <f>'附表2-EF'!K19*10</f>
        <v>0</v>
      </c>
      <c r="H19" s="29" t="s">
        <v>743</v>
      </c>
      <c r="I19" s="31">
        <f>'附表1-GWP TABLE'!E17</f>
        <v>0</v>
      </c>
      <c r="J19" s="32"/>
      <c r="K19" s="29"/>
      <c r="L19" s="31"/>
      <c r="M19" s="32"/>
      <c r="N19" s="29"/>
      <c r="O19" s="31"/>
      <c r="P19" s="33"/>
      <c r="Q19" s="34"/>
      <c r="R19" s="35"/>
      <c r="S19" s="34"/>
      <c r="T19" s="32"/>
      <c r="U19" s="29"/>
      <c r="V19" s="36"/>
      <c r="W19" s="29"/>
      <c r="X19" s="32"/>
      <c r="Y19" s="29"/>
      <c r="Z19" s="31"/>
      <c r="AA19" s="32"/>
      <c r="AB19" s="34"/>
      <c r="AC19" s="31"/>
      <c r="AD19" s="37">
        <f>表1温室气体盘查表!AE19</f>
        <v>0</v>
      </c>
      <c r="AE19" s="37">
        <f>表1温室气体盘查表!AF19</f>
        <v>0</v>
      </c>
      <c r="AF19" s="37">
        <f>表1温室气体盘查表!AG19</f>
        <v>0</v>
      </c>
      <c r="AG19" s="37">
        <f>表1温室气体盘查表!AH19</f>
        <v>0</v>
      </c>
      <c r="AH19" s="37">
        <f>表1温室气体盘查表!AI19</f>
        <v>0</v>
      </c>
      <c r="AI19" s="37">
        <f>表1温室气体盘查表!AJ19</f>
        <v>2459.16</v>
      </c>
      <c r="AJ19" s="37">
        <f>表1温室气体盘查表!AK19</f>
        <v>0</v>
      </c>
      <c r="AK19" s="37">
        <f>表1温室气体盘查表!AL19</f>
        <v>2459.16</v>
      </c>
    </row>
    <row r="20" spans="1:37" s="19" customFormat="1" ht="14.25">
      <c r="A20" s="24">
        <v>16</v>
      </c>
      <c r="B20" s="25" t="str">
        <f>表1温室气体盘查表!B20</f>
        <v>制程排放</v>
      </c>
      <c r="C20" s="26" t="str">
        <f>表1温室气体盘查表!C20</f>
        <v>石灰石</v>
      </c>
      <c r="D20" s="27" t="str">
        <f>表1温室气体盘查表!E20</f>
        <v>范围一</v>
      </c>
      <c r="E20" s="28">
        <f>表1温室气体盘查表!F20</f>
        <v>19365.77</v>
      </c>
      <c r="F20" s="29" t="str">
        <f>表1温室气体盘查表!G20</f>
        <v>t</v>
      </c>
      <c r="G20" s="30">
        <f>'附表2-EF'!K20*10</f>
        <v>0</v>
      </c>
      <c r="H20" s="29" t="s">
        <v>744</v>
      </c>
      <c r="I20" s="31">
        <f>'附表1-GWP TABLE'!E18</f>
        <v>0</v>
      </c>
      <c r="J20" s="32"/>
      <c r="K20" s="29"/>
      <c r="L20" s="31"/>
      <c r="M20" s="32"/>
      <c r="N20" s="29"/>
      <c r="O20" s="31"/>
      <c r="P20" s="33"/>
      <c r="Q20" s="34"/>
      <c r="R20" s="35"/>
      <c r="S20" s="34"/>
      <c r="T20" s="32"/>
      <c r="U20" s="29"/>
      <c r="V20" s="36"/>
      <c r="W20" s="29"/>
      <c r="X20" s="32"/>
      <c r="Y20" s="29"/>
      <c r="Z20" s="31"/>
      <c r="AA20" s="32"/>
      <c r="AB20" s="34"/>
      <c r="AC20" s="31"/>
      <c r="AD20" s="37">
        <f>表1温室气体盘查表!AE20</f>
        <v>8520.9387999999999</v>
      </c>
      <c r="AE20" s="37">
        <f>表1温室气体盘查表!AF20</f>
        <v>0</v>
      </c>
      <c r="AF20" s="37">
        <f>表1温室气体盘查表!AG20</f>
        <v>0</v>
      </c>
      <c r="AG20" s="37">
        <f>表1温室气体盘查表!AH20</f>
        <v>0</v>
      </c>
      <c r="AH20" s="37">
        <f>表1温室气体盘查表!AI20</f>
        <v>0</v>
      </c>
      <c r="AI20" s="37">
        <f>表1温室气体盘查表!AJ20</f>
        <v>0</v>
      </c>
      <c r="AJ20" s="37">
        <f>表1温室气体盘查表!AK20</f>
        <v>0</v>
      </c>
      <c r="AK20" s="37">
        <f>表1温室气体盘查表!AL20</f>
        <v>8520.9387999999999</v>
      </c>
    </row>
    <row r="21" spans="1:37" s="19" customFormat="1" ht="14.25">
      <c r="A21" s="24">
        <v>17</v>
      </c>
      <c r="B21" s="25" t="str">
        <f>表1温室气体盘查表!B21</f>
        <v>制程排放</v>
      </c>
      <c r="C21" s="26" t="str">
        <f>表1温室气体盘查表!C21</f>
        <v>白云石</v>
      </c>
      <c r="D21" s="27" t="str">
        <f>表1温室气体盘查表!E21</f>
        <v>范围一</v>
      </c>
      <c r="E21" s="28">
        <f>表1温室气体盘查表!F21</f>
        <v>356289.39</v>
      </c>
      <c r="F21" s="29" t="str">
        <f>表1温室气体盘查表!G21</f>
        <v>t</v>
      </c>
      <c r="G21" s="30">
        <f>'附表2-EF'!K21*10</f>
        <v>0</v>
      </c>
      <c r="H21" s="29" t="s">
        <v>745</v>
      </c>
      <c r="I21" s="31">
        <f>'附表1-GWP TABLE'!E19</f>
        <v>0</v>
      </c>
      <c r="J21" s="32"/>
      <c r="K21" s="29"/>
      <c r="L21" s="31"/>
      <c r="M21" s="32"/>
      <c r="N21" s="29"/>
      <c r="O21" s="31"/>
      <c r="P21" s="33"/>
      <c r="Q21" s="34"/>
      <c r="R21" s="35"/>
      <c r="S21" s="34"/>
      <c r="T21" s="32"/>
      <c r="U21" s="29"/>
      <c r="V21" s="36"/>
      <c r="W21" s="29"/>
      <c r="X21" s="32"/>
      <c r="Y21" s="29"/>
      <c r="Z21" s="31"/>
      <c r="AA21" s="32"/>
      <c r="AB21" s="34"/>
      <c r="AC21" s="31"/>
      <c r="AD21" s="37">
        <f>表1温室气体盘查表!AE21</f>
        <v>169593.74963999999</v>
      </c>
      <c r="AE21" s="37">
        <f>表1温室气体盘查表!AF21</f>
        <v>0</v>
      </c>
      <c r="AF21" s="37">
        <f>表1温室气体盘查表!AG21</f>
        <v>0</v>
      </c>
      <c r="AG21" s="37">
        <f>表1温室气体盘查表!AH21</f>
        <v>0</v>
      </c>
      <c r="AH21" s="37">
        <f>表1温室气体盘查表!AI21</f>
        <v>0</v>
      </c>
      <c r="AI21" s="37">
        <f>表1温室气体盘查表!AJ21</f>
        <v>0</v>
      </c>
      <c r="AJ21" s="37">
        <f>表1温室气体盘查表!AK21</f>
        <v>0</v>
      </c>
      <c r="AK21" s="37">
        <f>表1温室气体盘查表!AL21</f>
        <v>169593.74963999999</v>
      </c>
    </row>
    <row r="22" spans="1:37" s="19" customFormat="1" ht="14.25">
      <c r="A22" s="24">
        <v>18</v>
      </c>
      <c r="B22" s="25" t="str">
        <f>表1温室气体盘查表!B22</f>
        <v>制程排放</v>
      </c>
      <c r="C22" s="26" t="str">
        <f>表1温室气体盘查表!C22</f>
        <v>电极</v>
      </c>
      <c r="D22" s="27" t="str">
        <f>表1温室气体盘查表!E22</f>
        <v>范围一</v>
      </c>
      <c r="E22" s="28">
        <f>表1温室气体盘查表!F22</f>
        <v>4763.07</v>
      </c>
      <c r="F22" s="29" t="str">
        <f>表1温室气体盘查表!G22</f>
        <v>t</v>
      </c>
      <c r="G22" s="30">
        <f>'附表2-EF'!K22*10</f>
        <v>0</v>
      </c>
      <c r="H22" s="29" t="s">
        <v>746</v>
      </c>
      <c r="I22" s="31">
        <f>'附表1-GWP TABLE'!E20</f>
        <v>0</v>
      </c>
      <c r="J22" s="32"/>
      <c r="K22" s="29"/>
      <c r="L22" s="31"/>
      <c r="M22" s="32"/>
      <c r="N22" s="29"/>
      <c r="O22" s="31"/>
      <c r="P22" s="33"/>
      <c r="Q22" s="34"/>
      <c r="R22" s="35"/>
      <c r="S22" s="34"/>
      <c r="T22" s="32"/>
      <c r="U22" s="29"/>
      <c r="V22" s="36"/>
      <c r="W22" s="29"/>
      <c r="X22" s="32"/>
      <c r="Y22" s="29"/>
      <c r="Z22" s="31"/>
      <c r="AA22" s="32"/>
      <c r="AB22" s="34"/>
      <c r="AC22" s="31"/>
      <c r="AD22" s="37">
        <f>表1温室气体盘查表!AE22</f>
        <v>17447.125410000001</v>
      </c>
      <c r="AE22" s="37">
        <f>表1温室气体盘查表!AF22</f>
        <v>0</v>
      </c>
      <c r="AF22" s="37">
        <f>表1温室气体盘查表!AG22</f>
        <v>0</v>
      </c>
      <c r="AG22" s="37">
        <f>表1温室气体盘查表!AH22</f>
        <v>0</v>
      </c>
      <c r="AH22" s="37">
        <f>表1温室气体盘查表!AI22</f>
        <v>0</v>
      </c>
      <c r="AI22" s="37">
        <f>表1温室气体盘查表!AJ22</f>
        <v>0</v>
      </c>
      <c r="AJ22" s="37">
        <f>表1温室气体盘查表!AK22</f>
        <v>0</v>
      </c>
      <c r="AK22" s="37">
        <f>表1温室气体盘查表!AL22</f>
        <v>17447.125410000001</v>
      </c>
    </row>
    <row r="23" spans="1:37" s="19" customFormat="1" ht="14.25">
      <c r="A23" s="24">
        <v>19</v>
      </c>
      <c r="B23" s="25" t="str">
        <f>表1温室气体盘查表!B23</f>
        <v>制程排放</v>
      </c>
      <c r="C23" s="26" t="str">
        <f>表1温室气体盘查表!C23</f>
        <v>废钢</v>
      </c>
      <c r="D23" s="27" t="str">
        <f>表1温室气体盘查表!E23</f>
        <v>范围一</v>
      </c>
      <c r="E23" s="28">
        <f>表1温室气体盘查表!F23</f>
        <v>1077722.6430978</v>
      </c>
      <c r="F23" s="29" t="str">
        <f>表1温室气体盘查表!G23</f>
        <v>t</v>
      </c>
      <c r="G23" s="30">
        <f>'附表2-EF'!K23*10</f>
        <v>0</v>
      </c>
      <c r="H23" s="29" t="s">
        <v>747</v>
      </c>
      <c r="I23" s="31">
        <f>'附表1-GWP TABLE'!E21</f>
        <v>0</v>
      </c>
      <c r="J23" s="32"/>
      <c r="K23" s="29"/>
      <c r="L23" s="31"/>
      <c r="M23" s="32"/>
      <c r="N23" s="29"/>
      <c r="O23" s="31"/>
      <c r="P23" s="33"/>
      <c r="Q23" s="34"/>
      <c r="R23" s="35"/>
      <c r="S23" s="34"/>
      <c r="T23" s="32"/>
      <c r="U23" s="29"/>
      <c r="V23" s="36"/>
      <c r="W23" s="29"/>
      <c r="X23" s="32"/>
      <c r="Y23" s="29"/>
      <c r="Z23" s="31"/>
      <c r="AA23" s="32"/>
      <c r="AB23" s="34"/>
      <c r="AC23" s="31"/>
      <c r="AD23" s="37">
        <f>表1温室气体盘查表!AE23</f>
        <v>39875.737794618602</v>
      </c>
      <c r="AE23" s="37">
        <f>表1温室气体盘查表!AF23</f>
        <v>0</v>
      </c>
      <c r="AF23" s="37">
        <f>表1温室气体盘查表!AG23</f>
        <v>0</v>
      </c>
      <c r="AG23" s="37">
        <f>表1温室气体盘查表!AH23</f>
        <v>0</v>
      </c>
      <c r="AH23" s="37">
        <f>表1温室气体盘查表!AI23</f>
        <v>0</v>
      </c>
      <c r="AI23" s="37">
        <f>表1温室气体盘查表!AJ23</f>
        <v>0</v>
      </c>
      <c r="AJ23" s="37">
        <f>表1温室气体盘查表!AK23</f>
        <v>0</v>
      </c>
      <c r="AK23" s="37">
        <f>表1温室气体盘查表!AL23</f>
        <v>39875.737794618602</v>
      </c>
    </row>
    <row r="24" spans="1:37" s="19" customFormat="1" ht="14.25">
      <c r="A24" s="24">
        <v>20</v>
      </c>
      <c r="B24" s="25" t="str">
        <f>表1温室气体盘查表!B24</f>
        <v>制程排放</v>
      </c>
      <c r="C24" s="26" t="str">
        <f>表1温室气体盘查表!C24</f>
        <v>锰铁</v>
      </c>
      <c r="D24" s="27" t="str">
        <f>表1温室气体盘查表!E24</f>
        <v>范围一</v>
      </c>
      <c r="E24" s="28">
        <f>表1温室气体盘查表!F24</f>
        <v>47687.64</v>
      </c>
      <c r="F24" s="29" t="str">
        <f>表1温室气体盘查表!G24</f>
        <v>t</v>
      </c>
      <c r="G24" s="30">
        <f>'附表2-EF'!K24*10</f>
        <v>0</v>
      </c>
      <c r="H24" s="29" t="s">
        <v>748</v>
      </c>
      <c r="I24" s="31">
        <f>'附表1-GWP TABLE'!E22</f>
        <v>0</v>
      </c>
      <c r="J24" s="32"/>
      <c r="K24" s="29"/>
      <c r="L24" s="31"/>
      <c r="M24" s="32"/>
      <c r="N24" s="29"/>
      <c r="O24" s="31"/>
      <c r="P24" s="33"/>
      <c r="Q24" s="34"/>
      <c r="R24" s="35"/>
      <c r="S24" s="34"/>
      <c r="T24" s="32"/>
      <c r="U24" s="29"/>
      <c r="V24" s="36"/>
      <c r="W24" s="29"/>
      <c r="X24" s="32"/>
      <c r="Y24" s="29"/>
      <c r="Z24" s="31"/>
      <c r="AA24" s="32"/>
      <c r="AB24" s="34"/>
      <c r="AC24" s="31"/>
      <c r="AD24" s="37">
        <f>表1温室气体盘查表!AE24</f>
        <v>13114.101000000001</v>
      </c>
      <c r="AE24" s="37">
        <f>表1温室气体盘查表!AF24</f>
        <v>0</v>
      </c>
      <c r="AF24" s="37">
        <f>表1温室气体盘查表!AG24</f>
        <v>0</v>
      </c>
      <c r="AG24" s="37">
        <f>表1温室气体盘查表!AH24</f>
        <v>0</v>
      </c>
      <c r="AH24" s="37">
        <f>表1温室气体盘查表!AI24</f>
        <v>0</v>
      </c>
      <c r="AI24" s="37">
        <f>表1温室气体盘查表!AJ24</f>
        <v>0</v>
      </c>
      <c r="AJ24" s="37">
        <f>表1温室气体盘查表!AK24</f>
        <v>0</v>
      </c>
      <c r="AK24" s="37">
        <f>表1温室气体盘查表!AL24</f>
        <v>13114.101000000001</v>
      </c>
    </row>
    <row r="25" spans="1:37" s="19" customFormat="1" ht="14.25">
      <c r="A25" s="24">
        <v>21</v>
      </c>
      <c r="B25" s="25" t="str">
        <f>表1温室气体盘查表!B25</f>
        <v>制程排放</v>
      </c>
      <c r="C25" s="26" t="str">
        <f>表1温室气体盘查表!C25</f>
        <v>镍铁</v>
      </c>
      <c r="D25" s="27" t="str">
        <f>表1温室气体盘查表!E25</f>
        <v>范围一</v>
      </c>
      <c r="E25" s="28">
        <f>表1温室气体盘查表!F25</f>
        <v>9445.11</v>
      </c>
      <c r="F25" s="29" t="str">
        <f>表1温室气体盘查表!G25</f>
        <v>t</v>
      </c>
      <c r="G25" s="30">
        <f>'附表2-EF'!K25*10</f>
        <v>0</v>
      </c>
      <c r="H25" s="29" t="s">
        <v>749</v>
      </c>
      <c r="I25" s="31">
        <f>'附表1-GWP TABLE'!E23</f>
        <v>0</v>
      </c>
      <c r="J25" s="32"/>
      <c r="K25" s="29"/>
      <c r="L25" s="31"/>
      <c r="M25" s="32"/>
      <c r="N25" s="29"/>
      <c r="O25" s="31"/>
      <c r="P25" s="33"/>
      <c r="Q25" s="34"/>
      <c r="R25" s="35"/>
      <c r="S25" s="34"/>
      <c r="T25" s="32"/>
      <c r="U25" s="29"/>
      <c r="V25" s="36"/>
      <c r="W25" s="29"/>
      <c r="X25" s="32"/>
      <c r="Y25" s="29"/>
      <c r="Z25" s="31"/>
      <c r="AA25" s="32"/>
      <c r="AB25" s="34"/>
      <c r="AC25" s="31"/>
      <c r="AD25" s="37">
        <f>表1温室气体盘查表!AE25</f>
        <v>349.46906999999999</v>
      </c>
      <c r="AE25" s="37">
        <f>表1温室气体盘查表!AF25</f>
        <v>0</v>
      </c>
      <c r="AF25" s="37">
        <f>表1温室气体盘查表!AG25</f>
        <v>0</v>
      </c>
      <c r="AG25" s="37">
        <f>表1温室气体盘查表!AH25</f>
        <v>0</v>
      </c>
      <c r="AH25" s="37">
        <f>表1温室气体盘查表!AI25</f>
        <v>0</v>
      </c>
      <c r="AI25" s="37">
        <f>表1温室气体盘查表!AJ25</f>
        <v>0</v>
      </c>
      <c r="AJ25" s="37">
        <f>表1温室气体盘查表!AK25</f>
        <v>0</v>
      </c>
      <c r="AK25" s="37">
        <f>表1温室气体盘查表!AL25</f>
        <v>349.46906999999999</v>
      </c>
    </row>
    <row r="26" spans="1:37" s="19" customFormat="1" ht="14.25">
      <c r="A26" s="24">
        <v>22</v>
      </c>
      <c r="B26" s="25" t="str">
        <f>表1温室气体盘查表!B26</f>
        <v>制程排放</v>
      </c>
      <c r="C26" s="26" t="str">
        <f>表1温室气体盘查表!C26</f>
        <v>铬铁</v>
      </c>
      <c r="D26" s="27" t="str">
        <f>表1温室气体盘查表!E26</f>
        <v>范围一</v>
      </c>
      <c r="E26" s="28">
        <f>表1温室气体盘查表!F26</f>
        <v>65858.929000000004</v>
      </c>
      <c r="F26" s="29" t="str">
        <f>表1温室气体盘查表!G26</f>
        <v>t</v>
      </c>
      <c r="G26" s="30">
        <f>'附表2-EF'!K26*10</f>
        <v>0</v>
      </c>
      <c r="H26" s="29" t="s">
        <v>750</v>
      </c>
      <c r="I26" s="31">
        <f>'附表1-GWP TABLE'!E24</f>
        <v>0</v>
      </c>
      <c r="J26" s="32"/>
      <c r="K26" s="29"/>
      <c r="L26" s="31"/>
      <c r="M26" s="32"/>
      <c r="N26" s="29"/>
      <c r="O26" s="31"/>
      <c r="P26" s="33"/>
      <c r="Q26" s="34"/>
      <c r="R26" s="35"/>
      <c r="S26" s="34"/>
      <c r="T26" s="32"/>
      <c r="U26" s="29"/>
      <c r="V26" s="36"/>
      <c r="W26" s="29"/>
      <c r="X26" s="32"/>
      <c r="Y26" s="29"/>
      <c r="Z26" s="31"/>
      <c r="AA26" s="32"/>
      <c r="AB26" s="34"/>
      <c r="AC26" s="31"/>
      <c r="AD26" s="37">
        <f>表1温室气体盘查表!AE26</f>
        <v>22918.907292</v>
      </c>
      <c r="AE26" s="37">
        <f>表1温室气体盘查表!AF26</f>
        <v>0</v>
      </c>
      <c r="AF26" s="37">
        <f>表1温室气体盘查表!AG26</f>
        <v>0</v>
      </c>
      <c r="AG26" s="37">
        <f>表1温室气体盘查表!AH26</f>
        <v>0</v>
      </c>
      <c r="AH26" s="37">
        <f>表1温室气体盘查表!AI26</f>
        <v>0</v>
      </c>
      <c r="AI26" s="37">
        <f>表1温室气体盘查表!AJ26</f>
        <v>0</v>
      </c>
      <c r="AJ26" s="37">
        <f>表1温室气体盘查表!AK26</f>
        <v>0</v>
      </c>
      <c r="AK26" s="37">
        <f>表1温室气体盘查表!AL26</f>
        <v>22918.907292</v>
      </c>
    </row>
    <row r="27" spans="1:37" s="19" customFormat="1" ht="14.25">
      <c r="A27" s="24">
        <v>23</v>
      </c>
      <c r="B27" s="25" t="str">
        <f>表1温室气体盘查表!B27</f>
        <v>制程排放</v>
      </c>
      <c r="C27" s="26" t="str">
        <f>表1温室气体盘查表!C27</f>
        <v>硅铁</v>
      </c>
      <c r="D27" s="27" t="str">
        <f>表1温室气体盘查表!E27</f>
        <v>范围一</v>
      </c>
      <c r="E27" s="28">
        <f>表1温室气体盘查表!F27</f>
        <v>10672.48</v>
      </c>
      <c r="F27" s="29" t="str">
        <f>表1温室气体盘查表!G27</f>
        <v>t</v>
      </c>
      <c r="G27" s="30">
        <f>'附表2-EF'!K27*10</f>
        <v>0</v>
      </c>
      <c r="H27" s="29" t="s">
        <v>751</v>
      </c>
      <c r="I27" s="31">
        <f>'附表1-GWP TABLE'!E25</f>
        <v>0</v>
      </c>
      <c r="J27" s="32"/>
      <c r="K27" s="29"/>
      <c r="L27" s="31"/>
      <c r="M27" s="32"/>
      <c r="N27" s="29"/>
      <c r="O27" s="31"/>
      <c r="P27" s="33"/>
      <c r="Q27" s="34"/>
      <c r="R27" s="35"/>
      <c r="S27" s="34"/>
      <c r="T27" s="32"/>
      <c r="U27" s="29"/>
      <c r="V27" s="36"/>
      <c r="W27" s="29"/>
      <c r="X27" s="32"/>
      <c r="Y27" s="29"/>
      <c r="Z27" s="31"/>
      <c r="AA27" s="32"/>
      <c r="AB27" s="34"/>
      <c r="AC27" s="31"/>
      <c r="AD27" s="37">
        <f>表1温室气体盘查表!AE27</f>
        <v>74.707359999999994</v>
      </c>
      <c r="AE27" s="37">
        <f>表1温室气体盘查表!AF27</f>
        <v>0</v>
      </c>
      <c r="AF27" s="37">
        <f>表1温室气体盘查表!AG27</f>
        <v>0</v>
      </c>
      <c r="AG27" s="37">
        <f>表1温室气体盘查表!AH27</f>
        <v>0</v>
      </c>
      <c r="AH27" s="37">
        <f>表1温室气体盘查表!AI27</f>
        <v>0</v>
      </c>
      <c r="AI27" s="37">
        <f>表1温室气体盘查表!AJ27</f>
        <v>0</v>
      </c>
      <c r="AJ27" s="37">
        <f>表1温室气体盘查表!AK27</f>
        <v>0</v>
      </c>
      <c r="AK27" s="37">
        <f>表1温室气体盘查表!AL27</f>
        <v>74.707359999999994</v>
      </c>
    </row>
    <row r="28" spans="1:37" s="16" customFormat="1" ht="14.25">
      <c r="A28" s="24">
        <v>24</v>
      </c>
      <c r="B28" s="25" t="str">
        <f>表1温室气体盘查表!B28</f>
        <v>制程排放</v>
      </c>
      <c r="C28" s="26" t="str">
        <f>表1温室气体盘查表!C28</f>
        <v>钼铁</v>
      </c>
      <c r="D28" s="27" t="str">
        <f>表1温室气体盘查表!E28</f>
        <v>范围一</v>
      </c>
      <c r="E28" s="28">
        <f>表1温室气体盘查表!F28</f>
        <v>7945.1639999999998</v>
      </c>
      <c r="F28" s="29" t="str">
        <f>表1温室气体盘查表!G28</f>
        <v>t</v>
      </c>
      <c r="G28" s="30">
        <f>'附表2-EF'!K28*10</f>
        <v>0</v>
      </c>
      <c r="H28" s="29" t="s">
        <v>752</v>
      </c>
      <c r="I28" s="31">
        <f>'附表1-GWP TABLE'!E26</f>
        <v>0</v>
      </c>
      <c r="J28" s="32"/>
      <c r="K28" s="29"/>
      <c r="L28" s="31"/>
      <c r="M28" s="32"/>
      <c r="N28" s="29"/>
      <c r="O28" s="31"/>
      <c r="P28" s="33"/>
      <c r="Q28" s="34"/>
      <c r="R28" s="35"/>
      <c r="S28" s="34"/>
      <c r="T28" s="32"/>
      <c r="U28" s="29"/>
      <c r="V28" s="36"/>
      <c r="W28" s="29"/>
      <c r="X28" s="32"/>
      <c r="Y28" s="29"/>
      <c r="Z28" s="31"/>
      <c r="AA28" s="32"/>
      <c r="AB28" s="34"/>
      <c r="AC28" s="31"/>
      <c r="AD28" s="37">
        <f>表1温室气体盘查表!AE28</f>
        <v>143.01295200000001</v>
      </c>
      <c r="AE28" s="37">
        <f>表1温室气体盘查表!AF28</f>
        <v>0</v>
      </c>
      <c r="AF28" s="37">
        <f>表1温室气体盘查表!AG28</f>
        <v>0</v>
      </c>
      <c r="AG28" s="37">
        <f>表1温室气体盘查表!AH28</f>
        <v>0</v>
      </c>
      <c r="AH28" s="37">
        <f>表1温室气体盘查表!AI28</f>
        <v>0</v>
      </c>
      <c r="AI28" s="37">
        <f>表1温室气体盘查表!AJ28</f>
        <v>0</v>
      </c>
      <c r="AJ28" s="37">
        <f>表1温室气体盘查表!AK28</f>
        <v>0</v>
      </c>
      <c r="AK28" s="37">
        <f>表1温室气体盘查表!AL28</f>
        <v>143.01295200000001</v>
      </c>
    </row>
    <row r="29" spans="1:37" s="16" customFormat="1" ht="14.25">
      <c r="A29" s="24">
        <v>25</v>
      </c>
      <c r="B29" s="25" t="str">
        <f>表1温室气体盘查表!B29</f>
        <v>制程排放</v>
      </c>
      <c r="C29" s="26" t="str">
        <f>表1温室气体盘查表!C29</f>
        <v>钢坯</v>
      </c>
      <c r="D29" s="27" t="str">
        <f>表1温室气体盘查表!E29</f>
        <v>范围一</v>
      </c>
      <c r="E29" s="28">
        <f>表1温室气体盘查表!F29</f>
        <v>-4332821.9400000004</v>
      </c>
      <c r="F29" s="29" t="str">
        <f>表1温室气体盘查表!G29</f>
        <v>t</v>
      </c>
      <c r="G29" s="30">
        <f>'附表2-EF'!K29*10</f>
        <v>0</v>
      </c>
      <c r="H29" s="29" t="s">
        <v>753</v>
      </c>
      <c r="I29" s="31">
        <f>'附表1-GWP TABLE'!E27</f>
        <v>0</v>
      </c>
      <c r="J29" s="32"/>
      <c r="K29" s="29"/>
      <c r="L29" s="31"/>
      <c r="M29" s="32"/>
      <c r="N29" s="29"/>
      <c r="O29" s="31"/>
      <c r="P29" s="33"/>
      <c r="Q29" s="34"/>
      <c r="R29" s="35"/>
      <c r="S29" s="34"/>
      <c r="T29" s="32"/>
      <c r="U29" s="29"/>
      <c r="V29" s="36"/>
      <c r="W29" s="29"/>
      <c r="X29" s="32"/>
      <c r="Y29" s="29"/>
      <c r="Z29" s="31"/>
      <c r="AA29" s="32"/>
      <c r="AB29" s="34"/>
      <c r="AC29" s="31"/>
      <c r="AD29" s="37">
        <f>表1温室气体盘查表!AE29</f>
        <v>-160314.41177999999</v>
      </c>
      <c r="AE29" s="37">
        <f>表1温室气体盘查表!AF29</f>
        <v>0</v>
      </c>
      <c r="AF29" s="37">
        <f>表1温室气体盘查表!AG29</f>
        <v>0</v>
      </c>
      <c r="AG29" s="37">
        <f>表1温室气体盘查表!AH29</f>
        <v>0</v>
      </c>
      <c r="AH29" s="37">
        <f>表1温室气体盘查表!AI29</f>
        <v>0</v>
      </c>
      <c r="AI29" s="37">
        <f>表1温室气体盘查表!AJ29</f>
        <v>0</v>
      </c>
      <c r="AJ29" s="37">
        <f>表1温室气体盘查表!AK29</f>
        <v>0</v>
      </c>
      <c r="AK29" s="37">
        <f>表1温室气体盘查表!AL29</f>
        <v>-160314.41177999999</v>
      </c>
    </row>
    <row r="30" spans="1:37" s="16" customFormat="1" ht="14.25">
      <c r="A30" s="24">
        <v>26</v>
      </c>
      <c r="B30" s="25" t="str">
        <f>表1温室气体盘查表!B30</f>
        <v>制程排放</v>
      </c>
      <c r="C30" s="26" t="str">
        <f>表1温室气体盘查表!C30</f>
        <v>粗苯</v>
      </c>
      <c r="D30" s="27" t="str">
        <f>表1温室气体盘查表!E30</f>
        <v>范围一</v>
      </c>
      <c r="E30" s="28">
        <f>表1温室气体盘查表!F30</f>
        <v>-19501.18</v>
      </c>
      <c r="F30" s="29" t="str">
        <f>表1温室气体盘查表!G30</f>
        <v>t</v>
      </c>
      <c r="G30" s="30">
        <f>'附表2-EF'!K30*10</f>
        <v>0</v>
      </c>
      <c r="H30" s="29" t="s">
        <v>754</v>
      </c>
      <c r="I30" s="31">
        <f>'附表1-GWP TABLE'!E28</f>
        <v>0</v>
      </c>
      <c r="J30" s="32"/>
      <c r="K30" s="29"/>
      <c r="L30" s="31"/>
      <c r="M30" s="32"/>
      <c r="N30" s="29"/>
      <c r="O30" s="31"/>
      <c r="P30" s="33"/>
      <c r="Q30" s="34"/>
      <c r="R30" s="35"/>
      <c r="S30" s="34"/>
      <c r="T30" s="32"/>
      <c r="U30" s="29"/>
      <c r="V30" s="36"/>
      <c r="W30" s="29"/>
      <c r="X30" s="32"/>
      <c r="Y30" s="29"/>
      <c r="Z30" s="31"/>
      <c r="AA30" s="32"/>
      <c r="AB30" s="34"/>
      <c r="AC30" s="31"/>
      <c r="AD30" s="37">
        <f>表1温室气体盘查表!AE30</f>
        <v>-65952.990760000001</v>
      </c>
      <c r="AE30" s="37">
        <f>表1温室气体盘查表!AF30</f>
        <v>0</v>
      </c>
      <c r="AF30" s="37">
        <f>表1温室气体盘查表!AG30</f>
        <v>0</v>
      </c>
      <c r="AG30" s="37">
        <f>表1温室气体盘查表!AH30</f>
        <v>0</v>
      </c>
      <c r="AH30" s="37">
        <f>表1温室气体盘查表!AI30</f>
        <v>0</v>
      </c>
      <c r="AI30" s="37">
        <f>表1温室气体盘查表!AJ30</f>
        <v>0</v>
      </c>
      <c r="AJ30" s="37">
        <f>表1温室气体盘查表!AK30</f>
        <v>0</v>
      </c>
      <c r="AK30" s="37">
        <f>表1温室气体盘查表!AL30</f>
        <v>-65952.990760000001</v>
      </c>
    </row>
    <row r="31" spans="1:37" s="16" customFormat="1" ht="14.25">
      <c r="A31" s="24">
        <v>27</v>
      </c>
      <c r="B31" s="25" t="str">
        <f>表1温室气体盘查表!B31</f>
        <v>制程排放</v>
      </c>
      <c r="C31" s="26" t="str">
        <f>表1温室气体盘查表!C31</f>
        <v>煤焦油</v>
      </c>
      <c r="D31" s="27" t="str">
        <f>表1温室气体盘查表!E31</f>
        <v>范围一</v>
      </c>
      <c r="E31" s="28">
        <f>表1温室气体盘查表!F31</f>
        <v>-59054.1</v>
      </c>
      <c r="F31" s="29" t="str">
        <f>表1温室气体盘查表!G31</f>
        <v>t</v>
      </c>
      <c r="G31" s="30">
        <f>'附表2-EF'!G31*10</f>
        <v>0</v>
      </c>
      <c r="H31" s="29" t="s">
        <v>755</v>
      </c>
      <c r="I31" s="31">
        <f>'附表1-GWP TABLE'!E29</f>
        <v>0</v>
      </c>
      <c r="J31" s="32"/>
      <c r="K31" s="29"/>
      <c r="L31" s="31"/>
      <c r="M31" s="32"/>
      <c r="N31" s="29"/>
      <c r="O31" s="31"/>
      <c r="P31" s="33"/>
      <c r="Q31" s="34"/>
      <c r="R31" s="35"/>
      <c r="S31" s="34"/>
      <c r="T31" s="32"/>
      <c r="U31" s="29"/>
      <c r="V31" s="36"/>
      <c r="W31" s="29"/>
      <c r="X31" s="32"/>
      <c r="Y31" s="29"/>
      <c r="Z31" s="31"/>
      <c r="AA31" s="32"/>
      <c r="AB31" s="34"/>
      <c r="AC31" s="31"/>
      <c r="AD31" s="37">
        <f>表1温室气体盘查表!AE31</f>
        <v>-159387.0159</v>
      </c>
      <c r="AE31" s="37">
        <f>表1温室气体盘查表!AF31</f>
        <v>0</v>
      </c>
      <c r="AF31" s="37">
        <f>表1温室气体盘查表!AG31</f>
        <v>0</v>
      </c>
      <c r="AG31" s="37">
        <f>表1温室气体盘查表!AH31</f>
        <v>0</v>
      </c>
      <c r="AH31" s="37">
        <f>表1温室气体盘查表!AI31</f>
        <v>0</v>
      </c>
      <c r="AI31" s="37">
        <f>表1温室气体盘查表!AJ31</f>
        <v>0</v>
      </c>
      <c r="AJ31" s="37">
        <f>表1温室气体盘查表!AK31</f>
        <v>0</v>
      </c>
      <c r="AK31" s="37">
        <f>表1温室气体盘查表!AL31</f>
        <v>-159387.0159</v>
      </c>
    </row>
    <row r="32" spans="1:37" s="16" customFormat="1" ht="16.5">
      <c r="A32" s="24">
        <v>28</v>
      </c>
      <c r="B32" s="25" t="str">
        <f>表1温室气体盘查表!B32</f>
        <v>输入能源间接温室气体排放</v>
      </c>
      <c r="C32" s="26" t="str">
        <f>表1温室气体盘查表!C33</f>
        <v>外购电力（基于市场）</v>
      </c>
      <c r="D32" s="27" t="str">
        <f>表1温室气体盘查表!E33</f>
        <v>范围二</v>
      </c>
      <c r="E32" s="28">
        <f>表1温室气体盘查表!F33</f>
        <v>1984119.42</v>
      </c>
      <c r="F32" s="29" t="str">
        <f>表1温室气体盘查表!G33</f>
        <v>MWh</v>
      </c>
      <c r="G32" s="30" t="e">
        <f>'附表2-EF'!G33*10</f>
        <v>#VALUE!</v>
      </c>
      <c r="H32" s="29" t="s">
        <v>826</v>
      </c>
      <c r="I32" s="31">
        <f>'附表1-GWP TABLE'!E31</f>
        <v>0</v>
      </c>
      <c r="J32" s="32"/>
      <c r="K32" s="29"/>
      <c r="L32" s="31"/>
      <c r="M32" s="32"/>
      <c r="N32" s="29"/>
      <c r="O32" s="31"/>
      <c r="P32" s="33"/>
      <c r="Q32" s="34"/>
      <c r="R32" s="35"/>
      <c r="S32" s="34"/>
      <c r="T32" s="32"/>
      <c r="U32" s="29"/>
      <c r="V32" s="36"/>
      <c r="W32" s="29"/>
      <c r="X32" s="32"/>
      <c r="Y32" s="29"/>
      <c r="Z32" s="31"/>
      <c r="AA32" s="32"/>
      <c r="AB32" s="34"/>
      <c r="AC32" s="31"/>
      <c r="AD32" s="37">
        <f>表1温室气体盘查表!AE33</f>
        <v>1161900.3323520001</v>
      </c>
      <c r="AE32" s="37">
        <f>表1温室气体盘查表!AF33</f>
        <v>0</v>
      </c>
      <c r="AF32" s="37">
        <f>表1温室气体盘查表!AG33</f>
        <v>0</v>
      </c>
      <c r="AG32" s="37">
        <f>表1温室气体盘查表!AH33</f>
        <v>0</v>
      </c>
      <c r="AH32" s="37">
        <f>表1温室气体盘查表!AI33</f>
        <v>0</v>
      </c>
      <c r="AI32" s="37">
        <f>表1温室气体盘查表!AJ33</f>
        <v>0</v>
      </c>
      <c r="AJ32" s="37">
        <f>表1温室气体盘查表!AK33</f>
        <v>0</v>
      </c>
      <c r="AK32" s="37">
        <f>表1温室气体盘查表!AL33</f>
        <v>1161900.3323520001</v>
      </c>
    </row>
    <row r="33" spans="1:37" s="16" customFormat="1" ht="18">
      <c r="A33" s="24">
        <v>29</v>
      </c>
      <c r="B33" s="25" t="str">
        <f>表1温室气体盘查表!B34</f>
        <v>外购商品和服务的上游排放</v>
      </c>
      <c r="C33" s="26" t="str">
        <f>表1温室气体盘查表!C34</f>
        <v>铁矿石生产</v>
      </c>
      <c r="D33" s="27" t="str">
        <f>表1温室气体盘查表!E34</f>
        <v>范围三 类别1</v>
      </c>
      <c r="E33" s="28">
        <f>表1温室气体盘查表!F34</f>
        <v>4538211.34</v>
      </c>
      <c r="F33" s="29" t="str">
        <f>表1温室气体盘查表!G34</f>
        <v>t</v>
      </c>
      <c r="G33" s="30" t="e">
        <f>'附表2-EF'!G34*10</f>
        <v>#VALUE!</v>
      </c>
      <c r="H33" s="29" t="s">
        <v>757</v>
      </c>
      <c r="I33" s="31">
        <f>'附表1-GWP TABLE'!E32</f>
        <v>0</v>
      </c>
      <c r="J33" s="32"/>
      <c r="K33" s="29"/>
      <c r="L33" s="31"/>
      <c r="M33" s="32"/>
      <c r="N33" s="29"/>
      <c r="O33" s="31"/>
      <c r="P33" s="33"/>
      <c r="Q33" s="34"/>
      <c r="R33" s="35"/>
      <c r="S33" s="34"/>
      <c r="T33" s="32"/>
      <c r="U33" s="29"/>
      <c r="V33" s="36"/>
      <c r="W33" s="29"/>
      <c r="X33" s="32"/>
      <c r="Y33" s="29"/>
      <c r="Z33" s="31"/>
      <c r="AA33" s="32"/>
      <c r="AB33" s="34"/>
      <c r="AC33" s="31"/>
      <c r="AD33" s="37">
        <f>表1温室气体盘查表!AE34</f>
        <v>448588.57632498001</v>
      </c>
      <c r="AE33" s="37">
        <f>表1温室气体盘查表!AF34</f>
        <v>0</v>
      </c>
      <c r="AF33" s="37">
        <f>表1温室气体盘查表!AG34</f>
        <v>0</v>
      </c>
      <c r="AG33" s="37">
        <f>表1温室气体盘查表!AH34</f>
        <v>0</v>
      </c>
      <c r="AH33" s="37">
        <f>表1温室气体盘查表!AI34</f>
        <v>0</v>
      </c>
      <c r="AI33" s="37">
        <f>表1温室气体盘查表!AJ34</f>
        <v>0</v>
      </c>
      <c r="AJ33" s="37">
        <f>表1温室气体盘查表!AK34</f>
        <v>0</v>
      </c>
      <c r="AK33" s="37">
        <f>表1温室气体盘查表!AL34</f>
        <v>448588.57632498001</v>
      </c>
    </row>
    <row r="34" spans="1:37" s="16" customFormat="1" ht="18">
      <c r="A34" s="24">
        <v>30</v>
      </c>
      <c r="B34" s="25" t="str">
        <f>表1温室气体盘查表!B35</f>
        <v>外购商品和服务的上游排放</v>
      </c>
      <c r="C34" s="26" t="str">
        <f>表1温室气体盘查表!C35</f>
        <v>生石灰生产</v>
      </c>
      <c r="D34" s="27" t="str">
        <f>表1温室气体盘查表!E35</f>
        <v>范围三 类别1</v>
      </c>
      <c r="E34" s="28">
        <f>表1温室气体盘查表!F35</f>
        <v>611514.48</v>
      </c>
      <c r="F34" s="29" t="str">
        <f>表1温室气体盘查表!G35</f>
        <v>t</v>
      </c>
      <c r="G34" s="30">
        <f>'附表2-EF'!G36*10</f>
        <v>0</v>
      </c>
      <c r="H34" s="29" t="s">
        <v>758</v>
      </c>
      <c r="I34" s="31">
        <f>'附表1-GWP TABLE'!E33</f>
        <v>0</v>
      </c>
      <c r="J34" s="32"/>
      <c r="K34" s="29"/>
      <c r="L34" s="31"/>
      <c r="M34" s="32"/>
      <c r="N34" s="29"/>
      <c r="O34" s="31"/>
      <c r="P34" s="33"/>
      <c r="Q34" s="34"/>
      <c r="R34" s="35"/>
      <c r="S34" s="34"/>
      <c r="T34" s="32"/>
      <c r="U34" s="29"/>
      <c r="V34" s="36"/>
      <c r="W34" s="29"/>
      <c r="X34" s="32"/>
      <c r="Y34" s="29"/>
      <c r="Z34" s="31"/>
      <c r="AA34" s="32"/>
      <c r="AB34" s="34"/>
      <c r="AC34" s="31"/>
      <c r="AD34" s="37">
        <f>表1温室气体盘查表!AE35</f>
        <v>727500.38047630398</v>
      </c>
      <c r="AE34" s="37">
        <f>表1温室气体盘查表!AF35</f>
        <v>0</v>
      </c>
      <c r="AF34" s="37">
        <f>表1温室气体盘查表!AG35</f>
        <v>0</v>
      </c>
      <c r="AG34" s="37">
        <f>表1温室气体盘查表!AH35</f>
        <v>0</v>
      </c>
      <c r="AH34" s="37">
        <f>表1温室气体盘查表!AI35</f>
        <v>0</v>
      </c>
      <c r="AI34" s="37">
        <f>表1温室气体盘查表!AJ35</f>
        <v>0</v>
      </c>
      <c r="AJ34" s="37">
        <f>表1温室气体盘查表!AK35</f>
        <v>0</v>
      </c>
      <c r="AK34" s="37">
        <f>表1温室气体盘查表!AL35</f>
        <v>727500.38047630398</v>
      </c>
    </row>
    <row r="35" spans="1:37" s="16" customFormat="1" ht="18">
      <c r="A35" s="24">
        <v>31</v>
      </c>
      <c r="B35" s="25" t="str">
        <f>表1温室气体盘查表!B36</f>
        <v>外购商品和服务的上游排放</v>
      </c>
      <c r="C35" s="26" t="str">
        <f>表1温室气体盘查表!C36</f>
        <v>石灰石生产</v>
      </c>
      <c r="D35" s="27" t="str">
        <f>表1温室气体盘查表!E36</f>
        <v>范围三 类别1</v>
      </c>
      <c r="E35" s="28">
        <f>表1温室气体盘查表!F36</f>
        <v>19365.77</v>
      </c>
      <c r="F35" s="29" t="str">
        <f>表1温室气体盘查表!G36</f>
        <v>t</v>
      </c>
      <c r="G35" s="30">
        <f>'附表2-EF'!G37*10</f>
        <v>0</v>
      </c>
      <c r="H35" s="29" t="s">
        <v>759</v>
      </c>
      <c r="I35" s="31">
        <f>'附表1-GWP TABLE'!E34</f>
        <v>0</v>
      </c>
      <c r="J35" s="32"/>
      <c r="K35" s="29"/>
      <c r="L35" s="31"/>
      <c r="M35" s="32"/>
      <c r="N35" s="29"/>
      <c r="O35" s="31"/>
      <c r="P35" s="33"/>
      <c r="Q35" s="34"/>
      <c r="R35" s="35"/>
      <c r="S35" s="34"/>
      <c r="T35" s="32"/>
      <c r="U35" s="29"/>
      <c r="V35" s="36"/>
      <c r="W35" s="29"/>
      <c r="X35" s="32"/>
      <c r="Y35" s="29"/>
      <c r="Z35" s="31"/>
      <c r="AA35" s="32"/>
      <c r="AB35" s="34"/>
      <c r="AC35" s="31"/>
      <c r="AD35" s="37">
        <f>表1温室气体盘查表!AE36</f>
        <v>58.676346522999999</v>
      </c>
      <c r="AE35" s="37">
        <f>表1温室气体盘查表!AF36</f>
        <v>0</v>
      </c>
      <c r="AF35" s="37">
        <f>表1温室气体盘查表!AG36</f>
        <v>0</v>
      </c>
      <c r="AG35" s="37">
        <f>表1温室气体盘查表!AH36</f>
        <v>0</v>
      </c>
      <c r="AH35" s="37">
        <f>表1温室气体盘查表!AI36</f>
        <v>0</v>
      </c>
      <c r="AI35" s="37">
        <f>表1温室气体盘查表!AJ36</f>
        <v>0</v>
      </c>
      <c r="AJ35" s="37">
        <f>表1温室气体盘查表!AK36</f>
        <v>0</v>
      </c>
      <c r="AK35" s="37">
        <f>表1温室气体盘查表!AL36</f>
        <v>58.676346522999999</v>
      </c>
    </row>
    <row r="36" spans="1:37" s="16" customFormat="1" ht="18">
      <c r="A36" s="24">
        <v>32</v>
      </c>
      <c r="B36" s="25" t="str">
        <f>表1温室气体盘查表!B37</f>
        <v>外购商品和服务的上游排放</v>
      </c>
      <c r="C36" s="26" t="str">
        <f>表1温室气体盘查表!C37</f>
        <v>白云石生产</v>
      </c>
      <c r="D36" s="27" t="str">
        <f>表1温室气体盘查表!E37</f>
        <v>范围三 类别1</v>
      </c>
      <c r="E36" s="28">
        <f>表1温室气体盘查表!F37</f>
        <v>356289.39</v>
      </c>
      <c r="F36" s="29" t="str">
        <f>表1温室气体盘查表!G37</f>
        <v>t</v>
      </c>
      <c r="G36" s="30">
        <f>'附表2-EF'!G38*10</f>
        <v>0</v>
      </c>
      <c r="H36" s="29" t="s">
        <v>760</v>
      </c>
      <c r="I36" s="31">
        <f>'附表1-GWP TABLE'!E35</f>
        <v>0</v>
      </c>
      <c r="J36" s="32"/>
      <c r="K36" s="29"/>
      <c r="L36" s="31"/>
      <c r="M36" s="32"/>
      <c r="N36" s="29"/>
      <c r="O36" s="31"/>
      <c r="P36" s="33"/>
      <c r="Q36" s="34"/>
      <c r="R36" s="35"/>
      <c r="S36" s="34"/>
      <c r="T36" s="32"/>
      <c r="U36" s="29"/>
      <c r="V36" s="36"/>
      <c r="W36" s="29"/>
      <c r="X36" s="32"/>
      <c r="Y36" s="29"/>
      <c r="Z36" s="31"/>
      <c r="AA36" s="32"/>
      <c r="AB36" s="34"/>
      <c r="AC36" s="31"/>
      <c r="AD36" s="37">
        <f>表1温室气体盘查表!AE37</f>
        <v>46435.196198700003</v>
      </c>
      <c r="AE36" s="37">
        <f>表1温室气体盘查表!AF37</f>
        <v>0</v>
      </c>
      <c r="AF36" s="37">
        <f>表1温室气体盘查表!AG37</f>
        <v>0</v>
      </c>
      <c r="AG36" s="37">
        <f>表1温室气体盘查表!AH37</f>
        <v>0</v>
      </c>
      <c r="AH36" s="37">
        <f>表1温室气体盘查表!AI37</f>
        <v>0</v>
      </c>
      <c r="AI36" s="37">
        <f>表1温室气体盘查表!AJ37</f>
        <v>0</v>
      </c>
      <c r="AJ36" s="37">
        <f>表1温室气体盘查表!AK37</f>
        <v>0</v>
      </c>
      <c r="AK36" s="37">
        <f>表1温室气体盘查表!AL37</f>
        <v>46435.196198700003</v>
      </c>
    </row>
    <row r="37" spans="1:37" s="16" customFormat="1" ht="18">
      <c r="A37" s="24">
        <v>33</v>
      </c>
      <c r="B37" s="25" t="str">
        <f>表1温室气体盘查表!B38</f>
        <v>外购商品和服务的上游排放</v>
      </c>
      <c r="C37" s="26" t="str">
        <f>表1温室气体盘查表!C38</f>
        <v>轻烧白云石生产</v>
      </c>
      <c r="D37" s="27" t="str">
        <f>表1温室气体盘查表!E38</f>
        <v>范围三 类别1</v>
      </c>
      <c r="E37" s="28">
        <f>表1温室气体盘查表!F38</f>
        <v>2786.84</v>
      </c>
      <c r="F37" s="29" t="str">
        <f>表1温室气体盘查表!G38</f>
        <v>t</v>
      </c>
      <c r="G37" s="30">
        <f>'附表2-EF'!K39*10</f>
        <v>0</v>
      </c>
      <c r="H37" s="29" t="s">
        <v>761</v>
      </c>
      <c r="I37" s="31">
        <f>'附表1-GWP TABLE'!E36</f>
        <v>0</v>
      </c>
      <c r="J37" s="32"/>
      <c r="K37" s="29"/>
      <c r="L37" s="31"/>
      <c r="M37" s="32"/>
      <c r="N37" s="29"/>
      <c r="O37" s="31"/>
      <c r="P37" s="33"/>
      <c r="Q37" s="34"/>
      <c r="R37" s="35"/>
      <c r="S37" s="34"/>
      <c r="T37" s="32"/>
      <c r="U37" s="29"/>
      <c r="V37" s="36"/>
      <c r="W37" s="29"/>
      <c r="X37" s="32"/>
      <c r="Y37" s="29"/>
      <c r="Z37" s="31"/>
      <c r="AA37" s="32"/>
      <c r="AB37" s="34"/>
      <c r="AC37" s="31"/>
      <c r="AD37" s="37">
        <f>表1温室气体盘查表!AE38</f>
        <v>363.20885720000001</v>
      </c>
      <c r="AE37" s="37">
        <f>表1温室气体盘查表!AF38</f>
        <v>0</v>
      </c>
      <c r="AF37" s="37">
        <f>表1温室气体盘查表!AG38</f>
        <v>0</v>
      </c>
      <c r="AG37" s="37">
        <f>表1温室气体盘查表!AH38</f>
        <v>0</v>
      </c>
      <c r="AH37" s="37">
        <f>表1温室气体盘查表!AI38</f>
        <v>0</v>
      </c>
      <c r="AI37" s="37">
        <f>表1温室气体盘查表!AJ38</f>
        <v>0</v>
      </c>
      <c r="AJ37" s="37">
        <f>表1温室气体盘查表!AK38</f>
        <v>0</v>
      </c>
      <c r="AK37" s="37">
        <f>表1温室气体盘查表!AL38</f>
        <v>363.20885720000001</v>
      </c>
    </row>
    <row r="38" spans="1:37" s="16" customFormat="1" ht="18">
      <c r="A38" s="24">
        <v>34</v>
      </c>
      <c r="B38" s="25" t="str">
        <f>表1温室气体盘查表!B39</f>
        <v>外购商品和服务的上游排放</v>
      </c>
      <c r="C38" s="26" t="str">
        <f>表1温室气体盘查表!C39</f>
        <v>球团生产</v>
      </c>
      <c r="D38" s="27" t="str">
        <f>表1温室气体盘查表!E39</f>
        <v>范围三 类别1</v>
      </c>
      <c r="E38" s="28">
        <f>表1温室气体盘查表!F39</f>
        <v>685439.89</v>
      </c>
      <c r="F38" s="29" t="str">
        <f>表1温室气体盘查表!G39</f>
        <v>t</v>
      </c>
      <c r="G38" s="30">
        <f>'附表2-EF'!K40*10</f>
        <v>0</v>
      </c>
      <c r="H38" s="29" t="s">
        <v>762</v>
      </c>
      <c r="I38" s="31">
        <f>'附表1-GWP TABLE'!E37</f>
        <v>0</v>
      </c>
      <c r="J38" s="32"/>
      <c r="K38" s="29"/>
      <c r="L38" s="31"/>
      <c r="M38" s="32"/>
      <c r="N38" s="29"/>
      <c r="O38" s="31"/>
      <c r="P38" s="33"/>
      <c r="Q38" s="34"/>
      <c r="R38" s="35"/>
      <c r="S38" s="34"/>
      <c r="T38" s="32"/>
      <c r="U38" s="29"/>
      <c r="V38" s="36"/>
      <c r="W38" s="29"/>
      <c r="X38" s="32"/>
      <c r="Y38" s="29"/>
      <c r="Z38" s="31"/>
      <c r="AA38" s="32"/>
      <c r="AB38" s="34"/>
      <c r="AC38" s="31"/>
      <c r="AD38" s="37">
        <f>表1温室气体盘查表!AE39</f>
        <v>71601.050909400001</v>
      </c>
      <c r="AE38" s="37">
        <f>表1温室气体盘查表!AF39</f>
        <v>0</v>
      </c>
      <c r="AF38" s="37">
        <f>表1温室气体盘查表!AG39</f>
        <v>0</v>
      </c>
      <c r="AG38" s="37">
        <f>表1温室气体盘查表!AH39</f>
        <v>0</v>
      </c>
      <c r="AH38" s="37">
        <f>表1温室气体盘查表!AI39</f>
        <v>0</v>
      </c>
      <c r="AI38" s="37">
        <f>表1温室气体盘查表!AJ39</f>
        <v>0</v>
      </c>
      <c r="AJ38" s="37">
        <f>表1温室气体盘查表!AK39</f>
        <v>0</v>
      </c>
      <c r="AK38" s="37">
        <f>表1温室气体盘查表!AL39</f>
        <v>71601.050909400001</v>
      </c>
    </row>
    <row r="39" spans="1:37" s="16" customFormat="1" ht="18">
      <c r="A39" s="24">
        <v>35</v>
      </c>
      <c r="B39" s="25" t="str">
        <f>表1温室气体盘查表!B40</f>
        <v>外购商品和服务的上游排放</v>
      </c>
      <c r="C39" s="26" t="str">
        <f>表1温室气体盘查表!C40</f>
        <v>废钢生产</v>
      </c>
      <c r="D39" s="27" t="str">
        <f>表1温室气体盘查表!E40</f>
        <v>范围三 类别1</v>
      </c>
      <c r="E39" s="28">
        <f>表1温室气体盘查表!F40</f>
        <v>1077722.6430978</v>
      </c>
      <c r="F39" s="29" t="str">
        <f>表1温室气体盘查表!G40</f>
        <v>t</v>
      </c>
      <c r="G39" s="30">
        <f>'附表2-EF'!K41*10</f>
        <v>0</v>
      </c>
      <c r="H39" s="29" t="s">
        <v>763</v>
      </c>
      <c r="I39" s="31">
        <f>'附表1-GWP TABLE'!E38</f>
        <v>0</v>
      </c>
      <c r="J39" s="32"/>
      <c r="K39" s="29"/>
      <c r="L39" s="31"/>
      <c r="M39" s="32"/>
      <c r="N39" s="29"/>
      <c r="O39" s="31"/>
      <c r="P39" s="33"/>
      <c r="Q39" s="34"/>
      <c r="R39" s="35"/>
      <c r="S39" s="34"/>
      <c r="T39" s="32"/>
      <c r="U39" s="29"/>
      <c r="V39" s="36"/>
      <c r="W39" s="29"/>
      <c r="X39" s="32"/>
      <c r="Y39" s="29"/>
      <c r="Z39" s="31"/>
      <c r="AA39" s="32"/>
      <c r="AB39" s="34"/>
      <c r="AC39" s="31"/>
      <c r="AD39" s="37">
        <f>表1温室气体盘查表!AE40</f>
        <v>79944.387942351706</v>
      </c>
      <c r="AE39" s="37">
        <f>表1温室气体盘查表!AF40</f>
        <v>0</v>
      </c>
      <c r="AF39" s="37">
        <f>表1温室气体盘查表!AG40</f>
        <v>0</v>
      </c>
      <c r="AG39" s="37">
        <f>表1温室气体盘查表!AH40</f>
        <v>0</v>
      </c>
      <c r="AH39" s="37">
        <f>表1温室气体盘查表!AI40</f>
        <v>0</v>
      </c>
      <c r="AI39" s="37">
        <f>表1温室气体盘查表!AJ40</f>
        <v>0</v>
      </c>
      <c r="AJ39" s="37">
        <f>表1温室气体盘查表!AK40</f>
        <v>0</v>
      </c>
      <c r="AK39" s="37">
        <f>表1温室气体盘查表!AL40</f>
        <v>79944.387942351706</v>
      </c>
    </row>
    <row r="40" spans="1:37" s="16" customFormat="1" ht="18">
      <c r="A40" s="24">
        <v>36</v>
      </c>
      <c r="B40" s="25" t="str">
        <f>表1温室气体盘查表!B41</f>
        <v>外购商品和服务的上游排放</v>
      </c>
      <c r="C40" s="26" t="str">
        <f>表1温室气体盘查表!C41</f>
        <v>电极生产</v>
      </c>
      <c r="D40" s="27" t="str">
        <f>表1温室气体盘查表!E41</f>
        <v>范围三 类别1</v>
      </c>
      <c r="E40" s="28">
        <f>表1温室气体盘查表!F41</f>
        <v>4473.46</v>
      </c>
      <c r="F40" s="29" t="str">
        <f>表1温室气体盘查表!G41</f>
        <v>t</v>
      </c>
      <c r="G40" s="30">
        <f>'附表2-EF'!K42*10</f>
        <v>0</v>
      </c>
      <c r="H40" s="29" t="s">
        <v>764</v>
      </c>
      <c r="I40" s="31">
        <f>'附表1-GWP TABLE'!E39</f>
        <v>0</v>
      </c>
      <c r="J40" s="32"/>
      <c r="K40" s="29"/>
      <c r="L40" s="31"/>
      <c r="M40" s="32"/>
      <c r="N40" s="29"/>
      <c r="O40" s="31"/>
      <c r="P40" s="33"/>
      <c r="Q40" s="34"/>
      <c r="R40" s="35"/>
      <c r="S40" s="34"/>
      <c r="T40" s="32"/>
      <c r="U40" s="29"/>
      <c r="V40" s="36"/>
      <c r="W40" s="29"/>
      <c r="X40" s="32"/>
      <c r="Y40" s="29"/>
      <c r="Z40" s="31"/>
      <c r="AA40" s="32"/>
      <c r="AB40" s="34"/>
      <c r="AC40" s="31"/>
      <c r="AD40" s="37">
        <f>表1温室气体盘查表!AE41</f>
        <v>37742.8121526018</v>
      </c>
      <c r="AE40" s="37">
        <f>表1温室气体盘查表!AF41</f>
        <v>0</v>
      </c>
      <c r="AF40" s="37">
        <f>表1温室气体盘查表!AG41</f>
        <v>0</v>
      </c>
      <c r="AG40" s="37">
        <f>表1温室气体盘查表!AH41</f>
        <v>0</v>
      </c>
      <c r="AH40" s="37">
        <f>表1温室气体盘查表!AI41</f>
        <v>0</v>
      </c>
      <c r="AI40" s="37">
        <f>表1温室气体盘查表!AJ41</f>
        <v>0</v>
      </c>
      <c r="AJ40" s="37">
        <f>表1温室气体盘查表!AK41</f>
        <v>0</v>
      </c>
      <c r="AK40" s="37">
        <f>表1温室气体盘查表!AL41</f>
        <v>37742.8121526018</v>
      </c>
    </row>
    <row r="41" spans="1:37" s="16" customFormat="1" ht="18">
      <c r="A41" s="24">
        <v>37</v>
      </c>
      <c r="B41" s="25" t="str">
        <f>表1温室气体盘查表!B42</f>
        <v>外购商品和服务的上游排放</v>
      </c>
      <c r="C41" s="26" t="str">
        <f>表1温室气体盘查表!C42</f>
        <v>锰铁生产</v>
      </c>
      <c r="D41" s="27" t="str">
        <f>表1温室气体盘查表!E42</f>
        <v>范围三 类别1</v>
      </c>
      <c r="E41" s="28">
        <f>表1温室气体盘查表!F42</f>
        <v>47651.68</v>
      </c>
      <c r="F41" s="29" t="str">
        <f>表1温室气体盘查表!G42</f>
        <v>t</v>
      </c>
      <c r="G41" s="30" t="e">
        <f>'附表2-EF'!#REF!*10</f>
        <v>#REF!</v>
      </c>
      <c r="H41" s="29" t="s">
        <v>765</v>
      </c>
      <c r="I41" s="31">
        <f>'附表1-GWP TABLE'!E40</f>
        <v>0</v>
      </c>
      <c r="J41" s="32"/>
      <c r="K41" s="29"/>
      <c r="L41" s="31"/>
      <c r="M41" s="32"/>
      <c r="N41" s="29"/>
      <c r="O41" s="31"/>
      <c r="P41" s="33"/>
      <c r="Q41" s="34"/>
      <c r="R41" s="35"/>
      <c r="S41" s="34"/>
      <c r="T41" s="32"/>
      <c r="U41" s="29"/>
      <c r="V41" s="36"/>
      <c r="W41" s="29"/>
      <c r="X41" s="32"/>
      <c r="Y41" s="29"/>
      <c r="Z41" s="31"/>
      <c r="AA41" s="32"/>
      <c r="AB41" s="34"/>
      <c r="AC41" s="31"/>
      <c r="AD41" s="37">
        <f>表1温室气体盘查表!AE42</f>
        <v>141868.58169600001</v>
      </c>
      <c r="AE41" s="37">
        <f>表1温室气体盘查表!AF42</f>
        <v>0</v>
      </c>
      <c r="AF41" s="37">
        <f>表1温室气体盘查表!AG42</f>
        <v>0</v>
      </c>
      <c r="AG41" s="37">
        <f>表1温室气体盘查表!AH42</f>
        <v>0</v>
      </c>
      <c r="AH41" s="37">
        <f>表1温室气体盘查表!AI42</f>
        <v>0</v>
      </c>
      <c r="AI41" s="37">
        <f>表1温室气体盘查表!AJ42</f>
        <v>0</v>
      </c>
      <c r="AJ41" s="37">
        <f>表1温室气体盘查表!AK42</f>
        <v>0</v>
      </c>
      <c r="AK41" s="37">
        <f>表1温室气体盘查表!AL42</f>
        <v>141868.58169600001</v>
      </c>
    </row>
    <row r="42" spans="1:37" s="16" customFormat="1" ht="18">
      <c r="A42" s="24">
        <v>38</v>
      </c>
      <c r="B42" s="25" t="str">
        <f>表1温室气体盘查表!B43</f>
        <v>外购商品和服务的上游排放</v>
      </c>
      <c r="C42" s="26" t="str">
        <f>表1温室气体盘查表!C43</f>
        <v>镍铁生产</v>
      </c>
      <c r="D42" s="27" t="str">
        <f>表1温室气体盘查表!E43</f>
        <v>范围三 类别1</v>
      </c>
      <c r="E42" s="28">
        <f>表1温室气体盘查表!F43</f>
        <v>9688.41</v>
      </c>
      <c r="F42" s="29" t="str">
        <f>表1温室气体盘查表!G43</f>
        <v>t</v>
      </c>
      <c r="G42" s="30" t="e">
        <f>'附表2-EF'!#REF!*10</f>
        <v>#REF!</v>
      </c>
      <c r="H42" s="29" t="s">
        <v>766</v>
      </c>
      <c r="I42" s="31">
        <f>'附表1-GWP TABLE'!E41</f>
        <v>0</v>
      </c>
      <c r="J42" s="32"/>
      <c r="K42" s="29"/>
      <c r="L42" s="31"/>
      <c r="M42" s="32"/>
      <c r="N42" s="29"/>
      <c r="O42" s="31"/>
      <c r="P42" s="33"/>
      <c r="Q42" s="34"/>
      <c r="R42" s="35"/>
      <c r="S42" s="34"/>
      <c r="T42" s="32"/>
      <c r="U42" s="29"/>
      <c r="V42" s="36"/>
      <c r="W42" s="29"/>
      <c r="X42" s="32"/>
      <c r="Y42" s="29"/>
      <c r="Z42" s="31"/>
      <c r="AA42" s="32"/>
      <c r="AB42" s="34"/>
      <c r="AC42" s="31"/>
      <c r="AD42" s="37">
        <f>表1温室气体盘查表!AE43</f>
        <v>84819.123026999994</v>
      </c>
      <c r="AE42" s="37">
        <f>表1温室气体盘查表!AF43</f>
        <v>0</v>
      </c>
      <c r="AF42" s="37">
        <f>表1温室气体盘查表!AG43</f>
        <v>0</v>
      </c>
      <c r="AG42" s="37">
        <f>表1温室气体盘查表!AH43</f>
        <v>0</v>
      </c>
      <c r="AH42" s="37">
        <f>表1温室气体盘查表!AI43</f>
        <v>0</v>
      </c>
      <c r="AI42" s="37">
        <f>表1温室气体盘查表!AJ43</f>
        <v>0</v>
      </c>
      <c r="AJ42" s="37">
        <f>表1温室气体盘查表!AK43</f>
        <v>0</v>
      </c>
      <c r="AK42" s="37">
        <f>表1温室气体盘查表!AL43</f>
        <v>84819.123026999994</v>
      </c>
    </row>
    <row r="43" spans="1:37" s="16" customFormat="1" ht="18">
      <c r="A43" s="24">
        <v>39</v>
      </c>
      <c r="B43" s="25" t="str">
        <f>表1温室气体盘查表!B44</f>
        <v>外购商品和服务的上游排放</v>
      </c>
      <c r="C43" s="26" t="str">
        <f>表1温室气体盘查表!C44</f>
        <v>铬铁生产</v>
      </c>
      <c r="D43" s="27" t="str">
        <f>表1温室气体盘查表!E44</f>
        <v>范围三 类别1</v>
      </c>
      <c r="E43" s="28">
        <f>表1温室气体盘查表!F44</f>
        <v>67771.929999999993</v>
      </c>
      <c r="F43" s="29" t="str">
        <f>表1温室气体盘查表!G44</f>
        <v>t</v>
      </c>
      <c r="G43" s="30">
        <f>'附表2-EF'!K43*10</f>
        <v>0</v>
      </c>
      <c r="H43" s="29" t="s">
        <v>767</v>
      </c>
      <c r="I43" s="31">
        <f>'附表1-GWP TABLE'!E42</f>
        <v>0</v>
      </c>
      <c r="J43" s="32"/>
      <c r="K43" s="29"/>
      <c r="L43" s="31"/>
      <c r="M43" s="32"/>
      <c r="N43" s="29"/>
      <c r="O43" s="31"/>
      <c r="P43" s="33"/>
      <c r="Q43" s="34"/>
      <c r="R43" s="35"/>
      <c r="S43" s="34"/>
      <c r="T43" s="32"/>
      <c r="U43" s="29"/>
      <c r="V43" s="36"/>
      <c r="W43" s="29"/>
      <c r="X43" s="32"/>
      <c r="Y43" s="29"/>
      <c r="Z43" s="31"/>
      <c r="AA43" s="32"/>
      <c r="AB43" s="34"/>
      <c r="AC43" s="31"/>
      <c r="AD43" s="37">
        <f>表1温室气体盘查表!AE44</f>
        <v>345101.44475299999</v>
      </c>
      <c r="AE43" s="37">
        <f>表1温室气体盘查表!AF44</f>
        <v>0</v>
      </c>
      <c r="AF43" s="37">
        <f>表1温室气体盘查表!AG44</f>
        <v>0</v>
      </c>
      <c r="AG43" s="37">
        <f>表1温室气体盘查表!AH44</f>
        <v>0</v>
      </c>
      <c r="AH43" s="37">
        <f>表1温室气体盘查表!AI44</f>
        <v>0</v>
      </c>
      <c r="AI43" s="37">
        <f>表1温室气体盘查表!AJ44</f>
        <v>0</v>
      </c>
      <c r="AJ43" s="37">
        <f>表1温室气体盘查表!AK44</f>
        <v>0</v>
      </c>
      <c r="AK43" s="37">
        <f>表1温室气体盘查表!AL44</f>
        <v>345101.44475299999</v>
      </c>
    </row>
    <row r="44" spans="1:37" s="16" customFormat="1" ht="18">
      <c r="A44" s="24">
        <v>40</v>
      </c>
      <c r="B44" s="25" t="str">
        <f>表1温室气体盘查表!B45</f>
        <v>外购商品和服务的上游排放</v>
      </c>
      <c r="C44" s="26" t="str">
        <f>表1温室气体盘查表!C45</f>
        <v>萤石生产</v>
      </c>
      <c r="D44" s="27" t="str">
        <f>表1温室气体盘查表!E45</f>
        <v>范围三 类别1</v>
      </c>
      <c r="E44" s="28">
        <f>表1温室气体盘查表!F45</f>
        <v>3237.84</v>
      </c>
      <c r="F44" s="29" t="str">
        <f>表1温室气体盘查表!G45</f>
        <v>t</v>
      </c>
      <c r="G44" s="30" t="e">
        <f>'附表2-EF'!#REF!*10</f>
        <v>#REF!</v>
      </c>
      <c r="H44" s="29" t="s">
        <v>768</v>
      </c>
      <c r="I44" s="31">
        <f>'附表1-GWP TABLE'!E43</f>
        <v>0</v>
      </c>
      <c r="J44" s="32"/>
      <c r="K44" s="29"/>
      <c r="L44" s="31"/>
      <c r="M44" s="32"/>
      <c r="N44" s="29"/>
      <c r="O44" s="31"/>
      <c r="P44" s="33"/>
      <c r="Q44" s="34"/>
      <c r="R44" s="35"/>
      <c r="S44" s="34"/>
      <c r="T44" s="32"/>
      <c r="U44" s="29"/>
      <c r="V44" s="36"/>
      <c r="W44" s="29"/>
      <c r="X44" s="32"/>
      <c r="Y44" s="29"/>
      <c r="Z44" s="31"/>
      <c r="AA44" s="32"/>
      <c r="AB44" s="34"/>
      <c r="AC44" s="31"/>
      <c r="AD44" s="37">
        <f>表1温室气体盘查表!AE45</f>
        <v>685.06218720000004</v>
      </c>
      <c r="AE44" s="37">
        <f>表1温室气体盘查表!AF45</f>
        <v>0</v>
      </c>
      <c r="AF44" s="37">
        <f>表1温室气体盘查表!AG45</f>
        <v>0</v>
      </c>
      <c r="AG44" s="37">
        <f>表1温室气体盘查表!AH45</f>
        <v>0</v>
      </c>
      <c r="AH44" s="37">
        <f>表1温室气体盘查表!AI45</f>
        <v>0</v>
      </c>
      <c r="AI44" s="37">
        <f>表1温室气体盘查表!AJ45</f>
        <v>0</v>
      </c>
      <c r="AJ44" s="37">
        <f>表1温室气体盘查表!AK45</f>
        <v>0</v>
      </c>
      <c r="AK44" s="37">
        <f>表1温室气体盘查表!AL45</f>
        <v>685.06218720000004</v>
      </c>
    </row>
    <row r="45" spans="1:37" s="16" customFormat="1" ht="18">
      <c r="A45" s="24">
        <v>41</v>
      </c>
      <c r="B45" s="25" t="str">
        <f>表1温室气体盘查表!B46</f>
        <v>外购商品和服务的上游排放</v>
      </c>
      <c r="C45" s="26" t="str">
        <f>表1温室气体盘查表!C46</f>
        <v>硅铁生产</v>
      </c>
      <c r="D45" s="27" t="str">
        <f>表1温室气体盘查表!E46</f>
        <v>范围三 类别1</v>
      </c>
      <c r="E45" s="28">
        <f>表1温室气体盘查表!F46</f>
        <v>10209.540000000001</v>
      </c>
      <c r="F45" s="29" t="str">
        <f>表1温室气体盘查表!G46</f>
        <v>t</v>
      </c>
      <c r="G45" s="30" t="e">
        <f>'附表2-EF'!#REF!*10</f>
        <v>#REF!</v>
      </c>
      <c r="H45" s="29" t="s">
        <v>769</v>
      </c>
      <c r="I45" s="31">
        <f>'附表1-GWP TABLE'!E44</f>
        <v>0</v>
      </c>
      <c r="J45" s="32"/>
      <c r="K45" s="29"/>
      <c r="L45" s="31"/>
      <c r="M45" s="32"/>
      <c r="N45" s="29"/>
      <c r="O45" s="31"/>
      <c r="P45" s="33"/>
      <c r="Q45" s="34"/>
      <c r="R45" s="35"/>
      <c r="S45" s="34"/>
      <c r="T45" s="32"/>
      <c r="U45" s="29"/>
      <c r="V45" s="36"/>
      <c r="W45" s="29"/>
      <c r="X45" s="32"/>
      <c r="Y45" s="29"/>
      <c r="Z45" s="31"/>
      <c r="AA45" s="32"/>
      <c r="AB45" s="34"/>
      <c r="AC45" s="31"/>
      <c r="AD45" s="37">
        <f>表1温室气体盘查表!AE46</f>
        <v>103575.7833</v>
      </c>
      <c r="AE45" s="37">
        <f>表1温室气体盘查表!AF46</f>
        <v>0</v>
      </c>
      <c r="AF45" s="37">
        <f>表1温室气体盘查表!AG46</f>
        <v>0</v>
      </c>
      <c r="AG45" s="37">
        <f>表1温室气体盘查表!AH46</f>
        <v>0</v>
      </c>
      <c r="AH45" s="37">
        <f>表1温室气体盘查表!AI46</f>
        <v>0</v>
      </c>
      <c r="AI45" s="37">
        <f>表1温室气体盘查表!AJ46</f>
        <v>0</v>
      </c>
      <c r="AJ45" s="37">
        <f>表1温室气体盘查表!AK46</f>
        <v>0</v>
      </c>
      <c r="AK45" s="37">
        <f>表1温室气体盘查表!AL46</f>
        <v>103575.7833</v>
      </c>
    </row>
    <row r="46" spans="1:37" s="16" customFormat="1" ht="18">
      <c r="A46" s="24">
        <v>42</v>
      </c>
      <c r="B46" s="25" t="str">
        <f>表1温室气体盘查表!B47</f>
        <v>外购商品和服务的上游排放</v>
      </c>
      <c r="C46" s="26" t="str">
        <f>表1温室气体盘查表!C47</f>
        <v>钼铁生产</v>
      </c>
      <c r="D46" s="27" t="str">
        <f>表1温室气体盘查表!E47</f>
        <v>范围三 类别1</v>
      </c>
      <c r="E46" s="28">
        <f>表1温室气体盘查表!F47</f>
        <v>7772.4</v>
      </c>
      <c r="F46" s="29" t="str">
        <f>表1温室气体盘查表!G47</f>
        <v>t</v>
      </c>
      <c r="G46" s="30" t="e">
        <f>'附表2-EF'!#REF!*10</f>
        <v>#REF!</v>
      </c>
      <c r="H46" s="29" t="s">
        <v>770</v>
      </c>
      <c r="I46" s="31">
        <f>'附表1-GWP TABLE'!E45</f>
        <v>0</v>
      </c>
      <c r="J46" s="32"/>
      <c r="K46" s="29"/>
      <c r="L46" s="31"/>
      <c r="M46" s="32"/>
      <c r="N46" s="29"/>
      <c r="O46" s="31"/>
      <c r="P46" s="33"/>
      <c r="Q46" s="34"/>
      <c r="R46" s="35"/>
      <c r="S46" s="34"/>
      <c r="T46" s="32"/>
      <c r="U46" s="29"/>
      <c r="V46" s="36"/>
      <c r="W46" s="29"/>
      <c r="X46" s="32"/>
      <c r="Y46" s="29"/>
      <c r="Z46" s="31"/>
      <c r="AA46" s="32"/>
      <c r="AB46" s="34"/>
      <c r="AC46" s="31"/>
      <c r="AD46" s="37">
        <f>表1温室气体盘查表!AE47</f>
        <v>66065.399999999994</v>
      </c>
      <c r="AE46" s="37">
        <f>表1温室气体盘查表!AF47</f>
        <v>0</v>
      </c>
      <c r="AF46" s="37">
        <f>表1温室气体盘查表!AG47</f>
        <v>0</v>
      </c>
      <c r="AG46" s="37">
        <f>表1温室气体盘查表!AH47</f>
        <v>0</v>
      </c>
      <c r="AH46" s="37">
        <f>表1温室气体盘查表!AI47</f>
        <v>0</v>
      </c>
      <c r="AI46" s="37">
        <f>表1温室气体盘查表!AJ47</f>
        <v>0</v>
      </c>
      <c r="AJ46" s="37">
        <f>表1温室气体盘查表!AK47</f>
        <v>0</v>
      </c>
      <c r="AK46" s="37">
        <f>表1温室气体盘查表!AL47</f>
        <v>66065.399999999994</v>
      </c>
    </row>
    <row r="47" spans="1:37" s="16" customFormat="1" ht="60.75" customHeight="1">
      <c r="A47" s="24">
        <v>43</v>
      </c>
      <c r="B47" s="25" t="str">
        <f>表1温室气体盘查表!B48</f>
        <v>外购商品和服务的上游排放</v>
      </c>
      <c r="C47" s="26" t="str">
        <f>表1温室气体盘查表!C48</f>
        <v>铝铁生产</v>
      </c>
      <c r="D47" s="27" t="str">
        <f>表1温室气体盘查表!E48</f>
        <v>范围三 类别1</v>
      </c>
      <c r="E47" s="28">
        <f>表1温室气体盘查表!F48</f>
        <v>11018.51</v>
      </c>
      <c r="F47" s="29" t="str">
        <f>表1温室气体盘查表!G48</f>
        <v>t</v>
      </c>
      <c r="G47" s="30" t="e">
        <f>'附表2-EF'!#REF!*10</f>
        <v>#REF!</v>
      </c>
      <c r="H47" s="29" t="s">
        <v>771</v>
      </c>
      <c r="I47" s="31">
        <f>'附表1-GWP TABLE'!E46</f>
        <v>0</v>
      </c>
      <c r="J47" s="32"/>
      <c r="K47" s="29"/>
      <c r="L47" s="31"/>
      <c r="M47" s="32"/>
      <c r="N47" s="29"/>
      <c r="O47" s="31"/>
      <c r="P47" s="33"/>
      <c r="Q47" s="34"/>
      <c r="R47" s="35"/>
      <c r="S47" s="34"/>
      <c r="T47" s="32"/>
      <c r="U47" s="29"/>
      <c r="V47" s="36"/>
      <c r="W47" s="29"/>
      <c r="X47" s="32"/>
      <c r="Y47" s="29"/>
      <c r="Z47" s="31"/>
      <c r="AA47" s="32"/>
      <c r="AB47" s="34"/>
      <c r="AC47" s="31"/>
      <c r="AD47" s="37">
        <f>表1温室气体盘查表!AE48</f>
        <v>63158.190107505099</v>
      </c>
      <c r="AE47" s="37">
        <f>表1温室气体盘查表!AF48</f>
        <v>0</v>
      </c>
      <c r="AF47" s="37">
        <f>表1温室气体盘查表!AG48</f>
        <v>0</v>
      </c>
      <c r="AG47" s="37">
        <f>表1温室气体盘查表!AH48</f>
        <v>0</v>
      </c>
      <c r="AH47" s="37">
        <f>表1温室气体盘查表!AI48</f>
        <v>0</v>
      </c>
      <c r="AI47" s="37">
        <f>表1温室气体盘查表!AJ48</f>
        <v>0</v>
      </c>
      <c r="AJ47" s="37">
        <f>表1温室气体盘查表!AK48</f>
        <v>0</v>
      </c>
      <c r="AK47" s="37">
        <f>表1温室气体盘查表!AL48</f>
        <v>63158.190107505099</v>
      </c>
    </row>
    <row r="48" spans="1:37" s="16" customFormat="1" ht="18">
      <c r="A48" s="24">
        <v>44</v>
      </c>
      <c r="B48" s="25" t="str">
        <f>表1温室气体盘查表!B49</f>
        <v>外购商品和服务的上游排放</v>
      </c>
      <c r="C48" s="26" t="str">
        <f>表1温室气体盘查表!C49</f>
        <v>铝生产</v>
      </c>
      <c r="D48" s="27" t="str">
        <f>表1温室气体盘查表!E49</f>
        <v>范围三 类别1</v>
      </c>
      <c r="E48" s="28">
        <f>表1温室气体盘查表!F49</f>
        <v>2841.66</v>
      </c>
      <c r="F48" s="29" t="str">
        <f>表1温室气体盘查表!G49</f>
        <v>t</v>
      </c>
      <c r="G48" s="30" t="e">
        <f>'附表2-EF'!#REF!*10</f>
        <v>#REF!</v>
      </c>
      <c r="H48" s="29" t="s">
        <v>772</v>
      </c>
      <c r="I48" s="31">
        <f>'附表1-GWP TABLE'!E47</f>
        <v>17400</v>
      </c>
      <c r="J48" s="32"/>
      <c r="K48" s="29"/>
      <c r="L48" s="31"/>
      <c r="M48" s="32"/>
      <c r="N48" s="29"/>
      <c r="O48" s="31"/>
      <c r="P48" s="33"/>
      <c r="Q48" s="34"/>
      <c r="R48" s="35"/>
      <c r="S48" s="34"/>
      <c r="T48" s="32"/>
      <c r="U48" s="29"/>
      <c r="V48" s="36"/>
      <c r="W48" s="29"/>
      <c r="X48" s="32"/>
      <c r="Y48" s="29"/>
      <c r="Z48" s="31"/>
      <c r="AA48" s="32"/>
      <c r="AB48" s="34"/>
      <c r="AC48" s="31"/>
      <c r="AD48" s="37">
        <f>表1温室气体盘查表!AE49</f>
        <v>63342.195032190299</v>
      </c>
      <c r="AE48" s="37">
        <f>表1温室气体盘查表!AF49</f>
        <v>0</v>
      </c>
      <c r="AF48" s="37">
        <f>表1温室气体盘查表!AG49</f>
        <v>0</v>
      </c>
      <c r="AG48" s="37">
        <f>表1温室气体盘查表!AH49</f>
        <v>0</v>
      </c>
      <c r="AH48" s="37">
        <f>表1温室气体盘查表!AI49</f>
        <v>0</v>
      </c>
      <c r="AI48" s="37">
        <f>表1温室气体盘查表!AJ49</f>
        <v>0</v>
      </c>
      <c r="AJ48" s="37">
        <f>表1温室气体盘查表!AK49</f>
        <v>0</v>
      </c>
      <c r="AK48" s="37">
        <f>表1温室气体盘查表!AL49</f>
        <v>63342.195032190299</v>
      </c>
    </row>
    <row r="49" spans="1:37" s="16" customFormat="1" ht="18">
      <c r="A49" s="24">
        <v>45</v>
      </c>
      <c r="B49" s="25" t="str">
        <f>表1温室气体盘查表!B50</f>
        <v>外购商品和服务的上游排放</v>
      </c>
      <c r="C49" s="26" t="str">
        <f>表1温室气体盘查表!C50</f>
        <v>增碳剂生产</v>
      </c>
      <c r="D49" s="27" t="str">
        <f>表1温室气体盘查表!E50</f>
        <v>范围三 类别1</v>
      </c>
      <c r="E49" s="28">
        <f>表1温室气体盘查表!F50</f>
        <v>10680.664000000001</v>
      </c>
      <c r="F49" s="29" t="str">
        <f>表1温室气体盘查表!G50</f>
        <v>t</v>
      </c>
      <c r="G49" s="30" t="e">
        <f>'附表2-EF'!#REF!*10</f>
        <v>#REF!</v>
      </c>
      <c r="H49" s="29" t="s">
        <v>773</v>
      </c>
      <c r="I49" s="31">
        <f>'附表1-GWP TABLE'!E48</f>
        <v>24300</v>
      </c>
      <c r="J49" s="32"/>
      <c r="K49" s="29"/>
      <c r="L49" s="31"/>
      <c r="M49" s="32"/>
      <c r="N49" s="29"/>
      <c r="O49" s="31"/>
      <c r="P49" s="33"/>
      <c r="Q49" s="34"/>
      <c r="R49" s="35"/>
      <c r="S49" s="34"/>
      <c r="T49" s="32"/>
      <c r="U49" s="29"/>
      <c r="V49" s="36"/>
      <c r="W49" s="29"/>
      <c r="X49" s="32"/>
      <c r="Y49" s="29"/>
      <c r="Z49" s="31"/>
      <c r="AA49" s="32"/>
      <c r="AB49" s="34"/>
      <c r="AC49" s="31"/>
      <c r="AD49" s="37">
        <f>表1温室气体盘查表!AE50</f>
        <v>17778.323207115402</v>
      </c>
      <c r="AE49" s="37">
        <f>表1温室气体盘查表!AF50</f>
        <v>0</v>
      </c>
      <c r="AF49" s="37">
        <f>表1温室气体盘查表!AG50</f>
        <v>0</v>
      </c>
      <c r="AG49" s="37">
        <f>表1温室气体盘查表!AH50</f>
        <v>0</v>
      </c>
      <c r="AH49" s="37">
        <f>表1温室气体盘查表!AI50</f>
        <v>0</v>
      </c>
      <c r="AI49" s="37">
        <f>表1温室气体盘查表!AJ50</f>
        <v>0</v>
      </c>
      <c r="AJ49" s="37">
        <f>表1温室气体盘查表!AK50</f>
        <v>0</v>
      </c>
      <c r="AK49" s="37">
        <f>表1温室气体盘查表!AL50</f>
        <v>17778.323207115402</v>
      </c>
    </row>
    <row r="50" spans="1:37" s="16" customFormat="1" ht="18">
      <c r="A50" s="24">
        <v>46</v>
      </c>
      <c r="B50" s="25" t="str">
        <f>表1温室气体盘查表!B51</f>
        <v>外购商品和服务的上游排放</v>
      </c>
      <c r="C50" s="26" t="str">
        <f>表1温室气体盘查表!C51</f>
        <v>铁鳞生产</v>
      </c>
      <c r="D50" s="27" t="str">
        <f>表1温室气体盘查表!E51</f>
        <v>范围三 类别1</v>
      </c>
      <c r="E50" s="28">
        <f>表1温室气体盘查表!F51</f>
        <v>172683.99</v>
      </c>
      <c r="F50" s="29" t="str">
        <f>表1温室气体盘查表!G51</f>
        <v>t</v>
      </c>
      <c r="G50" s="30" t="e">
        <f>'附表2-EF'!#REF!*10</f>
        <v>#REF!</v>
      </c>
      <c r="H50" s="29" t="s">
        <v>774</v>
      </c>
      <c r="I50" s="31">
        <f>'附表1-GWP TABLE'!E49</f>
        <v>0</v>
      </c>
      <c r="J50" s="32"/>
      <c r="K50" s="29"/>
      <c r="L50" s="31"/>
      <c r="M50" s="32"/>
      <c r="N50" s="29"/>
      <c r="O50" s="31"/>
      <c r="P50" s="33"/>
      <c r="Q50" s="34"/>
      <c r="R50" s="35"/>
      <c r="S50" s="34"/>
      <c r="T50" s="32"/>
      <c r="U50" s="29"/>
      <c r="V50" s="36"/>
      <c r="W50" s="29"/>
      <c r="X50" s="32"/>
      <c r="Y50" s="29"/>
      <c r="Z50" s="31"/>
      <c r="AA50" s="32"/>
      <c r="AB50" s="34"/>
      <c r="AC50" s="31"/>
      <c r="AD50" s="37">
        <f>表1温室气体盘查表!AE51</f>
        <v>608.38394217142104</v>
      </c>
      <c r="AE50" s="37">
        <f>表1温室气体盘查表!AF51</f>
        <v>0</v>
      </c>
      <c r="AF50" s="37">
        <f>表1温室气体盘查表!AG51</f>
        <v>0</v>
      </c>
      <c r="AG50" s="37">
        <f>表1温室气体盘查表!AH51</f>
        <v>0</v>
      </c>
      <c r="AH50" s="37">
        <f>表1温室气体盘查表!AI51</f>
        <v>0</v>
      </c>
      <c r="AI50" s="37">
        <f>表1温室气体盘查表!AJ51</f>
        <v>0</v>
      </c>
      <c r="AJ50" s="37">
        <f>表1温室气体盘查表!AK51</f>
        <v>0</v>
      </c>
      <c r="AK50" s="37">
        <f>表1温室气体盘查表!AL51</f>
        <v>608.38394217142104</v>
      </c>
    </row>
    <row r="51" spans="1:37" s="16" customFormat="1" ht="18">
      <c r="A51" s="24">
        <v>47</v>
      </c>
      <c r="B51" s="25" t="str">
        <f>表1温室气体盘查表!B52</f>
        <v>外购商品和服务的上游排放</v>
      </c>
      <c r="C51" s="26" t="str">
        <f>表1温室气体盘查表!C52</f>
        <v>氨水生产</v>
      </c>
      <c r="D51" s="27" t="str">
        <f>表1温室气体盘查表!E52</f>
        <v>范围三 类别1</v>
      </c>
      <c r="E51" s="28">
        <f>表1温室气体盘查表!F52</f>
        <v>4496.1400000000003</v>
      </c>
      <c r="F51" s="29" t="str">
        <f>表1温室气体盘查表!G52</f>
        <v>t</v>
      </c>
      <c r="G51" s="30" t="e">
        <f>'附表2-EF'!#REF!*10</f>
        <v>#REF!</v>
      </c>
      <c r="H51" s="29" t="s">
        <v>775</v>
      </c>
      <c r="I51" s="31">
        <f>'附表1-GWP TABLE'!E50</f>
        <v>0</v>
      </c>
      <c r="J51" s="32"/>
      <c r="K51" s="29"/>
      <c r="L51" s="31"/>
      <c r="M51" s="32"/>
      <c r="N51" s="29"/>
      <c r="O51" s="31"/>
      <c r="P51" s="33"/>
      <c r="Q51" s="34"/>
      <c r="R51" s="35"/>
      <c r="S51" s="34"/>
      <c r="T51" s="32"/>
      <c r="U51" s="29"/>
      <c r="V51" s="36"/>
      <c r="W51" s="29"/>
      <c r="X51" s="32"/>
      <c r="Y51" s="29"/>
      <c r="Z51" s="31"/>
      <c r="AA51" s="32"/>
      <c r="AB51" s="34"/>
      <c r="AC51" s="31"/>
      <c r="AD51" s="37">
        <f>表1温室气体盘查表!AE52</f>
        <v>24444.815275563698</v>
      </c>
      <c r="AE51" s="37">
        <f>表1温室气体盘查表!AF52</f>
        <v>0</v>
      </c>
      <c r="AF51" s="37">
        <f>表1温室气体盘查表!AG52</f>
        <v>0</v>
      </c>
      <c r="AG51" s="37">
        <f>表1温室气体盘查表!AH52</f>
        <v>0</v>
      </c>
      <c r="AH51" s="37">
        <f>表1温室气体盘查表!AI52</f>
        <v>0</v>
      </c>
      <c r="AI51" s="37">
        <f>表1温室气体盘查表!AJ52</f>
        <v>0</v>
      </c>
      <c r="AJ51" s="37">
        <f>表1温室气体盘查表!AK52</f>
        <v>0</v>
      </c>
      <c r="AK51" s="37">
        <f>表1温室气体盘查表!AL52</f>
        <v>24444.815275563698</v>
      </c>
    </row>
    <row r="52" spans="1:37" s="16" customFormat="1" ht="18">
      <c r="A52" s="24">
        <v>48</v>
      </c>
      <c r="B52" s="25" t="str">
        <f>表1温室气体盘查表!B53</f>
        <v>外购商品和服务的上游排放</v>
      </c>
      <c r="C52" s="26" t="str">
        <f>表1温室气体盘查表!C53</f>
        <v>碳化硅生产</v>
      </c>
      <c r="D52" s="27" t="str">
        <f>表1温室气体盘查表!E53</f>
        <v>范围三 类别1</v>
      </c>
      <c r="E52" s="28">
        <f>表1温室气体盘查表!F53</f>
        <v>6614.7979999999998</v>
      </c>
      <c r="F52" s="29" t="str">
        <f>表1温室气体盘查表!G53</f>
        <v>t</v>
      </c>
      <c r="G52" s="30" t="e">
        <f>'附表2-EF'!#REF!*10</f>
        <v>#REF!</v>
      </c>
      <c r="H52" s="29" t="s">
        <v>776</v>
      </c>
      <c r="I52" s="31">
        <f>'附表1-GWP TABLE'!E51</f>
        <v>0</v>
      </c>
      <c r="J52" s="32"/>
      <c r="K52" s="29"/>
      <c r="L52" s="31"/>
      <c r="M52" s="32"/>
      <c r="N52" s="29"/>
      <c r="O52" s="31"/>
      <c r="P52" s="33"/>
      <c r="Q52" s="34"/>
      <c r="R52" s="35"/>
      <c r="S52" s="34"/>
      <c r="T52" s="32"/>
      <c r="U52" s="29"/>
      <c r="V52" s="36"/>
      <c r="W52" s="29"/>
      <c r="X52" s="32"/>
      <c r="Y52" s="29"/>
      <c r="Z52" s="31"/>
      <c r="AA52" s="32"/>
      <c r="AB52" s="34"/>
      <c r="AC52" s="31"/>
      <c r="AD52" s="37">
        <f>表1温室气体盘查表!AE53</f>
        <v>48149.585124286299</v>
      </c>
      <c r="AE52" s="37">
        <f>表1温室气体盘查表!AF53</f>
        <v>0</v>
      </c>
      <c r="AF52" s="37">
        <f>表1温室气体盘查表!AG53</f>
        <v>0</v>
      </c>
      <c r="AG52" s="37">
        <f>表1温室气体盘查表!AH53</f>
        <v>0</v>
      </c>
      <c r="AH52" s="37">
        <f>表1温室气体盘查表!AI53</f>
        <v>0</v>
      </c>
      <c r="AI52" s="37">
        <f>表1温室气体盘查表!AJ53</f>
        <v>0</v>
      </c>
      <c r="AJ52" s="37">
        <f>表1温室气体盘查表!AK53</f>
        <v>0</v>
      </c>
      <c r="AK52" s="37">
        <f>表1温室气体盘查表!AL53</f>
        <v>48149.585124286299</v>
      </c>
    </row>
    <row r="53" spans="1:37" s="16" customFormat="1" ht="18">
      <c r="A53" s="24">
        <v>49</v>
      </c>
      <c r="B53" s="25" t="str">
        <f>表1温室气体盘查表!B54</f>
        <v>外购商品和服务的上游排放</v>
      </c>
      <c r="C53" s="26" t="str">
        <f>表1温室气体盘查表!C54</f>
        <v>镁生产</v>
      </c>
      <c r="D53" s="27" t="str">
        <f>表1温室气体盘查表!E54</f>
        <v>范围三 类别1</v>
      </c>
      <c r="E53" s="28">
        <f>表1温室气体盘查表!F54</f>
        <v>11710.709000000001</v>
      </c>
      <c r="F53" s="29" t="str">
        <f>表1温室气体盘查表!G54</f>
        <v>t</v>
      </c>
      <c r="G53" s="30" t="e">
        <f>'附表2-EF'!#REF!*10</f>
        <v>#REF!</v>
      </c>
      <c r="H53" s="29" t="s">
        <v>777</v>
      </c>
      <c r="I53" s="31">
        <f>'附表1-GWP TABLE'!E52</f>
        <v>0</v>
      </c>
      <c r="J53" s="32"/>
      <c r="K53" s="29"/>
      <c r="L53" s="31"/>
      <c r="M53" s="32"/>
      <c r="N53" s="29"/>
      <c r="O53" s="31"/>
      <c r="P53" s="33"/>
      <c r="Q53" s="34"/>
      <c r="R53" s="35"/>
      <c r="S53" s="34"/>
      <c r="T53" s="32"/>
      <c r="U53" s="29"/>
      <c r="V53" s="36"/>
      <c r="W53" s="29"/>
      <c r="X53" s="32"/>
      <c r="Y53" s="29"/>
      <c r="Z53" s="31"/>
      <c r="AA53" s="32"/>
      <c r="AB53" s="34"/>
      <c r="AC53" s="31"/>
      <c r="AD53" s="37">
        <f>表1温室气体盘查表!AE54</f>
        <v>308520.83395425999</v>
      </c>
      <c r="AE53" s="37">
        <f>表1温室气体盘查表!AF54</f>
        <v>0</v>
      </c>
      <c r="AF53" s="37">
        <f>表1温室气体盘查表!AG54</f>
        <v>0</v>
      </c>
      <c r="AG53" s="37">
        <f>表1温室气体盘查表!AH54</f>
        <v>0</v>
      </c>
      <c r="AH53" s="37">
        <f>表1温室气体盘查表!AI54</f>
        <v>0</v>
      </c>
      <c r="AI53" s="37">
        <f>表1温室气体盘查表!AJ54</f>
        <v>0</v>
      </c>
      <c r="AJ53" s="37">
        <f>表1温室气体盘查表!AK54</f>
        <v>0</v>
      </c>
      <c r="AK53" s="37">
        <f>表1温室气体盘查表!AL54</f>
        <v>308520.83395425999</v>
      </c>
    </row>
    <row r="54" spans="1:37" s="16" customFormat="1" ht="18">
      <c r="A54" s="24">
        <v>50</v>
      </c>
      <c r="B54" s="25" t="str">
        <f>表1温室气体盘查表!B55</f>
        <v>外购商品和服务的上游排放</v>
      </c>
      <c r="C54" s="26" t="str">
        <f>表1温室气体盘查表!C55</f>
        <v>所有其他纸制品加工制造</v>
      </c>
      <c r="D54" s="27" t="str">
        <f>表1温室气体盘查表!E55</f>
        <v>范围三 类别1</v>
      </c>
      <c r="E54" s="28">
        <f>表1温室气体盘查表!F55</f>
        <v>16162.17</v>
      </c>
      <c r="F54" s="29" t="str">
        <f>表1温室气体盘查表!G55</f>
        <v>$</v>
      </c>
      <c r="G54" s="30" t="e">
        <f>'附表2-EF'!#REF!*10</f>
        <v>#REF!</v>
      </c>
      <c r="H54" s="29" t="s">
        <v>778</v>
      </c>
      <c r="I54" s="31">
        <f>'附表1-GWP TABLE'!E53</f>
        <v>0</v>
      </c>
      <c r="J54" s="32"/>
      <c r="K54" s="29"/>
      <c r="L54" s="31"/>
      <c r="M54" s="32"/>
      <c r="N54" s="29"/>
      <c r="O54" s="31"/>
      <c r="P54" s="33"/>
      <c r="Q54" s="34"/>
      <c r="R54" s="35"/>
      <c r="S54" s="34"/>
      <c r="T54" s="32"/>
      <c r="U54" s="29"/>
      <c r="V54" s="36"/>
      <c r="W54" s="29"/>
      <c r="X54" s="32"/>
      <c r="Y54" s="29"/>
      <c r="Z54" s="31"/>
      <c r="AA54" s="32"/>
      <c r="AB54" s="34"/>
      <c r="AC54" s="31"/>
      <c r="AD54" s="37">
        <f>表1温室气体盘查表!AE55</f>
        <v>5.5436243100000002</v>
      </c>
      <c r="AE54" s="37">
        <f>表1温室气体盘查表!AF55</f>
        <v>0</v>
      </c>
      <c r="AF54" s="37">
        <f>表1温室气体盘查表!AG55</f>
        <v>0</v>
      </c>
      <c r="AG54" s="37">
        <f>表1温室气体盘查表!AH55</f>
        <v>0</v>
      </c>
      <c r="AH54" s="37">
        <f>表1温室气体盘查表!AI55</f>
        <v>0</v>
      </c>
      <c r="AI54" s="37">
        <f>表1温室气体盘查表!AJ55</f>
        <v>0</v>
      </c>
      <c r="AJ54" s="37">
        <f>表1温室气体盘查表!AK55</f>
        <v>0</v>
      </c>
      <c r="AK54" s="37">
        <f>表1温室气体盘查表!AL55</f>
        <v>5.5436243100000002</v>
      </c>
    </row>
    <row r="55" spans="1:37" s="16" customFormat="1" ht="18">
      <c r="A55" s="24">
        <v>51</v>
      </c>
      <c r="B55" s="25" t="str">
        <f>表1温室气体盘查表!B56</f>
        <v>外购商品和服务的上游排放</v>
      </c>
      <c r="C55" s="26" t="str">
        <f>表1温室气体盘查表!C56</f>
        <v>办公用品(纸张除外)制造</v>
      </c>
      <c r="D55" s="27" t="str">
        <f>表1温室气体盘查表!E56</f>
        <v>范围三 类别1</v>
      </c>
      <c r="E55" s="28">
        <f>表1温室气体盘查表!F56</f>
        <v>177487.76</v>
      </c>
      <c r="F55" s="29" t="str">
        <f>表1温室气体盘查表!G56</f>
        <v>$</v>
      </c>
      <c r="G55" s="30" t="e">
        <f>'附表2-EF'!#REF!*10</f>
        <v>#REF!</v>
      </c>
      <c r="H55" s="29" t="s">
        <v>779</v>
      </c>
      <c r="I55" s="31">
        <f>'附表1-GWP TABLE'!E54</f>
        <v>0</v>
      </c>
      <c r="J55" s="32"/>
      <c r="K55" s="29"/>
      <c r="L55" s="31"/>
      <c r="M55" s="32"/>
      <c r="N55" s="29"/>
      <c r="O55" s="31"/>
      <c r="P55" s="33"/>
      <c r="Q55" s="34"/>
      <c r="R55" s="35"/>
      <c r="S55" s="34"/>
      <c r="T55" s="32"/>
      <c r="U55" s="29"/>
      <c r="V55" s="36"/>
      <c r="W55" s="29"/>
      <c r="X55" s="32"/>
      <c r="Y55" s="29"/>
      <c r="Z55" s="31"/>
      <c r="AA55" s="32"/>
      <c r="AB55" s="34"/>
      <c r="AC55" s="31"/>
      <c r="AD55" s="37">
        <f>表1温室气体盘查表!AE56</f>
        <v>47.034256399999997</v>
      </c>
      <c r="AE55" s="37">
        <f>表1温室气体盘查表!AF56</f>
        <v>0</v>
      </c>
      <c r="AF55" s="37">
        <f>表1温室气体盘查表!AG56</f>
        <v>0</v>
      </c>
      <c r="AG55" s="37">
        <f>表1温室气体盘查表!AH56</f>
        <v>0</v>
      </c>
      <c r="AH55" s="37">
        <f>表1温室气体盘查表!AI56</f>
        <v>0</v>
      </c>
      <c r="AI55" s="37">
        <f>表1温室气体盘查表!AJ56</f>
        <v>0</v>
      </c>
      <c r="AJ55" s="37">
        <f>表1温室气体盘查表!AK56</f>
        <v>0</v>
      </c>
      <c r="AK55" s="37">
        <f>表1温室气体盘查表!AL56</f>
        <v>47.034256399999997</v>
      </c>
    </row>
    <row r="56" spans="1:37" s="16" customFormat="1" ht="18">
      <c r="A56" s="24">
        <v>52</v>
      </c>
      <c r="B56" s="25" t="str">
        <f>表1温室气体盘查表!B57</f>
        <v>外购商品和服务的上游排放</v>
      </c>
      <c r="C56" s="26" t="str">
        <f>表1温室气体盘查表!C57</f>
        <v>源水</v>
      </c>
      <c r="D56" s="27" t="str">
        <f>表1温室气体盘查表!E57</f>
        <v>范围三 类别1</v>
      </c>
      <c r="E56" s="28">
        <f>表1温室气体盘查表!F57</f>
        <v>23278634</v>
      </c>
      <c r="F56" s="29" t="str">
        <f>表1温室气体盘查表!G57</f>
        <v>t</v>
      </c>
      <c r="G56" s="30" t="e">
        <f>'附表2-EF'!#REF!*10</f>
        <v>#REF!</v>
      </c>
      <c r="H56" s="29" t="s">
        <v>780</v>
      </c>
      <c r="I56" s="31">
        <f>'附表1-GWP TABLE'!E55</f>
        <v>0</v>
      </c>
      <c r="J56" s="32"/>
      <c r="K56" s="29"/>
      <c r="L56" s="31"/>
      <c r="M56" s="32"/>
      <c r="N56" s="29"/>
      <c r="O56" s="31"/>
      <c r="P56" s="33"/>
      <c r="Q56" s="34"/>
      <c r="R56" s="35"/>
      <c r="S56" s="34"/>
      <c r="T56" s="32"/>
      <c r="U56" s="29"/>
      <c r="V56" s="36"/>
      <c r="W56" s="29"/>
      <c r="X56" s="32"/>
      <c r="Y56" s="29"/>
      <c r="Z56" s="31"/>
      <c r="AA56" s="32"/>
      <c r="AB56" s="34"/>
      <c r="AC56" s="31"/>
      <c r="AD56" s="37">
        <f>表1温室气体盘查表!AE57</f>
        <v>29761.0306554007</v>
      </c>
      <c r="AE56" s="37">
        <f>表1温室气体盘查表!AF57</f>
        <v>0</v>
      </c>
      <c r="AF56" s="37">
        <f>表1温室气体盘查表!AG57</f>
        <v>0</v>
      </c>
      <c r="AG56" s="37">
        <f>表1温室气体盘查表!AH57</f>
        <v>0</v>
      </c>
      <c r="AH56" s="37">
        <f>表1温室气体盘查表!AI57</f>
        <v>0</v>
      </c>
      <c r="AI56" s="37">
        <f>表1温室气体盘查表!AJ57</f>
        <v>0</v>
      </c>
      <c r="AJ56" s="37">
        <f>表1温室气体盘查表!AK57</f>
        <v>0</v>
      </c>
      <c r="AK56" s="37">
        <f>表1温室气体盘查表!AL57</f>
        <v>29761.0306554007</v>
      </c>
    </row>
    <row r="57" spans="1:37" s="16" customFormat="1" ht="33">
      <c r="A57" s="24">
        <v>53</v>
      </c>
      <c r="B57" s="25" t="str">
        <f>表1温室气体盘查表!B58</f>
        <v>资本货物</v>
      </c>
      <c r="C57" s="26" t="str">
        <f>表1温室气体盘查表!C58</f>
        <v>采购产品空调和暖空气加热设备和商业和工业制冷设备制造</v>
      </c>
      <c r="D57" s="27" t="str">
        <f>表1温室气体盘查表!E58</f>
        <v>范围三 类别2</v>
      </c>
      <c r="E57" s="28">
        <f>表1温室气体盘查表!F58</f>
        <v>137337.4</v>
      </c>
      <c r="F57" s="29" t="str">
        <f>表1温室气体盘查表!G58</f>
        <v>$</v>
      </c>
      <c r="G57" s="30" t="e">
        <f>'附表2-EF'!#REF!*10</f>
        <v>#REF!</v>
      </c>
      <c r="H57" s="29" t="s">
        <v>781</v>
      </c>
      <c r="I57" s="31">
        <f>'附表1-GWP TABLE'!E56</f>
        <v>0</v>
      </c>
      <c r="J57" s="32"/>
      <c r="K57" s="29"/>
      <c r="L57" s="31"/>
      <c r="M57" s="32"/>
      <c r="N57" s="29"/>
      <c r="O57" s="31"/>
      <c r="P57" s="33"/>
      <c r="Q57" s="34"/>
      <c r="R57" s="35"/>
      <c r="S57" s="34"/>
      <c r="T57" s="32"/>
      <c r="U57" s="29"/>
      <c r="V57" s="36"/>
      <c r="W57" s="29"/>
      <c r="X57" s="32"/>
      <c r="Y57" s="29"/>
      <c r="Z57" s="31"/>
      <c r="AA57" s="32"/>
      <c r="AB57" s="34"/>
      <c r="AC57" s="31"/>
      <c r="AD57" s="37">
        <f>表1温室气体盘查表!AE58</f>
        <v>14.8324392</v>
      </c>
      <c r="AE57" s="37">
        <f>表1温室气体盘查表!AF58</f>
        <v>0</v>
      </c>
      <c r="AF57" s="37">
        <f>表1温室气体盘查表!AG58</f>
        <v>0</v>
      </c>
      <c r="AG57" s="37">
        <f>表1温室气体盘查表!AH58</f>
        <v>0</v>
      </c>
      <c r="AH57" s="37">
        <f>表1温室气体盘查表!AI58</f>
        <v>0</v>
      </c>
      <c r="AI57" s="37">
        <f>表1温室气体盘查表!AJ58</f>
        <v>0</v>
      </c>
      <c r="AJ57" s="37">
        <f>表1温室气体盘查表!AK58</f>
        <v>0</v>
      </c>
      <c r="AK57" s="37">
        <f>表1温室气体盘查表!AL58</f>
        <v>14.8324392</v>
      </c>
    </row>
    <row r="58" spans="1:37" s="16" customFormat="1" ht="18">
      <c r="A58" s="24">
        <v>54</v>
      </c>
      <c r="B58" s="25" t="str">
        <f>表1温室气体盘查表!B59</f>
        <v>资本货物</v>
      </c>
      <c r="C58" s="26" t="str">
        <f>表1温室气体盘查表!C59</f>
        <v>电子计算机制造</v>
      </c>
      <c r="D58" s="27" t="str">
        <f>表1温室气体盘查表!E59</f>
        <v>范围三 类别2</v>
      </c>
      <c r="E58" s="28">
        <f>表1温室气体盘查表!F59</f>
        <v>65311.03</v>
      </c>
      <c r="F58" s="29" t="str">
        <f>表1温室气体盘查表!G59</f>
        <v>$</v>
      </c>
      <c r="G58" s="30" t="e">
        <f>'附表2-EF'!#REF!*10</f>
        <v>#REF!</v>
      </c>
      <c r="H58" s="29" t="s">
        <v>782</v>
      </c>
      <c r="I58" s="31">
        <f>'附表1-GWP TABLE'!E57</f>
        <v>0</v>
      </c>
      <c r="J58" s="32"/>
      <c r="K58" s="29"/>
      <c r="L58" s="31"/>
      <c r="M58" s="32"/>
      <c r="N58" s="29"/>
      <c r="O58" s="31"/>
      <c r="P58" s="33"/>
      <c r="Q58" s="34"/>
      <c r="R58" s="35"/>
      <c r="S58" s="34"/>
      <c r="T58" s="32"/>
      <c r="U58" s="29"/>
      <c r="V58" s="36"/>
      <c r="W58" s="29"/>
      <c r="X58" s="32"/>
      <c r="Y58" s="29"/>
      <c r="Z58" s="31"/>
      <c r="AA58" s="32"/>
      <c r="AB58" s="34"/>
      <c r="AC58" s="31"/>
      <c r="AD58" s="37">
        <f>表1温室气体盘查表!AE59</f>
        <v>3.7880397399999999</v>
      </c>
      <c r="AE58" s="37">
        <f>表1温室气体盘查表!AF59</f>
        <v>0</v>
      </c>
      <c r="AF58" s="37">
        <f>表1温室气体盘查表!AG59</f>
        <v>0</v>
      </c>
      <c r="AG58" s="37">
        <f>表1温室气体盘查表!AH59</f>
        <v>0</v>
      </c>
      <c r="AH58" s="37">
        <f>表1温室气体盘查表!AI59</f>
        <v>0</v>
      </c>
      <c r="AI58" s="37">
        <f>表1温室气体盘查表!AJ59</f>
        <v>0</v>
      </c>
      <c r="AJ58" s="37">
        <f>表1温室气体盘查表!AK59</f>
        <v>0</v>
      </c>
      <c r="AK58" s="37">
        <f>表1温室气体盘查表!AL59</f>
        <v>3.7880397399999999</v>
      </c>
    </row>
    <row r="59" spans="1:37" s="16" customFormat="1" ht="18">
      <c r="A59" s="24">
        <v>55</v>
      </c>
      <c r="B59" s="25" t="str">
        <f>表1温室气体盘查表!B60</f>
        <v>资本货物</v>
      </c>
      <c r="C59" s="26" t="str">
        <f>表1温室气体盘查表!C60</f>
        <v>焊接及焊接设备制造</v>
      </c>
      <c r="D59" s="27" t="str">
        <f>表1温室气体盘查表!E60</f>
        <v>范围三 类别2</v>
      </c>
      <c r="E59" s="28">
        <f>表1温室气体盘查表!F60</f>
        <v>869121.8</v>
      </c>
      <c r="F59" s="29" t="str">
        <f>表1温室气体盘查表!G60</f>
        <v>$</v>
      </c>
      <c r="G59" s="30" t="e">
        <f>'附表2-EF'!#REF!*10</f>
        <v>#REF!</v>
      </c>
      <c r="H59" s="29" t="s">
        <v>783</v>
      </c>
      <c r="I59" s="31">
        <f>'附表1-GWP TABLE'!E58</f>
        <v>0</v>
      </c>
      <c r="J59" s="32"/>
      <c r="K59" s="29"/>
      <c r="L59" s="31"/>
      <c r="M59" s="32"/>
      <c r="N59" s="29"/>
      <c r="O59" s="31"/>
      <c r="P59" s="33"/>
      <c r="Q59" s="34"/>
      <c r="R59" s="35"/>
      <c r="S59" s="34"/>
      <c r="T59" s="32"/>
      <c r="U59" s="29"/>
      <c r="V59" s="36"/>
      <c r="W59" s="29"/>
      <c r="X59" s="32"/>
      <c r="Y59" s="29"/>
      <c r="Z59" s="31"/>
      <c r="AA59" s="32"/>
      <c r="AB59" s="34"/>
      <c r="AC59" s="31"/>
      <c r="AD59" s="37">
        <f>表1温室气体盘查表!AE60</f>
        <v>216.41132820000001</v>
      </c>
      <c r="AE59" s="37">
        <f>表1温室气体盘查表!AF60</f>
        <v>0</v>
      </c>
      <c r="AF59" s="37">
        <f>表1温室气体盘查表!AG60</f>
        <v>0</v>
      </c>
      <c r="AG59" s="37">
        <f>表1温室气体盘查表!AH60</f>
        <v>0</v>
      </c>
      <c r="AH59" s="37">
        <f>表1温室气体盘查表!AI60</f>
        <v>0</v>
      </c>
      <c r="AI59" s="37">
        <f>表1温室气体盘查表!AJ60</f>
        <v>0</v>
      </c>
      <c r="AJ59" s="37">
        <f>表1温室气体盘查表!AK60</f>
        <v>0</v>
      </c>
      <c r="AK59" s="37">
        <f>表1温室气体盘查表!AL60</f>
        <v>216.41132820000001</v>
      </c>
    </row>
    <row r="60" spans="1:37" s="16" customFormat="1" ht="18">
      <c r="A60" s="24">
        <v>56</v>
      </c>
      <c r="B60" s="25" t="str">
        <f>表1温室气体盘查表!B61</f>
        <v>资本货物</v>
      </c>
      <c r="C60" s="26" t="str">
        <f>表1温室气体盘查表!C61</f>
        <v>其他工业设备制造</v>
      </c>
      <c r="D60" s="27" t="str">
        <f>表1温室气体盘查表!E61</f>
        <v>范围三 类别2</v>
      </c>
      <c r="E60" s="28">
        <f>表1温室气体盘查表!F61</f>
        <v>6234953.4299999997</v>
      </c>
      <c r="F60" s="29" t="str">
        <f>表1温室气体盘查表!G61</f>
        <v>$</v>
      </c>
      <c r="G60" s="30" t="e">
        <f>'附表2-EF'!#REF!*10</f>
        <v>#REF!</v>
      </c>
      <c r="H60" s="29" t="s">
        <v>784</v>
      </c>
      <c r="I60" s="31">
        <f>'附表1-GWP TABLE'!E59</f>
        <v>0</v>
      </c>
      <c r="J60" s="32"/>
      <c r="K60" s="29"/>
      <c r="L60" s="31"/>
      <c r="M60" s="32"/>
      <c r="N60" s="29"/>
      <c r="O60" s="31"/>
      <c r="P60" s="33"/>
      <c r="Q60" s="34"/>
      <c r="R60" s="35"/>
      <c r="S60" s="34"/>
      <c r="T60" s="32"/>
      <c r="U60" s="29"/>
      <c r="V60" s="36"/>
      <c r="W60" s="29"/>
      <c r="X60" s="32"/>
      <c r="Y60" s="29"/>
      <c r="Z60" s="31"/>
      <c r="AA60" s="32"/>
      <c r="AB60" s="34"/>
      <c r="AC60" s="31"/>
      <c r="AD60" s="37">
        <f>表1温室气体盘查表!AE61</f>
        <v>1153.4663845499999</v>
      </c>
      <c r="AE60" s="37">
        <f>表1温室气体盘查表!AF61</f>
        <v>0</v>
      </c>
      <c r="AF60" s="37">
        <f>表1温室气体盘查表!AG61</f>
        <v>0</v>
      </c>
      <c r="AG60" s="37">
        <f>表1温室气体盘查表!AH61</f>
        <v>0</v>
      </c>
      <c r="AH60" s="37">
        <f>表1温室气体盘查表!AI61</f>
        <v>0</v>
      </c>
      <c r="AI60" s="37">
        <f>表1温室气体盘查表!AJ61</f>
        <v>0</v>
      </c>
      <c r="AJ60" s="37">
        <f>表1温室气体盘查表!AK61</f>
        <v>0</v>
      </c>
      <c r="AK60" s="37">
        <f>表1温室气体盘查表!AL61</f>
        <v>1153.4663845499999</v>
      </c>
    </row>
    <row r="61" spans="1:37" s="16" customFormat="1" ht="24.75">
      <c r="A61" s="24">
        <v>57</v>
      </c>
      <c r="B61" s="25" t="str">
        <f>表1温室气体盘查表!B62</f>
        <v>资本货物</v>
      </c>
      <c r="C61" s="26" t="str">
        <f>表1温室气体盘查表!C62</f>
        <v>测量和测试电力和电气信号的仪器制造</v>
      </c>
      <c r="D61" s="27" t="str">
        <f>表1温室气体盘查表!E62</f>
        <v>范围三 类别2</v>
      </c>
      <c r="E61" s="28">
        <f>表1温室气体盘查表!F62</f>
        <v>560965.85</v>
      </c>
      <c r="F61" s="29" t="str">
        <f>表1温室气体盘查表!G62</f>
        <v>$</v>
      </c>
      <c r="G61" s="30" t="e">
        <f>'附表2-EF'!#REF!*10</f>
        <v>#REF!</v>
      </c>
      <c r="H61" s="29" t="s">
        <v>785</v>
      </c>
      <c r="I61" s="31">
        <f>'附表1-GWP TABLE'!E60</f>
        <v>0</v>
      </c>
      <c r="J61" s="32"/>
      <c r="K61" s="29"/>
      <c r="L61" s="31"/>
      <c r="M61" s="32"/>
      <c r="N61" s="29"/>
      <c r="O61" s="31"/>
      <c r="P61" s="33"/>
      <c r="Q61" s="34"/>
      <c r="R61" s="35"/>
      <c r="S61" s="34"/>
      <c r="T61" s="32"/>
      <c r="U61" s="29"/>
      <c r="V61" s="36"/>
      <c r="W61" s="29"/>
      <c r="X61" s="32"/>
      <c r="Y61" s="29"/>
      <c r="Z61" s="31"/>
      <c r="AA61" s="32"/>
      <c r="AB61" s="34"/>
      <c r="AC61" s="31"/>
      <c r="AD61" s="37">
        <f>表1温室气体盘查表!AE62</f>
        <v>44.316302149999999</v>
      </c>
      <c r="AE61" s="37">
        <f>表1温室气体盘查表!AF62</f>
        <v>0</v>
      </c>
      <c r="AF61" s="37">
        <f>表1温室气体盘查表!AG62</f>
        <v>0</v>
      </c>
      <c r="AG61" s="37">
        <f>表1温室气体盘查表!AH62</f>
        <v>0</v>
      </c>
      <c r="AH61" s="37">
        <f>表1温室气体盘查表!AI62</f>
        <v>0</v>
      </c>
      <c r="AI61" s="37">
        <f>表1温室气体盘查表!AJ62</f>
        <v>0</v>
      </c>
      <c r="AJ61" s="37">
        <f>表1温室气体盘查表!AK62</f>
        <v>0</v>
      </c>
      <c r="AK61" s="37">
        <f>表1温室气体盘查表!AL62</f>
        <v>44.316302149999999</v>
      </c>
    </row>
    <row r="62" spans="1:37" s="16" customFormat="1" ht="18">
      <c r="A62" s="24">
        <v>58</v>
      </c>
      <c r="B62" s="25" t="str">
        <f>表1温室气体盘查表!B63</f>
        <v>资本货物</v>
      </c>
      <c r="C62" s="26" t="str">
        <f>表1温室气体盘查表!C63</f>
        <v>计算机系统设计服务</v>
      </c>
      <c r="D62" s="27" t="str">
        <f>表1温室气体盘查表!E63</f>
        <v>范围三 类别2</v>
      </c>
      <c r="E62" s="28">
        <f>表1温室气体盘查表!F63</f>
        <v>631698.52</v>
      </c>
      <c r="F62" s="29" t="str">
        <f>表1温室气体盘查表!G63</f>
        <v>$</v>
      </c>
      <c r="G62" s="30" t="e">
        <f>'附表2-EF'!#REF!*10</f>
        <v>#REF!</v>
      </c>
      <c r="H62" s="29" t="s">
        <v>786</v>
      </c>
      <c r="I62" s="31">
        <f>'附表1-GWP TABLE'!E61</f>
        <v>0</v>
      </c>
      <c r="J62" s="32"/>
      <c r="K62" s="29"/>
      <c r="L62" s="31"/>
      <c r="M62" s="32"/>
      <c r="N62" s="29"/>
      <c r="O62" s="31"/>
      <c r="P62" s="33"/>
      <c r="Q62" s="34"/>
      <c r="R62" s="35"/>
      <c r="S62" s="34"/>
      <c r="T62" s="32"/>
      <c r="U62" s="29"/>
      <c r="V62" s="36"/>
      <c r="W62" s="29"/>
      <c r="X62" s="32"/>
      <c r="Y62" s="29"/>
      <c r="Z62" s="31"/>
      <c r="AA62" s="32"/>
      <c r="AB62" s="34"/>
      <c r="AC62" s="31"/>
      <c r="AD62" s="37">
        <f>表1温室气体盘查表!AE63</f>
        <v>56.221168280000001</v>
      </c>
      <c r="AE62" s="37">
        <f>表1温室气体盘查表!AF63</f>
        <v>0</v>
      </c>
      <c r="AF62" s="37">
        <f>表1温室气体盘查表!AG63</f>
        <v>0</v>
      </c>
      <c r="AG62" s="37">
        <f>表1温室气体盘查表!AH63</f>
        <v>0</v>
      </c>
      <c r="AH62" s="37">
        <f>表1温室气体盘查表!AI63</f>
        <v>0</v>
      </c>
      <c r="AI62" s="37">
        <f>表1温室气体盘查表!AJ63</f>
        <v>0</v>
      </c>
      <c r="AJ62" s="37">
        <f>表1温室气体盘查表!AK63</f>
        <v>0</v>
      </c>
      <c r="AK62" s="37">
        <f>表1温室气体盘查表!AL63</f>
        <v>56.221168280000001</v>
      </c>
    </row>
    <row r="63" spans="1:37" s="16" customFormat="1" ht="18">
      <c r="A63" s="24">
        <v>59</v>
      </c>
      <c r="B63" s="25" t="str">
        <f>表1温室气体盘查表!B64</f>
        <v>资本货物</v>
      </c>
      <c r="C63" s="26" t="str">
        <f>表1温室气体盘查表!C64</f>
        <v>机械动力传动设备制造</v>
      </c>
      <c r="D63" s="27" t="str">
        <f>表1温室气体盘查表!E64</f>
        <v>范围三 类别2</v>
      </c>
      <c r="E63" s="28">
        <f>表1温室气体盘查表!F64</f>
        <v>168918.91</v>
      </c>
      <c r="F63" s="29" t="str">
        <f>表1温室气体盘查表!G64</f>
        <v>$</v>
      </c>
      <c r="G63" s="30" t="e">
        <f>'附表2-EF'!#REF!*10</f>
        <v>#REF!</v>
      </c>
      <c r="H63" s="29" t="s">
        <v>787</v>
      </c>
      <c r="I63" s="31">
        <f>'附表1-GWP TABLE'!E62</f>
        <v>0</v>
      </c>
      <c r="J63" s="32"/>
      <c r="K63" s="29"/>
      <c r="L63" s="31"/>
      <c r="M63" s="32"/>
      <c r="N63" s="29"/>
      <c r="O63" s="31"/>
      <c r="P63" s="33"/>
      <c r="Q63" s="34"/>
      <c r="R63" s="35"/>
      <c r="S63" s="34"/>
      <c r="T63" s="32"/>
      <c r="U63" s="29"/>
      <c r="V63" s="36"/>
      <c r="W63" s="29"/>
      <c r="X63" s="32"/>
      <c r="Y63" s="29"/>
      <c r="Z63" s="31"/>
      <c r="AA63" s="32"/>
      <c r="AB63" s="34"/>
      <c r="AC63" s="31"/>
      <c r="AD63" s="37">
        <f>表1温室气体盘查表!AE64</f>
        <v>35.30405219</v>
      </c>
      <c r="AE63" s="37">
        <f>表1温室气体盘查表!AF64</f>
        <v>0</v>
      </c>
      <c r="AF63" s="37">
        <f>表1温室气体盘查表!AG64</f>
        <v>0</v>
      </c>
      <c r="AG63" s="37">
        <f>表1温室气体盘查表!AH64</f>
        <v>0</v>
      </c>
      <c r="AH63" s="37">
        <f>表1温室气体盘查表!AI64</f>
        <v>0</v>
      </c>
      <c r="AI63" s="37">
        <f>表1温室气体盘查表!AJ64</f>
        <v>0</v>
      </c>
      <c r="AJ63" s="37">
        <f>表1温室气体盘查表!AK64</f>
        <v>0</v>
      </c>
      <c r="AK63" s="37">
        <f>表1温室气体盘查表!AL64</f>
        <v>35.30405219</v>
      </c>
    </row>
    <row r="64" spans="1:37" s="16" customFormat="1" ht="18">
      <c r="A64" s="24">
        <v>60</v>
      </c>
      <c r="B64" s="25" t="str">
        <f>表1温室气体盘查表!B65</f>
        <v>资本货物</v>
      </c>
      <c r="C64" s="26" t="str">
        <f>表1温室气体盘查表!C65</f>
        <v>测量、分配及其他泵类设备制造</v>
      </c>
      <c r="D64" s="27" t="str">
        <f>表1温室气体盘查表!E65</f>
        <v>范围三 类别2</v>
      </c>
      <c r="E64" s="28">
        <f>表1温室气体盘查表!F65</f>
        <v>1937496.95</v>
      </c>
      <c r="F64" s="29" t="str">
        <f>表1温室气体盘查表!G65</f>
        <v>$</v>
      </c>
      <c r="G64" s="30" t="e">
        <f>'附表2-EF'!#REF!*10</f>
        <v>#REF!</v>
      </c>
      <c r="H64" s="29" t="s">
        <v>788</v>
      </c>
      <c r="I64" s="31">
        <f>'附表1-GWP TABLE'!E63</f>
        <v>0</v>
      </c>
      <c r="J64" s="32"/>
      <c r="K64" s="29"/>
      <c r="L64" s="31"/>
      <c r="M64" s="32"/>
      <c r="N64" s="29"/>
      <c r="O64" s="31"/>
      <c r="P64" s="33"/>
      <c r="Q64" s="34"/>
      <c r="R64" s="35"/>
      <c r="S64" s="34"/>
      <c r="T64" s="32"/>
      <c r="U64" s="29"/>
      <c r="V64" s="36"/>
      <c r="W64" s="29"/>
      <c r="X64" s="32"/>
      <c r="Y64" s="29"/>
      <c r="Z64" s="31"/>
      <c r="AA64" s="32"/>
      <c r="AB64" s="34"/>
      <c r="AC64" s="31"/>
      <c r="AD64" s="37">
        <f>表1温室气体盘查表!AE65</f>
        <v>432.06181985000001</v>
      </c>
      <c r="AE64" s="37">
        <f>表1温室气体盘查表!AF65</f>
        <v>0</v>
      </c>
      <c r="AF64" s="37">
        <f>表1温室气体盘查表!AG65</f>
        <v>0</v>
      </c>
      <c r="AG64" s="37">
        <f>表1温室气体盘查表!AH65</f>
        <v>0</v>
      </c>
      <c r="AH64" s="37">
        <f>表1温室气体盘查表!AI65</f>
        <v>0</v>
      </c>
      <c r="AI64" s="37">
        <f>表1温室气体盘查表!AJ65</f>
        <v>0</v>
      </c>
      <c r="AJ64" s="37">
        <f>表1温室气体盘查表!AK65</f>
        <v>0</v>
      </c>
      <c r="AK64" s="37">
        <f>表1温室气体盘查表!AL65</f>
        <v>432.06181985000001</v>
      </c>
    </row>
    <row r="65" spans="1:37" s="16" customFormat="1" ht="33">
      <c r="A65" s="24">
        <v>61</v>
      </c>
      <c r="B65" s="25" t="str">
        <f>表1温室气体盘查表!B66</f>
        <v>资本货物</v>
      </c>
      <c r="C65" s="26" t="str">
        <f>表1温室气体盘查表!C66</f>
        <v>用于测量、显示和控制工业过程变量的仪器及相关产品制造</v>
      </c>
      <c r="D65" s="27" t="str">
        <f>表1温室气体盘查表!E66</f>
        <v>范围三 类别2</v>
      </c>
      <c r="E65" s="28">
        <f>表1温室气体盘查表!F66</f>
        <v>177532.58</v>
      </c>
      <c r="F65" s="29" t="str">
        <f>表1温室气体盘查表!G66</f>
        <v>$</v>
      </c>
      <c r="G65" s="30" t="e">
        <f>'附表2-EF'!#REF!*10</f>
        <v>#REF!</v>
      </c>
      <c r="H65" s="29" t="s">
        <v>789</v>
      </c>
      <c r="I65" s="31">
        <f>'附表1-GWP TABLE'!E64</f>
        <v>0</v>
      </c>
      <c r="J65" s="32"/>
      <c r="K65" s="29"/>
      <c r="L65" s="31"/>
      <c r="M65" s="32"/>
      <c r="N65" s="29"/>
      <c r="O65" s="31"/>
      <c r="P65" s="33"/>
      <c r="Q65" s="34"/>
      <c r="R65" s="35"/>
      <c r="S65" s="34"/>
      <c r="T65" s="32"/>
      <c r="U65" s="29"/>
      <c r="V65" s="36"/>
      <c r="W65" s="29"/>
      <c r="X65" s="32"/>
      <c r="Y65" s="29"/>
      <c r="Z65" s="31"/>
      <c r="AA65" s="32"/>
      <c r="AB65" s="34"/>
      <c r="AC65" s="31"/>
      <c r="AD65" s="37">
        <f>表1温室气体盘查表!AE66</f>
        <v>11.18455254</v>
      </c>
      <c r="AE65" s="37">
        <f>表1温室气体盘查表!AF66</f>
        <v>0</v>
      </c>
      <c r="AF65" s="37">
        <f>表1温室气体盘查表!AG66</f>
        <v>0</v>
      </c>
      <c r="AG65" s="37">
        <f>表1温室气体盘查表!AH66</f>
        <v>0</v>
      </c>
      <c r="AH65" s="37">
        <f>表1温室气体盘查表!AI66</f>
        <v>0</v>
      </c>
      <c r="AI65" s="37">
        <f>表1温室气体盘查表!AJ66</f>
        <v>0</v>
      </c>
      <c r="AJ65" s="37">
        <f>表1温室气体盘查表!AK66</f>
        <v>0</v>
      </c>
      <c r="AK65" s="37">
        <f>表1温室气体盘查表!AL66</f>
        <v>11.18455254</v>
      </c>
    </row>
    <row r="66" spans="1:37" s="16" customFormat="1" ht="18">
      <c r="A66" s="24">
        <v>62</v>
      </c>
      <c r="B66" s="25" t="str">
        <f>表1温室气体盘查表!B67</f>
        <v>资本货物</v>
      </c>
      <c r="C66" s="26" t="str">
        <f>表1温室气体盘查表!C67</f>
        <v>所有其他杂项电气设备及元件制造</v>
      </c>
      <c r="D66" s="27" t="str">
        <f>表1温室气体盘查表!E67</f>
        <v>范围三 类别2</v>
      </c>
      <c r="E66" s="28">
        <f>表1温室气体盘查表!F67</f>
        <v>4336501.5599999996</v>
      </c>
      <c r="F66" s="29" t="str">
        <f>表1温室气体盘查表!G67</f>
        <v>$</v>
      </c>
      <c r="G66" s="30" t="e">
        <f>'附表2-EF'!#REF!*10</f>
        <v>#REF!</v>
      </c>
      <c r="H66" s="29" t="s">
        <v>790</v>
      </c>
      <c r="I66" s="31">
        <f>'附表1-GWP TABLE'!E65</f>
        <v>0</v>
      </c>
      <c r="J66" s="32"/>
      <c r="K66" s="29"/>
      <c r="L66" s="31"/>
      <c r="M66" s="32"/>
      <c r="N66" s="29"/>
      <c r="O66" s="31"/>
      <c r="P66" s="33"/>
      <c r="Q66" s="34"/>
      <c r="R66" s="35"/>
      <c r="S66" s="34"/>
      <c r="T66" s="32"/>
      <c r="U66" s="29"/>
      <c r="V66" s="36"/>
      <c r="W66" s="29"/>
      <c r="X66" s="32"/>
      <c r="Y66" s="29"/>
      <c r="Z66" s="31"/>
      <c r="AA66" s="32"/>
      <c r="AB66" s="34"/>
      <c r="AC66" s="31"/>
      <c r="AD66" s="37">
        <f>表1温室气体盘查表!AE67</f>
        <v>555.07219968000004</v>
      </c>
      <c r="AE66" s="37">
        <f>表1温室气体盘查表!AF67</f>
        <v>0</v>
      </c>
      <c r="AF66" s="37">
        <f>表1温室气体盘查表!AG67</f>
        <v>0</v>
      </c>
      <c r="AG66" s="37">
        <f>表1温室气体盘查表!AH67</f>
        <v>0</v>
      </c>
      <c r="AH66" s="37">
        <f>表1温室气体盘查表!AI67</f>
        <v>0</v>
      </c>
      <c r="AI66" s="37">
        <f>表1温室气体盘查表!AJ67</f>
        <v>0</v>
      </c>
      <c r="AJ66" s="37">
        <f>表1温室气体盘查表!AK67</f>
        <v>0</v>
      </c>
      <c r="AK66" s="37">
        <f>表1温室气体盘查表!AL67</f>
        <v>555.07219968000004</v>
      </c>
    </row>
    <row r="67" spans="1:37" s="16" customFormat="1" ht="18">
      <c r="A67" s="24">
        <v>63</v>
      </c>
      <c r="B67" s="25" t="str">
        <f>表1温室气体盘查表!B68</f>
        <v>资本货物</v>
      </c>
      <c r="C67" s="26" t="str">
        <f>表1温室气体盘查表!C68</f>
        <v>所有其他杂项制造</v>
      </c>
      <c r="D67" s="27" t="str">
        <f>表1温室气体盘查表!E68</f>
        <v>范围三 类别2</v>
      </c>
      <c r="E67" s="28">
        <f>表1温室气体盘查表!F68</f>
        <v>270792923.38999999</v>
      </c>
      <c r="F67" s="29" t="str">
        <f>表1温室气体盘查表!G68</f>
        <v>$</v>
      </c>
      <c r="G67" s="30" t="e">
        <f>'附表2-EF'!#REF!*10</f>
        <v>#REF!</v>
      </c>
      <c r="H67" s="29" t="s">
        <v>791</v>
      </c>
      <c r="I67" s="31">
        <f>'附表1-GWP TABLE'!E66</f>
        <v>0</v>
      </c>
      <c r="J67" s="32"/>
      <c r="K67" s="29"/>
      <c r="L67" s="31"/>
      <c r="M67" s="32"/>
      <c r="N67" s="29"/>
      <c r="O67" s="31"/>
      <c r="P67" s="33"/>
      <c r="Q67" s="34"/>
      <c r="R67" s="35"/>
      <c r="S67" s="34"/>
      <c r="T67" s="32"/>
      <c r="U67" s="29"/>
      <c r="V67" s="36"/>
      <c r="W67" s="29"/>
      <c r="X67" s="32"/>
      <c r="Y67" s="29"/>
      <c r="Z67" s="31"/>
      <c r="AA67" s="32"/>
      <c r="AB67" s="34"/>
      <c r="AC67" s="31"/>
      <c r="AD67" s="37">
        <f>表1温室气体盘查表!AE68</f>
        <v>49284.312056980001</v>
      </c>
      <c r="AE67" s="37">
        <f>表1温室气体盘查表!AF68</f>
        <v>0</v>
      </c>
      <c r="AF67" s="37">
        <f>表1温室气体盘查表!AG68</f>
        <v>0</v>
      </c>
      <c r="AG67" s="37">
        <f>表1温室气体盘查表!AH68</f>
        <v>0</v>
      </c>
      <c r="AH67" s="37">
        <f>表1温室气体盘查表!AI68</f>
        <v>0</v>
      </c>
      <c r="AI67" s="37">
        <f>表1温室气体盘查表!AJ68</f>
        <v>0</v>
      </c>
      <c r="AJ67" s="37">
        <f>表1温室气体盘查表!AK68</f>
        <v>0</v>
      </c>
      <c r="AK67" s="37">
        <f>表1温室气体盘查表!AL68</f>
        <v>49284.312056980001</v>
      </c>
    </row>
    <row r="68" spans="1:37" s="16" customFormat="1" ht="18">
      <c r="A68" s="24">
        <v>64</v>
      </c>
      <c r="B68" s="25" t="str">
        <f>表1温室气体盘查表!B69</f>
        <v>范围一、二相关燃料和能源相关的活动产生的排放</v>
      </c>
      <c r="C68" s="26" t="str">
        <f>表1温室气体盘查表!C69</f>
        <v>液化石油气生产</v>
      </c>
      <c r="D68" s="27" t="str">
        <f>表1温室气体盘查表!E69</f>
        <v>范围三 类别3</v>
      </c>
      <c r="E68" s="28">
        <f>表1温室气体盘查表!F69</f>
        <v>9.39</v>
      </c>
      <c r="F68" s="29" t="str">
        <f>表1温室气体盘查表!G69</f>
        <v>t</v>
      </c>
      <c r="G68" s="30" t="e">
        <f>'附表2-EF'!#REF!*10</f>
        <v>#REF!</v>
      </c>
      <c r="H68" s="29" t="s">
        <v>792</v>
      </c>
      <c r="I68" s="31">
        <f>'附表1-GWP TABLE'!E67</f>
        <v>0</v>
      </c>
      <c r="J68" s="32"/>
      <c r="K68" s="29"/>
      <c r="L68" s="31"/>
      <c r="M68" s="32"/>
      <c r="N68" s="29"/>
      <c r="O68" s="31"/>
      <c r="P68" s="33"/>
      <c r="Q68" s="34"/>
      <c r="R68" s="35"/>
      <c r="S68" s="34"/>
      <c r="T68" s="32"/>
      <c r="U68" s="29"/>
      <c r="V68" s="36"/>
      <c r="W68" s="29"/>
      <c r="X68" s="32"/>
      <c r="Y68" s="29"/>
      <c r="Z68" s="31"/>
      <c r="AA68" s="32"/>
      <c r="AB68" s="34"/>
      <c r="AC68" s="31"/>
      <c r="AD68" s="37">
        <f>表1温室气体盘查表!AE69</f>
        <v>9.4484580462838608</v>
      </c>
      <c r="AE68" s="37">
        <f>表1温室气体盘查表!AF69</f>
        <v>0</v>
      </c>
      <c r="AF68" s="37">
        <f>表1温室气体盘查表!AG69</f>
        <v>0</v>
      </c>
      <c r="AG68" s="37">
        <f>表1温室气体盘查表!AH69</f>
        <v>0</v>
      </c>
      <c r="AH68" s="37">
        <f>表1温室气体盘查表!AI69</f>
        <v>0</v>
      </c>
      <c r="AI68" s="37">
        <f>表1温室气体盘查表!AJ69</f>
        <v>0</v>
      </c>
      <c r="AJ68" s="37">
        <f>表1温室气体盘查表!AK69</f>
        <v>0</v>
      </c>
      <c r="AK68" s="37">
        <f>表1温室气体盘查表!AL69</f>
        <v>9.4484580462838608</v>
      </c>
    </row>
    <row r="69" spans="1:37" s="16" customFormat="1" ht="18">
      <c r="A69" s="24">
        <v>65</v>
      </c>
      <c r="B69" s="25" t="str">
        <f>表1温室气体盘查表!B70</f>
        <v>范围一、二相关燃料和能源相关的活动产生的排放</v>
      </c>
      <c r="C69" s="26" t="str">
        <f>表1温室气体盘查表!C70</f>
        <v>洗精煤生产</v>
      </c>
      <c r="D69" s="27" t="str">
        <f>表1温室气体盘查表!E70</f>
        <v>范围三 类别3</v>
      </c>
      <c r="E69" s="28">
        <f>表1温室气体盘查表!F70</f>
        <v>1946577.05</v>
      </c>
      <c r="F69" s="29" t="str">
        <f>表1温室气体盘查表!G70</f>
        <v>t</v>
      </c>
      <c r="G69" s="30">
        <f>'附表2-EF'!K69*10</f>
        <v>0</v>
      </c>
      <c r="H69" s="29" t="s">
        <v>793</v>
      </c>
      <c r="I69" s="31">
        <f>'附表1-GWP TABLE'!E68</f>
        <v>0</v>
      </c>
      <c r="J69" s="32"/>
      <c r="K69" s="29"/>
      <c r="L69" s="31"/>
      <c r="M69" s="32"/>
      <c r="N69" s="29"/>
      <c r="O69" s="31"/>
      <c r="P69" s="33"/>
      <c r="Q69" s="34"/>
      <c r="R69" s="35"/>
      <c r="S69" s="34"/>
      <c r="T69" s="32"/>
      <c r="U69" s="29"/>
      <c r="V69" s="36"/>
      <c r="W69" s="29"/>
      <c r="X69" s="32"/>
      <c r="Y69" s="29"/>
      <c r="Z69" s="31"/>
      <c r="AA69" s="32"/>
      <c r="AB69" s="34"/>
      <c r="AC69" s="31"/>
      <c r="AD69" s="37">
        <f>表1温室气体盘查表!AE70</f>
        <v>1120352.4211275</v>
      </c>
      <c r="AE69" s="37">
        <f>表1温室气体盘查表!AF70</f>
        <v>0</v>
      </c>
      <c r="AF69" s="37">
        <f>表1温室气体盘查表!AG70</f>
        <v>0</v>
      </c>
      <c r="AG69" s="37">
        <f>表1温室气体盘查表!AH70</f>
        <v>0</v>
      </c>
      <c r="AH69" s="37">
        <f>表1温室气体盘查表!AI70</f>
        <v>0</v>
      </c>
      <c r="AI69" s="37">
        <f>表1温室气体盘查表!AJ70</f>
        <v>0</v>
      </c>
      <c r="AJ69" s="37">
        <f>表1温室气体盘查表!AK70</f>
        <v>0</v>
      </c>
      <c r="AK69" s="37">
        <f>表1温室气体盘查表!AL70</f>
        <v>1120352.4211275</v>
      </c>
    </row>
    <row r="70" spans="1:37" s="16" customFormat="1" ht="18">
      <c r="A70" s="24">
        <v>66</v>
      </c>
      <c r="B70" s="25" t="str">
        <f>表1温室气体盘查表!B71</f>
        <v>范围一、二相关燃料和能源相关的活动产生的排放</v>
      </c>
      <c r="C70" s="26" t="str">
        <f>表1温室气体盘查表!C71</f>
        <v>柴油生产</v>
      </c>
      <c r="D70" s="27" t="str">
        <f>表1温室气体盘查表!E71</f>
        <v>范围三 类别3</v>
      </c>
      <c r="E70" s="28">
        <f>表1温室气体盘查表!F71</f>
        <v>1403.87</v>
      </c>
      <c r="F70" s="29" t="str">
        <f>表1温室气体盘查表!G71</f>
        <v>t</v>
      </c>
      <c r="G70" s="30">
        <f>'附表2-EF'!K70*10</f>
        <v>0</v>
      </c>
      <c r="H70" s="29" t="s">
        <v>794</v>
      </c>
      <c r="I70" s="31">
        <f>'附表1-GWP TABLE'!E69</f>
        <v>0</v>
      </c>
      <c r="J70" s="32"/>
      <c r="K70" s="29"/>
      <c r="L70" s="31"/>
      <c r="M70" s="32"/>
      <c r="N70" s="29"/>
      <c r="O70" s="31"/>
      <c r="P70" s="33"/>
      <c r="Q70" s="34"/>
      <c r="R70" s="35"/>
      <c r="S70" s="34"/>
      <c r="T70" s="32"/>
      <c r="U70" s="29"/>
      <c r="V70" s="36"/>
      <c r="W70" s="29"/>
      <c r="X70" s="32"/>
      <c r="Y70" s="29"/>
      <c r="Z70" s="31"/>
      <c r="AA70" s="32"/>
      <c r="AB70" s="34"/>
      <c r="AC70" s="31"/>
      <c r="AD70" s="37">
        <f>表1温室气体盘查表!AE71</f>
        <v>1182.2270043999999</v>
      </c>
      <c r="AE70" s="37">
        <f>表1温室气体盘查表!AF71</f>
        <v>0</v>
      </c>
      <c r="AF70" s="37">
        <f>表1温室气体盘查表!AG71</f>
        <v>0</v>
      </c>
      <c r="AG70" s="37">
        <f>表1温室气体盘查表!AH71</f>
        <v>0</v>
      </c>
      <c r="AH70" s="37">
        <f>表1温室气体盘查表!AI71</f>
        <v>0</v>
      </c>
      <c r="AI70" s="37">
        <f>表1温室气体盘查表!AJ71</f>
        <v>0</v>
      </c>
      <c r="AJ70" s="37">
        <f>表1温室气体盘查表!AK71</f>
        <v>0</v>
      </c>
      <c r="AK70" s="37">
        <f>表1温室气体盘查表!AL71</f>
        <v>1182.2270043999999</v>
      </c>
    </row>
    <row r="71" spans="1:37" s="16" customFormat="1" ht="18">
      <c r="A71" s="24">
        <v>67</v>
      </c>
      <c r="B71" s="25" t="str">
        <f>表1温室气体盘查表!B72</f>
        <v>范围一、二相关燃料和能源相关的活动产生的排放</v>
      </c>
      <c r="C71" s="26" t="str">
        <f>表1温室气体盘查表!C72</f>
        <v>汽油生产</v>
      </c>
      <c r="D71" s="27" t="str">
        <f>表1温室气体盘查表!E72</f>
        <v>范围三 类别3</v>
      </c>
      <c r="E71" s="28">
        <f>表1温室气体盘查表!F72</f>
        <v>49.06</v>
      </c>
      <c r="F71" s="29" t="str">
        <f>表1温室气体盘查表!G72</f>
        <v>t</v>
      </c>
      <c r="G71" s="30" t="e">
        <f>'附表2-EF'!#REF!*10</f>
        <v>#REF!</v>
      </c>
      <c r="H71" s="29" t="s">
        <v>795</v>
      </c>
      <c r="I71" s="31">
        <f>'附表1-GWP TABLE'!E70</f>
        <v>0</v>
      </c>
      <c r="J71" s="32"/>
      <c r="K71" s="29"/>
      <c r="L71" s="31"/>
      <c r="M71" s="32"/>
      <c r="N71" s="29"/>
      <c r="O71" s="31"/>
      <c r="P71" s="33"/>
      <c r="Q71" s="34"/>
      <c r="R71" s="35"/>
      <c r="S71" s="34"/>
      <c r="T71" s="32"/>
      <c r="U71" s="29"/>
      <c r="V71" s="36"/>
      <c r="W71" s="29"/>
      <c r="X71" s="32"/>
      <c r="Y71" s="29"/>
      <c r="Z71" s="31"/>
      <c r="AA71" s="32"/>
      <c r="AB71" s="34"/>
      <c r="AC71" s="31"/>
      <c r="AD71" s="37">
        <f>表1温室气体盘查表!AE72</f>
        <v>48.438424774309503</v>
      </c>
      <c r="AE71" s="37">
        <f>表1温室气体盘查表!AF72</f>
        <v>0</v>
      </c>
      <c r="AF71" s="37">
        <f>表1温室气体盘查表!AG72</f>
        <v>0</v>
      </c>
      <c r="AG71" s="37">
        <f>表1温室气体盘查表!AH72</f>
        <v>0</v>
      </c>
      <c r="AH71" s="37">
        <f>表1温室气体盘查表!AI72</f>
        <v>0</v>
      </c>
      <c r="AI71" s="37">
        <f>表1温室气体盘查表!AJ72</f>
        <v>0</v>
      </c>
      <c r="AJ71" s="37">
        <f>表1温室气体盘查表!AK72</f>
        <v>0</v>
      </c>
      <c r="AK71" s="37">
        <f>表1温室气体盘查表!AL72</f>
        <v>48.438424774309503</v>
      </c>
    </row>
    <row r="72" spans="1:37" s="16" customFormat="1" ht="18">
      <c r="A72" s="24">
        <v>68</v>
      </c>
      <c r="B72" s="25" t="str">
        <f>表1温室气体盘查表!B73</f>
        <v>范围一、二相关燃料和能源相关的活动产生的排放</v>
      </c>
      <c r="C72" s="26" t="str">
        <f>表1温室气体盘查表!C73</f>
        <v>焦炭生产</v>
      </c>
      <c r="D72" s="27" t="str">
        <f>表1温室气体盘查表!E73</f>
        <v>范围三 类别3</v>
      </c>
      <c r="E72" s="28">
        <f>表1温室气体盘查表!F73</f>
        <v>145430.20000000001</v>
      </c>
      <c r="F72" s="29" t="str">
        <f>表1温室气体盘查表!G73</f>
        <v>t</v>
      </c>
      <c r="G72" s="30" t="e">
        <f>'附表2-EF'!#REF!*10</f>
        <v>#REF!</v>
      </c>
      <c r="H72" s="29" t="s">
        <v>796</v>
      </c>
      <c r="I72" s="31">
        <f>'附表1-GWP TABLE'!E71</f>
        <v>0</v>
      </c>
      <c r="J72" s="32"/>
      <c r="K72" s="29"/>
      <c r="L72" s="31"/>
      <c r="M72" s="32"/>
      <c r="N72" s="29"/>
      <c r="O72" s="31"/>
      <c r="P72" s="33"/>
      <c r="Q72" s="34"/>
      <c r="R72" s="35"/>
      <c r="S72" s="34"/>
      <c r="T72" s="32"/>
      <c r="U72" s="29"/>
      <c r="V72" s="36"/>
      <c r="W72" s="29"/>
      <c r="X72" s="32"/>
      <c r="Y72" s="29"/>
      <c r="Z72" s="31"/>
      <c r="AA72" s="32"/>
      <c r="AB72" s="34"/>
      <c r="AC72" s="31"/>
      <c r="AD72" s="37">
        <f>表1温室气体盘查表!AE73</f>
        <v>184347.32152</v>
      </c>
      <c r="AE72" s="37">
        <f>表1温室气体盘查表!AF73</f>
        <v>0</v>
      </c>
      <c r="AF72" s="37">
        <f>表1温室气体盘查表!AG73</f>
        <v>0</v>
      </c>
      <c r="AG72" s="37">
        <f>表1温室气体盘查表!AH73</f>
        <v>0</v>
      </c>
      <c r="AH72" s="37">
        <f>表1温室气体盘查表!AI73</f>
        <v>0</v>
      </c>
      <c r="AI72" s="37">
        <f>表1温室气体盘查表!AJ73</f>
        <v>0</v>
      </c>
      <c r="AJ72" s="37">
        <f>表1温室气体盘查表!AK73</f>
        <v>0</v>
      </c>
      <c r="AK72" s="37">
        <f>表1温室气体盘查表!AL73</f>
        <v>184347.32152</v>
      </c>
    </row>
    <row r="73" spans="1:37" s="16" customFormat="1" ht="18">
      <c r="A73" s="24">
        <v>69</v>
      </c>
      <c r="B73" s="25" t="str">
        <f>表1温室气体盘查表!B74</f>
        <v>范围一、二相关燃料和能源相关的活动产生的排放</v>
      </c>
      <c r="C73" s="26" t="str">
        <f>表1温室气体盘查表!C74</f>
        <v>焦屑生产</v>
      </c>
      <c r="D73" s="27" t="str">
        <f>表1温室气体盘查表!E74</f>
        <v>范围三 类别3</v>
      </c>
      <c r="E73" s="28">
        <f>表1温室气体盘查表!F74</f>
        <v>120570.5</v>
      </c>
      <c r="F73" s="29" t="str">
        <f>表1温室气体盘查表!G74</f>
        <v>t</v>
      </c>
      <c r="G73" s="30" t="e">
        <f>'附表2-EF'!#REF!*10</f>
        <v>#REF!</v>
      </c>
      <c r="H73" s="29" t="s">
        <v>797</v>
      </c>
      <c r="I73" s="31">
        <f>'附表1-GWP TABLE'!E72</f>
        <v>0</v>
      </c>
      <c r="J73" s="32"/>
      <c r="K73" s="29"/>
      <c r="L73" s="31"/>
      <c r="M73" s="32"/>
      <c r="N73" s="29"/>
      <c r="O73" s="31"/>
      <c r="P73" s="33"/>
      <c r="Q73" s="34"/>
      <c r="R73" s="35"/>
      <c r="S73" s="34"/>
      <c r="T73" s="32"/>
      <c r="U73" s="29"/>
      <c r="V73" s="36"/>
      <c r="W73" s="29"/>
      <c r="X73" s="32"/>
      <c r="Y73" s="29"/>
      <c r="Z73" s="31"/>
      <c r="AA73" s="32"/>
      <c r="AB73" s="34"/>
      <c r="AC73" s="31"/>
      <c r="AD73" s="37">
        <f>表1温室气体盘查表!AE74</f>
        <v>152835.16579999999</v>
      </c>
      <c r="AE73" s="37">
        <f>表1温室气体盘查表!AF74</f>
        <v>0</v>
      </c>
      <c r="AF73" s="37">
        <f>表1温室气体盘查表!AG74</f>
        <v>0</v>
      </c>
      <c r="AG73" s="37">
        <f>表1温室气体盘查表!AH74</f>
        <v>0</v>
      </c>
      <c r="AH73" s="37">
        <f>表1温室气体盘查表!AI74</f>
        <v>0</v>
      </c>
      <c r="AI73" s="37">
        <f>表1温室气体盘查表!AJ74</f>
        <v>0</v>
      </c>
      <c r="AJ73" s="37">
        <f>表1温室气体盘查表!AK74</f>
        <v>0</v>
      </c>
      <c r="AK73" s="37">
        <f>表1温室气体盘查表!AL74</f>
        <v>152835.16579999999</v>
      </c>
    </row>
    <row r="74" spans="1:37" s="16" customFormat="1" ht="18">
      <c r="A74" s="24">
        <v>70</v>
      </c>
      <c r="B74" s="25" t="str">
        <f>表1温室气体盘查表!B75</f>
        <v>范围一、二相关燃料和能源相关的活动产生的排放</v>
      </c>
      <c r="C74" s="26" t="str">
        <f>表1温室气体盘查表!C75</f>
        <v>烟煤生产</v>
      </c>
      <c r="D74" s="27" t="str">
        <f>表1温室气体盘查表!E75</f>
        <v>范围三 类别3</v>
      </c>
      <c r="E74" s="28">
        <f>表1温室气体盘查表!F75</f>
        <v>399079.16</v>
      </c>
      <c r="F74" s="29" t="str">
        <f>表1温室气体盘查表!G75</f>
        <v>t</v>
      </c>
      <c r="G74" s="30" t="e">
        <f>'附表2-EF'!#REF!*10</f>
        <v>#REF!</v>
      </c>
      <c r="H74" s="29" t="s">
        <v>798</v>
      </c>
      <c r="I74" s="31">
        <f>'附表1-GWP TABLE'!E73</f>
        <v>0</v>
      </c>
      <c r="J74" s="32"/>
      <c r="K74" s="29"/>
      <c r="L74" s="31"/>
      <c r="M74" s="32"/>
      <c r="N74" s="29"/>
      <c r="O74" s="31"/>
      <c r="P74" s="33"/>
      <c r="Q74" s="34"/>
      <c r="R74" s="35"/>
      <c r="S74" s="34"/>
      <c r="T74" s="32"/>
      <c r="U74" s="29"/>
      <c r="V74" s="36"/>
      <c r="W74" s="29"/>
      <c r="X74" s="32"/>
      <c r="Y74" s="29"/>
      <c r="Z74" s="31"/>
      <c r="AA74" s="32"/>
      <c r="AB74" s="34"/>
      <c r="AC74" s="31"/>
      <c r="AD74" s="37">
        <f>表1温室气体盘查表!AE75</f>
        <v>229690.010538</v>
      </c>
      <c r="AE74" s="37">
        <f>表1温室气体盘查表!AF75</f>
        <v>0</v>
      </c>
      <c r="AF74" s="37">
        <f>表1温室气体盘查表!AG75</f>
        <v>0</v>
      </c>
      <c r="AG74" s="37">
        <f>表1温室气体盘查表!AH75</f>
        <v>0</v>
      </c>
      <c r="AH74" s="37">
        <f>表1温室气体盘查表!AI75</f>
        <v>0</v>
      </c>
      <c r="AI74" s="37">
        <f>表1温室气体盘查表!AJ75</f>
        <v>0</v>
      </c>
      <c r="AJ74" s="37">
        <f>表1温室气体盘查表!AK75</f>
        <v>0</v>
      </c>
      <c r="AK74" s="37">
        <f>表1温室气体盘查表!AL75</f>
        <v>229690.010538</v>
      </c>
    </row>
    <row r="75" spans="1:37" s="16" customFormat="1" ht="18">
      <c r="A75" s="24">
        <v>71</v>
      </c>
      <c r="B75" s="25" t="str">
        <f>表1温室气体盘查表!B76</f>
        <v>范围一、二相关燃料和能源相关的活动产生的排放</v>
      </c>
      <c r="C75" s="26" t="str">
        <f>表1温室气体盘查表!C76</f>
        <v>无烟煤生产</v>
      </c>
      <c r="D75" s="27" t="str">
        <f>表1温室气体盘查表!E76</f>
        <v>范围三 类别3</v>
      </c>
      <c r="E75" s="28">
        <f>表1温室气体盘查表!F76</f>
        <v>260530.34</v>
      </c>
      <c r="F75" s="29" t="str">
        <f>表1温室气体盘查表!G76</f>
        <v>t</v>
      </c>
      <c r="G75" s="30" t="e">
        <f>'附表2-EF'!#REF!*10</f>
        <v>#REF!</v>
      </c>
      <c r="H75" s="29" t="s">
        <v>799</v>
      </c>
      <c r="I75" s="31">
        <f>'附表1-GWP TABLE'!E74</f>
        <v>0</v>
      </c>
      <c r="J75" s="32"/>
      <c r="K75" s="29"/>
      <c r="L75" s="31"/>
      <c r="M75" s="32"/>
      <c r="N75" s="29"/>
      <c r="O75" s="31"/>
      <c r="P75" s="33"/>
      <c r="Q75" s="34"/>
      <c r="R75" s="35"/>
      <c r="S75" s="34"/>
      <c r="T75" s="32"/>
      <c r="U75" s="29"/>
      <c r="V75" s="36"/>
      <c r="W75" s="29"/>
      <c r="X75" s="32"/>
      <c r="Y75" s="29"/>
      <c r="Z75" s="31"/>
      <c r="AA75" s="32"/>
      <c r="AB75" s="34"/>
      <c r="AC75" s="31"/>
      <c r="AD75" s="37">
        <f>表1温室气体盘查表!AE76</f>
        <v>149948.23718699999</v>
      </c>
      <c r="AE75" s="37">
        <f>表1温室气体盘查表!AF76</f>
        <v>0</v>
      </c>
      <c r="AF75" s="37">
        <f>表1温室气体盘查表!AG76</f>
        <v>0</v>
      </c>
      <c r="AG75" s="37">
        <f>表1温室气体盘查表!AH76</f>
        <v>0</v>
      </c>
      <c r="AH75" s="37">
        <f>表1温室气体盘查表!AI76</f>
        <v>0</v>
      </c>
      <c r="AI75" s="37">
        <f>表1温室气体盘查表!AJ76</f>
        <v>0</v>
      </c>
      <c r="AJ75" s="37">
        <f>表1温室气体盘查表!AK76</f>
        <v>0</v>
      </c>
      <c r="AK75" s="37">
        <f>表1温室气体盘查表!AL76</f>
        <v>149948.23718699999</v>
      </c>
    </row>
    <row r="76" spans="1:37" s="16" customFormat="1" ht="18">
      <c r="A76" s="24">
        <v>72</v>
      </c>
      <c r="B76" s="25" t="str">
        <f>表1温室气体盘查表!B77</f>
        <v>范围一、二相关燃料和能源相关的活动产生的排放</v>
      </c>
      <c r="C76" s="26" t="str">
        <f>表1温室气体盘查表!C77</f>
        <v>天然气生产</v>
      </c>
      <c r="D76" s="27" t="str">
        <f>表1温室气体盘查表!E77</f>
        <v>范围三 类别3</v>
      </c>
      <c r="E76" s="28">
        <f>表1温室气体盘查表!F77</f>
        <v>1796.49</v>
      </c>
      <c r="F76" s="29" t="str">
        <f>表1温室气体盘查表!G77</f>
        <v>10000Nm3</v>
      </c>
      <c r="G76" s="30" t="e">
        <f>'附表2-EF'!#REF!*10</f>
        <v>#REF!</v>
      </c>
      <c r="H76" s="29" t="s">
        <v>800</v>
      </c>
      <c r="I76" s="31">
        <f>'附表1-GWP TABLE'!E75</f>
        <v>0</v>
      </c>
      <c r="J76" s="32"/>
      <c r="K76" s="29"/>
      <c r="L76" s="31"/>
      <c r="M76" s="32"/>
      <c r="N76" s="29"/>
      <c r="O76" s="31"/>
      <c r="P76" s="33"/>
      <c r="Q76" s="34"/>
      <c r="R76" s="35"/>
      <c r="S76" s="34"/>
      <c r="T76" s="32"/>
      <c r="U76" s="29"/>
      <c r="V76" s="36"/>
      <c r="W76" s="29"/>
      <c r="X76" s="32"/>
      <c r="Y76" s="29"/>
      <c r="Z76" s="31"/>
      <c r="AA76" s="32"/>
      <c r="AB76" s="34"/>
      <c r="AC76" s="31"/>
      <c r="AD76" s="37">
        <f>表1温室气体盘查表!AE77</f>
        <v>11120.2731</v>
      </c>
      <c r="AE76" s="37">
        <f>表1温室气体盘查表!AF77</f>
        <v>0</v>
      </c>
      <c r="AF76" s="37">
        <f>表1温室气体盘查表!AG77</f>
        <v>0</v>
      </c>
      <c r="AG76" s="37">
        <f>表1温室气体盘查表!AH77</f>
        <v>0</v>
      </c>
      <c r="AH76" s="37">
        <f>表1温室气体盘查表!AI77</f>
        <v>0</v>
      </c>
      <c r="AI76" s="37">
        <f>表1温室气体盘查表!AJ77</f>
        <v>0</v>
      </c>
      <c r="AJ76" s="37">
        <f>表1温室气体盘查表!AK77</f>
        <v>0</v>
      </c>
      <c r="AK76" s="37">
        <f>表1温室气体盘查表!AL77</f>
        <v>11120.2731</v>
      </c>
    </row>
    <row r="77" spans="1:37" s="16" customFormat="1" ht="18">
      <c r="A77" s="24">
        <v>73</v>
      </c>
      <c r="B77" s="25" t="str">
        <f>表1温室气体盘查表!B78</f>
        <v>范围一、二相关燃料和能源相关的活动产生的排放</v>
      </c>
      <c r="C77" s="26" t="str">
        <f>表1温室气体盘查表!C78</f>
        <v>外购电力上游排放</v>
      </c>
      <c r="D77" s="27" t="str">
        <f>表1温室气体盘查表!E78</f>
        <v>范围三 类别3</v>
      </c>
      <c r="E77" s="28">
        <f>表1温室气体盘查表!F78</f>
        <v>1992878.77</v>
      </c>
      <c r="F77" s="29" t="str">
        <f>表1温室气体盘查表!G78</f>
        <v>MWh</v>
      </c>
      <c r="G77" s="30" t="e">
        <f>'附表2-EF'!#REF!*10</f>
        <v>#REF!</v>
      </c>
      <c r="H77" s="29" t="s">
        <v>801</v>
      </c>
      <c r="I77" s="31">
        <f>'附表1-GWP TABLE'!E76</f>
        <v>0</v>
      </c>
      <c r="J77" s="32"/>
      <c r="K77" s="29"/>
      <c r="L77" s="31"/>
      <c r="M77" s="32"/>
      <c r="N77" s="29"/>
      <c r="O77" s="31"/>
      <c r="P77" s="33"/>
      <c r="Q77" s="34"/>
      <c r="R77" s="35"/>
      <c r="S77" s="34"/>
      <c r="T77" s="32"/>
      <c r="U77" s="29"/>
      <c r="V77" s="36"/>
      <c r="W77" s="29"/>
      <c r="X77" s="32"/>
      <c r="Y77" s="29"/>
      <c r="Z77" s="31"/>
      <c r="AA77" s="32"/>
      <c r="AB77" s="34"/>
      <c r="AC77" s="31"/>
      <c r="AD77" s="37">
        <f>表1温室气体盘查表!AE78</f>
        <v>167202.52880299999</v>
      </c>
      <c r="AE77" s="37">
        <f>表1温室气体盘查表!AF78</f>
        <v>0</v>
      </c>
      <c r="AF77" s="37">
        <f>表1温室气体盘查表!AG78</f>
        <v>0</v>
      </c>
      <c r="AG77" s="37">
        <f>表1温室气体盘查表!AH78</f>
        <v>0</v>
      </c>
      <c r="AH77" s="37">
        <f>表1温室气体盘查表!AI78</f>
        <v>0</v>
      </c>
      <c r="AI77" s="37">
        <f>表1温室气体盘查表!AJ78</f>
        <v>0</v>
      </c>
      <c r="AJ77" s="37">
        <f>表1温室气体盘查表!AK78</f>
        <v>0</v>
      </c>
      <c r="AK77" s="37">
        <f>表1温室气体盘查表!AL78</f>
        <v>167202.52880299999</v>
      </c>
    </row>
    <row r="78" spans="1:37" s="16" customFormat="1" ht="18">
      <c r="A78" s="24">
        <v>74</v>
      </c>
      <c r="B78" s="25" t="str">
        <f>表1温室气体盘查表!B79</f>
        <v>上游运输配送产生的排放</v>
      </c>
      <c r="C78" s="26" t="str">
        <f>表1温室气体盘查表!C79</f>
        <v>船运</v>
      </c>
      <c r="D78" s="27" t="str">
        <f>表1温室气体盘查表!E79</f>
        <v>范围三 类别4</v>
      </c>
      <c r="E78" s="28">
        <f>表1温室气体盘查表!F79</f>
        <v>4937773501.3000002</v>
      </c>
      <c r="F78" s="29" t="str">
        <f>表1温室气体盘查表!G79</f>
        <v>tkm</v>
      </c>
      <c r="G78" s="30" t="e">
        <f>'附表2-EF'!#REF!*10</f>
        <v>#REF!</v>
      </c>
      <c r="H78" s="29" t="s">
        <v>802</v>
      </c>
      <c r="I78" s="31">
        <f>'附表1-GWP TABLE'!E77</f>
        <v>0</v>
      </c>
      <c r="J78" s="32"/>
      <c r="K78" s="29"/>
      <c r="L78" s="31"/>
      <c r="M78" s="32"/>
      <c r="N78" s="29"/>
      <c r="O78" s="31"/>
      <c r="P78" s="33"/>
      <c r="Q78" s="34"/>
      <c r="R78" s="35"/>
      <c r="S78" s="34"/>
      <c r="T78" s="32"/>
      <c r="U78" s="29"/>
      <c r="V78" s="36"/>
      <c r="W78" s="29"/>
      <c r="X78" s="32"/>
      <c r="Y78" s="29"/>
      <c r="Z78" s="31"/>
      <c r="AA78" s="32"/>
      <c r="AB78" s="34"/>
      <c r="AC78" s="31"/>
      <c r="AD78" s="37">
        <f>表1温室气体盘查表!AE79</f>
        <v>256608.96908694899</v>
      </c>
      <c r="AE78" s="37">
        <f>表1温室气体盘查表!AF79</f>
        <v>0</v>
      </c>
      <c r="AF78" s="37">
        <f>表1温室气体盘查表!AG79</f>
        <v>0</v>
      </c>
      <c r="AG78" s="37">
        <f>表1温室气体盘查表!AH79</f>
        <v>0</v>
      </c>
      <c r="AH78" s="37">
        <f>表1温室气体盘查表!AI79</f>
        <v>0</v>
      </c>
      <c r="AI78" s="37">
        <f>表1温室气体盘查表!AJ79</f>
        <v>0</v>
      </c>
      <c r="AJ78" s="37">
        <f>表1温室气体盘查表!AK79</f>
        <v>0</v>
      </c>
      <c r="AK78" s="37">
        <f>表1温室气体盘查表!AL79</f>
        <v>256608.96908694899</v>
      </c>
    </row>
    <row r="79" spans="1:37" s="16" customFormat="1" ht="18">
      <c r="A79" s="24">
        <v>75</v>
      </c>
      <c r="B79" s="25" t="str">
        <f>表1温室气体盘查表!B80</f>
        <v>上游运输配送产生的排放</v>
      </c>
      <c r="C79" s="26" t="str">
        <f>表1温室气体盘查表!C80</f>
        <v>汽运</v>
      </c>
      <c r="D79" s="27" t="str">
        <f>表1温室气体盘查表!E80</f>
        <v>范围三 类别4</v>
      </c>
      <c r="E79" s="28">
        <f>表1温室气体盘查表!F80</f>
        <v>303695957.77999997</v>
      </c>
      <c r="F79" s="29" t="str">
        <f>表1温室气体盘查表!G80</f>
        <v>tkm</v>
      </c>
      <c r="G79" s="30" t="e">
        <f>'附表2-EF'!#REF!*10</f>
        <v>#REF!</v>
      </c>
      <c r="H79" s="29" t="s">
        <v>803</v>
      </c>
      <c r="I79" s="31">
        <f>'附表1-GWP TABLE'!E78</f>
        <v>0</v>
      </c>
      <c r="J79" s="32"/>
      <c r="K79" s="29"/>
      <c r="L79" s="31"/>
      <c r="M79" s="32"/>
      <c r="N79" s="29"/>
      <c r="O79" s="31"/>
      <c r="P79" s="33"/>
      <c r="Q79" s="34"/>
      <c r="R79" s="35"/>
      <c r="S79" s="34"/>
      <c r="T79" s="32"/>
      <c r="U79" s="29"/>
      <c r="V79" s="36"/>
      <c r="W79" s="29"/>
      <c r="X79" s="32"/>
      <c r="Y79" s="29"/>
      <c r="Z79" s="31"/>
      <c r="AA79" s="32"/>
      <c r="AB79" s="34"/>
      <c r="AC79" s="31"/>
      <c r="AD79" s="37">
        <f>表1温室气体盘查表!AE80</f>
        <v>46150.511872324103</v>
      </c>
      <c r="AE79" s="37">
        <f>表1温室气体盘查表!AF80</f>
        <v>0</v>
      </c>
      <c r="AF79" s="37">
        <f>表1温室气体盘查表!AG80</f>
        <v>0</v>
      </c>
      <c r="AG79" s="37">
        <f>表1温室气体盘查表!AH80</f>
        <v>0</v>
      </c>
      <c r="AH79" s="37">
        <f>表1温室气体盘查表!AI80</f>
        <v>0</v>
      </c>
      <c r="AI79" s="37">
        <f>表1温室气体盘查表!AJ80</f>
        <v>0</v>
      </c>
      <c r="AJ79" s="37">
        <f>表1温室气体盘查表!AK80</f>
        <v>0</v>
      </c>
      <c r="AK79" s="37">
        <f>表1温室气体盘查表!AL80</f>
        <v>46150.511872324103</v>
      </c>
    </row>
    <row r="80" spans="1:37" s="16" customFormat="1" ht="18">
      <c r="A80" s="24">
        <v>76</v>
      </c>
      <c r="B80" s="25" t="str">
        <f>表1温室气体盘查表!B81</f>
        <v>上游运输配送产生的排放</v>
      </c>
      <c r="C80" s="26" t="str">
        <f>表1温室气体盘查表!C81</f>
        <v>铁路运输</v>
      </c>
      <c r="D80" s="27" t="str">
        <f>表1温室气体盘查表!E81</f>
        <v>范围三 类别4</v>
      </c>
      <c r="E80" s="28">
        <f>表1温室气体盘查表!F81</f>
        <v>1226509412.23</v>
      </c>
      <c r="F80" s="29" t="str">
        <f>表1温室气体盘查表!G81</f>
        <v>tkm</v>
      </c>
      <c r="G80" s="30" t="e">
        <f>'附表2-EF'!#REF!*10</f>
        <v>#REF!</v>
      </c>
      <c r="H80" s="29" t="s">
        <v>804</v>
      </c>
      <c r="I80" s="31">
        <f>'附表1-GWP TABLE'!E79</f>
        <v>0</v>
      </c>
      <c r="J80" s="32"/>
      <c r="K80" s="29"/>
      <c r="L80" s="31"/>
      <c r="M80" s="32"/>
      <c r="N80" s="29"/>
      <c r="O80" s="31"/>
      <c r="P80" s="33"/>
      <c r="Q80" s="34"/>
      <c r="R80" s="35"/>
      <c r="S80" s="34"/>
      <c r="T80" s="32"/>
      <c r="U80" s="29"/>
      <c r="V80" s="36"/>
      <c r="W80" s="29"/>
      <c r="X80" s="32"/>
      <c r="Y80" s="29"/>
      <c r="Z80" s="31"/>
      <c r="AA80" s="32"/>
      <c r="AB80" s="34"/>
      <c r="AC80" s="31"/>
      <c r="AD80" s="37">
        <f>表1温室气体盘查表!AE81</f>
        <v>59524.771711027199</v>
      </c>
      <c r="AE80" s="37">
        <f>表1温室气体盘查表!AF81</f>
        <v>0</v>
      </c>
      <c r="AF80" s="37">
        <f>表1温室气体盘查表!AG81</f>
        <v>0</v>
      </c>
      <c r="AG80" s="37">
        <f>表1温室气体盘查表!AH81</f>
        <v>0</v>
      </c>
      <c r="AH80" s="37">
        <f>表1温室气体盘查表!AI81</f>
        <v>0</v>
      </c>
      <c r="AI80" s="37">
        <f>表1温室气体盘查表!AJ81</f>
        <v>0</v>
      </c>
      <c r="AJ80" s="37">
        <f>表1温室气体盘查表!AK81</f>
        <v>0</v>
      </c>
      <c r="AK80" s="37">
        <f>表1温室气体盘查表!AL81</f>
        <v>59524.771711027199</v>
      </c>
    </row>
    <row r="81" spans="1:37" s="16" customFormat="1" ht="18">
      <c r="A81" s="24">
        <v>77</v>
      </c>
      <c r="B81" s="25" t="str">
        <f>表1温室气体盘查表!B82</f>
        <v>运营中产生的废物排放</v>
      </c>
      <c r="C81" s="26" t="str">
        <f>表1温室气体盘查表!C82</f>
        <v>生活垃圾和厨余垃圾</v>
      </c>
      <c r="D81" s="27" t="str">
        <f>表1温室气体盘查表!E82</f>
        <v>范围三 类别5</v>
      </c>
      <c r="E81" s="28">
        <f>表1温室气体盘查表!F82</f>
        <v>2610.16</v>
      </c>
      <c r="F81" s="29" t="str">
        <f>表1温室气体盘查表!G82</f>
        <v>t</v>
      </c>
      <c r="G81" s="30" t="e">
        <f>'附表2-EF'!#REF!*10</f>
        <v>#REF!</v>
      </c>
      <c r="H81" s="29" t="s">
        <v>805</v>
      </c>
      <c r="I81" s="31">
        <f>'附表1-GWP TABLE'!E80</f>
        <v>0</v>
      </c>
      <c r="J81" s="32"/>
      <c r="K81" s="29"/>
      <c r="L81" s="31"/>
      <c r="M81" s="32"/>
      <c r="N81" s="29"/>
      <c r="O81" s="31"/>
      <c r="P81" s="33"/>
      <c r="Q81" s="34"/>
      <c r="R81" s="35"/>
      <c r="S81" s="34"/>
      <c r="T81" s="32"/>
      <c r="U81" s="29"/>
      <c r="V81" s="36"/>
      <c r="W81" s="29"/>
      <c r="X81" s="32"/>
      <c r="Y81" s="29"/>
      <c r="Z81" s="31"/>
      <c r="AA81" s="32"/>
      <c r="AB81" s="34"/>
      <c r="AC81" s="31"/>
      <c r="AD81" s="37">
        <f>表1温室气体盘查表!AE82</f>
        <v>969.24192968968396</v>
      </c>
      <c r="AE81" s="37">
        <f>表1温室气体盘查表!AF82</f>
        <v>0</v>
      </c>
      <c r="AF81" s="37">
        <f>表1温室气体盘查表!AG82</f>
        <v>0</v>
      </c>
      <c r="AG81" s="37">
        <f>表1温室气体盘查表!AH82</f>
        <v>0</v>
      </c>
      <c r="AH81" s="37">
        <f>表1温室气体盘查表!AI82</f>
        <v>0</v>
      </c>
      <c r="AI81" s="37">
        <f>表1温室气体盘查表!AJ82</f>
        <v>0</v>
      </c>
      <c r="AJ81" s="37">
        <f>表1温室气体盘查表!AK82</f>
        <v>0</v>
      </c>
      <c r="AK81" s="37">
        <f>表1温室气体盘查表!AL82</f>
        <v>969.24192968968396</v>
      </c>
    </row>
    <row r="82" spans="1:37" s="16" customFormat="1" ht="18">
      <c r="A82" s="24">
        <v>78</v>
      </c>
      <c r="B82" s="25" t="str">
        <f>表1温室气体盘查表!B83</f>
        <v>运营中产生的废物排放</v>
      </c>
      <c r="C82" s="26" t="str">
        <f>表1温室气体盘查表!C83</f>
        <v>废油</v>
      </c>
      <c r="D82" s="27" t="str">
        <f>表1温室气体盘查表!E83</f>
        <v>范围三 类别5</v>
      </c>
      <c r="E82" s="28">
        <f>表1温室气体盘查表!F83</f>
        <v>36.75</v>
      </c>
      <c r="F82" s="29" t="str">
        <f>表1温室气体盘查表!G83</f>
        <v>t</v>
      </c>
      <c r="G82" s="30" t="e">
        <f>'附表2-EF'!#REF!*10</f>
        <v>#REF!</v>
      </c>
      <c r="H82" s="29" t="s">
        <v>806</v>
      </c>
      <c r="I82" s="31">
        <f>'附表1-GWP TABLE'!E81</f>
        <v>0</v>
      </c>
      <c r="J82" s="32"/>
      <c r="K82" s="29"/>
      <c r="L82" s="31"/>
      <c r="M82" s="32"/>
      <c r="N82" s="29"/>
      <c r="O82" s="31"/>
      <c r="P82" s="33"/>
      <c r="Q82" s="34"/>
      <c r="R82" s="35"/>
      <c r="S82" s="34"/>
      <c r="T82" s="32"/>
      <c r="U82" s="29"/>
      <c r="V82" s="36"/>
      <c r="W82" s="29"/>
      <c r="X82" s="32"/>
      <c r="Y82" s="29"/>
      <c r="Z82" s="31"/>
      <c r="AA82" s="32"/>
      <c r="AB82" s="34"/>
      <c r="AC82" s="31"/>
      <c r="AD82" s="37">
        <f>表1温室气体盘查表!AE83</f>
        <v>104.70284557036101</v>
      </c>
      <c r="AE82" s="37">
        <f>表1温室气体盘查表!AF83</f>
        <v>0</v>
      </c>
      <c r="AF82" s="37">
        <f>表1温室气体盘查表!AG83</f>
        <v>0</v>
      </c>
      <c r="AG82" s="37">
        <f>表1温室气体盘查表!AH83</f>
        <v>0</v>
      </c>
      <c r="AH82" s="37">
        <f>表1温室气体盘查表!AI83</f>
        <v>0</v>
      </c>
      <c r="AI82" s="37">
        <f>表1温室气体盘查表!AJ83</f>
        <v>0</v>
      </c>
      <c r="AJ82" s="37">
        <f>表1温室气体盘查表!AK83</f>
        <v>0</v>
      </c>
      <c r="AK82" s="37">
        <f>表1温室气体盘查表!AL83</f>
        <v>104.70284557036101</v>
      </c>
    </row>
    <row r="83" spans="1:37" s="16" customFormat="1" ht="18">
      <c r="A83" s="24">
        <v>79</v>
      </c>
      <c r="B83" s="25" t="str">
        <f>表1温室气体盘查表!B84</f>
        <v>运营中产生的废物排放</v>
      </c>
      <c r="C83" s="26" t="str">
        <f>表1温室气体盘查表!C84</f>
        <v>废油水</v>
      </c>
      <c r="D83" s="27" t="str">
        <f>表1温室气体盘查表!E84</f>
        <v>范围三 类别5</v>
      </c>
      <c r="E83" s="28">
        <f>表1温室气体盘查表!F84</f>
        <v>229.5</v>
      </c>
      <c r="F83" s="29" t="str">
        <f>表1温室气体盘查表!G84</f>
        <v>t</v>
      </c>
      <c r="G83" s="30" t="e">
        <f>'附表2-EF'!#REF!*10</f>
        <v>#REF!</v>
      </c>
      <c r="H83" s="29" t="s">
        <v>807</v>
      </c>
      <c r="I83" s="31">
        <f>'附表1-GWP TABLE'!E82</f>
        <v>0</v>
      </c>
      <c r="J83" s="32"/>
      <c r="K83" s="29"/>
      <c r="L83" s="31"/>
      <c r="M83" s="32"/>
      <c r="N83" s="29"/>
      <c r="O83" s="31"/>
      <c r="P83" s="33"/>
      <c r="Q83" s="34"/>
      <c r="R83" s="35"/>
      <c r="S83" s="34"/>
      <c r="T83" s="32"/>
      <c r="U83" s="29"/>
      <c r="V83" s="36"/>
      <c r="W83" s="29"/>
      <c r="X83" s="32"/>
      <c r="Y83" s="29"/>
      <c r="Z83" s="31"/>
      <c r="AA83" s="32"/>
      <c r="AB83" s="34"/>
      <c r="AC83" s="31"/>
      <c r="AD83" s="37">
        <f>表1温室气体盘查表!AE84</f>
        <v>653.85858662306896</v>
      </c>
      <c r="AE83" s="37">
        <f>表1温室气体盘查表!AF84</f>
        <v>0</v>
      </c>
      <c r="AF83" s="37">
        <f>表1温室气体盘查表!AG84</f>
        <v>0</v>
      </c>
      <c r="AG83" s="37">
        <f>表1温室气体盘查表!AH84</f>
        <v>0</v>
      </c>
      <c r="AH83" s="37">
        <f>表1温室气体盘查表!AI84</f>
        <v>0</v>
      </c>
      <c r="AI83" s="37">
        <f>表1温室气体盘查表!AJ84</f>
        <v>0</v>
      </c>
      <c r="AJ83" s="37">
        <f>表1温室气体盘查表!AK84</f>
        <v>0</v>
      </c>
      <c r="AK83" s="37">
        <f>表1温室气体盘查表!AL84</f>
        <v>653.85858662306896</v>
      </c>
    </row>
    <row r="84" spans="1:37" s="20" customFormat="1" ht="14.65" customHeight="1">
      <c r="A84" s="24">
        <v>80</v>
      </c>
      <c r="B84" s="25" t="str">
        <f>表1温室气体盘查表!B85</f>
        <v>运营中产生的废物排放</v>
      </c>
      <c r="C84" s="26" t="str">
        <f>表1温室气体盘查表!C85</f>
        <v>煤焦油</v>
      </c>
      <c r="D84" s="27" t="str">
        <f>表1温室气体盘查表!E85</f>
        <v>范围三 类别5</v>
      </c>
      <c r="E84" s="28">
        <f>表1温室气体盘查表!F85</f>
        <v>57478.34</v>
      </c>
      <c r="F84" s="29" t="str">
        <f>表1温室气体盘查表!G85</f>
        <v>t</v>
      </c>
      <c r="G84" s="30">
        <f>'附表2-EF'!K84*10</f>
        <v>0</v>
      </c>
      <c r="H84" s="29" t="s">
        <v>808</v>
      </c>
      <c r="I84" s="31">
        <f>'附表1-GWP TABLE'!E83</f>
        <v>0</v>
      </c>
      <c r="J84" s="32"/>
      <c r="K84" s="29"/>
      <c r="L84" s="31"/>
      <c r="M84" s="32"/>
      <c r="N84" s="29"/>
      <c r="O84" s="31"/>
      <c r="P84" s="33"/>
      <c r="Q84" s="34"/>
      <c r="R84" s="35"/>
      <c r="S84" s="34"/>
      <c r="T84" s="32"/>
      <c r="U84" s="29"/>
      <c r="V84" s="36"/>
      <c r="W84" s="29"/>
      <c r="X84" s="32"/>
      <c r="Y84" s="29"/>
      <c r="Z84" s="31"/>
      <c r="AA84" s="32"/>
      <c r="AB84" s="34"/>
      <c r="AC84" s="31"/>
      <c r="AD84" s="37">
        <f>表1温室气体盘查表!AE85</f>
        <v>145058.803127058</v>
      </c>
      <c r="AE84" s="37">
        <f>表1温室气体盘查表!AF85</f>
        <v>0</v>
      </c>
      <c r="AF84" s="37">
        <f>表1温室气体盘查表!AG85</f>
        <v>0</v>
      </c>
      <c r="AG84" s="37">
        <f>表1温室气体盘查表!AH85</f>
        <v>0</v>
      </c>
      <c r="AH84" s="37">
        <f>表1温室气体盘查表!AI85</f>
        <v>0</v>
      </c>
      <c r="AI84" s="37">
        <f>表1温室气体盘查表!AJ85</f>
        <v>0</v>
      </c>
      <c r="AJ84" s="37">
        <f>表1温室气体盘查表!AK85</f>
        <v>0</v>
      </c>
      <c r="AK84" s="37">
        <f>表1温室气体盘查表!AL85</f>
        <v>145058.803127058</v>
      </c>
    </row>
    <row r="85" spans="1:37" s="20" customFormat="1" ht="15.4" customHeight="1">
      <c r="A85" s="24">
        <v>81</v>
      </c>
      <c r="B85" s="25" t="str">
        <f>表1温室气体盘查表!B86</f>
        <v>运营中产生的废物排放</v>
      </c>
      <c r="C85" s="26" t="str">
        <f>表1温室气体盘查表!C86</f>
        <v>废弃物运输</v>
      </c>
      <c r="D85" s="27" t="str">
        <f>表1温室气体盘查表!E86</f>
        <v>范围三 类别5</v>
      </c>
      <c r="E85" s="28">
        <f>表1温室气体盘查表!F86</f>
        <v>5589690.04</v>
      </c>
      <c r="F85" s="29" t="str">
        <f>表1温室气体盘查表!G86</f>
        <v>tkm</v>
      </c>
      <c r="G85" s="30" t="e">
        <f>'附表2-EF'!#REF!*10</f>
        <v>#REF!</v>
      </c>
      <c r="H85" s="29" t="s">
        <v>809</v>
      </c>
      <c r="I85" s="31">
        <f>'附表1-GWP TABLE'!E84</f>
        <v>0</v>
      </c>
      <c r="J85" s="32"/>
      <c r="K85" s="29"/>
      <c r="L85" s="31"/>
      <c r="M85" s="32"/>
      <c r="N85" s="29"/>
      <c r="O85" s="31"/>
      <c r="P85" s="33"/>
      <c r="Q85" s="34"/>
      <c r="R85" s="35"/>
      <c r="S85" s="34"/>
      <c r="T85" s="32"/>
      <c r="U85" s="29"/>
      <c r="V85" s="36"/>
      <c r="W85" s="29"/>
      <c r="X85" s="32"/>
      <c r="Y85" s="29"/>
      <c r="Z85" s="31"/>
      <c r="AA85" s="32"/>
      <c r="AB85" s="34"/>
      <c r="AC85" s="31"/>
      <c r="AD85" s="37">
        <f>表1温室气体盘查表!AE86</f>
        <v>849.425387283242</v>
      </c>
      <c r="AE85" s="37">
        <f>表1温室气体盘查表!AF86</f>
        <v>0</v>
      </c>
      <c r="AF85" s="37">
        <f>表1温室气体盘查表!AG86</f>
        <v>0</v>
      </c>
      <c r="AG85" s="37">
        <f>表1温室气体盘查表!AH86</f>
        <v>0</v>
      </c>
      <c r="AH85" s="37">
        <f>表1温室气体盘查表!AI86</f>
        <v>0</v>
      </c>
      <c r="AI85" s="37">
        <f>表1温室气体盘查表!AJ86</f>
        <v>0</v>
      </c>
      <c r="AJ85" s="37">
        <f>表1温室气体盘查表!AK86</f>
        <v>0</v>
      </c>
      <c r="AK85" s="37">
        <f>表1温室气体盘查表!AL86</f>
        <v>849.425387283242</v>
      </c>
    </row>
    <row r="86" spans="1:37" s="20" customFormat="1" ht="18">
      <c r="A86" s="24">
        <v>82</v>
      </c>
      <c r="B86" s="25" t="str">
        <f>表1温室气体盘查表!B87</f>
        <v>商务旅行产生的排放</v>
      </c>
      <c r="C86" s="26" t="str">
        <f>表1温室气体盘查表!C87</f>
        <v>航运</v>
      </c>
      <c r="D86" s="27" t="str">
        <f>表1温室气体盘查表!E87</f>
        <v>范围三 类别6</v>
      </c>
      <c r="E86" s="28">
        <f>表1温室气体盘查表!F87</f>
        <v>3901916.53</v>
      </c>
      <c r="F86" s="29" t="str">
        <f>表1温室气体盘查表!G87</f>
        <v>passenger*km</v>
      </c>
      <c r="G86" s="30" t="e">
        <f>'附表2-EF'!#REF!*10</f>
        <v>#REF!</v>
      </c>
      <c r="H86" s="29" t="s">
        <v>810</v>
      </c>
      <c r="I86" s="31">
        <f>'附表1-GWP TABLE'!E85</f>
        <v>0</v>
      </c>
      <c r="J86" s="32"/>
      <c r="K86" s="29"/>
      <c r="L86" s="31"/>
      <c r="M86" s="32"/>
      <c r="N86" s="29"/>
      <c r="O86" s="31"/>
      <c r="P86" s="33"/>
      <c r="Q86" s="34"/>
      <c r="R86" s="35"/>
      <c r="S86" s="34"/>
      <c r="T86" s="32"/>
      <c r="U86" s="29"/>
      <c r="V86" s="36"/>
      <c r="W86" s="29"/>
      <c r="X86" s="32"/>
      <c r="Y86" s="29"/>
      <c r="Z86" s="31"/>
      <c r="AA86" s="32"/>
      <c r="AB86" s="34"/>
      <c r="AC86" s="31"/>
      <c r="AD86" s="37">
        <f>表1温室气体盘查表!AE87</f>
        <v>327.76098852000001</v>
      </c>
      <c r="AE86" s="37">
        <f>表1温室气体盘查表!AF87</f>
        <v>0</v>
      </c>
      <c r="AF86" s="37">
        <f>表1温室气体盘查表!AG87</f>
        <v>0</v>
      </c>
      <c r="AG86" s="37">
        <f>表1温室气体盘查表!AH87</f>
        <v>0</v>
      </c>
      <c r="AH86" s="37">
        <f>表1温室气体盘查表!AI87</f>
        <v>0</v>
      </c>
      <c r="AI86" s="37">
        <f>表1温室气体盘查表!AJ87</f>
        <v>0</v>
      </c>
      <c r="AJ86" s="37">
        <f>表1温室气体盘查表!AK87</f>
        <v>0</v>
      </c>
      <c r="AK86" s="37">
        <f>表1温室气体盘查表!AL87</f>
        <v>327.76098852000001</v>
      </c>
    </row>
    <row r="87" spans="1:37" s="20" customFormat="1" ht="18">
      <c r="A87" s="24">
        <v>83</v>
      </c>
      <c r="B87" s="25" t="str">
        <f>表1温室气体盘查表!B88</f>
        <v>商务旅行产生的排放</v>
      </c>
      <c r="C87" s="26" t="str">
        <f>表1温室气体盘查表!C88</f>
        <v>铁路运输</v>
      </c>
      <c r="D87" s="27" t="str">
        <f>表1温室气体盘查表!E88</f>
        <v>范围三 类别6</v>
      </c>
      <c r="E87" s="28">
        <f>表1温室气体盘查表!F88</f>
        <v>8277796.5300000003</v>
      </c>
      <c r="F87" s="29" t="str">
        <f>表1温室气体盘查表!G88</f>
        <v>passenger*km</v>
      </c>
      <c r="G87" s="30" t="e">
        <f>'附表2-EF'!#REF!*10</f>
        <v>#REF!</v>
      </c>
      <c r="H87" s="29" t="s">
        <v>811</v>
      </c>
      <c r="I87" s="31">
        <f>'附表1-GWP TABLE'!E86</f>
        <v>0</v>
      </c>
      <c r="J87" s="32"/>
      <c r="K87" s="29"/>
      <c r="L87" s="31"/>
      <c r="M87" s="32"/>
      <c r="N87" s="29"/>
      <c r="O87" s="31"/>
      <c r="P87" s="33"/>
      <c r="Q87" s="34"/>
      <c r="R87" s="35"/>
      <c r="S87" s="34"/>
      <c r="T87" s="32"/>
      <c r="U87" s="29"/>
      <c r="V87" s="36"/>
      <c r="W87" s="29"/>
      <c r="X87" s="32"/>
      <c r="Y87" s="29"/>
      <c r="Z87" s="31"/>
      <c r="AA87" s="32"/>
      <c r="AB87" s="34"/>
      <c r="AC87" s="31"/>
      <c r="AD87" s="37">
        <f>表1温室气体盘查表!AE88</f>
        <v>619.78796521528295</v>
      </c>
      <c r="AE87" s="37">
        <f>表1温室气体盘查表!AF88</f>
        <v>0</v>
      </c>
      <c r="AF87" s="37">
        <f>表1温室气体盘查表!AG88</f>
        <v>0</v>
      </c>
      <c r="AG87" s="37">
        <f>表1温室气体盘查表!AH88</f>
        <v>0</v>
      </c>
      <c r="AH87" s="37">
        <f>表1温室气体盘查表!AI88</f>
        <v>0</v>
      </c>
      <c r="AI87" s="37">
        <f>表1温室气体盘查表!AJ88</f>
        <v>0</v>
      </c>
      <c r="AJ87" s="37">
        <f>表1温室气体盘查表!AK88</f>
        <v>0</v>
      </c>
      <c r="AK87" s="37">
        <f>表1温室气体盘查表!AL88</f>
        <v>619.78796521528295</v>
      </c>
    </row>
    <row r="88" spans="1:37" ht="18" customHeight="1">
      <c r="A88" s="24">
        <v>84</v>
      </c>
      <c r="B88" s="25" t="str">
        <f>表1温室气体盘查表!B89</f>
        <v>商务旅行产生的排放</v>
      </c>
      <c r="C88" s="26" t="str">
        <f>表1温室气体盘查表!C89</f>
        <v>员工差旅住宿</v>
      </c>
      <c r="D88" s="27" t="str">
        <f>表1温室气体盘查表!E89</f>
        <v>范围三 类别6</v>
      </c>
      <c r="E88" s="28">
        <f>表1温室气体盘查表!F89</f>
        <v>13507</v>
      </c>
      <c r="F88" s="29" t="str">
        <f>表1温室气体盘查表!G89</f>
        <v>总间*晚</v>
      </c>
      <c r="G88" s="30" t="e">
        <f>'附表2-EF'!#REF!*10</f>
        <v>#REF!</v>
      </c>
      <c r="H88" s="29" t="s">
        <v>812</v>
      </c>
      <c r="I88" s="31">
        <f>'附表1-GWP TABLE'!E87</f>
        <v>0</v>
      </c>
      <c r="J88" s="32"/>
      <c r="K88" s="29"/>
      <c r="L88" s="31"/>
      <c r="M88" s="32"/>
      <c r="N88" s="29"/>
      <c r="O88" s="31"/>
      <c r="P88" s="33"/>
      <c r="Q88" s="34"/>
      <c r="R88" s="35"/>
      <c r="S88" s="34"/>
      <c r="T88" s="32"/>
      <c r="U88" s="29"/>
      <c r="V88" s="36"/>
      <c r="W88" s="29"/>
      <c r="X88" s="32"/>
      <c r="Y88" s="29"/>
      <c r="Z88" s="31"/>
      <c r="AA88" s="32"/>
      <c r="AB88" s="34"/>
      <c r="AC88" s="31"/>
      <c r="AD88" s="37">
        <f>表1温室气体盘查表!AE89</f>
        <v>722.62450000000001</v>
      </c>
      <c r="AE88" s="37">
        <f>表1温室气体盘查表!AF89</f>
        <v>0</v>
      </c>
      <c r="AF88" s="37">
        <f>表1温室气体盘查表!AG89</f>
        <v>0</v>
      </c>
      <c r="AG88" s="37">
        <f>表1温室气体盘查表!AH89</f>
        <v>0</v>
      </c>
      <c r="AH88" s="37">
        <f>表1温室气体盘查表!AI89</f>
        <v>0</v>
      </c>
      <c r="AI88" s="37">
        <f>表1温室气体盘查表!AJ89</f>
        <v>0</v>
      </c>
      <c r="AJ88" s="37">
        <f>表1温室气体盘查表!AK89</f>
        <v>0</v>
      </c>
      <c r="AK88" s="37">
        <f>表1温室气体盘查表!AL89</f>
        <v>722.62450000000001</v>
      </c>
    </row>
    <row r="89" spans="1:37" ht="18" customHeight="1">
      <c r="A89" s="24">
        <v>85</v>
      </c>
      <c r="B89" s="25" t="str">
        <f>表1温室气体盘查表!B90</f>
        <v>员工通勤产生的排放</v>
      </c>
      <c r="C89" s="26" t="str">
        <f>表1温室气体盘查表!C90</f>
        <v>通勤车</v>
      </c>
      <c r="D89" s="27" t="str">
        <f>表1温室气体盘查表!E90</f>
        <v>范围三 类别7</v>
      </c>
      <c r="E89" s="28">
        <f>表1温室气体盘查表!F90</f>
        <v>12637097</v>
      </c>
      <c r="F89" s="29" t="str">
        <f>表1温室气体盘查表!G90</f>
        <v>passenger*km</v>
      </c>
      <c r="G89" s="30" t="e">
        <f>'附表2-EF'!#REF!*10</f>
        <v>#REF!</v>
      </c>
      <c r="H89" s="29" t="s">
        <v>813</v>
      </c>
      <c r="I89" s="31">
        <f>'附表1-GWP TABLE'!E88</f>
        <v>0</v>
      </c>
      <c r="J89" s="32"/>
      <c r="K89" s="29"/>
      <c r="L89" s="31"/>
      <c r="M89" s="32"/>
      <c r="N89" s="29"/>
      <c r="O89" s="31"/>
      <c r="P89" s="33"/>
      <c r="Q89" s="34"/>
      <c r="R89" s="35"/>
      <c r="S89" s="34"/>
      <c r="T89" s="32"/>
      <c r="U89" s="29"/>
      <c r="V89" s="36"/>
      <c r="W89" s="29"/>
      <c r="X89" s="32"/>
      <c r="Y89" s="29"/>
      <c r="Z89" s="31"/>
      <c r="AA89" s="32"/>
      <c r="AB89" s="34"/>
      <c r="AC89" s="31"/>
      <c r="AD89" s="37">
        <f>表1温室气体盘查表!AE90</f>
        <v>111.2064536</v>
      </c>
      <c r="AE89" s="37">
        <f>表1温室气体盘查表!AF90</f>
        <v>0</v>
      </c>
      <c r="AF89" s="37">
        <f>表1温室气体盘查表!AG90</f>
        <v>0</v>
      </c>
      <c r="AG89" s="37">
        <f>表1温室气体盘查表!AH90</f>
        <v>0</v>
      </c>
      <c r="AH89" s="37">
        <f>表1温室气体盘查表!AI90</f>
        <v>0</v>
      </c>
      <c r="AI89" s="37">
        <f>表1温室气体盘查表!AJ90</f>
        <v>0</v>
      </c>
      <c r="AJ89" s="37">
        <f>表1温室气体盘查表!AK90</f>
        <v>0</v>
      </c>
      <c r="AK89" s="37">
        <f>表1温室气体盘查表!AL90</f>
        <v>111.2064536</v>
      </c>
    </row>
    <row r="90" spans="1:37" ht="18" customHeight="1">
      <c r="A90" s="24">
        <v>86</v>
      </c>
      <c r="B90" s="25" t="str">
        <f>表1温室气体盘查表!B91</f>
        <v>员工通勤产生的排放</v>
      </c>
      <c r="C90" s="26" t="str">
        <f>表1温室气体盘查表!C91</f>
        <v>电动车</v>
      </c>
      <c r="D90" s="27" t="str">
        <f>表1温室气体盘查表!E91</f>
        <v>范围三 类别7</v>
      </c>
      <c r="E90" s="28">
        <f>表1温室气体盘查表!F91</f>
        <v>17561466</v>
      </c>
      <c r="F90" s="29" t="str">
        <f>表1温室气体盘查表!G91</f>
        <v>passenger*km</v>
      </c>
      <c r="G90" s="30" t="e">
        <f>'附表2-EF'!#REF!*10</f>
        <v>#REF!</v>
      </c>
      <c r="H90" s="29" t="s">
        <v>814</v>
      </c>
      <c r="I90" s="31">
        <f>'附表1-GWP TABLE'!E89</f>
        <v>0</v>
      </c>
      <c r="J90" s="32"/>
      <c r="K90" s="29"/>
      <c r="L90" s="31"/>
      <c r="M90" s="32"/>
      <c r="N90" s="29"/>
      <c r="O90" s="31"/>
      <c r="P90" s="33"/>
      <c r="Q90" s="34"/>
      <c r="R90" s="35"/>
      <c r="S90" s="34"/>
      <c r="T90" s="32"/>
      <c r="U90" s="29"/>
      <c r="V90" s="36"/>
      <c r="W90" s="29"/>
      <c r="X90" s="32"/>
      <c r="Y90" s="29"/>
      <c r="Z90" s="31"/>
      <c r="AA90" s="32"/>
      <c r="AB90" s="34"/>
      <c r="AC90" s="31"/>
      <c r="AD90" s="37">
        <f>表1温室气体盘查表!AE91</f>
        <v>474.51537913020297</v>
      </c>
      <c r="AE90" s="37">
        <f>表1温室气体盘查表!AF91</f>
        <v>0</v>
      </c>
      <c r="AF90" s="37">
        <f>表1温室气体盘查表!AG91</f>
        <v>0</v>
      </c>
      <c r="AG90" s="37">
        <f>表1温室气体盘查表!AH91</f>
        <v>0</v>
      </c>
      <c r="AH90" s="37">
        <f>表1温室气体盘查表!AI91</f>
        <v>0</v>
      </c>
      <c r="AI90" s="37">
        <f>表1温室气体盘查表!AJ91</f>
        <v>0</v>
      </c>
      <c r="AJ90" s="37">
        <f>表1温室气体盘查表!AK91</f>
        <v>0</v>
      </c>
      <c r="AK90" s="37">
        <f>表1温室气体盘查表!AL91</f>
        <v>474.51537913020297</v>
      </c>
    </row>
    <row r="91" spans="1:37" ht="18" customHeight="1">
      <c r="A91" s="24">
        <v>87</v>
      </c>
      <c r="B91" s="25" t="str">
        <f>表1温室气体盘查表!B92</f>
        <v>员工通勤产生的排放</v>
      </c>
      <c r="C91" s="26" t="str">
        <f>表1温室气体盘查表!C92</f>
        <v>自驾油车</v>
      </c>
      <c r="D91" s="27" t="str">
        <f>表1温室气体盘查表!E92</f>
        <v>范围三 类别7</v>
      </c>
      <c r="E91" s="28">
        <f>表1温室气体盘查表!F92</f>
        <v>31405120</v>
      </c>
      <c r="F91" s="29" t="str">
        <f>表1温室气体盘查表!G92</f>
        <v>km</v>
      </c>
      <c r="G91" s="30" t="e">
        <f>'附表2-EF'!#REF!*10</f>
        <v>#REF!</v>
      </c>
      <c r="H91" s="29" t="s">
        <v>815</v>
      </c>
      <c r="I91" s="31">
        <f>'附表1-GWP TABLE'!E90</f>
        <v>0</v>
      </c>
      <c r="J91" s="32"/>
      <c r="K91" s="29"/>
      <c r="L91" s="31"/>
      <c r="M91" s="32"/>
      <c r="N91" s="29"/>
      <c r="O91" s="31"/>
      <c r="P91" s="33"/>
      <c r="Q91" s="34"/>
      <c r="R91" s="35"/>
      <c r="S91" s="34"/>
      <c r="T91" s="32"/>
      <c r="U91" s="29"/>
      <c r="V91" s="36"/>
      <c r="W91" s="29"/>
      <c r="X91" s="32"/>
      <c r="Y91" s="29"/>
      <c r="Z91" s="31"/>
      <c r="AA91" s="32"/>
      <c r="AB91" s="34"/>
      <c r="AC91" s="31"/>
      <c r="AD91" s="37">
        <f>表1温室气体盘查表!AE92</f>
        <v>11664.728842161199</v>
      </c>
      <c r="AE91" s="37">
        <f>表1温室气体盘查表!AF92</f>
        <v>0</v>
      </c>
      <c r="AF91" s="37">
        <f>表1温室气体盘查表!AG92</f>
        <v>0</v>
      </c>
      <c r="AG91" s="37">
        <f>表1温室气体盘查表!AH92</f>
        <v>0</v>
      </c>
      <c r="AH91" s="37">
        <f>表1温室气体盘查表!AI92</f>
        <v>0</v>
      </c>
      <c r="AI91" s="37">
        <f>表1温室气体盘查表!AJ92</f>
        <v>0</v>
      </c>
      <c r="AJ91" s="37">
        <f>表1温室气体盘查表!AK92</f>
        <v>0</v>
      </c>
      <c r="AK91" s="37">
        <f>表1温室气体盘查表!AL92</f>
        <v>11664.728842161199</v>
      </c>
    </row>
    <row r="92" spans="1:37" ht="18" customHeight="1">
      <c r="A92" s="24">
        <v>88</v>
      </c>
      <c r="B92" s="25" t="str">
        <f>表1温室气体盘查表!B93</f>
        <v>员工通勤产生的排放</v>
      </c>
      <c r="C92" s="26" t="str">
        <f>表1温室气体盘查表!C93</f>
        <v>自驾电车</v>
      </c>
      <c r="D92" s="27" t="str">
        <f>表1温室气体盘查表!E93</f>
        <v>范围三 类别7</v>
      </c>
      <c r="E92" s="28">
        <f>表1温室气体盘查表!F93</f>
        <v>2886500</v>
      </c>
      <c r="F92" s="29" t="str">
        <f>表1温室气体盘查表!G93</f>
        <v>km</v>
      </c>
      <c r="G92" s="30" t="e">
        <f>'附表2-EF'!#REF!*10</f>
        <v>#REF!</v>
      </c>
      <c r="H92" s="29" t="s">
        <v>816</v>
      </c>
      <c r="I92" s="31">
        <f>'附表1-GWP TABLE'!E91</f>
        <v>0</v>
      </c>
      <c r="J92" s="32"/>
      <c r="K92" s="29"/>
      <c r="L92" s="31"/>
      <c r="M92" s="32"/>
      <c r="N92" s="29"/>
      <c r="O92" s="31"/>
      <c r="P92" s="33"/>
      <c r="Q92" s="34"/>
      <c r="R92" s="35"/>
      <c r="S92" s="34"/>
      <c r="T92" s="32"/>
      <c r="U92" s="29"/>
      <c r="V92" s="36"/>
      <c r="W92" s="29"/>
      <c r="X92" s="32"/>
      <c r="Y92" s="29"/>
      <c r="Z92" s="31"/>
      <c r="AA92" s="32"/>
      <c r="AB92" s="34"/>
      <c r="AC92" s="31"/>
      <c r="AD92" s="37">
        <f>表1温室气体盘查表!AE93</f>
        <v>1072.1258126986399</v>
      </c>
      <c r="AE92" s="37">
        <f>表1温室气体盘查表!AF93</f>
        <v>0</v>
      </c>
      <c r="AF92" s="37">
        <f>表1温室气体盘查表!AG93</f>
        <v>0</v>
      </c>
      <c r="AG92" s="37">
        <f>表1温室气体盘查表!AH93</f>
        <v>0</v>
      </c>
      <c r="AH92" s="37">
        <f>表1温室气体盘查表!AI93</f>
        <v>0</v>
      </c>
      <c r="AI92" s="37">
        <f>表1温室气体盘查表!AJ93</f>
        <v>0</v>
      </c>
      <c r="AJ92" s="37">
        <f>表1温室气体盘查表!AK93</f>
        <v>0</v>
      </c>
      <c r="AK92" s="37">
        <f>表1温室气体盘查表!AL93</f>
        <v>1072.1258126986399</v>
      </c>
    </row>
    <row r="93" spans="1:37" ht="18" customHeight="1">
      <c r="A93" s="24">
        <v>89</v>
      </c>
      <c r="B93" s="25" t="str">
        <f>表1温室气体盘查表!B94</f>
        <v>下游运输配送产生的排放</v>
      </c>
      <c r="C93" s="26" t="str">
        <f>表1温室气体盘查表!C94</f>
        <v>船运</v>
      </c>
      <c r="D93" s="27" t="str">
        <f>表1温室气体盘查表!E94</f>
        <v>范围三 类别9</v>
      </c>
      <c r="E93" s="28">
        <f>表1温室气体盘查表!F94</f>
        <v>1029048283.74</v>
      </c>
      <c r="F93" s="29" t="str">
        <f>表1温室气体盘查表!G94</f>
        <v>tkm</v>
      </c>
      <c r="G93" s="30" t="e">
        <f>'附表2-EF'!#REF!*10</f>
        <v>#REF!</v>
      </c>
      <c r="H93" s="29" t="s">
        <v>817</v>
      </c>
      <c r="I93" s="31">
        <f>'附表1-GWP TABLE'!E92</f>
        <v>0</v>
      </c>
      <c r="J93" s="32"/>
      <c r="K93" s="29"/>
      <c r="L93" s="31"/>
      <c r="M93" s="32"/>
      <c r="N93" s="29"/>
      <c r="O93" s="31"/>
      <c r="P93" s="33"/>
      <c r="Q93" s="34"/>
      <c r="R93" s="35"/>
      <c r="S93" s="34"/>
      <c r="T93" s="32"/>
      <c r="U93" s="29"/>
      <c r="V93" s="36"/>
      <c r="W93" s="29"/>
      <c r="X93" s="32"/>
      <c r="Y93" s="29"/>
      <c r="Z93" s="31"/>
      <c r="AA93" s="32"/>
      <c r="AB93" s="34"/>
      <c r="AC93" s="31"/>
      <c r="AD93" s="37">
        <f>表1温室气体盘查表!AE94</f>
        <v>53478.1555212475</v>
      </c>
      <c r="AE93" s="37">
        <f>表1温室气体盘查表!AF94</f>
        <v>0</v>
      </c>
      <c r="AF93" s="37">
        <f>表1温室气体盘查表!AG94</f>
        <v>0</v>
      </c>
      <c r="AG93" s="37">
        <f>表1温室气体盘查表!AH94</f>
        <v>0</v>
      </c>
      <c r="AH93" s="37">
        <f>表1温室气体盘查表!AI94</f>
        <v>0</v>
      </c>
      <c r="AI93" s="37">
        <f>表1温室气体盘查表!AJ94</f>
        <v>0</v>
      </c>
      <c r="AJ93" s="37">
        <f>表1温室气体盘查表!AK94</f>
        <v>0</v>
      </c>
      <c r="AK93" s="37">
        <f>表1温室气体盘查表!AL94</f>
        <v>53478.1555212475</v>
      </c>
    </row>
    <row r="94" spans="1:37" ht="18" customHeight="1">
      <c r="A94" s="24">
        <v>90</v>
      </c>
      <c r="B94" s="25" t="str">
        <f>表1温室气体盘查表!B95</f>
        <v>下游运输配送产生的排放</v>
      </c>
      <c r="C94" s="26" t="str">
        <f>表1温室气体盘查表!C95</f>
        <v>汽运</v>
      </c>
      <c r="D94" s="27" t="str">
        <f>表1温室气体盘查表!E95</f>
        <v>范围三 类别9</v>
      </c>
      <c r="E94" s="28">
        <f>表1温室气体盘查表!F95</f>
        <v>1369080976.6600001</v>
      </c>
      <c r="F94" s="29" t="str">
        <f>表1温室气体盘查表!G95</f>
        <v>tkm</v>
      </c>
      <c r="G94" s="30" t="e">
        <f>'附表2-EF'!#REF!*10</f>
        <v>#REF!</v>
      </c>
      <c r="H94" s="29" t="s">
        <v>818</v>
      </c>
      <c r="I94" s="31">
        <f>'附表1-GWP TABLE'!E93</f>
        <v>0</v>
      </c>
      <c r="J94" s="32"/>
      <c r="K94" s="29"/>
      <c r="L94" s="31"/>
      <c r="M94" s="32"/>
      <c r="N94" s="29"/>
      <c r="O94" s="31"/>
      <c r="P94" s="33"/>
      <c r="Q94" s="34"/>
      <c r="R94" s="35"/>
      <c r="S94" s="34"/>
      <c r="T94" s="32"/>
      <c r="U94" s="29"/>
      <c r="V94" s="36"/>
      <c r="W94" s="29"/>
      <c r="X94" s="32"/>
      <c r="Y94" s="29"/>
      <c r="Z94" s="31"/>
      <c r="AA94" s="32"/>
      <c r="AB94" s="34"/>
      <c r="AC94" s="31"/>
      <c r="AD94" s="37">
        <f>表1温室气体盘查表!AE95</f>
        <v>208049.48583902899</v>
      </c>
      <c r="AE94" s="37">
        <f>表1温室气体盘查表!AF95</f>
        <v>0</v>
      </c>
      <c r="AF94" s="37">
        <f>表1温室气体盘查表!AG95</f>
        <v>0</v>
      </c>
      <c r="AG94" s="37">
        <f>表1温室气体盘查表!AH95</f>
        <v>0</v>
      </c>
      <c r="AH94" s="37">
        <f>表1温室气体盘查表!AI95</f>
        <v>0</v>
      </c>
      <c r="AI94" s="37">
        <f>表1温室气体盘查表!AJ95</f>
        <v>0</v>
      </c>
      <c r="AJ94" s="37">
        <f>表1温室气体盘查表!AK95</f>
        <v>0</v>
      </c>
      <c r="AK94" s="37">
        <f>表1温室气体盘查表!AL95</f>
        <v>208049.48583902899</v>
      </c>
    </row>
    <row r="95" spans="1:37" ht="18" customHeight="1">
      <c r="A95" s="24">
        <v>91</v>
      </c>
      <c r="B95" s="25" t="str">
        <f>表1温室气体盘查表!B96</f>
        <v>下游运输配送产生的排放</v>
      </c>
      <c r="C95" s="26" t="str">
        <f>表1温室气体盘查表!C96</f>
        <v>铁路运输</v>
      </c>
      <c r="D95" s="27" t="str">
        <f>表1温室气体盘查表!E96</f>
        <v>范围三 类别9</v>
      </c>
      <c r="E95" s="28">
        <f>表1温室气体盘查表!F96</f>
        <v>228437028.19</v>
      </c>
      <c r="F95" s="29" t="str">
        <f>表1温室气体盘查表!G96</f>
        <v>tkm</v>
      </c>
      <c r="G95" s="30" t="e">
        <f>'附表2-EF'!#REF!*10</f>
        <v>#REF!</v>
      </c>
      <c r="H95" s="29" t="s">
        <v>819</v>
      </c>
      <c r="I95" s="31">
        <f>'附表1-GWP TABLE'!E94</f>
        <v>0</v>
      </c>
      <c r="J95" s="32"/>
      <c r="K95" s="29"/>
      <c r="L95" s="31"/>
      <c r="M95" s="32"/>
      <c r="N95" s="29"/>
      <c r="O95" s="31"/>
      <c r="P95" s="33"/>
      <c r="Q95" s="34"/>
      <c r="R95" s="35"/>
      <c r="S95" s="34"/>
      <c r="T95" s="32"/>
      <c r="U95" s="29"/>
      <c r="V95" s="36"/>
      <c r="W95" s="29"/>
      <c r="X95" s="32"/>
      <c r="Y95" s="29"/>
      <c r="Z95" s="31"/>
      <c r="AA95" s="32"/>
      <c r="AB95" s="34"/>
      <c r="AC95" s="31"/>
      <c r="AD95" s="37">
        <f>表1温室气体盘查表!AE96</f>
        <v>11086.4717529011</v>
      </c>
      <c r="AE95" s="37">
        <f>表1温室气体盘查表!AF96</f>
        <v>0</v>
      </c>
      <c r="AF95" s="37">
        <f>表1温室气体盘查表!AG96</f>
        <v>0</v>
      </c>
      <c r="AG95" s="37">
        <f>表1温室气体盘查表!AH96</f>
        <v>0</v>
      </c>
      <c r="AH95" s="37">
        <f>表1温室气体盘查表!AI96</f>
        <v>0</v>
      </c>
      <c r="AI95" s="37">
        <f>表1温室气体盘查表!AJ96</f>
        <v>0</v>
      </c>
      <c r="AJ95" s="37">
        <f>表1温室气体盘查表!AK96</f>
        <v>0</v>
      </c>
      <c r="AK95" s="37">
        <f>表1温室气体盘查表!AL96</f>
        <v>11086.4717529011</v>
      </c>
    </row>
    <row r="96" spans="1:37" ht="18" customHeight="1">
      <c r="A96" s="24">
        <v>92</v>
      </c>
      <c r="B96" s="25" t="str">
        <f>表1温室气体盘查表!B97</f>
        <v>下游运输配送产生的排放</v>
      </c>
      <c r="C96" s="26" t="str">
        <f>表1温室气体盘查表!C97</f>
        <v>汽运-副产品</v>
      </c>
      <c r="D96" s="27" t="str">
        <f>表1温室气体盘查表!E97</f>
        <v>范围三 类别9</v>
      </c>
      <c r="E96" s="28">
        <f>表1温室气体盘查表!F97</f>
        <v>12973524</v>
      </c>
      <c r="F96" s="29" t="str">
        <f>表1温室气体盘查表!G97</f>
        <v>tkm</v>
      </c>
      <c r="G96" s="30" t="e">
        <f>'附表2-EF'!#REF!*10</f>
        <v>#REF!</v>
      </c>
      <c r="H96" s="29" t="s">
        <v>820</v>
      </c>
      <c r="I96" s="31">
        <f>'附表1-GWP TABLE'!E95</f>
        <v>0</v>
      </c>
      <c r="J96" s="32"/>
      <c r="K96" s="29"/>
      <c r="L96" s="31"/>
      <c r="M96" s="32"/>
      <c r="N96" s="29"/>
      <c r="O96" s="31"/>
      <c r="P96" s="33"/>
      <c r="Q96" s="34"/>
      <c r="R96" s="35"/>
      <c r="S96" s="34"/>
      <c r="T96" s="32"/>
      <c r="U96" s="29"/>
      <c r="V96" s="36"/>
      <c r="W96" s="29"/>
      <c r="X96" s="32"/>
      <c r="Y96" s="29"/>
      <c r="Z96" s="31"/>
      <c r="AA96" s="32"/>
      <c r="AB96" s="34"/>
      <c r="AC96" s="31"/>
      <c r="AD96" s="37">
        <f>表1温室气体盘查表!AE97</f>
        <v>1971.49404873413</v>
      </c>
      <c r="AE96" s="37">
        <f>表1温室气体盘查表!AF97</f>
        <v>0</v>
      </c>
      <c r="AF96" s="37">
        <f>表1温室气体盘查表!AG97</f>
        <v>0</v>
      </c>
      <c r="AG96" s="37">
        <f>表1温室气体盘查表!AH97</f>
        <v>0</v>
      </c>
      <c r="AH96" s="37">
        <f>表1温室气体盘查表!AI97</f>
        <v>0</v>
      </c>
      <c r="AI96" s="37">
        <f>表1温室气体盘查表!AJ97</f>
        <v>0</v>
      </c>
      <c r="AJ96" s="37">
        <f>表1温室气体盘查表!AK97</f>
        <v>0</v>
      </c>
      <c r="AK96" s="37">
        <f>表1温室气体盘查表!AL97</f>
        <v>1971.49404873413</v>
      </c>
    </row>
    <row r="97" spans="1:37" ht="18" customHeight="1">
      <c r="A97" s="24">
        <v>93</v>
      </c>
      <c r="B97" s="25" t="str">
        <f>表1温室气体盘查表!B98</f>
        <v>外销产品加工产生的排放</v>
      </c>
      <c r="C97" s="26" t="str">
        <f>表1温室气体盘查表!C98</f>
        <v>锻材加工</v>
      </c>
      <c r="D97" s="27" t="str">
        <f>表1温室气体盘查表!E98</f>
        <v>范围三 类别10</v>
      </c>
      <c r="E97" s="28">
        <f>表1温室气体盘查表!F98</f>
        <v>149966</v>
      </c>
      <c r="F97" s="29" t="str">
        <f>表1温室气体盘查表!G98</f>
        <v>t</v>
      </c>
      <c r="G97" s="30">
        <f>'附表2-EF'!K97*10</f>
        <v>0</v>
      </c>
      <c r="H97" s="29" t="s">
        <v>821</v>
      </c>
      <c r="I97" s="31">
        <f>'附表1-GWP TABLE'!E96</f>
        <v>0</v>
      </c>
      <c r="J97" s="32"/>
      <c r="K97" s="29"/>
      <c r="L97" s="31"/>
      <c r="M97" s="32"/>
      <c r="N97" s="29"/>
      <c r="O97" s="31"/>
      <c r="P97" s="33"/>
      <c r="Q97" s="34"/>
      <c r="R97" s="35"/>
      <c r="S97" s="34"/>
      <c r="T97" s="32"/>
      <c r="U97" s="29"/>
      <c r="V97" s="36"/>
      <c r="W97" s="29"/>
      <c r="X97" s="32"/>
      <c r="Y97" s="29"/>
      <c r="Z97" s="31"/>
      <c r="AA97" s="32"/>
      <c r="AB97" s="34"/>
      <c r="AC97" s="31"/>
      <c r="AD97" s="37">
        <f>表1温室气体盘查表!AE98</f>
        <v>113275.661420512</v>
      </c>
      <c r="AE97" s="37">
        <f>表1温室气体盘查表!AF98</f>
        <v>0</v>
      </c>
      <c r="AF97" s="37">
        <f>表1温室气体盘查表!AG98</f>
        <v>0</v>
      </c>
      <c r="AG97" s="37">
        <f>表1温室气体盘查表!AH98</f>
        <v>0</v>
      </c>
      <c r="AH97" s="37">
        <f>表1温室气体盘查表!AI98</f>
        <v>0</v>
      </c>
      <c r="AI97" s="37">
        <f>表1温室气体盘查表!AJ98</f>
        <v>0</v>
      </c>
      <c r="AJ97" s="37">
        <f>表1温室气体盘查表!AK98</f>
        <v>0</v>
      </c>
      <c r="AK97" s="37">
        <f>表1温室气体盘查表!AL98</f>
        <v>113275.661420512</v>
      </c>
    </row>
    <row r="98" spans="1:37" ht="18" customHeight="1">
      <c r="A98" s="24">
        <v>94</v>
      </c>
      <c r="B98" s="25" t="str">
        <f>表1温室气体盘查表!B99</f>
        <v>外销产品加工产生的排放</v>
      </c>
      <c r="C98" s="26" t="str">
        <f>表1温室气体盘查表!C99</f>
        <v>棒材加工</v>
      </c>
      <c r="D98" s="27" t="str">
        <f>表1温室气体盘查表!E99</f>
        <v>范围三 类别10</v>
      </c>
      <c r="E98" s="28">
        <f>表1温室气体盘查表!F99</f>
        <v>2033971</v>
      </c>
      <c r="F98" s="29" t="str">
        <f>表1温室气体盘查表!G99</f>
        <v>t</v>
      </c>
      <c r="G98" s="30" t="e">
        <f>'附表2-EF'!#REF!*10</f>
        <v>#REF!</v>
      </c>
      <c r="H98" s="29" t="s">
        <v>822</v>
      </c>
      <c r="I98" s="31">
        <f>'附表1-GWP TABLE'!E97</f>
        <v>0</v>
      </c>
      <c r="J98" s="32"/>
      <c r="K98" s="29"/>
      <c r="L98" s="31"/>
      <c r="M98" s="32"/>
      <c r="N98" s="29"/>
      <c r="O98" s="31"/>
      <c r="P98" s="33"/>
      <c r="Q98" s="34"/>
      <c r="R98" s="35"/>
      <c r="S98" s="34"/>
      <c r="T98" s="32"/>
      <c r="U98" s="29"/>
      <c r="V98" s="36"/>
      <c r="W98" s="29"/>
      <c r="X98" s="32"/>
      <c r="Y98" s="29"/>
      <c r="Z98" s="31"/>
      <c r="AA98" s="32"/>
      <c r="AB98" s="34"/>
      <c r="AC98" s="31"/>
      <c r="AD98" s="37">
        <f>表1温室气体盘查表!AE99</f>
        <v>1357195.22298588</v>
      </c>
      <c r="AE98" s="37">
        <f>表1温室气体盘查表!AF99</f>
        <v>0</v>
      </c>
      <c r="AF98" s="37">
        <f>表1温室气体盘查表!AG99</f>
        <v>0</v>
      </c>
      <c r="AG98" s="37">
        <f>表1温室气体盘查表!AH99</f>
        <v>0</v>
      </c>
      <c r="AH98" s="37">
        <f>表1温室气体盘查表!AI99</f>
        <v>0</v>
      </c>
      <c r="AI98" s="37">
        <f>表1温室气体盘查表!AJ99</f>
        <v>0</v>
      </c>
      <c r="AJ98" s="37">
        <f>表1温室气体盘查表!AK99</f>
        <v>0</v>
      </c>
      <c r="AK98" s="37">
        <f>表1温室气体盘查表!AL99</f>
        <v>1357195.22298588</v>
      </c>
    </row>
    <row r="99" spans="1:37" ht="18" customHeight="1">
      <c r="A99" s="24">
        <v>95</v>
      </c>
      <c r="B99" s="25" t="str">
        <f>表1温室气体盘查表!B100</f>
        <v>外销产品加工产生的排放</v>
      </c>
      <c r="C99" s="26" t="str">
        <f>表1温室气体盘查表!C100</f>
        <v>钢管加工</v>
      </c>
      <c r="D99" s="27" t="str">
        <f>表1温室气体盘查表!E100</f>
        <v>范围三 类别10</v>
      </c>
      <c r="E99" s="28">
        <f>表1温室气体盘查表!F100</f>
        <v>760435.74</v>
      </c>
      <c r="F99" s="29" t="str">
        <f>表1温室气体盘查表!G100</f>
        <v>t</v>
      </c>
      <c r="G99" s="30" t="e">
        <f>'附表2-EF'!#REF!*10</f>
        <v>#REF!</v>
      </c>
      <c r="H99" s="29" t="s">
        <v>823</v>
      </c>
      <c r="I99" s="31">
        <f>'附表1-GWP TABLE'!E98</f>
        <v>0</v>
      </c>
      <c r="J99" s="32"/>
      <c r="K99" s="29"/>
      <c r="L99" s="31"/>
      <c r="M99" s="32"/>
      <c r="N99" s="29"/>
      <c r="O99" s="31"/>
      <c r="P99" s="33"/>
      <c r="Q99" s="34"/>
      <c r="R99" s="35"/>
      <c r="S99" s="34"/>
      <c r="T99" s="32"/>
      <c r="U99" s="29"/>
      <c r="V99" s="36"/>
      <c r="W99" s="29"/>
      <c r="X99" s="32"/>
      <c r="Y99" s="29"/>
      <c r="Z99" s="31"/>
      <c r="AA99" s="32"/>
      <c r="AB99" s="34"/>
      <c r="AC99" s="31"/>
      <c r="AD99" s="37">
        <f>表1温室气体盘查表!AE100</f>
        <v>72250.340647773904</v>
      </c>
      <c r="AE99" s="37">
        <f>表1温室气体盘查表!AF100</f>
        <v>0</v>
      </c>
      <c r="AF99" s="37">
        <f>表1温室气体盘查表!AG100</f>
        <v>0</v>
      </c>
      <c r="AG99" s="37">
        <f>表1温室气体盘查表!AH100</f>
        <v>0</v>
      </c>
      <c r="AH99" s="37">
        <f>表1温室气体盘查表!AI100</f>
        <v>0</v>
      </c>
      <c r="AI99" s="37">
        <f>表1温室气体盘查表!AJ100</f>
        <v>0</v>
      </c>
      <c r="AJ99" s="37">
        <f>表1温室气体盘查表!AK100</f>
        <v>0</v>
      </c>
      <c r="AK99" s="37">
        <f>表1温室气体盘查表!AL100</f>
        <v>72250.340647773904</v>
      </c>
    </row>
    <row r="100" spans="1:37" ht="18" customHeight="1">
      <c r="A100" s="24">
        <v>96</v>
      </c>
      <c r="B100" s="25" t="str">
        <f>表1温室气体盘查表!B101</f>
        <v>外销产品加工产生的排放</v>
      </c>
      <c r="C100" s="26" t="str">
        <f>表1温室气体盘查表!C101</f>
        <v>钢坯加工</v>
      </c>
      <c r="D100" s="27" t="str">
        <f>表1温室气体盘查表!E101</f>
        <v>范围三 类别10</v>
      </c>
      <c r="E100" s="28">
        <f>表1温室气体盘查表!F101</f>
        <v>702589.87</v>
      </c>
      <c r="F100" s="29" t="str">
        <f>表1温室气体盘查表!G101</f>
        <v>t</v>
      </c>
      <c r="G100" s="30" t="e">
        <f>'附表2-EF'!#REF!*10</f>
        <v>#REF!</v>
      </c>
      <c r="H100" s="29" t="s">
        <v>824</v>
      </c>
      <c r="I100" s="31">
        <f>'附表1-GWP TABLE'!E99</f>
        <v>0</v>
      </c>
      <c r="J100" s="32"/>
      <c r="K100" s="29"/>
      <c r="L100" s="31"/>
      <c r="M100" s="32"/>
      <c r="N100" s="29"/>
      <c r="O100" s="31"/>
      <c r="P100" s="33"/>
      <c r="Q100" s="34"/>
      <c r="R100" s="35"/>
      <c r="S100" s="34"/>
      <c r="T100" s="32"/>
      <c r="U100" s="29"/>
      <c r="V100" s="36"/>
      <c r="W100" s="29"/>
      <c r="X100" s="32"/>
      <c r="Y100" s="29"/>
      <c r="Z100" s="31"/>
      <c r="AA100" s="32"/>
      <c r="AB100" s="34"/>
      <c r="AC100" s="31"/>
      <c r="AD100" s="37">
        <f>表1温室气体盘查表!AE101</f>
        <v>203898.734635364</v>
      </c>
      <c r="AE100" s="37">
        <f>表1温室气体盘查表!AF101</f>
        <v>0</v>
      </c>
      <c r="AF100" s="37">
        <f>表1温室气体盘查表!AG101</f>
        <v>0</v>
      </c>
      <c r="AG100" s="37">
        <f>表1温室气体盘查表!AH101</f>
        <v>0</v>
      </c>
      <c r="AH100" s="37">
        <f>表1温室气体盘查表!AI101</f>
        <v>0</v>
      </c>
      <c r="AI100" s="37">
        <f>表1温室气体盘查表!AJ101</f>
        <v>0</v>
      </c>
      <c r="AJ100" s="37">
        <f>表1温室气体盘查表!AK101</f>
        <v>0</v>
      </c>
      <c r="AK100" s="37">
        <f>表1温室气体盘查表!AL101</f>
        <v>203898.734635364</v>
      </c>
    </row>
    <row r="101" spans="1:37" ht="18" customHeight="1">
      <c r="A101" s="24">
        <v>97</v>
      </c>
      <c r="B101" s="25" t="str">
        <f>表1温室气体盘查表!B102</f>
        <v>外销产品使用产生的排放</v>
      </c>
      <c r="C101" s="26" t="str">
        <f>表1温室气体盘查表!C102</f>
        <v>外售焦炉煤气燃烧</v>
      </c>
      <c r="D101" s="27" t="str">
        <f>表1温室气体盘查表!E102</f>
        <v>范围三 类别11</v>
      </c>
      <c r="E101" s="28">
        <f>表1温室气体盘查表!F102</f>
        <v>500.97</v>
      </c>
      <c r="F101" s="29" t="str">
        <f>表1温室气体盘查表!G102</f>
        <v>10000Nm3</v>
      </c>
      <c r="G101" s="30"/>
      <c r="H101" s="29"/>
      <c r="I101" s="31"/>
      <c r="J101" s="32"/>
      <c r="K101" s="29"/>
      <c r="L101" s="31"/>
      <c r="M101" s="32"/>
      <c r="N101" s="29"/>
      <c r="O101" s="31"/>
      <c r="P101" s="33"/>
      <c r="Q101" s="34"/>
      <c r="R101" s="35"/>
      <c r="S101" s="34"/>
      <c r="T101" s="32"/>
      <c r="U101" s="29"/>
      <c r="V101" s="36"/>
      <c r="W101" s="29"/>
      <c r="X101" s="32"/>
      <c r="Y101" s="29"/>
      <c r="Z101" s="31"/>
      <c r="AA101" s="32"/>
      <c r="AB101" s="34"/>
      <c r="AC101" s="31"/>
      <c r="AD101" s="37">
        <f>表1温室气体盘查表!AE102</f>
        <v>3828.3758806312799</v>
      </c>
      <c r="AE101" s="37">
        <f>表1温室气体盘查表!AF102</f>
        <v>2.4056686276939798</v>
      </c>
      <c r="AF101" s="37">
        <f>表1温室气体盘查表!AG102</f>
        <v>2.3539338184962602</v>
      </c>
      <c r="AG101" s="37">
        <f>表1温室气体盘查表!AH102</f>
        <v>0</v>
      </c>
      <c r="AH101" s="37">
        <f>表1温室气体盘查表!AI102</f>
        <v>0</v>
      </c>
      <c r="AI101" s="37">
        <f>表1温室气体盘查表!AJ102</f>
        <v>0</v>
      </c>
      <c r="AJ101" s="37">
        <f>表1温室气体盘查表!AK102</f>
        <v>0</v>
      </c>
      <c r="AK101" s="37">
        <f>表1温室气体盘查表!AL102</f>
        <v>3833.1354830774699</v>
      </c>
    </row>
    <row r="102" spans="1:37" ht="18" customHeight="1">
      <c r="A102" s="24">
        <v>98</v>
      </c>
      <c r="B102" s="25" t="str">
        <f>表1温室气体盘查表!B103</f>
        <v>外售产品报废产生的排放</v>
      </c>
      <c r="C102" s="26" t="str">
        <f>表1温室气体盘查表!C103</f>
        <v>产品报废</v>
      </c>
      <c r="D102" s="27" t="str">
        <f>表1温室气体盘查表!E103</f>
        <v>范围三 类别12</v>
      </c>
      <c r="E102" s="28">
        <f>表1温室气体盘查表!F103</f>
        <v>598329.80000000005</v>
      </c>
      <c r="F102" s="29" t="str">
        <f>表1温室气体盘查表!G103</f>
        <v>t</v>
      </c>
      <c r="G102" s="30" t="e">
        <f>'附表2-EF'!#REF!*10</f>
        <v>#REF!</v>
      </c>
      <c r="H102" s="29" t="s">
        <v>825</v>
      </c>
      <c r="I102" s="31">
        <f>'附表1-GWP TABLE'!E100</f>
        <v>0</v>
      </c>
      <c r="J102" s="32"/>
      <c r="K102" s="29"/>
      <c r="L102" s="31"/>
      <c r="M102" s="32"/>
      <c r="N102" s="29"/>
      <c r="O102" s="31"/>
      <c r="P102" s="33"/>
      <c r="Q102" s="34"/>
      <c r="R102" s="35"/>
      <c r="S102" s="34"/>
      <c r="T102" s="32"/>
      <c r="U102" s="29"/>
      <c r="V102" s="36"/>
      <c r="W102" s="29"/>
      <c r="X102" s="32"/>
      <c r="Y102" s="29"/>
      <c r="Z102" s="31"/>
      <c r="AA102" s="32"/>
      <c r="AB102" s="34"/>
      <c r="AC102" s="31"/>
      <c r="AD102" s="37">
        <f>表1温室气体盘查表!AE103</f>
        <v>3747.3469595889401</v>
      </c>
      <c r="AE102" s="37">
        <f>表1温室气体盘查表!AF103</f>
        <v>0</v>
      </c>
      <c r="AF102" s="37">
        <f>表1温室气体盘查表!AG103</f>
        <v>0</v>
      </c>
      <c r="AG102" s="37">
        <f>表1温室气体盘查表!AH103</f>
        <v>0</v>
      </c>
      <c r="AH102" s="37">
        <f>表1温室气体盘查表!AI103</f>
        <v>0</v>
      </c>
      <c r="AI102" s="37">
        <f>表1温室气体盘查表!AJ103</f>
        <v>0</v>
      </c>
      <c r="AJ102" s="37">
        <f>表1温室气体盘查表!AK103</f>
        <v>0</v>
      </c>
      <c r="AK102" s="37">
        <f>表1温室气体盘查表!AL103</f>
        <v>3747.3469595889401</v>
      </c>
    </row>
    <row r="103" spans="1:37" ht="18" customHeight="1">
      <c r="A103" s="38"/>
      <c r="C103" s="38"/>
      <c r="D103" s="39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40">
        <f>SUM(AD5:AD102)</f>
        <v>15580383.6633169</v>
      </c>
      <c r="AE103" s="40">
        <f t="shared" ref="AE103:AK103" si="0">SUM(AE5:AE102)</f>
        <v>2572.0892034866602</v>
      </c>
      <c r="AF103" s="40">
        <f t="shared" si="0"/>
        <v>30424.969256205499</v>
      </c>
      <c r="AG103" s="40">
        <f t="shared" si="0"/>
        <v>717.03</v>
      </c>
      <c r="AH103" s="40">
        <f t="shared" si="0"/>
        <v>0</v>
      </c>
      <c r="AI103" s="40">
        <f t="shared" si="0"/>
        <v>2459.16</v>
      </c>
      <c r="AJ103" s="40">
        <f t="shared" si="0"/>
        <v>0</v>
      </c>
      <c r="AK103" s="41">
        <f t="shared" si="0"/>
        <v>15616556.9117766</v>
      </c>
    </row>
    <row r="104" spans="1:37" ht="18" customHeight="1">
      <c r="C104" s="21"/>
    </row>
    <row r="105" spans="1:37" ht="18" customHeight="1">
      <c r="C105" s="21"/>
    </row>
    <row r="106" spans="1:37" ht="18" customHeight="1">
      <c r="C106" s="21"/>
    </row>
    <row r="107" spans="1:37" ht="18" customHeight="1">
      <c r="C107" s="21"/>
    </row>
    <row r="108" spans="1:37" ht="18" customHeight="1">
      <c r="C108" s="21"/>
    </row>
    <row r="109" spans="1:37" ht="18" customHeight="1">
      <c r="C109" s="21"/>
    </row>
    <row r="110" spans="1:37" ht="18" customHeight="1">
      <c r="C110" s="21"/>
    </row>
    <row r="111" spans="1:37" ht="18" customHeight="1">
      <c r="C111" s="21"/>
    </row>
    <row r="112" spans="1:37" ht="18" customHeight="1">
      <c r="C112" s="21"/>
    </row>
    <row r="113" spans="3:3" ht="18" customHeight="1">
      <c r="C113" s="21"/>
    </row>
    <row r="114" spans="3:3" ht="18" customHeight="1">
      <c r="C114" s="21"/>
    </row>
    <row r="115" spans="3:3" ht="18" customHeight="1">
      <c r="C115" s="21"/>
    </row>
    <row r="116" spans="3:3" ht="18" customHeight="1">
      <c r="C116" s="21"/>
    </row>
    <row r="117" spans="3:3" ht="18" customHeight="1">
      <c r="C117" s="21"/>
    </row>
    <row r="118" spans="3:3" ht="18" customHeight="1">
      <c r="C118" s="21"/>
    </row>
    <row r="119" spans="3:3" ht="18" customHeight="1">
      <c r="C119" s="21"/>
    </row>
    <row r="120" spans="3:3" ht="18" customHeight="1">
      <c r="C120" s="21"/>
    </row>
    <row r="121" spans="3:3" ht="18" customHeight="1">
      <c r="C121" s="21"/>
    </row>
    <row r="122" spans="3:3" ht="18" customHeight="1">
      <c r="C122" s="21"/>
    </row>
    <row r="123" spans="3:3" ht="18" customHeight="1">
      <c r="C123" s="21"/>
    </row>
    <row r="124" spans="3:3" ht="18" customHeight="1">
      <c r="C124" s="21"/>
    </row>
    <row r="125" spans="3:3" ht="18" customHeight="1">
      <c r="C125" s="21"/>
    </row>
    <row r="126" spans="3:3" ht="18" customHeight="1">
      <c r="C126" s="21"/>
    </row>
    <row r="127" spans="3:3" ht="18" customHeight="1">
      <c r="C127" s="21"/>
    </row>
    <row r="128" spans="3:3">
      <c r="C128" s="21"/>
    </row>
    <row r="129" spans="3:3">
      <c r="C129" s="21"/>
    </row>
    <row r="130" spans="3:3">
      <c r="C130" s="21"/>
    </row>
    <row r="131" spans="3:3">
      <c r="C131" s="21"/>
    </row>
    <row r="132" spans="3:3">
      <c r="C132" s="21"/>
    </row>
    <row r="133" spans="3:3">
      <c r="C133" s="21"/>
    </row>
    <row r="134" spans="3:3">
      <c r="C134" s="21"/>
    </row>
    <row r="135" spans="3:3">
      <c r="C135" s="21"/>
    </row>
    <row r="136" spans="3:3">
      <c r="C136" s="21"/>
    </row>
    <row r="137" spans="3:3">
      <c r="C137" s="21"/>
    </row>
    <row r="138" spans="3:3">
      <c r="C138" s="21"/>
    </row>
    <row r="139" spans="3:3">
      <c r="C139" s="21"/>
    </row>
    <row r="140" spans="3:3">
      <c r="C140" s="21"/>
    </row>
    <row r="141" spans="3:3">
      <c r="C141" s="21"/>
    </row>
    <row r="142" spans="3:3">
      <c r="C142" s="21"/>
    </row>
    <row r="143" spans="3:3">
      <c r="C143" s="21"/>
    </row>
    <row r="144" spans="3:3">
      <c r="C144" s="21"/>
    </row>
    <row r="145" spans="3:3">
      <c r="C145" s="21"/>
    </row>
    <row r="146" spans="3:3">
      <c r="C146" s="21"/>
    </row>
    <row r="147" spans="3:3">
      <c r="C147" s="21"/>
    </row>
    <row r="148" spans="3:3">
      <c r="C148" s="21"/>
    </row>
    <row r="149" spans="3:3">
      <c r="C149" s="21"/>
    </row>
    <row r="150" spans="3:3">
      <c r="C150" s="21"/>
    </row>
    <row r="151" spans="3:3">
      <c r="C151" s="21"/>
    </row>
    <row r="152" spans="3:3">
      <c r="C152" s="21"/>
    </row>
    <row r="153" spans="3:3">
      <c r="C153" s="21"/>
    </row>
    <row r="154" spans="3:3">
      <c r="C154" s="21"/>
    </row>
    <row r="155" spans="3:3">
      <c r="C155" s="21"/>
    </row>
    <row r="156" spans="3:3">
      <c r="C156" s="21"/>
    </row>
    <row r="157" spans="3:3">
      <c r="C157" s="21"/>
    </row>
    <row r="158" spans="3:3">
      <c r="C158" s="21"/>
    </row>
    <row r="159" spans="3:3">
      <c r="C159" s="21"/>
    </row>
    <row r="160" spans="3:3">
      <c r="C160" s="21"/>
    </row>
    <row r="161" spans="3:3">
      <c r="C161" s="21"/>
    </row>
    <row r="162" spans="3:3">
      <c r="C162" s="21"/>
    </row>
    <row r="163" spans="3:3">
      <c r="C163" s="21"/>
    </row>
    <row r="164" spans="3:3">
      <c r="C164" s="21"/>
    </row>
    <row r="165" spans="3:3">
      <c r="C165" s="21"/>
    </row>
    <row r="166" spans="3:3">
      <c r="C166" s="21"/>
    </row>
    <row r="167" spans="3:3">
      <c r="C167" s="21"/>
    </row>
    <row r="168" spans="3:3">
      <c r="C168" s="21"/>
    </row>
    <row r="169" spans="3:3">
      <c r="C169" s="21"/>
    </row>
    <row r="170" spans="3:3">
      <c r="C170" s="21"/>
    </row>
  </sheetData>
  <mergeCells count="16">
    <mergeCell ref="A1:AK1"/>
    <mergeCell ref="G2:AC2"/>
    <mergeCell ref="AD2:AK2"/>
    <mergeCell ref="G3:I3"/>
    <mergeCell ref="J3:L3"/>
    <mergeCell ref="M3:O3"/>
    <mergeCell ref="P3:S3"/>
    <mergeCell ref="T3:W3"/>
    <mergeCell ref="X3:Z3"/>
    <mergeCell ref="AA3:AC3"/>
    <mergeCell ref="AD4:AK4"/>
    <mergeCell ref="A2:A4"/>
    <mergeCell ref="B2:B4"/>
    <mergeCell ref="C2:C4"/>
    <mergeCell ref="D2:D4"/>
    <mergeCell ref="E2:F3"/>
  </mergeCells>
  <phoneticPr fontId="87" type="noConversion"/>
  <printOptions horizontalCentered="1"/>
  <pageMargins left="0" right="0" top="0.70866141732283505" bottom="0.511811023622047" header="0.39370078740157499" footer="0.35433070866141703"/>
  <pageSetup paperSize="9" scale="64" fitToWidth="3" orientation="landscape"/>
  <headerFooter alignWithMargins="0">
    <oddFooter>&amp;L文件名称：温室气体盘查表V1.0_20111226</oddFooter>
  </headerFooter>
  <colBreaks count="1" manualBreakCount="1">
    <brk id="29" max="53" man="1"/>
  </colBreaks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56"/>
  <sheetViews>
    <sheetView topLeftCell="A43" zoomScale="115" zoomScaleNormal="115" workbookViewId="0">
      <selection activeCell="P56" sqref="P56:W56"/>
    </sheetView>
  </sheetViews>
  <sheetFormatPr defaultColWidth="9" defaultRowHeight="15"/>
  <cols>
    <col min="1" max="1" width="7.75" customWidth="1"/>
    <col min="2" max="2" width="8.125" style="1" customWidth="1"/>
    <col min="3" max="3" width="11.25" style="1" customWidth="1"/>
    <col min="4" max="4" width="6.375" style="1" customWidth="1"/>
    <col min="5" max="5" width="7" style="1" customWidth="1"/>
    <col min="6" max="6" width="5" style="1" customWidth="1"/>
    <col min="7" max="7" width="4.125" style="1" customWidth="1"/>
    <col min="8" max="8" width="6" style="1" customWidth="1"/>
    <col min="9" max="9" width="3.75" style="1" customWidth="1"/>
    <col min="10" max="10" width="11.125" style="1" customWidth="1"/>
    <col min="11" max="11" width="9" style="2"/>
    <col min="12" max="12" width="9" customWidth="1"/>
    <col min="15" max="23" width="8" customWidth="1"/>
  </cols>
  <sheetData>
    <row r="1" spans="1:23">
      <c r="A1" s="580" t="s">
        <v>217</v>
      </c>
      <c r="B1" s="579" t="s">
        <v>827</v>
      </c>
      <c r="C1" s="579"/>
      <c r="D1" s="579"/>
      <c r="E1" s="579"/>
      <c r="F1" s="579"/>
      <c r="G1" s="579"/>
      <c r="H1" s="579"/>
      <c r="I1" s="579"/>
      <c r="J1" s="579"/>
      <c r="K1" s="3" t="s">
        <v>828</v>
      </c>
      <c r="L1" s="3" t="s">
        <v>828</v>
      </c>
      <c r="N1" s="574" t="s">
        <v>217</v>
      </c>
      <c r="O1" s="571" t="s">
        <v>827</v>
      </c>
      <c r="P1" s="572"/>
      <c r="Q1" s="572"/>
      <c r="R1" s="572"/>
      <c r="S1" s="572"/>
      <c r="T1" s="572"/>
      <c r="U1" s="572"/>
      <c r="V1" s="572"/>
      <c r="W1" s="573"/>
    </row>
    <row r="2" spans="1:23">
      <c r="A2" s="581"/>
      <c r="B2" s="4" t="s">
        <v>829</v>
      </c>
      <c r="C2" s="5" t="s">
        <v>202</v>
      </c>
      <c r="D2" s="5" t="s">
        <v>203</v>
      </c>
      <c r="E2" s="5" t="s">
        <v>204</v>
      </c>
      <c r="F2" s="5" t="s">
        <v>29</v>
      </c>
      <c r="G2" s="5" t="s">
        <v>30</v>
      </c>
      <c r="H2" s="5" t="s">
        <v>205</v>
      </c>
      <c r="I2" s="5" t="s">
        <v>206</v>
      </c>
      <c r="J2" s="4" t="s">
        <v>25</v>
      </c>
      <c r="N2" s="575"/>
      <c r="O2" s="562" t="s">
        <v>829</v>
      </c>
      <c r="P2" s="563" t="s">
        <v>202</v>
      </c>
      <c r="Q2" s="563" t="s">
        <v>203</v>
      </c>
      <c r="R2" s="563" t="s">
        <v>204</v>
      </c>
      <c r="S2" s="563" t="s">
        <v>29</v>
      </c>
      <c r="T2" s="563" t="s">
        <v>30</v>
      </c>
      <c r="U2" s="563" t="s">
        <v>205</v>
      </c>
      <c r="V2" s="563" t="s">
        <v>206</v>
      </c>
      <c r="W2" s="562" t="s">
        <v>25</v>
      </c>
    </row>
    <row r="3" spans="1:23" ht="27">
      <c r="A3" s="582"/>
      <c r="B3" s="6" t="s">
        <v>830</v>
      </c>
      <c r="C3" s="7">
        <f>表1温室气体盘查表!B110</f>
        <v>7086080.3451288501</v>
      </c>
      <c r="D3" s="7">
        <f>表1温室气体盘查表!C110</f>
        <v>2569.6835348589698</v>
      </c>
      <c r="E3" s="7">
        <f>表1温室气体盘查表!D110</f>
        <v>30422.615322386999</v>
      </c>
      <c r="F3" s="7">
        <f>表1温室气体盘查表!E110</f>
        <v>717.03</v>
      </c>
      <c r="G3" s="7">
        <f>表1温室气体盘查表!F110</f>
        <v>0</v>
      </c>
      <c r="H3" s="7">
        <f>表1温室气体盘查表!G110</f>
        <v>2459.16</v>
      </c>
      <c r="I3" s="7">
        <f>表1温室气体盘查表!H110</f>
        <v>0</v>
      </c>
      <c r="J3" s="7">
        <f>表1温室气体盘查表!I110</f>
        <v>7122248.8339860998</v>
      </c>
      <c r="K3" s="8">
        <f>J3/$J$56</f>
        <v>0.45878863758212302</v>
      </c>
      <c r="N3" s="576"/>
      <c r="O3" s="564" t="s">
        <v>830</v>
      </c>
      <c r="P3" s="565" t="s">
        <v>1027</v>
      </c>
      <c r="Q3" s="565" t="s">
        <v>1028</v>
      </c>
      <c r="R3" s="565" t="s">
        <v>1029</v>
      </c>
      <c r="S3" s="565" t="s">
        <v>1030</v>
      </c>
      <c r="T3" s="565" t="s">
        <v>1031</v>
      </c>
      <c r="U3" s="565" t="s">
        <v>1032</v>
      </c>
      <c r="V3" s="565" t="s">
        <v>1033</v>
      </c>
      <c r="W3" s="565" t="s">
        <v>1034</v>
      </c>
    </row>
    <row r="4" spans="1:23">
      <c r="A4" s="580" t="s">
        <v>279</v>
      </c>
      <c r="B4" s="579" t="s">
        <v>831</v>
      </c>
      <c r="C4" s="579"/>
      <c r="D4" s="579"/>
      <c r="E4" s="579"/>
      <c r="F4" s="579"/>
      <c r="G4" s="579"/>
      <c r="H4" s="579"/>
      <c r="I4" s="579"/>
      <c r="J4" s="579"/>
      <c r="N4" s="574" t="s">
        <v>279</v>
      </c>
      <c r="O4" s="571" t="s">
        <v>831</v>
      </c>
      <c r="P4" s="572"/>
      <c r="Q4" s="572"/>
      <c r="R4" s="572"/>
      <c r="S4" s="572"/>
      <c r="T4" s="572"/>
      <c r="U4" s="572"/>
      <c r="V4" s="572"/>
      <c r="W4" s="573"/>
    </row>
    <row r="5" spans="1:23">
      <c r="A5" s="581"/>
      <c r="B5" s="4" t="s">
        <v>829</v>
      </c>
      <c r="C5" s="5" t="s">
        <v>202</v>
      </c>
      <c r="D5" s="5" t="s">
        <v>203</v>
      </c>
      <c r="E5" s="5" t="s">
        <v>204</v>
      </c>
      <c r="F5" s="5" t="s">
        <v>29</v>
      </c>
      <c r="G5" s="5" t="s">
        <v>30</v>
      </c>
      <c r="H5" s="5" t="s">
        <v>205</v>
      </c>
      <c r="I5" s="5" t="s">
        <v>206</v>
      </c>
      <c r="J5" s="4" t="s">
        <v>25</v>
      </c>
      <c r="N5" s="575"/>
      <c r="O5" s="562" t="s">
        <v>829</v>
      </c>
      <c r="P5" s="563" t="s">
        <v>202</v>
      </c>
      <c r="Q5" s="563" t="s">
        <v>203</v>
      </c>
      <c r="R5" s="563" t="s">
        <v>204</v>
      </c>
      <c r="S5" s="563" t="s">
        <v>29</v>
      </c>
      <c r="T5" s="563" t="s">
        <v>30</v>
      </c>
      <c r="U5" s="563" t="s">
        <v>205</v>
      </c>
      <c r="V5" s="563" t="s">
        <v>206</v>
      </c>
      <c r="W5" s="562" t="s">
        <v>25</v>
      </c>
    </row>
    <row r="6" spans="1:23" ht="27">
      <c r="A6" s="582"/>
      <c r="B6" s="9" t="s">
        <v>830</v>
      </c>
      <c r="C6" s="10">
        <f>表1温室气体盘查表!C114</f>
        <v>1069378.747982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f>表1温室气体盘查表!D114</f>
        <v>1069378.747982</v>
      </c>
      <c r="K6" s="8">
        <f>J6/$J$56</f>
        <v>6.8885380205307198E-2</v>
      </c>
      <c r="N6" s="576"/>
      <c r="O6" s="566" t="s">
        <v>830</v>
      </c>
      <c r="P6" s="565" t="s">
        <v>1035</v>
      </c>
      <c r="Q6" s="565" t="s">
        <v>1036</v>
      </c>
      <c r="R6" s="565" t="s">
        <v>1037</v>
      </c>
      <c r="S6" s="565" t="s">
        <v>1038</v>
      </c>
      <c r="T6" s="565" t="s">
        <v>1039</v>
      </c>
      <c r="U6" s="565" t="s">
        <v>1040</v>
      </c>
      <c r="V6" s="565" t="s">
        <v>1041</v>
      </c>
      <c r="W6" s="565" t="s">
        <v>1042</v>
      </c>
    </row>
    <row r="7" spans="1:23">
      <c r="A7" s="568" t="s">
        <v>832</v>
      </c>
      <c r="B7" s="579" t="s">
        <v>833</v>
      </c>
      <c r="C7" s="579"/>
      <c r="D7" s="579"/>
      <c r="E7" s="579"/>
      <c r="F7" s="579"/>
      <c r="G7" s="579"/>
      <c r="H7" s="579"/>
      <c r="I7" s="579"/>
      <c r="J7" s="579"/>
      <c r="N7" s="568" t="s">
        <v>832</v>
      </c>
      <c r="O7" s="571" t="s">
        <v>833</v>
      </c>
      <c r="P7" s="572"/>
      <c r="Q7" s="572"/>
      <c r="R7" s="572"/>
      <c r="S7" s="572"/>
      <c r="T7" s="572"/>
      <c r="U7" s="572"/>
      <c r="V7" s="572"/>
      <c r="W7" s="573"/>
    </row>
    <row r="8" spans="1:23">
      <c r="A8" s="577"/>
      <c r="B8" s="4" t="s">
        <v>829</v>
      </c>
      <c r="C8" s="5" t="s">
        <v>202</v>
      </c>
      <c r="D8" s="5" t="s">
        <v>203</v>
      </c>
      <c r="E8" s="5" t="s">
        <v>204</v>
      </c>
      <c r="F8" s="5" t="s">
        <v>29</v>
      </c>
      <c r="G8" s="5" t="s">
        <v>30</v>
      </c>
      <c r="H8" s="5" t="s">
        <v>205</v>
      </c>
      <c r="I8" s="5" t="s">
        <v>206</v>
      </c>
      <c r="J8" s="4" t="s">
        <v>25</v>
      </c>
      <c r="N8" s="569"/>
      <c r="O8" s="562" t="s">
        <v>829</v>
      </c>
      <c r="P8" s="563" t="s">
        <v>202</v>
      </c>
      <c r="Q8" s="563" t="s">
        <v>203</v>
      </c>
      <c r="R8" s="563" t="s">
        <v>204</v>
      </c>
      <c r="S8" s="563" t="s">
        <v>29</v>
      </c>
      <c r="T8" s="563" t="s">
        <v>30</v>
      </c>
      <c r="U8" s="563" t="s">
        <v>205</v>
      </c>
      <c r="V8" s="563" t="s">
        <v>206</v>
      </c>
      <c r="W8" s="562" t="s">
        <v>25</v>
      </c>
    </row>
    <row r="9" spans="1:23" ht="27">
      <c r="A9" s="578"/>
      <c r="B9" s="11" t="s">
        <v>830</v>
      </c>
      <c r="C9" s="12">
        <f>表1温室气体盘查表!B120</f>
        <v>2710165.6193504599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f>表1温室气体盘查表!C120</f>
        <v>2710165.6193504599</v>
      </c>
      <c r="K9" s="8">
        <f>J9/$J$56</f>
        <v>0.17457873504650101</v>
      </c>
      <c r="L9" s="14">
        <f>K9/SUM($K$9:$K$51)</f>
        <v>0.36961469048641699</v>
      </c>
      <c r="N9" s="570"/>
      <c r="O9" s="13" t="s">
        <v>830</v>
      </c>
      <c r="P9" s="565" t="s">
        <v>1043</v>
      </c>
      <c r="Q9" s="565" t="s">
        <v>1044</v>
      </c>
      <c r="R9" s="565" t="s">
        <v>1045</v>
      </c>
      <c r="S9" s="565" t="s">
        <v>1046</v>
      </c>
      <c r="T9" s="565" t="s">
        <v>1047</v>
      </c>
      <c r="U9" s="565" t="s">
        <v>1048</v>
      </c>
      <c r="V9" s="565" t="s">
        <v>1049</v>
      </c>
      <c r="W9" s="565" t="s">
        <v>1050</v>
      </c>
    </row>
    <row r="10" spans="1:23">
      <c r="A10" s="568" t="s">
        <v>834</v>
      </c>
      <c r="B10" s="579" t="s">
        <v>835</v>
      </c>
      <c r="C10" s="579"/>
      <c r="D10" s="579"/>
      <c r="E10" s="579"/>
      <c r="F10" s="579"/>
      <c r="G10" s="579"/>
      <c r="H10" s="579"/>
      <c r="I10" s="579"/>
      <c r="J10" s="579"/>
      <c r="N10" s="568" t="s">
        <v>834</v>
      </c>
      <c r="O10" s="571" t="s">
        <v>835</v>
      </c>
      <c r="P10" s="572"/>
      <c r="Q10" s="572"/>
      <c r="R10" s="572"/>
      <c r="S10" s="572"/>
      <c r="T10" s="572"/>
      <c r="U10" s="572"/>
      <c r="V10" s="572"/>
      <c r="W10" s="573"/>
    </row>
    <row r="11" spans="1:23">
      <c r="A11" s="577"/>
      <c r="B11" s="4" t="s">
        <v>829</v>
      </c>
      <c r="C11" s="5" t="s">
        <v>202</v>
      </c>
      <c r="D11" s="5" t="s">
        <v>203</v>
      </c>
      <c r="E11" s="5" t="s">
        <v>204</v>
      </c>
      <c r="F11" s="5" t="s">
        <v>29</v>
      </c>
      <c r="G11" s="5" t="s">
        <v>30</v>
      </c>
      <c r="H11" s="5" t="s">
        <v>205</v>
      </c>
      <c r="I11" s="5" t="s">
        <v>206</v>
      </c>
      <c r="J11" s="4" t="s">
        <v>25</v>
      </c>
      <c r="N11" s="569"/>
      <c r="O11" s="562" t="s">
        <v>829</v>
      </c>
      <c r="P11" s="563" t="s">
        <v>202</v>
      </c>
      <c r="Q11" s="563" t="s">
        <v>203</v>
      </c>
      <c r="R11" s="563" t="s">
        <v>204</v>
      </c>
      <c r="S11" s="563" t="s">
        <v>29</v>
      </c>
      <c r="T11" s="563" t="s">
        <v>30</v>
      </c>
      <c r="U11" s="563" t="s">
        <v>205</v>
      </c>
      <c r="V11" s="563" t="s">
        <v>206</v>
      </c>
      <c r="W11" s="562" t="s">
        <v>25</v>
      </c>
    </row>
    <row r="12" spans="1:23" ht="27">
      <c r="A12" s="578"/>
      <c r="B12" s="11" t="s">
        <v>830</v>
      </c>
      <c r="C12" s="12">
        <f>表1温室气体盘查表!B124</f>
        <v>51806.970343360001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f>C12</f>
        <v>51806.970343360001</v>
      </c>
      <c r="K12" s="8">
        <f>J12/$J$56</f>
        <v>3.3372113071462499E-3</v>
      </c>
      <c r="L12" s="8">
        <f>K12/SUM($K$9:$K$51)</f>
        <v>7.0654786452088803E-3</v>
      </c>
      <c r="N12" s="570"/>
      <c r="O12" s="13" t="s">
        <v>830</v>
      </c>
      <c r="P12" s="565" t="s">
        <v>1051</v>
      </c>
      <c r="Q12" s="565" t="s">
        <v>1052</v>
      </c>
      <c r="R12" s="565" t="s">
        <v>1053</v>
      </c>
      <c r="S12" s="565" t="s">
        <v>1054</v>
      </c>
      <c r="T12" s="565" t="s">
        <v>1055</v>
      </c>
      <c r="U12" s="565" t="s">
        <v>1056</v>
      </c>
      <c r="V12" s="565" t="s">
        <v>1057</v>
      </c>
      <c r="W12" s="565" t="s">
        <v>1058</v>
      </c>
    </row>
    <row r="13" spans="1:23">
      <c r="A13" s="568" t="s">
        <v>836</v>
      </c>
      <c r="B13" s="579" t="s">
        <v>654</v>
      </c>
      <c r="C13" s="579"/>
      <c r="D13" s="579"/>
      <c r="E13" s="579"/>
      <c r="F13" s="579"/>
      <c r="G13" s="579"/>
      <c r="H13" s="579"/>
      <c r="I13" s="579"/>
      <c r="J13" s="579"/>
      <c r="N13" s="568" t="s">
        <v>836</v>
      </c>
      <c r="O13" s="571" t="s">
        <v>654</v>
      </c>
      <c r="P13" s="572"/>
      <c r="Q13" s="572"/>
      <c r="R13" s="572"/>
      <c r="S13" s="572"/>
      <c r="T13" s="572"/>
      <c r="U13" s="572"/>
      <c r="V13" s="572"/>
      <c r="W13" s="573"/>
    </row>
    <row r="14" spans="1:23">
      <c r="A14" s="577"/>
      <c r="B14" s="4" t="s">
        <v>829</v>
      </c>
      <c r="C14" s="5" t="s">
        <v>202</v>
      </c>
      <c r="D14" s="5" t="s">
        <v>203</v>
      </c>
      <c r="E14" s="5" t="s">
        <v>204</v>
      </c>
      <c r="F14" s="5" t="s">
        <v>29</v>
      </c>
      <c r="G14" s="5" t="s">
        <v>30</v>
      </c>
      <c r="H14" s="5" t="s">
        <v>205</v>
      </c>
      <c r="I14" s="5" t="s">
        <v>206</v>
      </c>
      <c r="J14" s="4" t="s">
        <v>25</v>
      </c>
      <c r="N14" s="569"/>
      <c r="O14" s="562" t="s">
        <v>829</v>
      </c>
      <c r="P14" s="563" t="s">
        <v>202</v>
      </c>
      <c r="Q14" s="563" t="s">
        <v>203</v>
      </c>
      <c r="R14" s="563" t="s">
        <v>204</v>
      </c>
      <c r="S14" s="563" t="s">
        <v>29</v>
      </c>
      <c r="T14" s="563" t="s">
        <v>30</v>
      </c>
      <c r="U14" s="563" t="s">
        <v>205</v>
      </c>
      <c r="V14" s="563" t="s">
        <v>206</v>
      </c>
      <c r="W14" s="562" t="s">
        <v>25</v>
      </c>
    </row>
    <row r="15" spans="1:23" ht="27">
      <c r="A15" s="578"/>
      <c r="B15" s="11" t="s">
        <v>830</v>
      </c>
      <c r="C15" s="12">
        <f>表1温室气体盘查表!B128</f>
        <v>2016736.07196272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f>C15</f>
        <v>2016736.07196272</v>
      </c>
      <c r="K15" s="8">
        <f>J15/$J$56</f>
        <v>0.12991059655250201</v>
      </c>
      <c r="L15" s="14">
        <f>K15/SUM($K$9:$K$51)</f>
        <v>0.27504417948079002</v>
      </c>
      <c r="N15" s="570"/>
      <c r="O15" s="13" t="s">
        <v>830</v>
      </c>
      <c r="P15" s="565" t="s">
        <v>1059</v>
      </c>
      <c r="Q15" s="565" t="s">
        <v>1060</v>
      </c>
      <c r="R15" s="565" t="s">
        <v>1061</v>
      </c>
      <c r="S15" s="565" t="s">
        <v>1062</v>
      </c>
      <c r="T15" s="565" t="s">
        <v>1063</v>
      </c>
      <c r="U15" s="565" t="s">
        <v>1064</v>
      </c>
      <c r="V15" s="565" t="s">
        <v>1065</v>
      </c>
      <c r="W15" s="565" t="s">
        <v>1066</v>
      </c>
    </row>
    <row r="16" spans="1:23">
      <c r="A16" s="568" t="s">
        <v>837</v>
      </c>
      <c r="B16" s="579" t="s">
        <v>346</v>
      </c>
      <c r="C16" s="579"/>
      <c r="D16" s="579"/>
      <c r="E16" s="579"/>
      <c r="F16" s="579"/>
      <c r="G16" s="579"/>
      <c r="H16" s="579"/>
      <c r="I16" s="579"/>
      <c r="J16" s="579"/>
      <c r="N16" s="568" t="s">
        <v>837</v>
      </c>
      <c r="O16" s="571" t="s">
        <v>346</v>
      </c>
      <c r="P16" s="572"/>
      <c r="Q16" s="572"/>
      <c r="R16" s="572"/>
      <c r="S16" s="572"/>
      <c r="T16" s="572"/>
      <c r="U16" s="572"/>
      <c r="V16" s="572"/>
      <c r="W16" s="573"/>
    </row>
    <row r="17" spans="1:23">
      <c r="A17" s="577"/>
      <c r="B17" s="4" t="s">
        <v>829</v>
      </c>
      <c r="C17" s="5" t="s">
        <v>202</v>
      </c>
      <c r="D17" s="5" t="s">
        <v>203</v>
      </c>
      <c r="E17" s="5" t="s">
        <v>204</v>
      </c>
      <c r="F17" s="5" t="s">
        <v>29</v>
      </c>
      <c r="G17" s="5" t="s">
        <v>30</v>
      </c>
      <c r="H17" s="5" t="s">
        <v>205</v>
      </c>
      <c r="I17" s="5" t="s">
        <v>206</v>
      </c>
      <c r="J17" s="4" t="s">
        <v>25</v>
      </c>
      <c r="N17" s="569"/>
      <c r="O17" s="562" t="s">
        <v>829</v>
      </c>
      <c r="P17" s="563" t="s">
        <v>202</v>
      </c>
      <c r="Q17" s="563" t="s">
        <v>203</v>
      </c>
      <c r="R17" s="563" t="s">
        <v>204</v>
      </c>
      <c r="S17" s="563" t="s">
        <v>29</v>
      </c>
      <c r="T17" s="563" t="s">
        <v>30</v>
      </c>
      <c r="U17" s="563" t="s">
        <v>205</v>
      </c>
      <c r="V17" s="563" t="s">
        <v>206</v>
      </c>
      <c r="W17" s="562" t="s">
        <v>25</v>
      </c>
    </row>
    <row r="18" spans="1:23" ht="27">
      <c r="A18" s="578"/>
      <c r="B18" s="11" t="s">
        <v>830</v>
      </c>
      <c r="C18" s="12">
        <f>表1温室气体盘查表!B132</f>
        <v>362284.25267030101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f>C18</f>
        <v>362284.25267030101</v>
      </c>
      <c r="K18" s="8">
        <f>J18/$J$56</f>
        <v>2.3336996863537199E-2</v>
      </c>
      <c r="L18" s="8">
        <f>K18/SUM($K$9:$K$51)</f>
        <v>4.9408634277830203E-2</v>
      </c>
      <c r="N18" s="570"/>
      <c r="O18" s="13" t="s">
        <v>830</v>
      </c>
      <c r="P18" s="565" t="s">
        <v>1067</v>
      </c>
      <c r="Q18" s="565" t="s">
        <v>1068</v>
      </c>
      <c r="R18" s="565" t="s">
        <v>1069</v>
      </c>
      <c r="S18" s="565" t="s">
        <v>1070</v>
      </c>
      <c r="T18" s="565" t="s">
        <v>1071</v>
      </c>
      <c r="U18" s="565" t="s">
        <v>1072</v>
      </c>
      <c r="V18" s="565" t="s">
        <v>1073</v>
      </c>
      <c r="W18" s="565" t="s">
        <v>1074</v>
      </c>
    </row>
    <row r="19" spans="1:23">
      <c r="A19" s="568" t="s">
        <v>838</v>
      </c>
      <c r="B19" s="579" t="s">
        <v>839</v>
      </c>
      <c r="C19" s="579"/>
      <c r="D19" s="579"/>
      <c r="E19" s="579"/>
      <c r="F19" s="579"/>
      <c r="G19" s="579"/>
      <c r="H19" s="579"/>
      <c r="I19" s="579"/>
      <c r="J19" s="579"/>
      <c r="N19" s="568" t="s">
        <v>838</v>
      </c>
      <c r="O19" s="571" t="s">
        <v>839</v>
      </c>
      <c r="P19" s="572"/>
      <c r="Q19" s="572"/>
      <c r="R19" s="572"/>
      <c r="S19" s="572"/>
      <c r="T19" s="572"/>
      <c r="U19" s="572"/>
      <c r="V19" s="572"/>
      <c r="W19" s="573"/>
    </row>
    <row r="20" spans="1:23">
      <c r="A20" s="577"/>
      <c r="B20" s="4" t="s">
        <v>829</v>
      </c>
      <c r="C20" s="5" t="s">
        <v>202</v>
      </c>
      <c r="D20" s="5" t="s">
        <v>203</v>
      </c>
      <c r="E20" s="5" t="s">
        <v>204</v>
      </c>
      <c r="F20" s="5" t="s">
        <v>29</v>
      </c>
      <c r="G20" s="5" t="s">
        <v>30</v>
      </c>
      <c r="H20" s="5" t="s">
        <v>205</v>
      </c>
      <c r="I20" s="5" t="s">
        <v>206</v>
      </c>
      <c r="J20" s="4" t="s">
        <v>25</v>
      </c>
      <c r="N20" s="569"/>
      <c r="O20" s="562" t="s">
        <v>829</v>
      </c>
      <c r="P20" s="563" t="s">
        <v>202</v>
      </c>
      <c r="Q20" s="563" t="s">
        <v>203</v>
      </c>
      <c r="R20" s="563" t="s">
        <v>204</v>
      </c>
      <c r="S20" s="563" t="s">
        <v>29</v>
      </c>
      <c r="T20" s="563" t="s">
        <v>30</v>
      </c>
      <c r="U20" s="563" t="s">
        <v>205</v>
      </c>
      <c r="V20" s="563" t="s">
        <v>206</v>
      </c>
      <c r="W20" s="562" t="s">
        <v>25</v>
      </c>
    </row>
    <row r="21" spans="1:23" ht="27">
      <c r="A21" s="578"/>
      <c r="B21" s="11" t="s">
        <v>830</v>
      </c>
      <c r="C21" s="12">
        <f>表1温室气体盘查表!B136</f>
        <v>147636.03187622401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f>C21</f>
        <v>147636.03187622401</v>
      </c>
      <c r="K21" s="8">
        <f>J21/$J$56</f>
        <v>9.5101611164314301E-3</v>
      </c>
      <c r="L21" s="8">
        <f>K21/SUM($K$9:$K$51)</f>
        <v>2.0134727500399598E-2</v>
      </c>
      <c r="N21" s="570"/>
      <c r="O21" s="13" t="s">
        <v>830</v>
      </c>
      <c r="P21" s="565" t="s">
        <v>1075</v>
      </c>
      <c r="Q21" s="565" t="s">
        <v>1076</v>
      </c>
      <c r="R21" s="565" t="s">
        <v>1077</v>
      </c>
      <c r="S21" s="565" t="s">
        <v>1078</v>
      </c>
      <c r="T21" s="565" t="s">
        <v>1079</v>
      </c>
      <c r="U21" s="565" t="s">
        <v>1080</v>
      </c>
      <c r="V21" s="565" t="s">
        <v>1081</v>
      </c>
      <c r="W21" s="565" t="s">
        <v>1082</v>
      </c>
    </row>
    <row r="22" spans="1:23">
      <c r="A22" s="568" t="s">
        <v>840</v>
      </c>
      <c r="B22" s="579" t="s">
        <v>357</v>
      </c>
      <c r="C22" s="579"/>
      <c r="D22" s="579"/>
      <c r="E22" s="579"/>
      <c r="F22" s="579"/>
      <c r="G22" s="579"/>
      <c r="H22" s="579"/>
      <c r="I22" s="579"/>
      <c r="J22" s="579"/>
      <c r="N22" s="568" t="s">
        <v>840</v>
      </c>
      <c r="O22" s="571" t="s">
        <v>357</v>
      </c>
      <c r="P22" s="572"/>
      <c r="Q22" s="572"/>
      <c r="R22" s="572"/>
      <c r="S22" s="572"/>
      <c r="T22" s="572"/>
      <c r="U22" s="572"/>
      <c r="V22" s="572"/>
      <c r="W22" s="573"/>
    </row>
    <row r="23" spans="1:23">
      <c r="A23" s="577"/>
      <c r="B23" s="4" t="s">
        <v>829</v>
      </c>
      <c r="C23" s="5" t="s">
        <v>202</v>
      </c>
      <c r="D23" s="5" t="s">
        <v>203</v>
      </c>
      <c r="E23" s="5" t="s">
        <v>204</v>
      </c>
      <c r="F23" s="5" t="s">
        <v>29</v>
      </c>
      <c r="G23" s="5" t="s">
        <v>30</v>
      </c>
      <c r="H23" s="5" t="s">
        <v>205</v>
      </c>
      <c r="I23" s="5" t="s">
        <v>206</v>
      </c>
      <c r="J23" s="4" t="s">
        <v>25</v>
      </c>
      <c r="N23" s="569"/>
      <c r="O23" s="562" t="s">
        <v>829</v>
      </c>
      <c r="P23" s="563" t="s">
        <v>202</v>
      </c>
      <c r="Q23" s="563" t="s">
        <v>203</v>
      </c>
      <c r="R23" s="563" t="s">
        <v>204</v>
      </c>
      <c r="S23" s="563" t="s">
        <v>29</v>
      </c>
      <c r="T23" s="563" t="s">
        <v>30</v>
      </c>
      <c r="U23" s="563" t="s">
        <v>205</v>
      </c>
      <c r="V23" s="563" t="s">
        <v>206</v>
      </c>
      <c r="W23" s="562" t="s">
        <v>25</v>
      </c>
    </row>
    <row r="24" spans="1:23" ht="27">
      <c r="A24" s="578"/>
      <c r="B24" s="11" t="s">
        <v>830</v>
      </c>
      <c r="C24" s="12">
        <f>表1温室气体盘查表!B140</f>
        <v>1670.17345373528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f>C24</f>
        <v>1670.17345373528</v>
      </c>
      <c r="K24" s="8">
        <f>J24/$J$56</f>
        <v>1.07586328591694E-4</v>
      </c>
      <c r="L24" s="8">
        <f>K24/SUM($K$9:$K$51)</f>
        <v>2.2777967506980201E-4</v>
      </c>
      <c r="N24" s="570"/>
      <c r="O24" s="13" t="s">
        <v>830</v>
      </c>
      <c r="P24" s="565" t="s">
        <v>1083</v>
      </c>
      <c r="Q24" s="565" t="s">
        <v>1084</v>
      </c>
      <c r="R24" s="565" t="s">
        <v>1085</v>
      </c>
      <c r="S24" s="565" t="s">
        <v>1086</v>
      </c>
      <c r="T24" s="565" t="s">
        <v>1087</v>
      </c>
      <c r="U24" s="565" t="s">
        <v>1088</v>
      </c>
      <c r="V24" s="565" t="s">
        <v>1089</v>
      </c>
      <c r="W24" s="565" t="s">
        <v>1090</v>
      </c>
    </row>
    <row r="25" spans="1:23">
      <c r="A25" s="568" t="s">
        <v>841</v>
      </c>
      <c r="B25" s="579" t="s">
        <v>363</v>
      </c>
      <c r="C25" s="579"/>
      <c r="D25" s="579"/>
      <c r="E25" s="579"/>
      <c r="F25" s="579"/>
      <c r="G25" s="579"/>
      <c r="H25" s="579"/>
      <c r="I25" s="579"/>
      <c r="J25" s="579"/>
      <c r="N25" s="568" t="s">
        <v>841</v>
      </c>
      <c r="O25" s="571" t="s">
        <v>363</v>
      </c>
      <c r="P25" s="572"/>
      <c r="Q25" s="572"/>
      <c r="R25" s="572"/>
      <c r="S25" s="572"/>
      <c r="T25" s="572"/>
      <c r="U25" s="572"/>
      <c r="V25" s="572"/>
      <c r="W25" s="573"/>
    </row>
    <row r="26" spans="1:23">
      <c r="A26" s="577"/>
      <c r="B26" s="4" t="s">
        <v>829</v>
      </c>
      <c r="C26" s="5" t="s">
        <v>202</v>
      </c>
      <c r="D26" s="5" t="s">
        <v>203</v>
      </c>
      <c r="E26" s="5" t="s">
        <v>204</v>
      </c>
      <c r="F26" s="5" t="s">
        <v>29</v>
      </c>
      <c r="G26" s="5" t="s">
        <v>30</v>
      </c>
      <c r="H26" s="5" t="s">
        <v>205</v>
      </c>
      <c r="I26" s="5" t="s">
        <v>206</v>
      </c>
      <c r="J26" s="4" t="s">
        <v>25</v>
      </c>
      <c r="N26" s="569"/>
      <c r="O26" s="562" t="s">
        <v>829</v>
      </c>
      <c r="P26" s="563" t="s">
        <v>202</v>
      </c>
      <c r="Q26" s="563" t="s">
        <v>203</v>
      </c>
      <c r="R26" s="563" t="s">
        <v>204</v>
      </c>
      <c r="S26" s="563" t="s">
        <v>29</v>
      </c>
      <c r="T26" s="563" t="s">
        <v>30</v>
      </c>
      <c r="U26" s="563" t="s">
        <v>205</v>
      </c>
      <c r="V26" s="563" t="s">
        <v>206</v>
      </c>
      <c r="W26" s="562" t="s">
        <v>25</v>
      </c>
    </row>
    <row r="27" spans="1:23" ht="27">
      <c r="A27" s="578"/>
      <c r="B27" s="11" t="s">
        <v>830</v>
      </c>
      <c r="C27" s="12">
        <f>表1温室气体盘查表!B144</f>
        <v>13322.57648759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f>C27</f>
        <v>13322.57648759</v>
      </c>
      <c r="K27" s="8">
        <f>J27/$J$56</f>
        <v>8.5819056007401797E-4</v>
      </c>
      <c r="L27" s="8">
        <f>K27/SUM($K$9:$K$51)</f>
        <v>1.81694430398773E-3</v>
      </c>
      <c r="N27" s="570"/>
      <c r="O27" s="13" t="s">
        <v>830</v>
      </c>
      <c r="P27" s="565" t="s">
        <v>1091</v>
      </c>
      <c r="Q27" s="565" t="s">
        <v>1092</v>
      </c>
      <c r="R27" s="565" t="s">
        <v>1093</v>
      </c>
      <c r="S27" s="565" t="s">
        <v>1094</v>
      </c>
      <c r="T27" s="565" t="s">
        <v>1095</v>
      </c>
      <c r="U27" s="565" t="s">
        <v>1096</v>
      </c>
      <c r="V27" s="565" t="s">
        <v>1097</v>
      </c>
      <c r="W27" s="565" t="s">
        <v>1098</v>
      </c>
    </row>
    <row r="28" spans="1:23">
      <c r="A28" s="568" t="s">
        <v>842</v>
      </c>
      <c r="B28" s="579" t="s">
        <v>843</v>
      </c>
      <c r="C28" s="579"/>
      <c r="D28" s="579"/>
      <c r="E28" s="579"/>
      <c r="F28" s="579"/>
      <c r="G28" s="579"/>
      <c r="H28" s="579"/>
      <c r="I28" s="579"/>
      <c r="J28" s="579"/>
      <c r="N28" s="568" t="s">
        <v>842</v>
      </c>
      <c r="O28" s="571" t="s">
        <v>843</v>
      </c>
      <c r="P28" s="572"/>
      <c r="Q28" s="572"/>
      <c r="R28" s="572"/>
      <c r="S28" s="572"/>
      <c r="T28" s="572"/>
      <c r="U28" s="572"/>
      <c r="V28" s="572"/>
      <c r="W28" s="573"/>
    </row>
    <row r="29" spans="1:23">
      <c r="A29" s="577"/>
      <c r="B29" s="4" t="s">
        <v>829</v>
      </c>
      <c r="C29" s="5" t="s">
        <v>202</v>
      </c>
      <c r="D29" s="5" t="s">
        <v>203</v>
      </c>
      <c r="E29" s="5" t="s">
        <v>204</v>
      </c>
      <c r="F29" s="5" t="s">
        <v>29</v>
      </c>
      <c r="G29" s="5" t="s">
        <v>30</v>
      </c>
      <c r="H29" s="5" t="s">
        <v>205</v>
      </c>
      <c r="I29" s="5" t="s">
        <v>206</v>
      </c>
      <c r="J29" s="4" t="s">
        <v>25</v>
      </c>
      <c r="N29" s="569"/>
      <c r="O29" s="562" t="s">
        <v>829</v>
      </c>
      <c r="P29" s="563" t="s">
        <v>202</v>
      </c>
      <c r="Q29" s="563" t="s">
        <v>203</v>
      </c>
      <c r="R29" s="563" t="s">
        <v>204</v>
      </c>
      <c r="S29" s="563" t="s">
        <v>29</v>
      </c>
      <c r="T29" s="563" t="s">
        <v>30</v>
      </c>
      <c r="U29" s="563" t="s">
        <v>205</v>
      </c>
      <c r="V29" s="563" t="s">
        <v>206</v>
      </c>
      <c r="W29" s="562" t="s">
        <v>25</v>
      </c>
    </row>
    <row r="30" spans="1:23" ht="27">
      <c r="A30" s="578"/>
      <c r="B30" s="11" t="s">
        <v>830</v>
      </c>
      <c r="C30" s="12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f>C30</f>
        <v>0</v>
      </c>
      <c r="N30" s="570"/>
      <c r="O30" s="13" t="s">
        <v>830</v>
      </c>
      <c r="P30" s="565" t="s">
        <v>1099</v>
      </c>
      <c r="Q30" s="565" t="s">
        <v>1100</v>
      </c>
      <c r="R30" s="565" t="s">
        <v>1101</v>
      </c>
      <c r="S30" s="565" t="s">
        <v>1102</v>
      </c>
      <c r="T30" s="565" t="s">
        <v>1103</v>
      </c>
      <c r="U30" s="565" t="s">
        <v>1104</v>
      </c>
      <c r="V30" s="565" t="s">
        <v>1105</v>
      </c>
      <c r="W30" s="565" t="s">
        <v>1106</v>
      </c>
    </row>
    <row r="31" spans="1:23">
      <c r="A31" s="568" t="s">
        <v>844</v>
      </c>
      <c r="B31" s="579" t="s">
        <v>369</v>
      </c>
      <c r="C31" s="579"/>
      <c r="D31" s="579"/>
      <c r="E31" s="579"/>
      <c r="F31" s="579"/>
      <c r="G31" s="579"/>
      <c r="H31" s="579"/>
      <c r="I31" s="579"/>
      <c r="J31" s="579"/>
      <c r="N31" s="568" t="s">
        <v>844</v>
      </c>
      <c r="O31" s="571" t="s">
        <v>369</v>
      </c>
      <c r="P31" s="572"/>
      <c r="Q31" s="572"/>
      <c r="R31" s="572"/>
      <c r="S31" s="572"/>
      <c r="T31" s="572"/>
      <c r="U31" s="572"/>
      <c r="V31" s="572"/>
      <c r="W31" s="573"/>
    </row>
    <row r="32" spans="1:23">
      <c r="A32" s="577"/>
      <c r="B32" s="4" t="s">
        <v>829</v>
      </c>
      <c r="C32" s="5" t="s">
        <v>202</v>
      </c>
      <c r="D32" s="5" t="s">
        <v>203</v>
      </c>
      <c r="E32" s="5" t="s">
        <v>204</v>
      </c>
      <c r="F32" s="5" t="s">
        <v>29</v>
      </c>
      <c r="G32" s="5" t="s">
        <v>30</v>
      </c>
      <c r="H32" s="5" t="s">
        <v>205</v>
      </c>
      <c r="I32" s="5" t="s">
        <v>206</v>
      </c>
      <c r="J32" s="4" t="s">
        <v>25</v>
      </c>
      <c r="N32" s="569"/>
      <c r="O32" s="562" t="s">
        <v>829</v>
      </c>
      <c r="P32" s="563" t="s">
        <v>202</v>
      </c>
      <c r="Q32" s="563" t="s">
        <v>203</v>
      </c>
      <c r="R32" s="563" t="s">
        <v>204</v>
      </c>
      <c r="S32" s="563" t="s">
        <v>29</v>
      </c>
      <c r="T32" s="563" t="s">
        <v>30</v>
      </c>
      <c r="U32" s="563" t="s">
        <v>205</v>
      </c>
      <c r="V32" s="563" t="s">
        <v>206</v>
      </c>
      <c r="W32" s="562" t="s">
        <v>25</v>
      </c>
    </row>
    <row r="33" spans="1:23" ht="27">
      <c r="A33" s="578"/>
      <c r="B33" s="11" t="s">
        <v>830</v>
      </c>
      <c r="C33" s="12">
        <f>表1温室气体盘查表!B152</f>
        <v>274585.60716191097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f>C33</f>
        <v>274585.60716191097</v>
      </c>
      <c r="K33" s="8">
        <f>J33/$J$56</f>
        <v>1.7687778052394701E-2</v>
      </c>
      <c r="L33" s="8">
        <f>K33/SUM($K$9:$K$51)</f>
        <v>3.7448218469946802E-2</v>
      </c>
      <c r="N33" s="570"/>
      <c r="O33" s="13" t="s">
        <v>830</v>
      </c>
      <c r="P33" s="565" t="s">
        <v>1107</v>
      </c>
      <c r="Q33" s="565" t="s">
        <v>1108</v>
      </c>
      <c r="R33" s="565" t="s">
        <v>1109</v>
      </c>
      <c r="S33" s="565" t="s">
        <v>1110</v>
      </c>
      <c r="T33" s="565" t="s">
        <v>1111</v>
      </c>
      <c r="U33" s="565" t="s">
        <v>1112</v>
      </c>
      <c r="V33" s="565" t="s">
        <v>1113</v>
      </c>
      <c r="W33" s="565" t="s">
        <v>1114</v>
      </c>
    </row>
    <row r="34" spans="1:23">
      <c r="A34" s="568" t="s">
        <v>845</v>
      </c>
      <c r="B34" s="579" t="s">
        <v>371</v>
      </c>
      <c r="C34" s="579"/>
      <c r="D34" s="579"/>
      <c r="E34" s="579"/>
      <c r="F34" s="579"/>
      <c r="G34" s="579"/>
      <c r="H34" s="579"/>
      <c r="I34" s="579"/>
      <c r="J34" s="579"/>
      <c r="N34" s="568" t="s">
        <v>845</v>
      </c>
      <c r="O34" s="571" t="s">
        <v>371</v>
      </c>
      <c r="P34" s="572"/>
      <c r="Q34" s="572"/>
      <c r="R34" s="572"/>
      <c r="S34" s="572"/>
      <c r="T34" s="572"/>
      <c r="U34" s="572"/>
      <c r="V34" s="572"/>
      <c r="W34" s="573"/>
    </row>
    <row r="35" spans="1:23">
      <c r="A35" s="577"/>
      <c r="B35" s="4" t="s">
        <v>829</v>
      </c>
      <c r="C35" s="5" t="s">
        <v>202</v>
      </c>
      <c r="D35" s="5" t="s">
        <v>203</v>
      </c>
      <c r="E35" s="5" t="s">
        <v>204</v>
      </c>
      <c r="F35" s="5" t="s">
        <v>29</v>
      </c>
      <c r="G35" s="5" t="s">
        <v>30</v>
      </c>
      <c r="H35" s="5" t="s">
        <v>205</v>
      </c>
      <c r="I35" s="5" t="s">
        <v>206</v>
      </c>
      <c r="J35" s="4" t="s">
        <v>25</v>
      </c>
      <c r="N35" s="569"/>
      <c r="O35" s="562" t="s">
        <v>829</v>
      </c>
      <c r="P35" s="563" t="s">
        <v>202</v>
      </c>
      <c r="Q35" s="563" t="s">
        <v>203</v>
      </c>
      <c r="R35" s="563" t="s">
        <v>204</v>
      </c>
      <c r="S35" s="563" t="s">
        <v>29</v>
      </c>
      <c r="T35" s="563" t="s">
        <v>30</v>
      </c>
      <c r="U35" s="563" t="s">
        <v>205</v>
      </c>
      <c r="V35" s="563" t="s">
        <v>206</v>
      </c>
      <c r="W35" s="562" t="s">
        <v>25</v>
      </c>
    </row>
    <row r="36" spans="1:23" ht="27">
      <c r="A36" s="578"/>
      <c r="B36" s="11" t="s">
        <v>830</v>
      </c>
      <c r="C36" s="12">
        <f>表1温室气体盘查表!B156</f>
        <v>1746619.9596895301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f>C36</f>
        <v>1746619.9596895301</v>
      </c>
      <c r="K36" s="8">
        <f>J36/$J$56</f>
        <v>0.112510726648008</v>
      </c>
      <c r="L36" s="14">
        <f>K36/SUM($K$9:$K$51)</f>
        <v>0.23820551452230801</v>
      </c>
      <c r="N36" s="570"/>
      <c r="O36" s="13" t="s">
        <v>830</v>
      </c>
      <c r="P36" s="565" t="s">
        <v>1115</v>
      </c>
      <c r="Q36" s="565" t="s">
        <v>1116</v>
      </c>
      <c r="R36" s="565" t="s">
        <v>1117</v>
      </c>
      <c r="S36" s="565" t="s">
        <v>1118</v>
      </c>
      <c r="T36" s="565" t="s">
        <v>1119</v>
      </c>
      <c r="U36" s="565" t="s">
        <v>1120</v>
      </c>
      <c r="V36" s="565" t="s">
        <v>1121</v>
      </c>
      <c r="W36" s="565" t="s">
        <v>1122</v>
      </c>
    </row>
    <row r="37" spans="1:23">
      <c r="A37" s="568" t="s">
        <v>846</v>
      </c>
      <c r="B37" s="579" t="s">
        <v>377</v>
      </c>
      <c r="C37" s="579"/>
      <c r="D37" s="579"/>
      <c r="E37" s="579"/>
      <c r="F37" s="579"/>
      <c r="G37" s="579"/>
      <c r="H37" s="579"/>
      <c r="I37" s="579"/>
      <c r="J37" s="579"/>
      <c r="N37" s="568" t="s">
        <v>846</v>
      </c>
      <c r="O37" s="571" t="s">
        <v>377</v>
      </c>
      <c r="P37" s="572"/>
      <c r="Q37" s="572"/>
      <c r="R37" s="572"/>
      <c r="S37" s="572"/>
      <c r="T37" s="572"/>
      <c r="U37" s="572"/>
      <c r="V37" s="572"/>
      <c r="W37" s="573"/>
    </row>
    <row r="38" spans="1:23">
      <c r="A38" s="577"/>
      <c r="B38" s="4" t="s">
        <v>829</v>
      </c>
      <c r="C38" s="5" t="s">
        <v>202</v>
      </c>
      <c r="D38" s="5" t="s">
        <v>203</v>
      </c>
      <c r="E38" s="5" t="s">
        <v>204</v>
      </c>
      <c r="F38" s="5" t="s">
        <v>29</v>
      </c>
      <c r="G38" s="5" t="s">
        <v>30</v>
      </c>
      <c r="H38" s="5" t="s">
        <v>205</v>
      </c>
      <c r="I38" s="5" t="s">
        <v>206</v>
      </c>
      <c r="J38" s="4" t="s">
        <v>25</v>
      </c>
      <c r="N38" s="569"/>
      <c r="O38" s="562" t="s">
        <v>829</v>
      </c>
      <c r="P38" s="563" t="s">
        <v>202</v>
      </c>
      <c r="Q38" s="563" t="s">
        <v>203</v>
      </c>
      <c r="R38" s="563" t="s">
        <v>204</v>
      </c>
      <c r="S38" s="563" t="s">
        <v>29</v>
      </c>
      <c r="T38" s="563" t="s">
        <v>30</v>
      </c>
      <c r="U38" s="563" t="s">
        <v>205</v>
      </c>
      <c r="V38" s="563" t="s">
        <v>206</v>
      </c>
      <c r="W38" s="562" t="s">
        <v>25</v>
      </c>
    </row>
    <row r="39" spans="1:23" ht="27">
      <c r="A39" s="578"/>
      <c r="B39" s="11" t="s">
        <v>830</v>
      </c>
      <c r="C39" s="12">
        <f>表1温室气体盘查表!AE102</f>
        <v>3828.3758806312799</v>
      </c>
      <c r="D39" s="12">
        <f>表1温室气体盘查表!AF102</f>
        <v>2.4056686276939798</v>
      </c>
      <c r="E39" s="12">
        <f>表1温室气体盘查表!AG102</f>
        <v>2.3539338184962602</v>
      </c>
      <c r="F39" s="12">
        <f>表1温室气体盘查表!AH102</f>
        <v>0</v>
      </c>
      <c r="G39" s="12">
        <f>表1温室气体盘查表!AI102</f>
        <v>0</v>
      </c>
      <c r="H39" s="12">
        <f>表1温室气体盘查表!AJ102</f>
        <v>0</v>
      </c>
      <c r="I39" s="12">
        <f>表1温室气体盘查表!AK102</f>
        <v>0</v>
      </c>
      <c r="J39" s="10">
        <f>SUM(C39:I39)</f>
        <v>3833.1354830774699</v>
      </c>
      <c r="K39" s="8">
        <f>J39/$J$56</f>
        <v>2.4691625453425399E-4</v>
      </c>
      <c r="L39" s="8">
        <f>K39/SUM($K$9:$K$51)</f>
        <v>5.2276627489272699E-4</v>
      </c>
      <c r="N39" s="570"/>
      <c r="O39" s="13" t="s">
        <v>830</v>
      </c>
      <c r="P39" s="565" t="s">
        <v>1123</v>
      </c>
      <c r="Q39" s="565" t="s">
        <v>1124</v>
      </c>
      <c r="R39" s="565" t="s">
        <v>1125</v>
      </c>
      <c r="S39" s="565" t="s">
        <v>1126</v>
      </c>
      <c r="T39" s="565" t="s">
        <v>1127</v>
      </c>
      <c r="U39" s="565" t="s">
        <v>1128</v>
      </c>
      <c r="V39" s="565" t="s">
        <v>1129</v>
      </c>
      <c r="W39" s="565" t="s">
        <v>1130</v>
      </c>
    </row>
    <row r="40" spans="1:23">
      <c r="A40" s="568" t="s">
        <v>847</v>
      </c>
      <c r="B40" s="579" t="s">
        <v>380</v>
      </c>
      <c r="C40" s="579"/>
      <c r="D40" s="579"/>
      <c r="E40" s="579"/>
      <c r="F40" s="579"/>
      <c r="G40" s="579"/>
      <c r="H40" s="579"/>
      <c r="I40" s="579"/>
      <c r="J40" s="579"/>
      <c r="N40" s="568" t="s">
        <v>847</v>
      </c>
      <c r="O40" s="571" t="s">
        <v>380</v>
      </c>
      <c r="P40" s="572"/>
      <c r="Q40" s="572"/>
      <c r="R40" s="572"/>
      <c r="S40" s="572"/>
      <c r="T40" s="572"/>
      <c r="U40" s="572"/>
      <c r="V40" s="572"/>
      <c r="W40" s="573"/>
    </row>
    <row r="41" spans="1:23">
      <c r="A41" s="577"/>
      <c r="B41" s="4" t="s">
        <v>829</v>
      </c>
      <c r="C41" s="5" t="s">
        <v>202</v>
      </c>
      <c r="D41" s="5" t="s">
        <v>203</v>
      </c>
      <c r="E41" s="5" t="s">
        <v>204</v>
      </c>
      <c r="F41" s="5" t="s">
        <v>29</v>
      </c>
      <c r="G41" s="5" t="s">
        <v>30</v>
      </c>
      <c r="H41" s="5" t="s">
        <v>205</v>
      </c>
      <c r="I41" s="5" t="s">
        <v>206</v>
      </c>
      <c r="J41" s="4" t="s">
        <v>25</v>
      </c>
      <c r="N41" s="569"/>
      <c r="O41" s="562" t="s">
        <v>829</v>
      </c>
      <c r="P41" s="563" t="s">
        <v>202</v>
      </c>
      <c r="Q41" s="563" t="s">
        <v>203</v>
      </c>
      <c r="R41" s="563" t="s">
        <v>204</v>
      </c>
      <c r="S41" s="563" t="s">
        <v>29</v>
      </c>
      <c r="T41" s="563" t="s">
        <v>30</v>
      </c>
      <c r="U41" s="563" t="s">
        <v>205</v>
      </c>
      <c r="V41" s="563" t="s">
        <v>206</v>
      </c>
      <c r="W41" s="562" t="s">
        <v>25</v>
      </c>
    </row>
    <row r="42" spans="1:23" ht="27">
      <c r="A42" s="578"/>
      <c r="B42" s="11" t="s">
        <v>830</v>
      </c>
      <c r="C42" s="12">
        <f>表1温室气体盘查表!B164</f>
        <v>3747.3469595889401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f>C42</f>
        <v>3747.3469595889401</v>
      </c>
      <c r="K42" s="8">
        <f>J42/$J$56</f>
        <v>2.4139007864109E-4</v>
      </c>
      <c r="L42" s="8">
        <f>K42/SUM($K$9:$K$51)</f>
        <v>5.1106636314928898E-4</v>
      </c>
      <c r="N42" s="570"/>
      <c r="O42" s="13" t="s">
        <v>830</v>
      </c>
      <c r="P42" s="565" t="s">
        <v>1131</v>
      </c>
      <c r="Q42" s="565" t="s">
        <v>1132</v>
      </c>
      <c r="R42" s="565" t="s">
        <v>1133</v>
      </c>
      <c r="S42" s="565" t="s">
        <v>1134</v>
      </c>
      <c r="T42" s="565" t="s">
        <v>1135</v>
      </c>
      <c r="U42" s="565" t="s">
        <v>1136</v>
      </c>
      <c r="V42" s="565" t="s">
        <v>1137</v>
      </c>
      <c r="W42" s="565" t="s">
        <v>1138</v>
      </c>
    </row>
    <row r="43" spans="1:23">
      <c r="A43" s="568" t="s">
        <v>848</v>
      </c>
      <c r="B43" s="579" t="s">
        <v>849</v>
      </c>
      <c r="C43" s="579"/>
      <c r="D43" s="579"/>
      <c r="E43" s="579"/>
      <c r="F43" s="579"/>
      <c r="G43" s="579"/>
      <c r="H43" s="579"/>
      <c r="I43" s="579"/>
      <c r="J43" s="579"/>
      <c r="N43" s="568" t="s">
        <v>848</v>
      </c>
      <c r="O43" s="571" t="s">
        <v>849</v>
      </c>
      <c r="P43" s="572"/>
      <c r="Q43" s="572"/>
      <c r="R43" s="572"/>
      <c r="S43" s="572"/>
      <c r="T43" s="572"/>
      <c r="U43" s="572"/>
      <c r="V43" s="572"/>
      <c r="W43" s="573"/>
    </row>
    <row r="44" spans="1:23">
      <c r="A44" s="577"/>
      <c r="B44" s="4" t="s">
        <v>829</v>
      </c>
      <c r="C44" s="5" t="s">
        <v>202</v>
      </c>
      <c r="D44" s="5" t="s">
        <v>203</v>
      </c>
      <c r="E44" s="5" t="s">
        <v>204</v>
      </c>
      <c r="F44" s="5" t="s">
        <v>29</v>
      </c>
      <c r="G44" s="5" t="s">
        <v>30</v>
      </c>
      <c r="H44" s="5" t="s">
        <v>205</v>
      </c>
      <c r="I44" s="5" t="s">
        <v>206</v>
      </c>
      <c r="J44" s="4" t="s">
        <v>25</v>
      </c>
      <c r="N44" s="569"/>
      <c r="O44" s="562" t="s">
        <v>829</v>
      </c>
      <c r="P44" s="563" t="s">
        <v>202</v>
      </c>
      <c r="Q44" s="563" t="s">
        <v>203</v>
      </c>
      <c r="R44" s="563" t="s">
        <v>204</v>
      </c>
      <c r="S44" s="563" t="s">
        <v>29</v>
      </c>
      <c r="T44" s="563" t="s">
        <v>30</v>
      </c>
      <c r="U44" s="563" t="s">
        <v>205</v>
      </c>
      <c r="V44" s="563" t="s">
        <v>206</v>
      </c>
      <c r="W44" s="562" t="s">
        <v>25</v>
      </c>
    </row>
    <row r="45" spans="1:23" ht="27">
      <c r="A45" s="578"/>
      <c r="B45" s="11" t="s">
        <v>830</v>
      </c>
      <c r="C45" s="12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f>C45</f>
        <v>0</v>
      </c>
      <c r="N45" s="570"/>
      <c r="O45" s="13" t="s">
        <v>830</v>
      </c>
      <c r="P45" s="565" t="s">
        <v>1139</v>
      </c>
      <c r="Q45" s="565" t="s">
        <v>1140</v>
      </c>
      <c r="R45" s="565" t="s">
        <v>1141</v>
      </c>
      <c r="S45" s="565" t="s">
        <v>1142</v>
      </c>
      <c r="T45" s="565" t="s">
        <v>1143</v>
      </c>
      <c r="U45" s="565" t="s">
        <v>1144</v>
      </c>
      <c r="V45" s="565" t="s">
        <v>1145</v>
      </c>
      <c r="W45" s="565" t="s">
        <v>1146</v>
      </c>
    </row>
    <row r="46" spans="1:23">
      <c r="A46" s="568" t="s">
        <v>850</v>
      </c>
      <c r="B46" s="579" t="s">
        <v>851</v>
      </c>
      <c r="C46" s="579"/>
      <c r="D46" s="579"/>
      <c r="E46" s="579"/>
      <c r="F46" s="579"/>
      <c r="G46" s="579"/>
      <c r="H46" s="579"/>
      <c r="I46" s="579"/>
      <c r="J46" s="579"/>
      <c r="N46" s="568" t="s">
        <v>850</v>
      </c>
      <c r="O46" s="571" t="s">
        <v>851</v>
      </c>
      <c r="P46" s="572"/>
      <c r="Q46" s="572"/>
      <c r="R46" s="572"/>
      <c r="S46" s="572"/>
      <c r="T46" s="572"/>
      <c r="U46" s="572"/>
      <c r="V46" s="572"/>
      <c r="W46" s="573"/>
    </row>
    <row r="47" spans="1:23">
      <c r="A47" s="577"/>
      <c r="B47" s="4" t="s">
        <v>829</v>
      </c>
      <c r="C47" s="5" t="s">
        <v>202</v>
      </c>
      <c r="D47" s="5" t="s">
        <v>203</v>
      </c>
      <c r="E47" s="5" t="s">
        <v>204</v>
      </c>
      <c r="F47" s="5" t="s">
        <v>29</v>
      </c>
      <c r="G47" s="5" t="s">
        <v>30</v>
      </c>
      <c r="H47" s="5" t="s">
        <v>205</v>
      </c>
      <c r="I47" s="5" t="s">
        <v>206</v>
      </c>
      <c r="J47" s="4" t="s">
        <v>25</v>
      </c>
      <c r="N47" s="569"/>
      <c r="O47" s="562" t="s">
        <v>829</v>
      </c>
      <c r="P47" s="563" t="s">
        <v>202</v>
      </c>
      <c r="Q47" s="563" t="s">
        <v>203</v>
      </c>
      <c r="R47" s="563" t="s">
        <v>204</v>
      </c>
      <c r="S47" s="563" t="s">
        <v>29</v>
      </c>
      <c r="T47" s="563" t="s">
        <v>30</v>
      </c>
      <c r="U47" s="563" t="s">
        <v>205</v>
      </c>
      <c r="V47" s="563" t="s">
        <v>206</v>
      </c>
      <c r="W47" s="562" t="s">
        <v>25</v>
      </c>
    </row>
    <row r="48" spans="1:23" ht="27">
      <c r="A48" s="578"/>
      <c r="B48" s="11" t="s">
        <v>830</v>
      </c>
      <c r="C48" s="12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f>C48</f>
        <v>0</v>
      </c>
      <c r="N48" s="570"/>
      <c r="O48" s="13" t="s">
        <v>830</v>
      </c>
      <c r="P48" s="565" t="s">
        <v>1147</v>
      </c>
      <c r="Q48" s="565" t="s">
        <v>1148</v>
      </c>
      <c r="R48" s="565" t="s">
        <v>1149</v>
      </c>
      <c r="S48" s="565" t="s">
        <v>1150</v>
      </c>
      <c r="T48" s="565" t="s">
        <v>1151</v>
      </c>
      <c r="U48" s="565" t="s">
        <v>1152</v>
      </c>
      <c r="V48" s="565" t="s">
        <v>1153</v>
      </c>
      <c r="W48" s="565" t="s">
        <v>1154</v>
      </c>
    </row>
    <row r="49" spans="1:23">
      <c r="A49" s="568" t="s">
        <v>852</v>
      </c>
      <c r="B49" s="579" t="s">
        <v>853</v>
      </c>
      <c r="C49" s="579"/>
      <c r="D49" s="579"/>
      <c r="E49" s="579"/>
      <c r="F49" s="579"/>
      <c r="G49" s="579"/>
      <c r="H49" s="579"/>
      <c r="I49" s="579"/>
      <c r="J49" s="579"/>
      <c r="N49" s="568" t="s">
        <v>852</v>
      </c>
      <c r="O49" s="571" t="s">
        <v>853</v>
      </c>
      <c r="P49" s="572"/>
      <c r="Q49" s="572"/>
      <c r="R49" s="572"/>
      <c r="S49" s="572"/>
      <c r="T49" s="572"/>
      <c r="U49" s="572"/>
      <c r="V49" s="572"/>
      <c r="W49" s="573"/>
    </row>
    <row r="50" spans="1:23">
      <c r="A50" s="577"/>
      <c r="B50" s="4" t="s">
        <v>829</v>
      </c>
      <c r="C50" s="5" t="s">
        <v>202</v>
      </c>
      <c r="D50" s="5" t="s">
        <v>203</v>
      </c>
      <c r="E50" s="5" t="s">
        <v>204</v>
      </c>
      <c r="F50" s="5" t="s">
        <v>29</v>
      </c>
      <c r="G50" s="5" t="s">
        <v>30</v>
      </c>
      <c r="H50" s="5" t="s">
        <v>205</v>
      </c>
      <c r="I50" s="5" t="s">
        <v>206</v>
      </c>
      <c r="J50" s="4" t="s">
        <v>25</v>
      </c>
      <c r="N50" s="569"/>
      <c r="O50" s="562" t="s">
        <v>829</v>
      </c>
      <c r="P50" s="563" t="s">
        <v>202</v>
      </c>
      <c r="Q50" s="563" t="s">
        <v>203</v>
      </c>
      <c r="R50" s="563" t="s">
        <v>204</v>
      </c>
      <c r="S50" s="563" t="s">
        <v>29</v>
      </c>
      <c r="T50" s="563" t="s">
        <v>30</v>
      </c>
      <c r="U50" s="563" t="s">
        <v>205</v>
      </c>
      <c r="V50" s="563" t="s">
        <v>206</v>
      </c>
      <c r="W50" s="562" t="s">
        <v>25</v>
      </c>
    </row>
    <row r="51" spans="1:23" ht="27">
      <c r="A51" s="578"/>
      <c r="B51" s="11" t="s">
        <v>830</v>
      </c>
      <c r="C51" s="12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f>C51</f>
        <v>0</v>
      </c>
      <c r="N51" s="570"/>
      <c r="O51" s="13" t="s">
        <v>830</v>
      </c>
      <c r="P51" s="565" t="s">
        <v>1155</v>
      </c>
      <c r="Q51" s="565" t="s">
        <v>1156</v>
      </c>
      <c r="R51" s="565" t="s">
        <v>1157</v>
      </c>
      <c r="S51" s="565" t="s">
        <v>1158</v>
      </c>
      <c r="T51" s="565" t="s">
        <v>1159</v>
      </c>
      <c r="U51" s="565" t="s">
        <v>1160</v>
      </c>
      <c r="V51" s="565" t="s">
        <v>1161</v>
      </c>
      <c r="W51" s="565" t="s">
        <v>1162</v>
      </c>
    </row>
    <row r="52" spans="1:23">
      <c r="A52" s="568" t="s">
        <v>854</v>
      </c>
      <c r="B52" s="4" t="s">
        <v>829</v>
      </c>
      <c r="C52" s="5" t="s">
        <v>202</v>
      </c>
      <c r="D52" s="5" t="s">
        <v>203</v>
      </c>
      <c r="E52" s="5" t="s">
        <v>204</v>
      </c>
      <c r="F52" s="5" t="s">
        <v>29</v>
      </c>
      <c r="G52" s="5" t="s">
        <v>30</v>
      </c>
      <c r="H52" s="5" t="s">
        <v>205</v>
      </c>
      <c r="I52" s="5" t="s">
        <v>206</v>
      </c>
      <c r="J52" s="4" t="s">
        <v>25</v>
      </c>
      <c r="N52" s="568" t="s">
        <v>854</v>
      </c>
      <c r="O52" s="562" t="s">
        <v>829</v>
      </c>
      <c r="P52" s="563" t="s">
        <v>202</v>
      </c>
      <c r="Q52" s="563" t="s">
        <v>203</v>
      </c>
      <c r="R52" s="563" t="s">
        <v>204</v>
      </c>
      <c r="S52" s="563" t="s">
        <v>29</v>
      </c>
      <c r="T52" s="563" t="s">
        <v>30</v>
      </c>
      <c r="U52" s="563" t="s">
        <v>205</v>
      </c>
      <c r="V52" s="563" t="s">
        <v>206</v>
      </c>
      <c r="W52" s="562" t="s">
        <v>25</v>
      </c>
    </row>
    <row r="53" spans="1:23" ht="27">
      <c r="A53" s="569"/>
      <c r="B53" s="11" t="s">
        <v>217</v>
      </c>
      <c r="C53" s="12">
        <f>C3</f>
        <v>7086080.3451288501</v>
      </c>
      <c r="D53" s="12">
        <f t="shared" ref="D53:J53" si="0">D3</f>
        <v>2569.6835348589698</v>
      </c>
      <c r="E53" s="12">
        <f t="shared" si="0"/>
        <v>30422.615322386999</v>
      </c>
      <c r="F53" s="12">
        <f t="shared" si="0"/>
        <v>717.03</v>
      </c>
      <c r="G53" s="12">
        <f t="shared" si="0"/>
        <v>0</v>
      </c>
      <c r="H53" s="12">
        <f t="shared" si="0"/>
        <v>2459.16</v>
      </c>
      <c r="I53" s="12">
        <f t="shared" si="0"/>
        <v>0</v>
      </c>
      <c r="J53" s="12">
        <f t="shared" si="0"/>
        <v>7122248.8339860998</v>
      </c>
      <c r="N53" s="569"/>
      <c r="O53" s="13" t="s">
        <v>217</v>
      </c>
      <c r="P53" s="567" t="str">
        <f>P3</f>
        <v>{{summary_data.scope1.co2}}</v>
      </c>
      <c r="Q53" s="567" t="str">
        <f t="shared" ref="Q53:W53" si="1">Q3</f>
        <v>{{summary_data.scope1.ch4}}</v>
      </c>
      <c r="R53" s="567" t="str">
        <f t="shared" si="1"/>
        <v>{{summary_data.scope1.n2o}}</v>
      </c>
      <c r="S53" s="567" t="str">
        <f t="shared" si="1"/>
        <v>{{summary_data.scope1.hfcs}}</v>
      </c>
      <c r="T53" s="567" t="str">
        <f t="shared" si="1"/>
        <v>{{summary_data.scope1.pfcs}}</v>
      </c>
      <c r="U53" s="567" t="str">
        <f t="shared" si="1"/>
        <v>{{summary_data.scope1.sf6}}</v>
      </c>
      <c r="V53" s="567" t="str">
        <f t="shared" si="1"/>
        <v>{{summary_data.scope1.nf3}}</v>
      </c>
      <c r="W53" s="567" t="str">
        <f t="shared" si="1"/>
        <v>{{summary_data.scope1.total}}</v>
      </c>
    </row>
    <row r="54" spans="1:23" ht="29.25">
      <c r="A54" s="569"/>
      <c r="B54" s="13" t="s">
        <v>855</v>
      </c>
      <c r="C54" s="12">
        <f>C6</f>
        <v>1069378.747982</v>
      </c>
      <c r="D54" s="12">
        <f t="shared" ref="D54:J54" si="2">D6</f>
        <v>0</v>
      </c>
      <c r="E54" s="12">
        <f t="shared" si="2"/>
        <v>0</v>
      </c>
      <c r="F54" s="12">
        <f t="shared" si="2"/>
        <v>0</v>
      </c>
      <c r="G54" s="12">
        <f t="shared" si="2"/>
        <v>0</v>
      </c>
      <c r="H54" s="12">
        <f t="shared" si="2"/>
        <v>0</v>
      </c>
      <c r="I54" s="12">
        <f t="shared" si="2"/>
        <v>0</v>
      </c>
      <c r="J54" s="12">
        <f t="shared" si="2"/>
        <v>1069378.747982</v>
      </c>
      <c r="N54" s="569"/>
      <c r="O54" s="13" t="s">
        <v>855</v>
      </c>
      <c r="P54" s="567" t="str">
        <f>P6</f>
        <v>{{summary_data.scope2.loc.co2}}</v>
      </c>
      <c r="Q54" s="567" t="str">
        <f t="shared" ref="Q54:W54" si="3">Q6</f>
        <v>{{summary_data.scope2.loc.ch4}}</v>
      </c>
      <c r="R54" s="567" t="str">
        <f t="shared" si="3"/>
        <v>{{summary_data.scope2.loc.n2o}}</v>
      </c>
      <c r="S54" s="567" t="str">
        <f t="shared" si="3"/>
        <v>{{summary_data.scope2.loc.hfcs}}</v>
      </c>
      <c r="T54" s="567" t="str">
        <f t="shared" si="3"/>
        <v>{{summary_data.scope2.loc.pfcs}}</v>
      </c>
      <c r="U54" s="567" t="str">
        <f t="shared" si="3"/>
        <v>{{summary_data.scope2.loc.sf6}}</v>
      </c>
      <c r="V54" s="567" t="str">
        <f t="shared" si="3"/>
        <v>{{summary_data.scope2.loc.nf3}}</v>
      </c>
      <c r="W54" s="567" t="str">
        <f t="shared" si="3"/>
        <v>{{summary_data.scope2.loc.total}}</v>
      </c>
    </row>
    <row r="55" spans="1:23" ht="27">
      <c r="A55" s="569"/>
      <c r="B55" s="11" t="s">
        <v>417</v>
      </c>
      <c r="C55" s="12">
        <f>SUM(C9,C12,C15,C18,C21,C24,C27,C30,C33,C36,C39,C42,C45,C48,C51)</f>
        <v>7332402.9858360598</v>
      </c>
      <c r="D55" s="12">
        <f t="shared" ref="D55:I55" si="4">SUM(D9,D12,D15,D18,D21,D24,D27,D30,D33,D36,D39,D42,D45,D48,D51)</f>
        <v>2.4056686276939798</v>
      </c>
      <c r="E55" s="12">
        <f t="shared" si="4"/>
        <v>2.3539338184962602</v>
      </c>
      <c r="F55" s="12">
        <f t="shared" si="4"/>
        <v>0</v>
      </c>
      <c r="G55" s="12">
        <f t="shared" si="4"/>
        <v>0</v>
      </c>
      <c r="H55" s="12">
        <f t="shared" si="4"/>
        <v>0</v>
      </c>
      <c r="I55" s="12">
        <f t="shared" si="4"/>
        <v>0</v>
      </c>
      <c r="J55" s="7">
        <f>C55</f>
        <v>7332402.9858360598</v>
      </c>
      <c r="N55" s="569"/>
      <c r="O55" s="13" t="s">
        <v>417</v>
      </c>
      <c r="P55" s="567" t="s">
        <v>1163</v>
      </c>
      <c r="Q55" s="567" t="s">
        <v>1164</v>
      </c>
      <c r="R55" s="567" t="s">
        <v>1165</v>
      </c>
      <c r="S55" s="567" t="s">
        <v>1166</v>
      </c>
      <c r="T55" s="567" t="s">
        <v>1167</v>
      </c>
      <c r="U55" s="567" t="s">
        <v>1168</v>
      </c>
      <c r="V55" s="567" t="s">
        <v>1169</v>
      </c>
      <c r="W55" s="565" t="s">
        <v>1170</v>
      </c>
    </row>
    <row r="56" spans="1:23" ht="27">
      <c r="A56" s="570"/>
      <c r="B56" s="11" t="s">
        <v>856</v>
      </c>
      <c r="C56" s="12">
        <f>SUM(C53:C55)</f>
        <v>15487862.0789469</v>
      </c>
      <c r="D56" s="12">
        <f t="shared" ref="D56:J56" si="5">SUM(D53:D55)</f>
        <v>2572.0892034866602</v>
      </c>
      <c r="E56" s="12">
        <f t="shared" si="5"/>
        <v>30424.969256205499</v>
      </c>
      <c r="F56" s="12">
        <f t="shared" si="5"/>
        <v>717.03</v>
      </c>
      <c r="G56" s="12">
        <f t="shared" si="5"/>
        <v>0</v>
      </c>
      <c r="H56" s="12">
        <f t="shared" si="5"/>
        <v>2459.16</v>
      </c>
      <c r="I56" s="12">
        <f t="shared" si="5"/>
        <v>0</v>
      </c>
      <c r="J56" s="12">
        <f t="shared" si="5"/>
        <v>15524030.567804201</v>
      </c>
      <c r="N56" s="570"/>
      <c r="O56" s="13" t="s">
        <v>856</v>
      </c>
      <c r="P56" s="567" t="s">
        <v>1179</v>
      </c>
      <c r="Q56" s="567" t="s">
        <v>1186</v>
      </c>
      <c r="R56" s="567" t="s">
        <v>1180</v>
      </c>
      <c r="S56" s="567" t="s">
        <v>1181</v>
      </c>
      <c r="T56" s="567" t="s">
        <v>1182</v>
      </c>
      <c r="U56" s="567" t="s">
        <v>1183</v>
      </c>
      <c r="V56" s="567" t="s">
        <v>1184</v>
      </c>
      <c r="W56" s="565" t="s">
        <v>1185</v>
      </c>
    </row>
  </sheetData>
  <mergeCells count="70">
    <mergeCell ref="B1:J1"/>
    <mergeCell ref="B4:J4"/>
    <mergeCell ref="B7:J7"/>
    <mergeCell ref="B10:J10"/>
    <mergeCell ref="B13:J13"/>
    <mergeCell ref="B16:J16"/>
    <mergeCell ref="B19:J19"/>
    <mergeCell ref="B22:J22"/>
    <mergeCell ref="B25:J25"/>
    <mergeCell ref="B28:J28"/>
    <mergeCell ref="A31:A33"/>
    <mergeCell ref="A34:A36"/>
    <mergeCell ref="A37:A39"/>
    <mergeCell ref="A40:A42"/>
    <mergeCell ref="B31:J31"/>
    <mergeCell ref="B34:J34"/>
    <mergeCell ref="B37:J37"/>
    <mergeCell ref="B40:J40"/>
    <mergeCell ref="A16:A18"/>
    <mergeCell ref="A19:A21"/>
    <mergeCell ref="A22:A24"/>
    <mergeCell ref="A25:A27"/>
    <mergeCell ref="A28:A30"/>
    <mergeCell ref="A1:A3"/>
    <mergeCell ref="A4:A6"/>
    <mergeCell ref="A7:A9"/>
    <mergeCell ref="A10:A12"/>
    <mergeCell ref="A13:A15"/>
    <mergeCell ref="A43:A45"/>
    <mergeCell ref="A46:A48"/>
    <mergeCell ref="A49:A51"/>
    <mergeCell ref="A52:A56"/>
    <mergeCell ref="B46:J46"/>
    <mergeCell ref="B49:J49"/>
    <mergeCell ref="B43:J43"/>
    <mergeCell ref="N1:N3"/>
    <mergeCell ref="O1:W1"/>
    <mergeCell ref="N4:N6"/>
    <mergeCell ref="O4:W4"/>
    <mergeCell ref="N7:N9"/>
    <mergeCell ref="O7:W7"/>
    <mergeCell ref="N10:N12"/>
    <mergeCell ref="O10:W10"/>
    <mergeCell ref="N13:N15"/>
    <mergeCell ref="O13:W13"/>
    <mergeCell ref="N16:N18"/>
    <mergeCell ref="O16:W16"/>
    <mergeCell ref="N19:N21"/>
    <mergeCell ref="O19:W19"/>
    <mergeCell ref="N22:N24"/>
    <mergeCell ref="O22:W22"/>
    <mergeCell ref="N25:N27"/>
    <mergeCell ref="O25:W25"/>
    <mergeCell ref="N28:N30"/>
    <mergeCell ref="O28:W28"/>
    <mergeCell ref="N31:N33"/>
    <mergeCell ref="O31:W31"/>
    <mergeCell ref="N34:N36"/>
    <mergeCell ref="O34:W34"/>
    <mergeCell ref="N37:N39"/>
    <mergeCell ref="O37:W37"/>
    <mergeCell ref="N40:N42"/>
    <mergeCell ref="O40:W40"/>
    <mergeCell ref="N43:N45"/>
    <mergeCell ref="O43:W43"/>
    <mergeCell ref="N46:N48"/>
    <mergeCell ref="O46:W46"/>
    <mergeCell ref="N49:N51"/>
    <mergeCell ref="O49:W49"/>
    <mergeCell ref="N52:N56"/>
  </mergeCells>
  <phoneticPr fontId="87" type="noConversion"/>
  <pageMargins left="0.75" right="0.75" top="1" bottom="1" header="0.5" footer="0.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56"/>
  <sheetViews>
    <sheetView topLeftCell="D34" zoomScale="145" zoomScaleNormal="145" workbookViewId="0">
      <selection activeCell="K50" sqref="K50"/>
    </sheetView>
  </sheetViews>
  <sheetFormatPr defaultColWidth="9" defaultRowHeight="15"/>
  <cols>
    <col min="1" max="1" width="7.75" customWidth="1"/>
    <col min="2" max="2" width="8.125" style="1" customWidth="1"/>
    <col min="3" max="3" width="12.5" style="1" customWidth="1"/>
    <col min="4" max="4" width="6.375" style="1" customWidth="1"/>
    <col min="5" max="5" width="7" style="1" customWidth="1"/>
    <col min="6" max="6" width="5" style="1" customWidth="1"/>
    <col min="7" max="7" width="4.125" style="1" customWidth="1"/>
    <col min="8" max="8" width="6" style="1" customWidth="1"/>
    <col min="9" max="9" width="3.75" style="1" customWidth="1"/>
    <col min="10" max="10" width="13.75" style="1" customWidth="1"/>
    <col min="11" max="11" width="9" style="2"/>
  </cols>
  <sheetData>
    <row r="1" spans="1:22">
      <c r="A1" s="580" t="s">
        <v>217</v>
      </c>
      <c r="B1" s="579" t="s">
        <v>827</v>
      </c>
      <c r="C1" s="579"/>
      <c r="D1" s="579"/>
      <c r="E1" s="579"/>
      <c r="F1" s="579"/>
      <c r="G1" s="579"/>
      <c r="H1" s="579"/>
      <c r="I1" s="579"/>
      <c r="J1" s="579"/>
      <c r="K1" s="3" t="s">
        <v>828</v>
      </c>
      <c r="M1" s="574" t="s">
        <v>217</v>
      </c>
      <c r="N1" s="571" t="s">
        <v>827</v>
      </c>
      <c r="O1" s="572"/>
      <c r="P1" s="572"/>
      <c r="Q1" s="572"/>
      <c r="R1" s="572"/>
      <c r="S1" s="572"/>
      <c r="T1" s="572"/>
      <c r="U1" s="572"/>
      <c r="V1" s="573"/>
    </row>
    <row r="2" spans="1:22">
      <c r="A2" s="581"/>
      <c r="B2" s="4" t="s">
        <v>829</v>
      </c>
      <c r="C2" s="5" t="s">
        <v>202</v>
      </c>
      <c r="D2" s="5" t="s">
        <v>203</v>
      </c>
      <c r="E2" s="5" t="s">
        <v>204</v>
      </c>
      <c r="F2" s="5" t="s">
        <v>29</v>
      </c>
      <c r="G2" s="5" t="s">
        <v>30</v>
      </c>
      <c r="H2" s="5" t="s">
        <v>205</v>
      </c>
      <c r="I2" s="5" t="s">
        <v>206</v>
      </c>
      <c r="J2" s="4" t="s">
        <v>25</v>
      </c>
      <c r="M2" s="575"/>
      <c r="N2" s="562" t="s">
        <v>829</v>
      </c>
      <c r="O2" s="563" t="s">
        <v>202</v>
      </c>
      <c r="P2" s="563" t="s">
        <v>203</v>
      </c>
      <c r="Q2" s="563" t="s">
        <v>204</v>
      </c>
      <c r="R2" s="563" t="s">
        <v>29</v>
      </c>
      <c r="S2" s="563" t="s">
        <v>30</v>
      </c>
      <c r="T2" s="563" t="s">
        <v>205</v>
      </c>
      <c r="U2" s="563" t="s">
        <v>206</v>
      </c>
      <c r="V2" s="562" t="s">
        <v>25</v>
      </c>
    </row>
    <row r="3" spans="1:22" ht="27">
      <c r="A3" s="582"/>
      <c r="B3" s="6" t="s">
        <v>830</v>
      </c>
      <c r="C3" s="7">
        <f>表1温室气体盘查表!B110</f>
        <v>7086080.3451288501</v>
      </c>
      <c r="D3" s="7">
        <f>表1温室气体盘查表!C110</f>
        <v>2569.6835348589698</v>
      </c>
      <c r="E3" s="7">
        <f>表1温室气体盘查表!D110</f>
        <v>30422.615322386999</v>
      </c>
      <c r="F3" s="7">
        <f>表1温室气体盘查表!E110</f>
        <v>717.03</v>
      </c>
      <c r="G3" s="7">
        <f>表1温室气体盘查表!F110</f>
        <v>0</v>
      </c>
      <c r="H3" s="7">
        <f>表1温室气体盘查表!G110</f>
        <v>2459.16</v>
      </c>
      <c r="I3" s="7">
        <f>表1温室气体盘查表!H110</f>
        <v>0</v>
      </c>
      <c r="J3" s="7">
        <f>表1温室气体盘查表!I110</f>
        <v>7122248.8339860998</v>
      </c>
      <c r="K3" s="8">
        <f>J3/$J$56</f>
        <v>0.45607050548571498</v>
      </c>
      <c r="M3" s="576"/>
      <c r="N3" s="564" t="s">
        <v>830</v>
      </c>
      <c r="O3" s="565" t="s">
        <v>1027</v>
      </c>
      <c r="P3" s="565" t="s">
        <v>1028</v>
      </c>
      <c r="Q3" s="565" t="s">
        <v>1029</v>
      </c>
      <c r="R3" s="565" t="s">
        <v>1030</v>
      </c>
      <c r="S3" s="565" t="s">
        <v>1031</v>
      </c>
      <c r="T3" s="565" t="s">
        <v>1032</v>
      </c>
      <c r="U3" s="565" t="s">
        <v>1033</v>
      </c>
      <c r="V3" s="565" t="s">
        <v>1034</v>
      </c>
    </row>
    <row r="4" spans="1:22">
      <c r="A4" s="580" t="s">
        <v>279</v>
      </c>
      <c r="B4" s="579" t="s">
        <v>857</v>
      </c>
      <c r="C4" s="579"/>
      <c r="D4" s="579"/>
      <c r="E4" s="579"/>
      <c r="F4" s="579"/>
      <c r="G4" s="579"/>
      <c r="H4" s="579"/>
      <c r="I4" s="579"/>
      <c r="J4" s="579"/>
      <c r="M4" s="574" t="s">
        <v>279</v>
      </c>
      <c r="N4" s="571" t="s">
        <v>831</v>
      </c>
      <c r="O4" s="572"/>
      <c r="P4" s="572"/>
      <c r="Q4" s="572"/>
      <c r="R4" s="572"/>
      <c r="S4" s="572"/>
      <c r="T4" s="572"/>
      <c r="U4" s="572"/>
      <c r="V4" s="573"/>
    </row>
    <row r="5" spans="1:22">
      <c r="A5" s="581"/>
      <c r="B5" s="4" t="s">
        <v>829</v>
      </c>
      <c r="C5" s="5" t="s">
        <v>202</v>
      </c>
      <c r="D5" s="5" t="s">
        <v>203</v>
      </c>
      <c r="E5" s="5" t="s">
        <v>204</v>
      </c>
      <c r="F5" s="5" t="s">
        <v>29</v>
      </c>
      <c r="G5" s="5" t="s">
        <v>30</v>
      </c>
      <c r="H5" s="5" t="s">
        <v>205</v>
      </c>
      <c r="I5" s="5" t="s">
        <v>206</v>
      </c>
      <c r="J5" s="4" t="s">
        <v>25</v>
      </c>
      <c r="M5" s="575"/>
      <c r="N5" s="562" t="s">
        <v>829</v>
      </c>
      <c r="O5" s="563" t="s">
        <v>202</v>
      </c>
      <c r="P5" s="563" t="s">
        <v>203</v>
      </c>
      <c r="Q5" s="563" t="s">
        <v>204</v>
      </c>
      <c r="R5" s="563" t="s">
        <v>29</v>
      </c>
      <c r="S5" s="563" t="s">
        <v>30</v>
      </c>
      <c r="T5" s="563" t="s">
        <v>205</v>
      </c>
      <c r="U5" s="563" t="s">
        <v>206</v>
      </c>
      <c r="V5" s="562" t="s">
        <v>25</v>
      </c>
    </row>
    <row r="6" spans="1:22" ht="27">
      <c r="A6" s="582"/>
      <c r="B6" s="9" t="s">
        <v>830</v>
      </c>
      <c r="C6" s="10">
        <f>表1温室气体盘查表!AE33</f>
        <v>1161900.3323520001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f>C6</f>
        <v>1161900.3323520001</v>
      </c>
      <c r="K6" s="8">
        <f>J6/$J$56</f>
        <v>7.4401847541631594E-2</v>
      </c>
      <c r="M6" s="576"/>
      <c r="N6" s="566" t="s">
        <v>830</v>
      </c>
      <c r="O6" s="565" t="s">
        <v>1171</v>
      </c>
      <c r="P6" s="565" t="s">
        <v>1172</v>
      </c>
      <c r="Q6" s="565" t="s">
        <v>1173</v>
      </c>
      <c r="R6" s="565" t="s">
        <v>1174</v>
      </c>
      <c r="S6" s="565" t="s">
        <v>1175</v>
      </c>
      <c r="T6" s="565" t="s">
        <v>1176</v>
      </c>
      <c r="U6" s="565" t="s">
        <v>1177</v>
      </c>
      <c r="V6" s="565" t="s">
        <v>1178</v>
      </c>
    </row>
    <row r="7" spans="1:22">
      <c r="A7" s="568" t="s">
        <v>832</v>
      </c>
      <c r="B7" s="579" t="s">
        <v>833</v>
      </c>
      <c r="C7" s="579"/>
      <c r="D7" s="579"/>
      <c r="E7" s="579"/>
      <c r="F7" s="579"/>
      <c r="G7" s="579"/>
      <c r="H7" s="579"/>
      <c r="I7" s="579"/>
      <c r="J7" s="579"/>
      <c r="M7" s="568" t="s">
        <v>832</v>
      </c>
      <c r="N7" s="571" t="s">
        <v>833</v>
      </c>
      <c r="O7" s="572"/>
      <c r="P7" s="572"/>
      <c r="Q7" s="572"/>
      <c r="R7" s="572"/>
      <c r="S7" s="572"/>
      <c r="T7" s="572"/>
      <c r="U7" s="572"/>
      <c r="V7" s="573"/>
    </row>
    <row r="8" spans="1:22">
      <c r="A8" s="577"/>
      <c r="B8" s="4" t="s">
        <v>829</v>
      </c>
      <c r="C8" s="5" t="s">
        <v>202</v>
      </c>
      <c r="D8" s="5" t="s">
        <v>203</v>
      </c>
      <c r="E8" s="5" t="s">
        <v>204</v>
      </c>
      <c r="F8" s="5" t="s">
        <v>29</v>
      </c>
      <c r="G8" s="5" t="s">
        <v>30</v>
      </c>
      <c r="H8" s="5" t="s">
        <v>205</v>
      </c>
      <c r="I8" s="5" t="s">
        <v>206</v>
      </c>
      <c r="J8" s="4" t="s">
        <v>25</v>
      </c>
      <c r="M8" s="569"/>
      <c r="N8" s="562" t="s">
        <v>829</v>
      </c>
      <c r="O8" s="563" t="s">
        <v>202</v>
      </c>
      <c r="P8" s="563" t="s">
        <v>203</v>
      </c>
      <c r="Q8" s="563" t="s">
        <v>204</v>
      </c>
      <c r="R8" s="563" t="s">
        <v>29</v>
      </c>
      <c r="S8" s="563" t="s">
        <v>30</v>
      </c>
      <c r="T8" s="563" t="s">
        <v>205</v>
      </c>
      <c r="U8" s="563" t="s">
        <v>206</v>
      </c>
      <c r="V8" s="562" t="s">
        <v>25</v>
      </c>
    </row>
    <row r="9" spans="1:22" ht="27">
      <c r="A9" s="578"/>
      <c r="B9" s="11" t="s">
        <v>830</v>
      </c>
      <c r="C9" s="12">
        <f>表1温室气体盘查表!B120</f>
        <v>2710165.6193504599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f>表1温室气体盘查表!C120</f>
        <v>2710165.6193504599</v>
      </c>
      <c r="K9" s="8">
        <f>J9/$J$56</f>
        <v>0.17354442856153399</v>
      </c>
      <c r="M9" s="570"/>
      <c r="N9" s="13" t="s">
        <v>830</v>
      </c>
      <c r="O9" s="565" t="s">
        <v>1043</v>
      </c>
      <c r="P9" s="565" t="s">
        <v>1044</v>
      </c>
      <c r="Q9" s="565" t="s">
        <v>1045</v>
      </c>
      <c r="R9" s="565" t="s">
        <v>1046</v>
      </c>
      <c r="S9" s="565" t="s">
        <v>1047</v>
      </c>
      <c r="T9" s="565" t="s">
        <v>1048</v>
      </c>
      <c r="U9" s="565" t="s">
        <v>1049</v>
      </c>
      <c r="V9" s="565" t="s">
        <v>1050</v>
      </c>
    </row>
    <row r="10" spans="1:22">
      <c r="A10" s="568" t="s">
        <v>834</v>
      </c>
      <c r="B10" s="579" t="s">
        <v>835</v>
      </c>
      <c r="C10" s="579"/>
      <c r="D10" s="579"/>
      <c r="E10" s="579"/>
      <c r="F10" s="579"/>
      <c r="G10" s="579"/>
      <c r="H10" s="579"/>
      <c r="I10" s="579"/>
      <c r="J10" s="579"/>
      <c r="M10" s="568" t="s">
        <v>834</v>
      </c>
      <c r="N10" s="571" t="s">
        <v>835</v>
      </c>
      <c r="O10" s="572"/>
      <c r="P10" s="572"/>
      <c r="Q10" s="572"/>
      <c r="R10" s="572"/>
      <c r="S10" s="572"/>
      <c r="T10" s="572"/>
      <c r="U10" s="572"/>
      <c r="V10" s="573"/>
    </row>
    <row r="11" spans="1:22">
      <c r="A11" s="577"/>
      <c r="B11" s="4" t="s">
        <v>829</v>
      </c>
      <c r="C11" s="5" t="s">
        <v>202</v>
      </c>
      <c r="D11" s="5" t="s">
        <v>203</v>
      </c>
      <c r="E11" s="5" t="s">
        <v>204</v>
      </c>
      <c r="F11" s="5" t="s">
        <v>29</v>
      </c>
      <c r="G11" s="5" t="s">
        <v>30</v>
      </c>
      <c r="H11" s="5" t="s">
        <v>205</v>
      </c>
      <c r="I11" s="5" t="s">
        <v>206</v>
      </c>
      <c r="J11" s="4" t="s">
        <v>25</v>
      </c>
      <c r="M11" s="569"/>
      <c r="N11" s="562" t="s">
        <v>829</v>
      </c>
      <c r="O11" s="563" t="s">
        <v>202</v>
      </c>
      <c r="P11" s="563" t="s">
        <v>203</v>
      </c>
      <c r="Q11" s="563" t="s">
        <v>204</v>
      </c>
      <c r="R11" s="563" t="s">
        <v>29</v>
      </c>
      <c r="S11" s="563" t="s">
        <v>30</v>
      </c>
      <c r="T11" s="563" t="s">
        <v>205</v>
      </c>
      <c r="U11" s="563" t="s">
        <v>206</v>
      </c>
      <c r="V11" s="562" t="s">
        <v>25</v>
      </c>
    </row>
    <row r="12" spans="1:22" ht="27">
      <c r="A12" s="578"/>
      <c r="B12" s="11" t="s">
        <v>830</v>
      </c>
      <c r="C12" s="12">
        <f>表1温室气体盘查表!B124</f>
        <v>51806.970343360001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f>C12</f>
        <v>51806.970343360001</v>
      </c>
      <c r="K12" s="8">
        <f>J12/$J$56</f>
        <v>3.3174397164323702E-3</v>
      </c>
      <c r="M12" s="570"/>
      <c r="N12" s="13" t="s">
        <v>830</v>
      </c>
      <c r="O12" s="565" t="s">
        <v>1051</v>
      </c>
      <c r="P12" s="565" t="s">
        <v>1052</v>
      </c>
      <c r="Q12" s="565" t="s">
        <v>1053</v>
      </c>
      <c r="R12" s="565" t="s">
        <v>1054</v>
      </c>
      <c r="S12" s="565" t="s">
        <v>1055</v>
      </c>
      <c r="T12" s="565" t="s">
        <v>1056</v>
      </c>
      <c r="U12" s="565" t="s">
        <v>1057</v>
      </c>
      <c r="V12" s="565" t="s">
        <v>1058</v>
      </c>
    </row>
    <row r="13" spans="1:22">
      <c r="A13" s="568" t="s">
        <v>836</v>
      </c>
      <c r="B13" s="579" t="s">
        <v>654</v>
      </c>
      <c r="C13" s="579"/>
      <c r="D13" s="579"/>
      <c r="E13" s="579"/>
      <c r="F13" s="579"/>
      <c r="G13" s="579"/>
      <c r="H13" s="579"/>
      <c r="I13" s="579"/>
      <c r="J13" s="579"/>
      <c r="M13" s="568" t="s">
        <v>836</v>
      </c>
      <c r="N13" s="571" t="s">
        <v>654</v>
      </c>
      <c r="O13" s="572"/>
      <c r="P13" s="572"/>
      <c r="Q13" s="572"/>
      <c r="R13" s="572"/>
      <c r="S13" s="572"/>
      <c r="T13" s="572"/>
      <c r="U13" s="572"/>
      <c r="V13" s="573"/>
    </row>
    <row r="14" spans="1:22">
      <c r="A14" s="577"/>
      <c r="B14" s="4" t="s">
        <v>829</v>
      </c>
      <c r="C14" s="5" t="s">
        <v>202</v>
      </c>
      <c r="D14" s="5" t="s">
        <v>203</v>
      </c>
      <c r="E14" s="5" t="s">
        <v>204</v>
      </c>
      <c r="F14" s="5" t="s">
        <v>29</v>
      </c>
      <c r="G14" s="5" t="s">
        <v>30</v>
      </c>
      <c r="H14" s="5" t="s">
        <v>205</v>
      </c>
      <c r="I14" s="5" t="s">
        <v>206</v>
      </c>
      <c r="J14" s="4" t="s">
        <v>25</v>
      </c>
      <c r="M14" s="569"/>
      <c r="N14" s="562" t="s">
        <v>829</v>
      </c>
      <c r="O14" s="563" t="s">
        <v>202</v>
      </c>
      <c r="P14" s="563" t="s">
        <v>203</v>
      </c>
      <c r="Q14" s="563" t="s">
        <v>204</v>
      </c>
      <c r="R14" s="563" t="s">
        <v>29</v>
      </c>
      <c r="S14" s="563" t="s">
        <v>30</v>
      </c>
      <c r="T14" s="563" t="s">
        <v>205</v>
      </c>
      <c r="U14" s="563" t="s">
        <v>206</v>
      </c>
      <c r="V14" s="562" t="s">
        <v>25</v>
      </c>
    </row>
    <row r="15" spans="1:22" ht="27">
      <c r="A15" s="578"/>
      <c r="B15" s="11" t="s">
        <v>830</v>
      </c>
      <c r="C15" s="12">
        <f>表1温室气体盘查表!B128</f>
        <v>2016736.07196272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f>C15</f>
        <v>2016736.07196272</v>
      </c>
      <c r="K15" s="8">
        <f>J15/$J$56</f>
        <v>0.129140930232923</v>
      </c>
      <c r="M15" s="570"/>
      <c r="N15" s="13" t="s">
        <v>830</v>
      </c>
      <c r="O15" s="565" t="s">
        <v>1059</v>
      </c>
      <c r="P15" s="565" t="s">
        <v>1060</v>
      </c>
      <c r="Q15" s="565" t="s">
        <v>1061</v>
      </c>
      <c r="R15" s="565" t="s">
        <v>1062</v>
      </c>
      <c r="S15" s="565" t="s">
        <v>1063</v>
      </c>
      <c r="T15" s="565" t="s">
        <v>1064</v>
      </c>
      <c r="U15" s="565" t="s">
        <v>1065</v>
      </c>
      <c r="V15" s="565" t="s">
        <v>1066</v>
      </c>
    </row>
    <row r="16" spans="1:22">
      <c r="A16" s="568" t="s">
        <v>837</v>
      </c>
      <c r="B16" s="579" t="s">
        <v>346</v>
      </c>
      <c r="C16" s="579"/>
      <c r="D16" s="579"/>
      <c r="E16" s="579"/>
      <c r="F16" s="579"/>
      <c r="G16" s="579"/>
      <c r="H16" s="579"/>
      <c r="I16" s="579"/>
      <c r="J16" s="579"/>
      <c r="M16" s="568" t="s">
        <v>837</v>
      </c>
      <c r="N16" s="571" t="s">
        <v>346</v>
      </c>
      <c r="O16" s="572"/>
      <c r="P16" s="572"/>
      <c r="Q16" s="572"/>
      <c r="R16" s="572"/>
      <c r="S16" s="572"/>
      <c r="T16" s="572"/>
      <c r="U16" s="572"/>
      <c r="V16" s="573"/>
    </row>
    <row r="17" spans="1:22">
      <c r="A17" s="577"/>
      <c r="B17" s="4" t="s">
        <v>829</v>
      </c>
      <c r="C17" s="5" t="s">
        <v>202</v>
      </c>
      <c r="D17" s="5" t="s">
        <v>203</v>
      </c>
      <c r="E17" s="5" t="s">
        <v>204</v>
      </c>
      <c r="F17" s="5" t="s">
        <v>29</v>
      </c>
      <c r="G17" s="5" t="s">
        <v>30</v>
      </c>
      <c r="H17" s="5" t="s">
        <v>205</v>
      </c>
      <c r="I17" s="5" t="s">
        <v>206</v>
      </c>
      <c r="J17" s="4" t="s">
        <v>25</v>
      </c>
      <c r="M17" s="569"/>
      <c r="N17" s="562" t="s">
        <v>829</v>
      </c>
      <c r="O17" s="563" t="s">
        <v>202</v>
      </c>
      <c r="P17" s="563" t="s">
        <v>203</v>
      </c>
      <c r="Q17" s="563" t="s">
        <v>204</v>
      </c>
      <c r="R17" s="563" t="s">
        <v>29</v>
      </c>
      <c r="S17" s="563" t="s">
        <v>30</v>
      </c>
      <c r="T17" s="563" t="s">
        <v>205</v>
      </c>
      <c r="U17" s="563" t="s">
        <v>206</v>
      </c>
      <c r="V17" s="562" t="s">
        <v>25</v>
      </c>
    </row>
    <row r="18" spans="1:22" ht="27">
      <c r="A18" s="578"/>
      <c r="B18" s="11" t="s">
        <v>830</v>
      </c>
      <c r="C18" s="12">
        <f>表1温室气体盘查表!B132</f>
        <v>362284.25267030101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f>C18</f>
        <v>362284.25267030101</v>
      </c>
      <c r="K18" s="8">
        <f>J18/$J$56</f>
        <v>2.3198734851332899E-2</v>
      </c>
      <c r="M18" s="570"/>
      <c r="N18" s="13" t="s">
        <v>830</v>
      </c>
      <c r="O18" s="565" t="s">
        <v>1067</v>
      </c>
      <c r="P18" s="565" t="s">
        <v>1068</v>
      </c>
      <c r="Q18" s="565" t="s">
        <v>1069</v>
      </c>
      <c r="R18" s="565" t="s">
        <v>1070</v>
      </c>
      <c r="S18" s="565" t="s">
        <v>1071</v>
      </c>
      <c r="T18" s="565" t="s">
        <v>1072</v>
      </c>
      <c r="U18" s="565" t="s">
        <v>1073</v>
      </c>
      <c r="V18" s="565" t="s">
        <v>1074</v>
      </c>
    </row>
    <row r="19" spans="1:22">
      <c r="A19" s="568" t="s">
        <v>838</v>
      </c>
      <c r="B19" s="579" t="s">
        <v>839</v>
      </c>
      <c r="C19" s="579"/>
      <c r="D19" s="579"/>
      <c r="E19" s="579"/>
      <c r="F19" s="579"/>
      <c r="G19" s="579"/>
      <c r="H19" s="579"/>
      <c r="I19" s="579"/>
      <c r="J19" s="579"/>
      <c r="M19" s="568" t="s">
        <v>838</v>
      </c>
      <c r="N19" s="571" t="s">
        <v>839</v>
      </c>
      <c r="O19" s="572"/>
      <c r="P19" s="572"/>
      <c r="Q19" s="572"/>
      <c r="R19" s="572"/>
      <c r="S19" s="572"/>
      <c r="T19" s="572"/>
      <c r="U19" s="572"/>
      <c r="V19" s="573"/>
    </row>
    <row r="20" spans="1:22">
      <c r="A20" s="577"/>
      <c r="B20" s="4" t="s">
        <v>829</v>
      </c>
      <c r="C20" s="5" t="s">
        <v>202</v>
      </c>
      <c r="D20" s="5" t="s">
        <v>203</v>
      </c>
      <c r="E20" s="5" t="s">
        <v>204</v>
      </c>
      <c r="F20" s="5" t="s">
        <v>29</v>
      </c>
      <c r="G20" s="5" t="s">
        <v>30</v>
      </c>
      <c r="H20" s="5" t="s">
        <v>205</v>
      </c>
      <c r="I20" s="5" t="s">
        <v>206</v>
      </c>
      <c r="J20" s="4" t="s">
        <v>25</v>
      </c>
      <c r="M20" s="569"/>
      <c r="N20" s="562" t="s">
        <v>829</v>
      </c>
      <c r="O20" s="563" t="s">
        <v>202</v>
      </c>
      <c r="P20" s="563" t="s">
        <v>203</v>
      </c>
      <c r="Q20" s="563" t="s">
        <v>204</v>
      </c>
      <c r="R20" s="563" t="s">
        <v>29</v>
      </c>
      <c r="S20" s="563" t="s">
        <v>30</v>
      </c>
      <c r="T20" s="563" t="s">
        <v>205</v>
      </c>
      <c r="U20" s="563" t="s">
        <v>206</v>
      </c>
      <c r="V20" s="562" t="s">
        <v>25</v>
      </c>
    </row>
    <row r="21" spans="1:22" ht="27">
      <c r="A21" s="578"/>
      <c r="B21" s="11" t="s">
        <v>830</v>
      </c>
      <c r="C21" s="12">
        <f>表1温室气体盘查表!B136</f>
        <v>147636.03187622401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f>C21</f>
        <v>147636.03187622401</v>
      </c>
      <c r="K21" s="8">
        <f>J21/$J$56</f>
        <v>9.4538173623471694E-3</v>
      </c>
      <c r="M21" s="570"/>
      <c r="N21" s="13" t="s">
        <v>830</v>
      </c>
      <c r="O21" s="565" t="s">
        <v>1075</v>
      </c>
      <c r="P21" s="565" t="s">
        <v>1076</v>
      </c>
      <c r="Q21" s="565" t="s">
        <v>1077</v>
      </c>
      <c r="R21" s="565" t="s">
        <v>1078</v>
      </c>
      <c r="S21" s="565" t="s">
        <v>1079</v>
      </c>
      <c r="T21" s="565" t="s">
        <v>1080</v>
      </c>
      <c r="U21" s="565" t="s">
        <v>1081</v>
      </c>
      <c r="V21" s="565" t="s">
        <v>1082</v>
      </c>
    </row>
    <row r="22" spans="1:22">
      <c r="A22" s="568" t="s">
        <v>840</v>
      </c>
      <c r="B22" s="579" t="s">
        <v>357</v>
      </c>
      <c r="C22" s="579"/>
      <c r="D22" s="579"/>
      <c r="E22" s="579"/>
      <c r="F22" s="579"/>
      <c r="G22" s="579"/>
      <c r="H22" s="579"/>
      <c r="I22" s="579"/>
      <c r="J22" s="579"/>
      <c r="M22" s="568" t="s">
        <v>840</v>
      </c>
      <c r="N22" s="571" t="s">
        <v>357</v>
      </c>
      <c r="O22" s="572"/>
      <c r="P22" s="572"/>
      <c r="Q22" s="572"/>
      <c r="R22" s="572"/>
      <c r="S22" s="572"/>
      <c r="T22" s="572"/>
      <c r="U22" s="572"/>
      <c r="V22" s="573"/>
    </row>
    <row r="23" spans="1:22">
      <c r="A23" s="577"/>
      <c r="B23" s="4" t="s">
        <v>829</v>
      </c>
      <c r="C23" s="5" t="s">
        <v>202</v>
      </c>
      <c r="D23" s="5" t="s">
        <v>203</v>
      </c>
      <c r="E23" s="5" t="s">
        <v>204</v>
      </c>
      <c r="F23" s="5" t="s">
        <v>29</v>
      </c>
      <c r="G23" s="5" t="s">
        <v>30</v>
      </c>
      <c r="H23" s="5" t="s">
        <v>205</v>
      </c>
      <c r="I23" s="5" t="s">
        <v>206</v>
      </c>
      <c r="J23" s="4" t="s">
        <v>25</v>
      </c>
      <c r="M23" s="569"/>
      <c r="N23" s="562" t="s">
        <v>829</v>
      </c>
      <c r="O23" s="563" t="s">
        <v>202</v>
      </c>
      <c r="P23" s="563" t="s">
        <v>203</v>
      </c>
      <c r="Q23" s="563" t="s">
        <v>204</v>
      </c>
      <c r="R23" s="563" t="s">
        <v>29</v>
      </c>
      <c r="S23" s="563" t="s">
        <v>30</v>
      </c>
      <c r="T23" s="563" t="s">
        <v>205</v>
      </c>
      <c r="U23" s="563" t="s">
        <v>206</v>
      </c>
      <c r="V23" s="562" t="s">
        <v>25</v>
      </c>
    </row>
    <row r="24" spans="1:22" ht="27">
      <c r="A24" s="578"/>
      <c r="B24" s="11" t="s">
        <v>830</v>
      </c>
      <c r="C24" s="12">
        <f>表1温室气体盘查表!B140</f>
        <v>1670.17345373528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f>C24</f>
        <v>1670.17345373528</v>
      </c>
      <c r="K24" s="8">
        <f>J24/$J$56</f>
        <v>1.06948924286259E-4</v>
      </c>
      <c r="M24" s="570"/>
      <c r="N24" s="13" t="s">
        <v>830</v>
      </c>
      <c r="O24" s="565" t="s">
        <v>1083</v>
      </c>
      <c r="P24" s="565" t="s">
        <v>1084</v>
      </c>
      <c r="Q24" s="565" t="s">
        <v>1085</v>
      </c>
      <c r="R24" s="565" t="s">
        <v>1086</v>
      </c>
      <c r="S24" s="565" t="s">
        <v>1087</v>
      </c>
      <c r="T24" s="565" t="s">
        <v>1088</v>
      </c>
      <c r="U24" s="565" t="s">
        <v>1089</v>
      </c>
      <c r="V24" s="565" t="s">
        <v>1090</v>
      </c>
    </row>
    <row r="25" spans="1:22">
      <c r="A25" s="568" t="s">
        <v>841</v>
      </c>
      <c r="B25" s="579" t="s">
        <v>363</v>
      </c>
      <c r="C25" s="579"/>
      <c r="D25" s="579"/>
      <c r="E25" s="579"/>
      <c r="F25" s="579"/>
      <c r="G25" s="579"/>
      <c r="H25" s="579"/>
      <c r="I25" s="579"/>
      <c r="J25" s="579"/>
      <c r="M25" s="568" t="s">
        <v>841</v>
      </c>
      <c r="N25" s="571" t="s">
        <v>363</v>
      </c>
      <c r="O25" s="572"/>
      <c r="P25" s="572"/>
      <c r="Q25" s="572"/>
      <c r="R25" s="572"/>
      <c r="S25" s="572"/>
      <c r="T25" s="572"/>
      <c r="U25" s="572"/>
      <c r="V25" s="573"/>
    </row>
    <row r="26" spans="1:22">
      <c r="A26" s="577"/>
      <c r="B26" s="4" t="s">
        <v>829</v>
      </c>
      <c r="C26" s="5" t="s">
        <v>202</v>
      </c>
      <c r="D26" s="5" t="s">
        <v>203</v>
      </c>
      <c r="E26" s="5" t="s">
        <v>204</v>
      </c>
      <c r="F26" s="5" t="s">
        <v>29</v>
      </c>
      <c r="G26" s="5" t="s">
        <v>30</v>
      </c>
      <c r="H26" s="5" t="s">
        <v>205</v>
      </c>
      <c r="I26" s="5" t="s">
        <v>206</v>
      </c>
      <c r="J26" s="4" t="s">
        <v>25</v>
      </c>
      <c r="M26" s="569"/>
      <c r="N26" s="562" t="s">
        <v>829</v>
      </c>
      <c r="O26" s="563" t="s">
        <v>202</v>
      </c>
      <c r="P26" s="563" t="s">
        <v>203</v>
      </c>
      <c r="Q26" s="563" t="s">
        <v>204</v>
      </c>
      <c r="R26" s="563" t="s">
        <v>29</v>
      </c>
      <c r="S26" s="563" t="s">
        <v>30</v>
      </c>
      <c r="T26" s="563" t="s">
        <v>205</v>
      </c>
      <c r="U26" s="563" t="s">
        <v>206</v>
      </c>
      <c r="V26" s="562" t="s">
        <v>25</v>
      </c>
    </row>
    <row r="27" spans="1:22" ht="27">
      <c r="A27" s="578"/>
      <c r="B27" s="11" t="s">
        <v>830</v>
      </c>
      <c r="C27" s="12">
        <f>表1温室气体盘查表!B144</f>
        <v>13322.57648759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f>C27</f>
        <v>13322.57648759</v>
      </c>
      <c r="K27" s="8">
        <f>J27/$J$56</f>
        <v>8.5310613749881004E-4</v>
      </c>
      <c r="M27" s="570"/>
      <c r="N27" s="13" t="s">
        <v>830</v>
      </c>
      <c r="O27" s="565" t="s">
        <v>1091</v>
      </c>
      <c r="P27" s="565" t="s">
        <v>1092</v>
      </c>
      <c r="Q27" s="565" t="s">
        <v>1093</v>
      </c>
      <c r="R27" s="565" t="s">
        <v>1094</v>
      </c>
      <c r="S27" s="565" t="s">
        <v>1095</v>
      </c>
      <c r="T27" s="565" t="s">
        <v>1096</v>
      </c>
      <c r="U27" s="565" t="s">
        <v>1097</v>
      </c>
      <c r="V27" s="565" t="s">
        <v>1098</v>
      </c>
    </row>
    <row r="28" spans="1:22">
      <c r="A28" s="568" t="s">
        <v>842</v>
      </c>
      <c r="B28" s="579" t="s">
        <v>843</v>
      </c>
      <c r="C28" s="579"/>
      <c r="D28" s="579"/>
      <c r="E28" s="579"/>
      <c r="F28" s="579"/>
      <c r="G28" s="579"/>
      <c r="H28" s="579"/>
      <c r="I28" s="579"/>
      <c r="J28" s="579"/>
      <c r="M28" s="568" t="s">
        <v>842</v>
      </c>
      <c r="N28" s="571" t="s">
        <v>843</v>
      </c>
      <c r="O28" s="572"/>
      <c r="P28" s="572"/>
      <c r="Q28" s="572"/>
      <c r="R28" s="572"/>
      <c r="S28" s="572"/>
      <c r="T28" s="572"/>
      <c r="U28" s="572"/>
      <c r="V28" s="573"/>
    </row>
    <row r="29" spans="1:22">
      <c r="A29" s="577"/>
      <c r="B29" s="4" t="s">
        <v>829</v>
      </c>
      <c r="C29" s="5" t="s">
        <v>202</v>
      </c>
      <c r="D29" s="5" t="s">
        <v>203</v>
      </c>
      <c r="E29" s="5" t="s">
        <v>204</v>
      </c>
      <c r="F29" s="5" t="s">
        <v>29</v>
      </c>
      <c r="G29" s="5" t="s">
        <v>30</v>
      </c>
      <c r="H29" s="5" t="s">
        <v>205</v>
      </c>
      <c r="I29" s="5" t="s">
        <v>206</v>
      </c>
      <c r="J29" s="4" t="s">
        <v>25</v>
      </c>
      <c r="M29" s="569"/>
      <c r="N29" s="562" t="s">
        <v>829</v>
      </c>
      <c r="O29" s="563" t="s">
        <v>202</v>
      </c>
      <c r="P29" s="563" t="s">
        <v>203</v>
      </c>
      <c r="Q29" s="563" t="s">
        <v>204</v>
      </c>
      <c r="R29" s="563" t="s">
        <v>29</v>
      </c>
      <c r="S29" s="563" t="s">
        <v>30</v>
      </c>
      <c r="T29" s="563" t="s">
        <v>205</v>
      </c>
      <c r="U29" s="563" t="s">
        <v>206</v>
      </c>
      <c r="V29" s="562" t="s">
        <v>25</v>
      </c>
    </row>
    <row r="30" spans="1:22" ht="27">
      <c r="A30" s="578"/>
      <c r="B30" s="11" t="s">
        <v>830</v>
      </c>
      <c r="C30" s="12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f>C30</f>
        <v>0</v>
      </c>
      <c r="M30" s="570"/>
      <c r="N30" s="13" t="s">
        <v>830</v>
      </c>
      <c r="O30" s="565" t="s">
        <v>1099</v>
      </c>
      <c r="P30" s="565" t="s">
        <v>1100</v>
      </c>
      <c r="Q30" s="565" t="s">
        <v>1101</v>
      </c>
      <c r="R30" s="565" t="s">
        <v>1102</v>
      </c>
      <c r="S30" s="565" t="s">
        <v>1103</v>
      </c>
      <c r="T30" s="565" t="s">
        <v>1104</v>
      </c>
      <c r="U30" s="565" t="s">
        <v>1105</v>
      </c>
      <c r="V30" s="565" t="s">
        <v>1106</v>
      </c>
    </row>
    <row r="31" spans="1:22">
      <c r="A31" s="568" t="s">
        <v>844</v>
      </c>
      <c r="B31" s="579" t="s">
        <v>369</v>
      </c>
      <c r="C31" s="579"/>
      <c r="D31" s="579"/>
      <c r="E31" s="579"/>
      <c r="F31" s="579"/>
      <c r="G31" s="579"/>
      <c r="H31" s="579"/>
      <c r="I31" s="579"/>
      <c r="J31" s="579"/>
      <c r="M31" s="568" t="s">
        <v>844</v>
      </c>
      <c r="N31" s="571" t="s">
        <v>369</v>
      </c>
      <c r="O31" s="572"/>
      <c r="P31" s="572"/>
      <c r="Q31" s="572"/>
      <c r="R31" s="572"/>
      <c r="S31" s="572"/>
      <c r="T31" s="572"/>
      <c r="U31" s="572"/>
      <c r="V31" s="573"/>
    </row>
    <row r="32" spans="1:22">
      <c r="A32" s="577"/>
      <c r="B32" s="4" t="s">
        <v>829</v>
      </c>
      <c r="C32" s="5" t="s">
        <v>202</v>
      </c>
      <c r="D32" s="5" t="s">
        <v>203</v>
      </c>
      <c r="E32" s="5" t="s">
        <v>204</v>
      </c>
      <c r="F32" s="5" t="s">
        <v>29</v>
      </c>
      <c r="G32" s="5" t="s">
        <v>30</v>
      </c>
      <c r="H32" s="5" t="s">
        <v>205</v>
      </c>
      <c r="I32" s="5" t="s">
        <v>206</v>
      </c>
      <c r="J32" s="4" t="s">
        <v>25</v>
      </c>
      <c r="M32" s="569"/>
      <c r="N32" s="562" t="s">
        <v>829</v>
      </c>
      <c r="O32" s="563" t="s">
        <v>202</v>
      </c>
      <c r="P32" s="563" t="s">
        <v>203</v>
      </c>
      <c r="Q32" s="563" t="s">
        <v>204</v>
      </c>
      <c r="R32" s="563" t="s">
        <v>29</v>
      </c>
      <c r="S32" s="563" t="s">
        <v>30</v>
      </c>
      <c r="T32" s="563" t="s">
        <v>205</v>
      </c>
      <c r="U32" s="563" t="s">
        <v>206</v>
      </c>
      <c r="V32" s="562" t="s">
        <v>25</v>
      </c>
    </row>
    <row r="33" spans="1:22" ht="27">
      <c r="A33" s="578"/>
      <c r="B33" s="11" t="s">
        <v>830</v>
      </c>
      <c r="C33" s="12">
        <f>表1温室气体盘查表!B152</f>
        <v>274585.60716191097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f>C33</f>
        <v>274585.60716191097</v>
      </c>
      <c r="K33" s="8">
        <f>J33/$J$56</f>
        <v>1.75829853149553E-2</v>
      </c>
      <c r="M33" s="570"/>
      <c r="N33" s="13" t="s">
        <v>830</v>
      </c>
      <c r="O33" s="565" t="s">
        <v>1107</v>
      </c>
      <c r="P33" s="565" t="s">
        <v>1108</v>
      </c>
      <c r="Q33" s="565" t="s">
        <v>1109</v>
      </c>
      <c r="R33" s="565" t="s">
        <v>1110</v>
      </c>
      <c r="S33" s="565" t="s">
        <v>1111</v>
      </c>
      <c r="T33" s="565" t="s">
        <v>1112</v>
      </c>
      <c r="U33" s="565" t="s">
        <v>1113</v>
      </c>
      <c r="V33" s="565" t="s">
        <v>1114</v>
      </c>
    </row>
    <row r="34" spans="1:22">
      <c r="A34" s="568" t="s">
        <v>845</v>
      </c>
      <c r="B34" s="579" t="s">
        <v>371</v>
      </c>
      <c r="C34" s="579"/>
      <c r="D34" s="579"/>
      <c r="E34" s="579"/>
      <c r="F34" s="579"/>
      <c r="G34" s="579"/>
      <c r="H34" s="579"/>
      <c r="I34" s="579"/>
      <c r="J34" s="579"/>
      <c r="M34" s="568" t="s">
        <v>845</v>
      </c>
      <c r="N34" s="571" t="s">
        <v>371</v>
      </c>
      <c r="O34" s="572"/>
      <c r="P34" s="572"/>
      <c r="Q34" s="572"/>
      <c r="R34" s="572"/>
      <c r="S34" s="572"/>
      <c r="T34" s="572"/>
      <c r="U34" s="572"/>
      <c r="V34" s="573"/>
    </row>
    <row r="35" spans="1:22">
      <c r="A35" s="577"/>
      <c r="B35" s="4" t="s">
        <v>829</v>
      </c>
      <c r="C35" s="5" t="s">
        <v>202</v>
      </c>
      <c r="D35" s="5" t="s">
        <v>203</v>
      </c>
      <c r="E35" s="5" t="s">
        <v>204</v>
      </c>
      <c r="F35" s="5" t="s">
        <v>29</v>
      </c>
      <c r="G35" s="5" t="s">
        <v>30</v>
      </c>
      <c r="H35" s="5" t="s">
        <v>205</v>
      </c>
      <c r="I35" s="5" t="s">
        <v>206</v>
      </c>
      <c r="J35" s="4" t="s">
        <v>25</v>
      </c>
      <c r="M35" s="569"/>
      <c r="N35" s="562" t="s">
        <v>829</v>
      </c>
      <c r="O35" s="563" t="s">
        <v>202</v>
      </c>
      <c r="P35" s="563" t="s">
        <v>203</v>
      </c>
      <c r="Q35" s="563" t="s">
        <v>204</v>
      </c>
      <c r="R35" s="563" t="s">
        <v>29</v>
      </c>
      <c r="S35" s="563" t="s">
        <v>30</v>
      </c>
      <c r="T35" s="563" t="s">
        <v>205</v>
      </c>
      <c r="U35" s="563" t="s">
        <v>206</v>
      </c>
      <c r="V35" s="562" t="s">
        <v>25</v>
      </c>
    </row>
    <row r="36" spans="1:22" ht="27">
      <c r="A36" s="578"/>
      <c r="B36" s="11" t="s">
        <v>830</v>
      </c>
      <c r="C36" s="12">
        <f>表1温室气体盘查表!B156</f>
        <v>1746619.9596895301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f>C36</f>
        <v>1746619.9596895301</v>
      </c>
      <c r="K36" s="8">
        <f>J36/$J$56</f>
        <v>0.111844147329689</v>
      </c>
      <c r="M36" s="570"/>
      <c r="N36" s="13" t="s">
        <v>830</v>
      </c>
      <c r="O36" s="565" t="s">
        <v>1115</v>
      </c>
      <c r="P36" s="565" t="s">
        <v>1116</v>
      </c>
      <c r="Q36" s="565" t="s">
        <v>1117</v>
      </c>
      <c r="R36" s="565" t="s">
        <v>1118</v>
      </c>
      <c r="S36" s="565" t="s">
        <v>1119</v>
      </c>
      <c r="T36" s="565" t="s">
        <v>1120</v>
      </c>
      <c r="U36" s="565" t="s">
        <v>1121</v>
      </c>
      <c r="V36" s="565" t="s">
        <v>1122</v>
      </c>
    </row>
    <row r="37" spans="1:22">
      <c r="A37" s="568" t="s">
        <v>846</v>
      </c>
      <c r="B37" s="579" t="s">
        <v>377</v>
      </c>
      <c r="C37" s="579"/>
      <c r="D37" s="579"/>
      <c r="E37" s="579"/>
      <c r="F37" s="579"/>
      <c r="G37" s="579"/>
      <c r="H37" s="579"/>
      <c r="I37" s="579"/>
      <c r="J37" s="579"/>
      <c r="M37" s="568" t="s">
        <v>846</v>
      </c>
      <c r="N37" s="571" t="s">
        <v>377</v>
      </c>
      <c r="O37" s="572"/>
      <c r="P37" s="572"/>
      <c r="Q37" s="572"/>
      <c r="R37" s="572"/>
      <c r="S37" s="572"/>
      <c r="T37" s="572"/>
      <c r="U37" s="572"/>
      <c r="V37" s="573"/>
    </row>
    <row r="38" spans="1:22">
      <c r="A38" s="577"/>
      <c r="B38" s="4" t="s">
        <v>829</v>
      </c>
      <c r="C38" s="5" t="s">
        <v>202</v>
      </c>
      <c r="D38" s="5" t="s">
        <v>203</v>
      </c>
      <c r="E38" s="5" t="s">
        <v>204</v>
      </c>
      <c r="F38" s="5" t="s">
        <v>29</v>
      </c>
      <c r="G38" s="5" t="s">
        <v>30</v>
      </c>
      <c r="H38" s="5" t="s">
        <v>205</v>
      </c>
      <c r="I38" s="5" t="s">
        <v>206</v>
      </c>
      <c r="J38" s="4" t="s">
        <v>25</v>
      </c>
      <c r="M38" s="569"/>
      <c r="N38" s="562" t="s">
        <v>829</v>
      </c>
      <c r="O38" s="563" t="s">
        <v>202</v>
      </c>
      <c r="P38" s="563" t="s">
        <v>203</v>
      </c>
      <c r="Q38" s="563" t="s">
        <v>204</v>
      </c>
      <c r="R38" s="563" t="s">
        <v>29</v>
      </c>
      <c r="S38" s="563" t="s">
        <v>30</v>
      </c>
      <c r="T38" s="563" t="s">
        <v>205</v>
      </c>
      <c r="U38" s="563" t="s">
        <v>206</v>
      </c>
      <c r="V38" s="562" t="s">
        <v>25</v>
      </c>
    </row>
    <row r="39" spans="1:22" ht="27">
      <c r="A39" s="578"/>
      <c r="B39" s="11" t="s">
        <v>830</v>
      </c>
      <c r="C39" s="12">
        <f>表1温室气体盘查表!B160</f>
        <v>3828.3758806312799</v>
      </c>
      <c r="D39" s="12">
        <f>表1温室气体盘查表!C160</f>
        <v>2.4056686276939798</v>
      </c>
      <c r="E39" s="12">
        <f>表1温室气体盘查表!D160</f>
        <v>2.3539338184962602</v>
      </c>
      <c r="F39" s="12">
        <f>表1温室气体盘查表!E160</f>
        <v>0</v>
      </c>
      <c r="G39" s="12">
        <f>表1温室气体盘查表!F160</f>
        <v>0</v>
      </c>
      <c r="H39" s="12">
        <f>表1温室气体盘查表!G160</f>
        <v>0</v>
      </c>
      <c r="I39" s="12">
        <f>表1温室气体盘查表!H160</f>
        <v>0</v>
      </c>
      <c r="J39" s="10">
        <f>SUM(C39:I39)</f>
        <v>3833.1354830774699</v>
      </c>
      <c r="K39" s="8">
        <f>J39/$J$56</f>
        <v>2.4545337829540203E-4</v>
      </c>
      <c r="M39" s="570"/>
      <c r="N39" s="13" t="s">
        <v>830</v>
      </c>
      <c r="O39" s="565" t="s">
        <v>1123</v>
      </c>
      <c r="P39" s="565" t="s">
        <v>1124</v>
      </c>
      <c r="Q39" s="565" t="s">
        <v>1125</v>
      </c>
      <c r="R39" s="565" t="s">
        <v>1126</v>
      </c>
      <c r="S39" s="565" t="s">
        <v>1127</v>
      </c>
      <c r="T39" s="565" t="s">
        <v>1128</v>
      </c>
      <c r="U39" s="565" t="s">
        <v>1129</v>
      </c>
      <c r="V39" s="565" t="s">
        <v>1130</v>
      </c>
    </row>
    <row r="40" spans="1:22">
      <c r="A40" s="568" t="s">
        <v>847</v>
      </c>
      <c r="B40" s="579" t="s">
        <v>380</v>
      </c>
      <c r="C40" s="579"/>
      <c r="D40" s="579"/>
      <c r="E40" s="579"/>
      <c r="F40" s="579"/>
      <c r="G40" s="579"/>
      <c r="H40" s="579"/>
      <c r="I40" s="579"/>
      <c r="J40" s="579"/>
      <c r="M40" s="568" t="s">
        <v>847</v>
      </c>
      <c r="N40" s="571" t="s">
        <v>380</v>
      </c>
      <c r="O40" s="572"/>
      <c r="P40" s="572"/>
      <c r="Q40" s="572"/>
      <c r="R40" s="572"/>
      <c r="S40" s="572"/>
      <c r="T40" s="572"/>
      <c r="U40" s="572"/>
      <c r="V40" s="573"/>
    </row>
    <row r="41" spans="1:22">
      <c r="A41" s="577"/>
      <c r="B41" s="4" t="s">
        <v>829</v>
      </c>
      <c r="C41" s="5" t="s">
        <v>202</v>
      </c>
      <c r="D41" s="5" t="s">
        <v>203</v>
      </c>
      <c r="E41" s="5" t="s">
        <v>204</v>
      </c>
      <c r="F41" s="5" t="s">
        <v>29</v>
      </c>
      <c r="G41" s="5" t="s">
        <v>30</v>
      </c>
      <c r="H41" s="5" t="s">
        <v>205</v>
      </c>
      <c r="I41" s="5" t="s">
        <v>206</v>
      </c>
      <c r="J41" s="4" t="s">
        <v>25</v>
      </c>
      <c r="M41" s="569"/>
      <c r="N41" s="562" t="s">
        <v>829</v>
      </c>
      <c r="O41" s="563" t="s">
        <v>202</v>
      </c>
      <c r="P41" s="563" t="s">
        <v>203</v>
      </c>
      <c r="Q41" s="563" t="s">
        <v>204</v>
      </c>
      <c r="R41" s="563" t="s">
        <v>29</v>
      </c>
      <c r="S41" s="563" t="s">
        <v>30</v>
      </c>
      <c r="T41" s="563" t="s">
        <v>205</v>
      </c>
      <c r="U41" s="563" t="s">
        <v>206</v>
      </c>
      <c r="V41" s="562" t="s">
        <v>25</v>
      </c>
    </row>
    <row r="42" spans="1:22" ht="27">
      <c r="A42" s="578"/>
      <c r="B42" s="11" t="s">
        <v>830</v>
      </c>
      <c r="C42" s="12">
        <f>表1温室气体盘查表!B164</f>
        <v>3747.3469595889401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f>C42</f>
        <v>3747.3469595889401</v>
      </c>
      <c r="K42" s="8">
        <f>J42/$J$56</f>
        <v>2.3995994269882599E-4</v>
      </c>
      <c r="M42" s="570"/>
      <c r="N42" s="13" t="s">
        <v>830</v>
      </c>
      <c r="O42" s="565" t="s">
        <v>1131</v>
      </c>
      <c r="P42" s="565" t="s">
        <v>1132</v>
      </c>
      <c r="Q42" s="565" t="s">
        <v>1133</v>
      </c>
      <c r="R42" s="565" t="s">
        <v>1134</v>
      </c>
      <c r="S42" s="565" t="s">
        <v>1135</v>
      </c>
      <c r="T42" s="565" t="s">
        <v>1136</v>
      </c>
      <c r="U42" s="565" t="s">
        <v>1137</v>
      </c>
      <c r="V42" s="565" t="s">
        <v>1138</v>
      </c>
    </row>
    <row r="43" spans="1:22">
      <c r="A43" s="568" t="s">
        <v>848</v>
      </c>
      <c r="B43" s="579" t="s">
        <v>849</v>
      </c>
      <c r="C43" s="579"/>
      <c r="D43" s="579"/>
      <c r="E43" s="579"/>
      <c r="F43" s="579"/>
      <c r="G43" s="579"/>
      <c r="H43" s="579"/>
      <c r="I43" s="579"/>
      <c r="J43" s="579"/>
      <c r="M43" s="568" t="s">
        <v>848</v>
      </c>
      <c r="N43" s="571" t="s">
        <v>849</v>
      </c>
      <c r="O43" s="572"/>
      <c r="P43" s="572"/>
      <c r="Q43" s="572"/>
      <c r="R43" s="572"/>
      <c r="S43" s="572"/>
      <c r="T43" s="572"/>
      <c r="U43" s="572"/>
      <c r="V43" s="573"/>
    </row>
    <row r="44" spans="1:22">
      <c r="A44" s="577"/>
      <c r="B44" s="4" t="s">
        <v>829</v>
      </c>
      <c r="C44" s="5" t="s">
        <v>202</v>
      </c>
      <c r="D44" s="5" t="s">
        <v>203</v>
      </c>
      <c r="E44" s="5" t="s">
        <v>204</v>
      </c>
      <c r="F44" s="5" t="s">
        <v>29</v>
      </c>
      <c r="G44" s="5" t="s">
        <v>30</v>
      </c>
      <c r="H44" s="5" t="s">
        <v>205</v>
      </c>
      <c r="I44" s="5" t="s">
        <v>206</v>
      </c>
      <c r="J44" s="4" t="s">
        <v>25</v>
      </c>
      <c r="M44" s="569"/>
      <c r="N44" s="562" t="s">
        <v>829</v>
      </c>
      <c r="O44" s="563" t="s">
        <v>202</v>
      </c>
      <c r="P44" s="563" t="s">
        <v>203</v>
      </c>
      <c r="Q44" s="563" t="s">
        <v>204</v>
      </c>
      <c r="R44" s="563" t="s">
        <v>29</v>
      </c>
      <c r="S44" s="563" t="s">
        <v>30</v>
      </c>
      <c r="T44" s="563" t="s">
        <v>205</v>
      </c>
      <c r="U44" s="563" t="s">
        <v>206</v>
      </c>
      <c r="V44" s="562" t="s">
        <v>25</v>
      </c>
    </row>
    <row r="45" spans="1:22" ht="27">
      <c r="A45" s="578"/>
      <c r="B45" s="11" t="s">
        <v>830</v>
      </c>
      <c r="C45" s="12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f>C45</f>
        <v>0</v>
      </c>
      <c r="M45" s="570"/>
      <c r="N45" s="13" t="s">
        <v>830</v>
      </c>
      <c r="O45" s="565" t="s">
        <v>1139</v>
      </c>
      <c r="P45" s="565" t="s">
        <v>1140</v>
      </c>
      <c r="Q45" s="565" t="s">
        <v>1141</v>
      </c>
      <c r="R45" s="565" t="s">
        <v>1142</v>
      </c>
      <c r="S45" s="565" t="s">
        <v>1143</v>
      </c>
      <c r="T45" s="565" t="s">
        <v>1144</v>
      </c>
      <c r="U45" s="565" t="s">
        <v>1145</v>
      </c>
      <c r="V45" s="565" t="s">
        <v>1146</v>
      </c>
    </row>
    <row r="46" spans="1:22">
      <c r="A46" s="568" t="s">
        <v>850</v>
      </c>
      <c r="B46" s="579" t="s">
        <v>851</v>
      </c>
      <c r="C46" s="579"/>
      <c r="D46" s="579"/>
      <c r="E46" s="579"/>
      <c r="F46" s="579"/>
      <c r="G46" s="579"/>
      <c r="H46" s="579"/>
      <c r="I46" s="579"/>
      <c r="J46" s="579"/>
      <c r="M46" s="568" t="s">
        <v>850</v>
      </c>
      <c r="N46" s="571" t="s">
        <v>851</v>
      </c>
      <c r="O46" s="572"/>
      <c r="P46" s="572"/>
      <c r="Q46" s="572"/>
      <c r="R46" s="572"/>
      <c r="S46" s="572"/>
      <c r="T46" s="572"/>
      <c r="U46" s="572"/>
      <c r="V46" s="573"/>
    </row>
    <row r="47" spans="1:22">
      <c r="A47" s="577"/>
      <c r="B47" s="4" t="s">
        <v>829</v>
      </c>
      <c r="C47" s="5" t="s">
        <v>202</v>
      </c>
      <c r="D47" s="5" t="s">
        <v>203</v>
      </c>
      <c r="E47" s="5" t="s">
        <v>204</v>
      </c>
      <c r="F47" s="5" t="s">
        <v>29</v>
      </c>
      <c r="G47" s="5" t="s">
        <v>30</v>
      </c>
      <c r="H47" s="5" t="s">
        <v>205</v>
      </c>
      <c r="I47" s="5" t="s">
        <v>206</v>
      </c>
      <c r="J47" s="4" t="s">
        <v>25</v>
      </c>
      <c r="M47" s="569"/>
      <c r="N47" s="562" t="s">
        <v>829</v>
      </c>
      <c r="O47" s="563" t="s">
        <v>202</v>
      </c>
      <c r="P47" s="563" t="s">
        <v>203</v>
      </c>
      <c r="Q47" s="563" t="s">
        <v>204</v>
      </c>
      <c r="R47" s="563" t="s">
        <v>29</v>
      </c>
      <c r="S47" s="563" t="s">
        <v>30</v>
      </c>
      <c r="T47" s="563" t="s">
        <v>205</v>
      </c>
      <c r="U47" s="563" t="s">
        <v>206</v>
      </c>
      <c r="V47" s="562" t="s">
        <v>25</v>
      </c>
    </row>
    <row r="48" spans="1:22" ht="27">
      <c r="A48" s="578"/>
      <c r="B48" s="11" t="s">
        <v>830</v>
      </c>
      <c r="C48" s="12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f>C48</f>
        <v>0</v>
      </c>
      <c r="M48" s="570"/>
      <c r="N48" s="13" t="s">
        <v>830</v>
      </c>
      <c r="O48" s="565" t="s">
        <v>1147</v>
      </c>
      <c r="P48" s="565" t="s">
        <v>1148</v>
      </c>
      <c r="Q48" s="565" t="s">
        <v>1149</v>
      </c>
      <c r="R48" s="565" t="s">
        <v>1150</v>
      </c>
      <c r="S48" s="565" t="s">
        <v>1151</v>
      </c>
      <c r="T48" s="565" t="s">
        <v>1152</v>
      </c>
      <c r="U48" s="565" t="s">
        <v>1153</v>
      </c>
      <c r="V48" s="565" t="s">
        <v>1154</v>
      </c>
    </row>
    <row r="49" spans="1:22">
      <c r="A49" s="568" t="s">
        <v>852</v>
      </c>
      <c r="B49" s="579" t="s">
        <v>853</v>
      </c>
      <c r="C49" s="579"/>
      <c r="D49" s="579"/>
      <c r="E49" s="579"/>
      <c r="F49" s="579"/>
      <c r="G49" s="579"/>
      <c r="H49" s="579"/>
      <c r="I49" s="579"/>
      <c r="J49" s="579"/>
      <c r="M49" s="568" t="s">
        <v>852</v>
      </c>
      <c r="N49" s="571" t="s">
        <v>853</v>
      </c>
      <c r="O49" s="572"/>
      <c r="P49" s="572"/>
      <c r="Q49" s="572"/>
      <c r="R49" s="572"/>
      <c r="S49" s="572"/>
      <c r="T49" s="572"/>
      <c r="U49" s="572"/>
      <c r="V49" s="573"/>
    </row>
    <row r="50" spans="1:22">
      <c r="A50" s="577"/>
      <c r="B50" s="4" t="s">
        <v>829</v>
      </c>
      <c r="C50" s="5" t="s">
        <v>202</v>
      </c>
      <c r="D50" s="5" t="s">
        <v>203</v>
      </c>
      <c r="E50" s="5" t="s">
        <v>204</v>
      </c>
      <c r="F50" s="5" t="s">
        <v>29</v>
      </c>
      <c r="G50" s="5" t="s">
        <v>30</v>
      </c>
      <c r="H50" s="5" t="s">
        <v>205</v>
      </c>
      <c r="I50" s="5" t="s">
        <v>206</v>
      </c>
      <c r="J50" s="4" t="s">
        <v>25</v>
      </c>
      <c r="M50" s="569"/>
      <c r="N50" s="562" t="s">
        <v>829</v>
      </c>
      <c r="O50" s="563" t="s">
        <v>202</v>
      </c>
      <c r="P50" s="563" t="s">
        <v>203</v>
      </c>
      <c r="Q50" s="563" t="s">
        <v>204</v>
      </c>
      <c r="R50" s="563" t="s">
        <v>29</v>
      </c>
      <c r="S50" s="563" t="s">
        <v>30</v>
      </c>
      <c r="T50" s="563" t="s">
        <v>205</v>
      </c>
      <c r="U50" s="563" t="s">
        <v>206</v>
      </c>
      <c r="V50" s="562" t="s">
        <v>25</v>
      </c>
    </row>
    <row r="51" spans="1:22" ht="27">
      <c r="A51" s="578"/>
      <c r="B51" s="11" t="s">
        <v>830</v>
      </c>
      <c r="C51" s="12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f>C51</f>
        <v>0</v>
      </c>
      <c r="M51" s="570"/>
      <c r="N51" s="13" t="s">
        <v>830</v>
      </c>
      <c r="O51" s="565" t="s">
        <v>1155</v>
      </c>
      <c r="P51" s="565" t="s">
        <v>1156</v>
      </c>
      <c r="Q51" s="565" t="s">
        <v>1157</v>
      </c>
      <c r="R51" s="565" t="s">
        <v>1158</v>
      </c>
      <c r="S51" s="565" t="s">
        <v>1159</v>
      </c>
      <c r="T51" s="565" t="s">
        <v>1160</v>
      </c>
      <c r="U51" s="565" t="s">
        <v>1161</v>
      </c>
      <c r="V51" s="565" t="s">
        <v>1162</v>
      </c>
    </row>
    <row r="52" spans="1:22">
      <c r="A52" s="568" t="s">
        <v>854</v>
      </c>
      <c r="B52" s="4" t="s">
        <v>829</v>
      </c>
      <c r="C52" s="5" t="s">
        <v>202</v>
      </c>
      <c r="D52" s="5" t="s">
        <v>203</v>
      </c>
      <c r="E52" s="5" t="s">
        <v>204</v>
      </c>
      <c r="F52" s="5" t="s">
        <v>29</v>
      </c>
      <c r="G52" s="5" t="s">
        <v>30</v>
      </c>
      <c r="H52" s="5" t="s">
        <v>205</v>
      </c>
      <c r="I52" s="5" t="s">
        <v>206</v>
      </c>
      <c r="J52" s="4" t="s">
        <v>25</v>
      </c>
      <c r="M52" s="568" t="s">
        <v>854</v>
      </c>
      <c r="N52" s="562" t="s">
        <v>829</v>
      </c>
      <c r="O52" s="563" t="s">
        <v>202</v>
      </c>
      <c r="P52" s="563" t="s">
        <v>203</v>
      </c>
      <c r="Q52" s="563" t="s">
        <v>204</v>
      </c>
      <c r="R52" s="563" t="s">
        <v>29</v>
      </c>
      <c r="S52" s="563" t="s">
        <v>30</v>
      </c>
      <c r="T52" s="563" t="s">
        <v>205</v>
      </c>
      <c r="U52" s="563" t="s">
        <v>206</v>
      </c>
      <c r="V52" s="562" t="s">
        <v>25</v>
      </c>
    </row>
    <row r="53" spans="1:22" ht="27">
      <c r="A53" s="569"/>
      <c r="B53" s="11" t="s">
        <v>217</v>
      </c>
      <c r="C53" s="12">
        <f t="shared" ref="C53:J53" si="0">C3</f>
        <v>7086080.3451288501</v>
      </c>
      <c r="D53" s="12">
        <f t="shared" si="0"/>
        <v>2569.6835348589698</v>
      </c>
      <c r="E53" s="12">
        <f t="shared" si="0"/>
        <v>30422.615322386999</v>
      </c>
      <c r="F53" s="12">
        <f t="shared" si="0"/>
        <v>717.03</v>
      </c>
      <c r="G53" s="12">
        <f t="shared" si="0"/>
        <v>0</v>
      </c>
      <c r="H53" s="12">
        <f t="shared" si="0"/>
        <v>2459.16</v>
      </c>
      <c r="I53" s="12">
        <f t="shared" si="0"/>
        <v>0</v>
      </c>
      <c r="J53" s="12">
        <f t="shared" si="0"/>
        <v>7122248.8339860998</v>
      </c>
      <c r="M53" s="569"/>
      <c r="N53" s="13" t="s">
        <v>217</v>
      </c>
      <c r="O53" s="567" t="str">
        <f>O3</f>
        <v>{{summary_data.scope1.co2}}</v>
      </c>
      <c r="P53" s="567" t="str">
        <f t="shared" ref="P53:V53" si="1">P3</f>
        <v>{{summary_data.scope1.ch4}}</v>
      </c>
      <c r="Q53" s="567" t="str">
        <f t="shared" si="1"/>
        <v>{{summary_data.scope1.n2o}}</v>
      </c>
      <c r="R53" s="567" t="str">
        <f t="shared" si="1"/>
        <v>{{summary_data.scope1.hfcs}}</v>
      </c>
      <c r="S53" s="567" t="str">
        <f t="shared" si="1"/>
        <v>{{summary_data.scope1.pfcs}}</v>
      </c>
      <c r="T53" s="567" t="str">
        <f t="shared" si="1"/>
        <v>{{summary_data.scope1.sf6}}</v>
      </c>
      <c r="U53" s="567" t="str">
        <f t="shared" si="1"/>
        <v>{{summary_data.scope1.nf3}}</v>
      </c>
      <c r="V53" s="567" t="str">
        <f t="shared" si="1"/>
        <v>{{summary_data.scope1.total}}</v>
      </c>
    </row>
    <row r="54" spans="1:22" ht="27">
      <c r="A54" s="569"/>
      <c r="B54" s="13" t="s">
        <v>858</v>
      </c>
      <c r="C54" s="12">
        <f>C6</f>
        <v>1161900.3323520001</v>
      </c>
      <c r="D54" s="12">
        <f t="shared" ref="D54:J54" si="2">D6</f>
        <v>0</v>
      </c>
      <c r="E54" s="12">
        <f t="shared" si="2"/>
        <v>0</v>
      </c>
      <c r="F54" s="12">
        <f t="shared" si="2"/>
        <v>0</v>
      </c>
      <c r="G54" s="12">
        <f t="shared" si="2"/>
        <v>0</v>
      </c>
      <c r="H54" s="12">
        <f t="shared" si="2"/>
        <v>0</v>
      </c>
      <c r="I54" s="12">
        <f t="shared" si="2"/>
        <v>0</v>
      </c>
      <c r="J54" s="12">
        <f t="shared" si="2"/>
        <v>1161900.3323520001</v>
      </c>
      <c r="M54" s="569"/>
      <c r="N54" s="13" t="s">
        <v>855</v>
      </c>
      <c r="O54" s="567" t="str">
        <f>O6</f>
        <v>{{summary_data.scope2.mar.co2}}</v>
      </c>
      <c r="P54" s="567" t="str">
        <f t="shared" ref="P54:V54" si="3">P6</f>
        <v>{{summary_data.scope2.mar.ch4}}</v>
      </c>
      <c r="Q54" s="567" t="str">
        <f t="shared" si="3"/>
        <v>{{summary_data.scope2.mar.n2o}}</v>
      </c>
      <c r="R54" s="567" t="str">
        <f t="shared" si="3"/>
        <v>{{summary_data.scope2.mar.hfcs}}</v>
      </c>
      <c r="S54" s="567" t="str">
        <f t="shared" si="3"/>
        <v>{{summary_data.scope2.mar.pfcs}}</v>
      </c>
      <c r="T54" s="567" t="str">
        <f t="shared" si="3"/>
        <v>{{summary_data.scope2.mar.sf6}}</v>
      </c>
      <c r="U54" s="567" t="str">
        <f t="shared" si="3"/>
        <v>{{summary_data.scope2.mar.nf3}}</v>
      </c>
      <c r="V54" s="567" t="str">
        <f t="shared" si="3"/>
        <v>{{summary_data.scope2.mar.total}}</v>
      </c>
    </row>
    <row r="55" spans="1:22" ht="27">
      <c r="A55" s="569"/>
      <c r="B55" s="11" t="s">
        <v>417</v>
      </c>
      <c r="C55" s="12">
        <f>SUM(C9,C12,C15,C18,C21,C24,C27,C30,C33,C36,C39,C42,C45,C48,C51)</f>
        <v>7332402.9858360598</v>
      </c>
      <c r="D55" s="12">
        <f t="shared" ref="D55:I55" si="4">SUM(D9,D12,D15,D18,D21,D24,D27,D30,D33,D36,D39,D42,D45,D48,D51)</f>
        <v>2.4056686276939798</v>
      </c>
      <c r="E55" s="12">
        <f t="shared" si="4"/>
        <v>2.3539338184962602</v>
      </c>
      <c r="F55" s="12">
        <f t="shared" si="4"/>
        <v>0</v>
      </c>
      <c r="G55" s="12">
        <f t="shared" si="4"/>
        <v>0</v>
      </c>
      <c r="H55" s="12">
        <f t="shared" si="4"/>
        <v>0</v>
      </c>
      <c r="I55" s="12">
        <f t="shared" si="4"/>
        <v>0</v>
      </c>
      <c r="J55" s="7">
        <f>C55</f>
        <v>7332402.9858360598</v>
      </c>
      <c r="M55" s="569"/>
      <c r="N55" s="13" t="s">
        <v>417</v>
      </c>
      <c r="O55" s="567" t="s">
        <v>1163</v>
      </c>
      <c r="P55" s="567" t="s">
        <v>1164</v>
      </c>
      <c r="Q55" s="567" t="s">
        <v>1165</v>
      </c>
      <c r="R55" s="567" t="s">
        <v>1166</v>
      </c>
      <c r="S55" s="567" t="s">
        <v>1167</v>
      </c>
      <c r="T55" s="567" t="s">
        <v>1168</v>
      </c>
      <c r="U55" s="567" t="s">
        <v>1169</v>
      </c>
      <c r="V55" s="565" t="s">
        <v>1170</v>
      </c>
    </row>
    <row r="56" spans="1:22" ht="18">
      <c r="A56" s="570"/>
      <c r="B56" s="11" t="s">
        <v>856</v>
      </c>
      <c r="C56" s="12">
        <f>SUM(C53:C55)</f>
        <v>15580383.6633169</v>
      </c>
      <c r="D56" s="12">
        <f t="shared" ref="D56:J56" si="5">SUM(D53:D55)</f>
        <v>2572.0892034866602</v>
      </c>
      <c r="E56" s="12">
        <f t="shared" si="5"/>
        <v>30424.969256205499</v>
      </c>
      <c r="F56" s="12">
        <f t="shared" si="5"/>
        <v>717.03</v>
      </c>
      <c r="G56" s="12">
        <f t="shared" si="5"/>
        <v>0</v>
      </c>
      <c r="H56" s="12">
        <f t="shared" si="5"/>
        <v>2459.16</v>
      </c>
      <c r="I56" s="12">
        <f t="shared" si="5"/>
        <v>0</v>
      </c>
      <c r="J56" s="12">
        <f t="shared" si="5"/>
        <v>15616552.152174201</v>
      </c>
      <c r="M56" s="570"/>
      <c r="N56" s="13" t="s">
        <v>856</v>
      </c>
      <c r="O56" s="567" t="s">
        <v>1179</v>
      </c>
      <c r="P56" s="567" t="s">
        <v>1186</v>
      </c>
      <c r="Q56" s="567" t="s">
        <v>1180</v>
      </c>
      <c r="R56" s="567" t="s">
        <v>1181</v>
      </c>
      <c r="S56" s="567" t="s">
        <v>1182</v>
      </c>
      <c r="T56" s="567" t="s">
        <v>1183</v>
      </c>
      <c r="U56" s="567" t="s">
        <v>1184</v>
      </c>
      <c r="V56" s="565" t="s">
        <v>1185</v>
      </c>
    </row>
  </sheetData>
  <mergeCells count="70">
    <mergeCell ref="B1:J1"/>
    <mergeCell ref="B4:J4"/>
    <mergeCell ref="B7:J7"/>
    <mergeCell ref="B10:J10"/>
    <mergeCell ref="B13:J13"/>
    <mergeCell ref="B16:J16"/>
    <mergeCell ref="B19:J19"/>
    <mergeCell ref="B22:J22"/>
    <mergeCell ref="B25:J25"/>
    <mergeCell ref="B28:J28"/>
    <mergeCell ref="A31:A33"/>
    <mergeCell ref="A34:A36"/>
    <mergeCell ref="A37:A39"/>
    <mergeCell ref="A40:A42"/>
    <mergeCell ref="B31:J31"/>
    <mergeCell ref="B34:J34"/>
    <mergeCell ref="B37:J37"/>
    <mergeCell ref="B40:J40"/>
    <mergeCell ref="A16:A18"/>
    <mergeCell ref="A19:A21"/>
    <mergeCell ref="A22:A24"/>
    <mergeCell ref="A25:A27"/>
    <mergeCell ref="A28:A30"/>
    <mergeCell ref="A1:A3"/>
    <mergeCell ref="A4:A6"/>
    <mergeCell ref="A7:A9"/>
    <mergeCell ref="A10:A12"/>
    <mergeCell ref="A13:A15"/>
    <mergeCell ref="A43:A45"/>
    <mergeCell ref="A46:A48"/>
    <mergeCell ref="A49:A51"/>
    <mergeCell ref="A52:A56"/>
    <mergeCell ref="B46:J46"/>
    <mergeCell ref="B49:J49"/>
    <mergeCell ref="B43:J43"/>
    <mergeCell ref="M1:M3"/>
    <mergeCell ref="N1:V1"/>
    <mergeCell ref="M4:M6"/>
    <mergeCell ref="N4:V4"/>
    <mergeCell ref="M7:M9"/>
    <mergeCell ref="N7:V7"/>
    <mergeCell ref="M10:M12"/>
    <mergeCell ref="N10:V10"/>
    <mergeCell ref="M13:M15"/>
    <mergeCell ref="N13:V13"/>
    <mergeCell ref="M16:M18"/>
    <mergeCell ref="N16:V16"/>
    <mergeCell ref="M19:M21"/>
    <mergeCell ref="N19:V19"/>
    <mergeCell ref="M22:M24"/>
    <mergeCell ref="N22:V22"/>
    <mergeCell ref="M25:M27"/>
    <mergeCell ref="N25:V25"/>
    <mergeCell ref="M28:M30"/>
    <mergeCell ref="N28:V28"/>
    <mergeCell ref="M31:M33"/>
    <mergeCell ref="N31:V31"/>
    <mergeCell ref="M34:M36"/>
    <mergeCell ref="N34:V34"/>
    <mergeCell ref="M37:M39"/>
    <mergeCell ref="N37:V37"/>
    <mergeCell ref="M40:M42"/>
    <mergeCell ref="N40:V40"/>
    <mergeCell ref="M43:M45"/>
    <mergeCell ref="N43:V43"/>
    <mergeCell ref="M46:M48"/>
    <mergeCell ref="N46:V46"/>
    <mergeCell ref="M49:M51"/>
    <mergeCell ref="N49:V49"/>
    <mergeCell ref="M52:M56"/>
  </mergeCells>
  <phoneticPr fontId="87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命名范围</vt:lpstr>
      </vt:variant>
      <vt:variant>
        <vt:i4>5</vt:i4>
      </vt:variant>
    </vt:vector>
  </HeadingPairs>
  <TitlesOfParts>
    <vt:vector size="19" baseType="lpstr">
      <vt:lpstr>温室气体盘查清册 (2)</vt:lpstr>
      <vt:lpstr>基本信息</vt:lpstr>
      <vt:lpstr>Sheet1</vt:lpstr>
      <vt:lpstr>温室气体盘查清册</vt:lpstr>
      <vt:lpstr>表1温室气体盘查表</vt:lpstr>
      <vt:lpstr>表2.1不确定性评估——基于位置</vt:lpstr>
      <vt:lpstr>表2.1不确定性评估——基于市场</vt:lpstr>
      <vt:lpstr>附表1-GWP TABLE</vt:lpstr>
      <vt:lpstr>附表2-EF</vt:lpstr>
      <vt:lpstr>减排行动统计</vt:lpstr>
      <vt:lpstr>活动数据汇总表（GHG基于位置）</vt:lpstr>
      <vt:lpstr>活动数据汇总表（GHG基于市场）</vt:lpstr>
      <vt:lpstr>基准年温室气体清单 (GHG位置)</vt:lpstr>
      <vt:lpstr>基准年温室气体清单（GHG市场）</vt:lpstr>
      <vt:lpstr>表1温室气体盘查表!Print_Area</vt:lpstr>
      <vt:lpstr>'附表1-GWP TABLE'!Print_Area</vt:lpstr>
      <vt:lpstr>'附表2-EF'!Print_Area</vt:lpstr>
      <vt:lpstr>'活动数据汇总表（GHG基于市场）'!Print_Area</vt:lpstr>
      <vt:lpstr>'活动数据汇总表（GHG基于位置）'!Print_Area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费玲芳</dc:creator>
  <cp:lastModifiedBy>扬 邱</cp:lastModifiedBy>
  <cp:lastPrinted>2022-03-31T15:43:00Z</cp:lastPrinted>
  <dcterms:created xsi:type="dcterms:W3CDTF">2017-10-24T16:05:00Z</dcterms:created>
  <dcterms:modified xsi:type="dcterms:W3CDTF">2026-03-27T09:11:18Z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612626E8CDDE4734A4210BBBE4C2FD8A_13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